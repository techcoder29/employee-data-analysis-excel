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vaibhav lakshmi\Documents\Employee-Data-Analysis-Excel\"/>
    </mc:Choice>
  </mc:AlternateContent>
  <xr:revisionPtr revIDLastSave="0" documentId="13_ncr:1_{98DF5C25-6644-4263-ADB9-7BE1DFAA3146}" xr6:coauthVersionLast="47" xr6:coauthVersionMax="47" xr10:uidLastSave="{00000000-0000-0000-0000-000000000000}"/>
  <bookViews>
    <workbookView xWindow="-108" yWindow="-108" windowWidth="23256" windowHeight="13896" firstSheet="2" activeTab="5" xr2:uid="{00000000-000D-0000-FFFF-FFFF00000000}"/>
  </bookViews>
  <sheets>
    <sheet name="Dashboard" sheetId="13" r:id="rId1"/>
    <sheet name="RawData(1)" sheetId="4" r:id="rId2"/>
    <sheet name="Formatted Data(2)" sheetId="1" r:id="rId3"/>
    <sheet name="Data cleaning and validation(3)" sheetId="6" r:id="rId4"/>
    <sheet name="Analysis(4)" sheetId="9" r:id="rId5"/>
    <sheet name="Pivot Tables(5) " sheetId="10" r:id="rId6"/>
    <sheet name="Insights" sheetId="14" r:id="rId7"/>
    <sheet name="Reference sheet " sheetId="2" r:id="rId8"/>
  </sheets>
  <externalReferences>
    <externalReference r:id="rId9"/>
  </externalReferences>
  <definedNames>
    <definedName name="_xlnm._FilterDatabase" localSheetId="4" hidden="1">'Analysis(4)'!$C$1:$D$9</definedName>
    <definedName name="_xlnm._FilterDatabase" localSheetId="3" hidden="1">'Data cleaning and validation(3)'!$A$1:$L$1001</definedName>
    <definedName name="_xlnm._FilterDatabase" localSheetId="2" hidden="1">'Formatted Data(2)'!$A$6:$O$1006</definedName>
    <definedName name="_xlnm._FilterDatabase" localSheetId="1" hidden="1">'RawData(1)'!$A$1:$O$1001</definedName>
    <definedName name="NativeTimeline_Start_Date">#N/A</definedName>
    <definedName name="Slicer_Department" localSheetId="6">#N/A</definedName>
    <definedName name="Slicer_Department">#N/A</definedName>
    <definedName name="Slicer_Department1">#N/A</definedName>
    <definedName name="Slicer_Experience" localSheetId="6">#N/A</definedName>
    <definedName name="Slicer_Experience">#N/A</definedName>
    <definedName name="Slicer_Region" localSheetId="6">#N/A</definedName>
    <definedName name="Slicer_Region">#N/A</definedName>
    <definedName name="Slicer_status" localSheetId="6">#N/A</definedName>
    <definedName name="Slicer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3" l="1"/>
  <c r="G5" i="13"/>
  <c r="A5" i="13"/>
  <c r="J5" i="13"/>
  <c r="M30" i="9"/>
  <c r="M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4"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D1013" i="9"/>
  <c r="A14" i="9"/>
  <c r="B14" i="9"/>
  <c r="D14" i="9"/>
  <c r="E14" i="9"/>
  <c r="G14" i="9"/>
  <c r="H14" i="9"/>
  <c r="I14" i="9"/>
  <c r="J14" i="9"/>
  <c r="K14" i="9"/>
  <c r="L14" i="9"/>
  <c r="A15" i="9"/>
  <c r="B15" i="9"/>
  <c r="D15" i="9"/>
  <c r="E15" i="9"/>
  <c r="G15" i="9"/>
  <c r="H15" i="9"/>
  <c r="I15" i="9"/>
  <c r="J15" i="9"/>
  <c r="K15" i="9"/>
  <c r="L15" i="9"/>
  <c r="M15" i="9"/>
  <c r="A16" i="9"/>
  <c r="B16" i="9"/>
  <c r="D16" i="9"/>
  <c r="E16" i="9"/>
  <c r="G16" i="9"/>
  <c r="H16" i="9"/>
  <c r="I16" i="9"/>
  <c r="J16" i="9"/>
  <c r="K16" i="9"/>
  <c r="L16" i="9"/>
  <c r="M16" i="9"/>
  <c r="A17" i="9"/>
  <c r="B17" i="9"/>
  <c r="D17" i="9"/>
  <c r="E17" i="9"/>
  <c r="G17" i="9"/>
  <c r="H17" i="9"/>
  <c r="I17" i="9"/>
  <c r="J17" i="9"/>
  <c r="K17" i="9"/>
  <c r="L17" i="9"/>
  <c r="M17" i="9"/>
  <c r="A18" i="9"/>
  <c r="B18" i="9"/>
  <c r="D18" i="9"/>
  <c r="E18" i="9"/>
  <c r="G18" i="9"/>
  <c r="H18" i="9"/>
  <c r="I18" i="9"/>
  <c r="J18" i="9"/>
  <c r="K18" i="9"/>
  <c r="L18" i="9"/>
  <c r="M18" i="9"/>
  <c r="A19" i="9"/>
  <c r="B19" i="9"/>
  <c r="D19" i="9"/>
  <c r="E19" i="9"/>
  <c r="G19" i="9"/>
  <c r="H19" i="9"/>
  <c r="I19" i="9"/>
  <c r="J19" i="9"/>
  <c r="K19" i="9"/>
  <c r="L19" i="9"/>
  <c r="M19" i="9"/>
  <c r="A20" i="9"/>
  <c r="B20" i="9"/>
  <c r="D20" i="9"/>
  <c r="E20" i="9"/>
  <c r="G20" i="9"/>
  <c r="H20" i="9"/>
  <c r="I20" i="9"/>
  <c r="J20" i="9"/>
  <c r="K20" i="9"/>
  <c r="L20" i="9"/>
  <c r="M20" i="9"/>
  <c r="A21" i="9"/>
  <c r="B21" i="9"/>
  <c r="D21" i="9"/>
  <c r="E21" i="9"/>
  <c r="G21" i="9"/>
  <c r="H21" i="9"/>
  <c r="I21" i="9"/>
  <c r="J21" i="9"/>
  <c r="K21" i="9"/>
  <c r="L21" i="9"/>
  <c r="M21" i="9"/>
  <c r="A22" i="9"/>
  <c r="B22" i="9"/>
  <c r="D22" i="9"/>
  <c r="E22" i="9"/>
  <c r="G22" i="9"/>
  <c r="H22" i="9"/>
  <c r="I22" i="9"/>
  <c r="J22" i="9"/>
  <c r="K22" i="9"/>
  <c r="L22" i="9"/>
  <c r="M22" i="9"/>
  <c r="A23" i="9"/>
  <c r="B23" i="9"/>
  <c r="D23" i="9"/>
  <c r="E23" i="9"/>
  <c r="G23" i="9"/>
  <c r="H23" i="9"/>
  <c r="I23" i="9"/>
  <c r="J23" i="9"/>
  <c r="K23" i="9"/>
  <c r="L23" i="9"/>
  <c r="M23" i="9"/>
  <c r="A24" i="9"/>
  <c r="B24" i="9"/>
  <c r="D24" i="9"/>
  <c r="E24" i="9"/>
  <c r="G24" i="9"/>
  <c r="H24" i="9"/>
  <c r="I24" i="9"/>
  <c r="J24" i="9"/>
  <c r="K24" i="9"/>
  <c r="L24" i="9"/>
  <c r="M24" i="9"/>
  <c r="A25" i="9"/>
  <c r="B25" i="9"/>
  <c r="D25" i="9"/>
  <c r="E25" i="9"/>
  <c r="G25" i="9"/>
  <c r="H25" i="9"/>
  <c r="I25" i="9"/>
  <c r="J25" i="9"/>
  <c r="K25" i="9"/>
  <c r="L25" i="9"/>
  <c r="M25" i="9"/>
  <c r="A26" i="9"/>
  <c r="B26" i="9"/>
  <c r="D26" i="9"/>
  <c r="E26" i="9"/>
  <c r="G26" i="9"/>
  <c r="H26" i="9"/>
  <c r="I26" i="9"/>
  <c r="J26" i="9"/>
  <c r="K26" i="9"/>
  <c r="L26" i="9"/>
  <c r="M26" i="9"/>
  <c r="A27" i="9"/>
  <c r="B27" i="9"/>
  <c r="D27" i="9"/>
  <c r="E27" i="9"/>
  <c r="G27" i="9"/>
  <c r="H27" i="9"/>
  <c r="I27" i="9"/>
  <c r="J27" i="9"/>
  <c r="K27" i="9"/>
  <c r="L27" i="9"/>
  <c r="M27" i="9"/>
  <c r="A28" i="9"/>
  <c r="B28" i="9"/>
  <c r="D28" i="9"/>
  <c r="E28" i="9"/>
  <c r="G28" i="9"/>
  <c r="H28" i="9"/>
  <c r="I28" i="9"/>
  <c r="J28" i="9"/>
  <c r="K28" i="9"/>
  <c r="L28" i="9"/>
  <c r="M28" i="9"/>
  <c r="A29" i="9"/>
  <c r="B29" i="9"/>
  <c r="D29" i="9"/>
  <c r="E29" i="9"/>
  <c r="G29" i="9"/>
  <c r="H29" i="9"/>
  <c r="I29" i="9"/>
  <c r="J29" i="9"/>
  <c r="K29" i="9"/>
  <c r="L29" i="9"/>
  <c r="M29" i="9"/>
  <c r="A30" i="9"/>
  <c r="B30" i="9"/>
  <c r="D30" i="9"/>
  <c r="E30" i="9"/>
  <c r="G30" i="9"/>
  <c r="H30" i="9"/>
  <c r="I30" i="9"/>
  <c r="J30" i="9"/>
  <c r="K30" i="9"/>
  <c r="L30" i="9"/>
  <c r="A31" i="9"/>
  <c r="B31" i="9"/>
  <c r="D31" i="9"/>
  <c r="E31" i="9"/>
  <c r="G31" i="9"/>
  <c r="H31" i="9"/>
  <c r="I31" i="9"/>
  <c r="J31" i="9"/>
  <c r="K31" i="9"/>
  <c r="L31" i="9"/>
  <c r="M31" i="9"/>
  <c r="A32" i="9"/>
  <c r="B32" i="9"/>
  <c r="D32" i="9"/>
  <c r="E32" i="9"/>
  <c r="G32" i="9"/>
  <c r="H32" i="9"/>
  <c r="I32" i="9"/>
  <c r="J32" i="9"/>
  <c r="K32" i="9"/>
  <c r="L32" i="9"/>
  <c r="M32" i="9"/>
  <c r="A33" i="9"/>
  <c r="B33" i="9"/>
  <c r="D33" i="9"/>
  <c r="E33" i="9"/>
  <c r="G33" i="9"/>
  <c r="H33" i="9"/>
  <c r="I33" i="9"/>
  <c r="J33" i="9"/>
  <c r="K33" i="9"/>
  <c r="L33" i="9"/>
  <c r="M33" i="9"/>
  <c r="A34" i="9"/>
  <c r="B34" i="9"/>
  <c r="D34" i="9"/>
  <c r="E34" i="9"/>
  <c r="G34" i="9"/>
  <c r="H34" i="9"/>
  <c r="I34" i="9"/>
  <c r="J34" i="9"/>
  <c r="K34" i="9"/>
  <c r="L34" i="9"/>
  <c r="M34" i="9"/>
  <c r="A35" i="9"/>
  <c r="B35" i="9"/>
  <c r="D35" i="9"/>
  <c r="E35" i="9"/>
  <c r="G35" i="9"/>
  <c r="H35" i="9"/>
  <c r="I35" i="9"/>
  <c r="J35" i="9"/>
  <c r="K35" i="9"/>
  <c r="L35" i="9"/>
  <c r="M35" i="9"/>
  <c r="A36" i="9"/>
  <c r="B36" i="9"/>
  <c r="D36" i="9"/>
  <c r="E36" i="9"/>
  <c r="G36" i="9"/>
  <c r="H36" i="9"/>
  <c r="I36" i="9"/>
  <c r="J36" i="9"/>
  <c r="K36" i="9"/>
  <c r="L36" i="9"/>
  <c r="M36" i="9"/>
  <c r="A37" i="9"/>
  <c r="B37" i="9"/>
  <c r="D37" i="9"/>
  <c r="E37" i="9"/>
  <c r="G37" i="9"/>
  <c r="H37" i="9"/>
  <c r="I37" i="9"/>
  <c r="J37" i="9"/>
  <c r="K37" i="9"/>
  <c r="L37" i="9"/>
  <c r="M37" i="9"/>
  <c r="A38" i="9"/>
  <c r="B38" i="9"/>
  <c r="D38" i="9"/>
  <c r="E38" i="9"/>
  <c r="G38" i="9"/>
  <c r="H38" i="9"/>
  <c r="I38" i="9"/>
  <c r="J38" i="9"/>
  <c r="K38" i="9"/>
  <c r="L38" i="9"/>
  <c r="M38" i="9"/>
  <c r="A39" i="9"/>
  <c r="B39" i="9"/>
  <c r="D39" i="9"/>
  <c r="E39" i="9"/>
  <c r="G39" i="9"/>
  <c r="H39" i="9"/>
  <c r="I39" i="9"/>
  <c r="J39" i="9"/>
  <c r="K39" i="9"/>
  <c r="L39" i="9"/>
  <c r="M39" i="9"/>
  <c r="A40" i="9"/>
  <c r="B40" i="9"/>
  <c r="D40" i="9"/>
  <c r="E40" i="9"/>
  <c r="G40" i="9"/>
  <c r="H40" i="9"/>
  <c r="I40" i="9"/>
  <c r="J40" i="9"/>
  <c r="K40" i="9"/>
  <c r="L40" i="9"/>
  <c r="M40" i="9"/>
  <c r="A41" i="9"/>
  <c r="B41" i="9"/>
  <c r="D41" i="9"/>
  <c r="E41" i="9"/>
  <c r="G41" i="9"/>
  <c r="H41" i="9"/>
  <c r="I41" i="9"/>
  <c r="J41" i="9"/>
  <c r="K41" i="9"/>
  <c r="L41" i="9"/>
  <c r="M41" i="9"/>
  <c r="A42" i="9"/>
  <c r="B42" i="9"/>
  <c r="D42" i="9"/>
  <c r="E42" i="9"/>
  <c r="G42" i="9"/>
  <c r="H42" i="9"/>
  <c r="I42" i="9"/>
  <c r="J42" i="9"/>
  <c r="K42" i="9"/>
  <c r="L42" i="9"/>
  <c r="M42" i="9"/>
  <c r="A43" i="9"/>
  <c r="B43" i="9"/>
  <c r="D43" i="9"/>
  <c r="E43" i="9"/>
  <c r="G43" i="9"/>
  <c r="H43" i="9"/>
  <c r="I43" i="9"/>
  <c r="J43" i="9"/>
  <c r="K43" i="9"/>
  <c r="L43" i="9"/>
  <c r="M43" i="9"/>
  <c r="A44" i="9"/>
  <c r="B44" i="9"/>
  <c r="D44" i="9"/>
  <c r="E44" i="9"/>
  <c r="G44" i="9"/>
  <c r="H44" i="9"/>
  <c r="I44" i="9"/>
  <c r="J44" i="9"/>
  <c r="K44" i="9"/>
  <c r="L44" i="9"/>
  <c r="M44" i="9"/>
  <c r="A45" i="9"/>
  <c r="B45" i="9"/>
  <c r="D45" i="9"/>
  <c r="E45" i="9"/>
  <c r="G45" i="9"/>
  <c r="H45" i="9"/>
  <c r="I45" i="9"/>
  <c r="J45" i="9"/>
  <c r="K45" i="9"/>
  <c r="L45" i="9"/>
  <c r="M45" i="9"/>
  <c r="A46" i="9"/>
  <c r="B46" i="9"/>
  <c r="D46" i="9"/>
  <c r="E46" i="9"/>
  <c r="G46" i="9"/>
  <c r="H46" i="9"/>
  <c r="I46" i="9"/>
  <c r="J46" i="9"/>
  <c r="K46" i="9"/>
  <c r="L46" i="9"/>
  <c r="M46" i="9"/>
  <c r="A47" i="9"/>
  <c r="B47" i="9"/>
  <c r="D47" i="9"/>
  <c r="E47" i="9"/>
  <c r="G47" i="9"/>
  <c r="H47" i="9"/>
  <c r="I47" i="9"/>
  <c r="J47" i="9"/>
  <c r="K47" i="9"/>
  <c r="L47" i="9"/>
  <c r="M47" i="9"/>
  <c r="A48" i="9"/>
  <c r="B48" i="9"/>
  <c r="D48" i="9"/>
  <c r="E48" i="9"/>
  <c r="G48" i="9"/>
  <c r="H48" i="9"/>
  <c r="I48" i="9"/>
  <c r="J48" i="9"/>
  <c r="K48" i="9"/>
  <c r="L48" i="9"/>
  <c r="M48" i="9"/>
  <c r="A49" i="9"/>
  <c r="B49" i="9"/>
  <c r="D49" i="9"/>
  <c r="E49" i="9"/>
  <c r="G49" i="9"/>
  <c r="H49" i="9"/>
  <c r="I49" i="9"/>
  <c r="J49" i="9"/>
  <c r="K49" i="9"/>
  <c r="L49" i="9"/>
  <c r="M49" i="9"/>
  <c r="A50" i="9"/>
  <c r="B50" i="9"/>
  <c r="D50" i="9"/>
  <c r="E50" i="9"/>
  <c r="G50" i="9"/>
  <c r="H50" i="9"/>
  <c r="I50" i="9"/>
  <c r="J50" i="9"/>
  <c r="K50" i="9"/>
  <c r="L50" i="9"/>
  <c r="M50" i="9"/>
  <c r="A51" i="9"/>
  <c r="B51" i="9"/>
  <c r="D51" i="9"/>
  <c r="E51" i="9"/>
  <c r="G51" i="9"/>
  <c r="H51" i="9"/>
  <c r="I51" i="9"/>
  <c r="J51" i="9"/>
  <c r="K51" i="9"/>
  <c r="L51" i="9"/>
  <c r="M51" i="9"/>
  <c r="A52" i="9"/>
  <c r="B52" i="9"/>
  <c r="D52" i="9"/>
  <c r="E52" i="9"/>
  <c r="G52" i="9"/>
  <c r="H52" i="9"/>
  <c r="I52" i="9"/>
  <c r="J52" i="9"/>
  <c r="K52" i="9"/>
  <c r="L52" i="9"/>
  <c r="M52" i="9"/>
  <c r="A53" i="9"/>
  <c r="B53" i="9"/>
  <c r="D53" i="9"/>
  <c r="E53" i="9"/>
  <c r="G53" i="9"/>
  <c r="H53" i="9"/>
  <c r="I53" i="9"/>
  <c r="J53" i="9"/>
  <c r="K53" i="9"/>
  <c r="L53" i="9"/>
  <c r="M53" i="9"/>
  <c r="A54" i="9"/>
  <c r="B54" i="9"/>
  <c r="D54" i="9"/>
  <c r="E54" i="9"/>
  <c r="G54" i="9"/>
  <c r="H54" i="9"/>
  <c r="I54" i="9"/>
  <c r="J54" i="9"/>
  <c r="K54" i="9"/>
  <c r="L54" i="9"/>
  <c r="M54" i="9"/>
  <c r="A55" i="9"/>
  <c r="B55" i="9"/>
  <c r="D55" i="9"/>
  <c r="E55" i="9"/>
  <c r="G55" i="9"/>
  <c r="H55" i="9"/>
  <c r="I55" i="9"/>
  <c r="J55" i="9"/>
  <c r="K55" i="9"/>
  <c r="L55" i="9"/>
  <c r="M55" i="9"/>
  <c r="A56" i="9"/>
  <c r="B56" i="9"/>
  <c r="D56" i="9"/>
  <c r="E56" i="9"/>
  <c r="G56" i="9"/>
  <c r="H56" i="9"/>
  <c r="I56" i="9"/>
  <c r="J56" i="9"/>
  <c r="K56" i="9"/>
  <c r="L56" i="9"/>
  <c r="M56" i="9"/>
  <c r="A57" i="9"/>
  <c r="B57" i="9"/>
  <c r="D57" i="9"/>
  <c r="E57" i="9"/>
  <c r="G57" i="9"/>
  <c r="H57" i="9"/>
  <c r="I57" i="9"/>
  <c r="J57" i="9"/>
  <c r="K57" i="9"/>
  <c r="L57" i="9"/>
  <c r="M57" i="9"/>
  <c r="A58" i="9"/>
  <c r="B58" i="9"/>
  <c r="D58" i="9"/>
  <c r="E58" i="9"/>
  <c r="G58" i="9"/>
  <c r="H58" i="9"/>
  <c r="I58" i="9"/>
  <c r="J58" i="9"/>
  <c r="K58" i="9"/>
  <c r="L58" i="9"/>
  <c r="M58" i="9"/>
  <c r="A59" i="9"/>
  <c r="B59" i="9"/>
  <c r="D59" i="9"/>
  <c r="E59" i="9"/>
  <c r="G59" i="9"/>
  <c r="H59" i="9"/>
  <c r="I59" i="9"/>
  <c r="J59" i="9"/>
  <c r="K59" i="9"/>
  <c r="L59" i="9"/>
  <c r="M59" i="9"/>
  <c r="A60" i="9"/>
  <c r="B60" i="9"/>
  <c r="D60" i="9"/>
  <c r="E60" i="9"/>
  <c r="G60" i="9"/>
  <c r="H60" i="9"/>
  <c r="I60" i="9"/>
  <c r="J60" i="9"/>
  <c r="K60" i="9"/>
  <c r="L60" i="9"/>
  <c r="M60" i="9"/>
  <c r="A61" i="9"/>
  <c r="B61" i="9"/>
  <c r="D61" i="9"/>
  <c r="E61" i="9"/>
  <c r="G61" i="9"/>
  <c r="H61" i="9"/>
  <c r="I61" i="9"/>
  <c r="J61" i="9"/>
  <c r="K61" i="9"/>
  <c r="L61" i="9"/>
  <c r="M61" i="9"/>
  <c r="A62" i="9"/>
  <c r="B62" i="9"/>
  <c r="D62" i="9"/>
  <c r="E62" i="9"/>
  <c r="G62" i="9"/>
  <c r="H62" i="9"/>
  <c r="I62" i="9"/>
  <c r="J62" i="9"/>
  <c r="K62" i="9"/>
  <c r="L62" i="9"/>
  <c r="M62" i="9"/>
  <c r="A63" i="9"/>
  <c r="B63" i="9"/>
  <c r="D63" i="9"/>
  <c r="E63" i="9"/>
  <c r="G63" i="9"/>
  <c r="H63" i="9"/>
  <c r="I63" i="9"/>
  <c r="J63" i="9"/>
  <c r="K63" i="9"/>
  <c r="L63" i="9"/>
  <c r="M63" i="9"/>
  <c r="A64" i="9"/>
  <c r="B64" i="9"/>
  <c r="D64" i="9"/>
  <c r="E64" i="9"/>
  <c r="G64" i="9"/>
  <c r="H64" i="9"/>
  <c r="I64" i="9"/>
  <c r="J64" i="9"/>
  <c r="K64" i="9"/>
  <c r="L64" i="9"/>
  <c r="M64" i="9"/>
  <c r="A65" i="9"/>
  <c r="B65" i="9"/>
  <c r="D65" i="9"/>
  <c r="E65" i="9"/>
  <c r="G65" i="9"/>
  <c r="H65" i="9"/>
  <c r="I65" i="9"/>
  <c r="J65" i="9"/>
  <c r="K65" i="9"/>
  <c r="L65" i="9"/>
  <c r="M65" i="9"/>
  <c r="A66" i="9"/>
  <c r="B66" i="9"/>
  <c r="D66" i="9"/>
  <c r="E66" i="9"/>
  <c r="G66" i="9"/>
  <c r="H66" i="9"/>
  <c r="I66" i="9"/>
  <c r="J66" i="9"/>
  <c r="K66" i="9"/>
  <c r="L66" i="9"/>
  <c r="M66" i="9"/>
  <c r="A67" i="9"/>
  <c r="B67" i="9"/>
  <c r="D67" i="9"/>
  <c r="E67" i="9"/>
  <c r="G67" i="9"/>
  <c r="H67" i="9"/>
  <c r="I67" i="9"/>
  <c r="J67" i="9"/>
  <c r="K67" i="9"/>
  <c r="L67" i="9"/>
  <c r="M67" i="9"/>
  <c r="A68" i="9"/>
  <c r="B68" i="9"/>
  <c r="D68" i="9"/>
  <c r="E68" i="9"/>
  <c r="G68" i="9"/>
  <c r="H68" i="9"/>
  <c r="I68" i="9"/>
  <c r="J68" i="9"/>
  <c r="K68" i="9"/>
  <c r="L68" i="9"/>
  <c r="M68" i="9"/>
  <c r="A69" i="9"/>
  <c r="B69" i="9"/>
  <c r="D69" i="9"/>
  <c r="E69" i="9"/>
  <c r="G69" i="9"/>
  <c r="H69" i="9"/>
  <c r="I69" i="9"/>
  <c r="J69" i="9"/>
  <c r="K69" i="9"/>
  <c r="L69" i="9"/>
  <c r="M69" i="9"/>
  <c r="A70" i="9"/>
  <c r="B70" i="9"/>
  <c r="D70" i="9"/>
  <c r="E70" i="9"/>
  <c r="G70" i="9"/>
  <c r="H70" i="9"/>
  <c r="I70" i="9"/>
  <c r="J70" i="9"/>
  <c r="K70" i="9"/>
  <c r="L70" i="9"/>
  <c r="M70" i="9"/>
  <c r="A71" i="9"/>
  <c r="B71" i="9"/>
  <c r="D71" i="9"/>
  <c r="E71" i="9"/>
  <c r="G71" i="9"/>
  <c r="H71" i="9"/>
  <c r="I71" i="9"/>
  <c r="J71" i="9"/>
  <c r="K71" i="9"/>
  <c r="L71" i="9"/>
  <c r="M71" i="9"/>
  <c r="A72" i="9"/>
  <c r="B72" i="9"/>
  <c r="D72" i="9"/>
  <c r="E72" i="9"/>
  <c r="G72" i="9"/>
  <c r="H72" i="9"/>
  <c r="I72" i="9"/>
  <c r="J72" i="9"/>
  <c r="K72" i="9"/>
  <c r="L72" i="9"/>
  <c r="M72" i="9"/>
  <c r="A73" i="9"/>
  <c r="B73" i="9"/>
  <c r="D73" i="9"/>
  <c r="E73" i="9"/>
  <c r="G73" i="9"/>
  <c r="H73" i="9"/>
  <c r="I73" i="9"/>
  <c r="J73" i="9"/>
  <c r="K73" i="9"/>
  <c r="L73" i="9"/>
  <c r="M73" i="9"/>
  <c r="A74" i="9"/>
  <c r="B74" i="9"/>
  <c r="D74" i="9"/>
  <c r="E74" i="9"/>
  <c r="G74" i="9"/>
  <c r="H74" i="9"/>
  <c r="I74" i="9"/>
  <c r="J74" i="9"/>
  <c r="K74" i="9"/>
  <c r="L74" i="9"/>
  <c r="M74" i="9"/>
  <c r="A75" i="9"/>
  <c r="B75" i="9"/>
  <c r="D75" i="9"/>
  <c r="E75" i="9"/>
  <c r="G75" i="9"/>
  <c r="H75" i="9"/>
  <c r="I75" i="9"/>
  <c r="J75" i="9"/>
  <c r="K75" i="9"/>
  <c r="L75" i="9"/>
  <c r="M75" i="9"/>
  <c r="A76" i="9"/>
  <c r="B76" i="9"/>
  <c r="D76" i="9"/>
  <c r="E76" i="9"/>
  <c r="G76" i="9"/>
  <c r="H76" i="9"/>
  <c r="I76" i="9"/>
  <c r="J76" i="9"/>
  <c r="K76" i="9"/>
  <c r="L76" i="9"/>
  <c r="M76" i="9"/>
  <c r="A77" i="9"/>
  <c r="B77" i="9"/>
  <c r="D77" i="9"/>
  <c r="E77" i="9"/>
  <c r="G77" i="9"/>
  <c r="H77" i="9"/>
  <c r="I77" i="9"/>
  <c r="J77" i="9"/>
  <c r="K77" i="9"/>
  <c r="L77" i="9"/>
  <c r="M77" i="9"/>
  <c r="A78" i="9"/>
  <c r="B78" i="9"/>
  <c r="D78" i="9"/>
  <c r="E78" i="9"/>
  <c r="G78" i="9"/>
  <c r="H78" i="9"/>
  <c r="I78" i="9"/>
  <c r="J78" i="9"/>
  <c r="K78" i="9"/>
  <c r="L78" i="9"/>
  <c r="M78" i="9"/>
  <c r="A79" i="9"/>
  <c r="B79" i="9"/>
  <c r="D79" i="9"/>
  <c r="E79" i="9"/>
  <c r="G79" i="9"/>
  <c r="H79" i="9"/>
  <c r="I79" i="9"/>
  <c r="J79" i="9"/>
  <c r="K79" i="9"/>
  <c r="L79" i="9"/>
  <c r="M79" i="9"/>
  <c r="A80" i="9"/>
  <c r="B80" i="9"/>
  <c r="D80" i="9"/>
  <c r="E80" i="9"/>
  <c r="G80" i="9"/>
  <c r="H80" i="9"/>
  <c r="I80" i="9"/>
  <c r="J80" i="9"/>
  <c r="K80" i="9"/>
  <c r="L80" i="9"/>
  <c r="M80" i="9"/>
  <c r="A81" i="9"/>
  <c r="B81" i="9"/>
  <c r="D81" i="9"/>
  <c r="E81" i="9"/>
  <c r="G81" i="9"/>
  <c r="H81" i="9"/>
  <c r="I81" i="9"/>
  <c r="J81" i="9"/>
  <c r="K81" i="9"/>
  <c r="L81" i="9"/>
  <c r="M81" i="9"/>
  <c r="A82" i="9"/>
  <c r="B82" i="9"/>
  <c r="D82" i="9"/>
  <c r="E82" i="9"/>
  <c r="G82" i="9"/>
  <c r="H82" i="9"/>
  <c r="I82" i="9"/>
  <c r="J82" i="9"/>
  <c r="K82" i="9"/>
  <c r="L82" i="9"/>
  <c r="M82" i="9"/>
  <c r="A83" i="9"/>
  <c r="B83" i="9"/>
  <c r="D83" i="9"/>
  <c r="E83" i="9"/>
  <c r="G83" i="9"/>
  <c r="H83" i="9"/>
  <c r="I83" i="9"/>
  <c r="J83" i="9"/>
  <c r="K83" i="9"/>
  <c r="L83" i="9"/>
  <c r="M83" i="9"/>
  <c r="A84" i="9"/>
  <c r="B84" i="9"/>
  <c r="D84" i="9"/>
  <c r="E84" i="9"/>
  <c r="G84" i="9"/>
  <c r="H84" i="9"/>
  <c r="I84" i="9"/>
  <c r="J84" i="9"/>
  <c r="K84" i="9"/>
  <c r="L84" i="9"/>
  <c r="M84" i="9"/>
  <c r="A85" i="9"/>
  <c r="B85" i="9"/>
  <c r="D85" i="9"/>
  <c r="E85" i="9"/>
  <c r="G85" i="9"/>
  <c r="H85" i="9"/>
  <c r="I85" i="9"/>
  <c r="J85" i="9"/>
  <c r="K85" i="9"/>
  <c r="L85" i="9"/>
  <c r="M85" i="9"/>
  <c r="A86" i="9"/>
  <c r="B86" i="9"/>
  <c r="D86" i="9"/>
  <c r="E86" i="9"/>
  <c r="G86" i="9"/>
  <c r="H86" i="9"/>
  <c r="I86" i="9"/>
  <c r="J86" i="9"/>
  <c r="K86" i="9"/>
  <c r="L86" i="9"/>
  <c r="M86" i="9"/>
  <c r="A87" i="9"/>
  <c r="B87" i="9"/>
  <c r="D87" i="9"/>
  <c r="E87" i="9"/>
  <c r="G87" i="9"/>
  <c r="H87" i="9"/>
  <c r="I87" i="9"/>
  <c r="J87" i="9"/>
  <c r="K87" i="9"/>
  <c r="L87" i="9"/>
  <c r="M87" i="9"/>
  <c r="A88" i="9"/>
  <c r="B88" i="9"/>
  <c r="D88" i="9"/>
  <c r="E88" i="9"/>
  <c r="G88" i="9"/>
  <c r="H88" i="9"/>
  <c r="I88" i="9"/>
  <c r="J88" i="9"/>
  <c r="K88" i="9"/>
  <c r="L88" i="9"/>
  <c r="M88" i="9"/>
  <c r="A89" i="9"/>
  <c r="B89" i="9"/>
  <c r="D89" i="9"/>
  <c r="E89" i="9"/>
  <c r="G89" i="9"/>
  <c r="H89" i="9"/>
  <c r="I89" i="9"/>
  <c r="J89" i="9"/>
  <c r="K89" i="9"/>
  <c r="L89" i="9"/>
  <c r="M89" i="9"/>
  <c r="A90" i="9"/>
  <c r="B90" i="9"/>
  <c r="D90" i="9"/>
  <c r="E90" i="9"/>
  <c r="G90" i="9"/>
  <c r="H90" i="9"/>
  <c r="I90" i="9"/>
  <c r="J90" i="9"/>
  <c r="K90" i="9"/>
  <c r="L90" i="9"/>
  <c r="M90" i="9"/>
  <c r="A91" i="9"/>
  <c r="B91" i="9"/>
  <c r="D91" i="9"/>
  <c r="E91" i="9"/>
  <c r="G91" i="9"/>
  <c r="H91" i="9"/>
  <c r="I91" i="9"/>
  <c r="J91" i="9"/>
  <c r="K91" i="9"/>
  <c r="L91" i="9"/>
  <c r="M91" i="9"/>
  <c r="A92" i="9"/>
  <c r="B92" i="9"/>
  <c r="D92" i="9"/>
  <c r="E92" i="9"/>
  <c r="G92" i="9"/>
  <c r="H92" i="9"/>
  <c r="I92" i="9"/>
  <c r="J92" i="9"/>
  <c r="K92" i="9"/>
  <c r="L92" i="9"/>
  <c r="M92" i="9"/>
  <c r="A93" i="9"/>
  <c r="B93" i="9"/>
  <c r="D93" i="9"/>
  <c r="E93" i="9"/>
  <c r="G93" i="9"/>
  <c r="H93" i="9"/>
  <c r="I93" i="9"/>
  <c r="J93" i="9"/>
  <c r="K93" i="9"/>
  <c r="L93" i="9"/>
  <c r="M93" i="9"/>
  <c r="A94" i="9"/>
  <c r="B94" i="9"/>
  <c r="D94" i="9"/>
  <c r="E94" i="9"/>
  <c r="G94" i="9"/>
  <c r="H94" i="9"/>
  <c r="I94" i="9"/>
  <c r="J94" i="9"/>
  <c r="K94" i="9"/>
  <c r="L94" i="9"/>
  <c r="M94" i="9"/>
  <c r="A95" i="9"/>
  <c r="B95" i="9"/>
  <c r="D95" i="9"/>
  <c r="E95" i="9"/>
  <c r="G95" i="9"/>
  <c r="H95" i="9"/>
  <c r="I95" i="9"/>
  <c r="J95" i="9"/>
  <c r="K95" i="9"/>
  <c r="L95" i="9"/>
  <c r="M95" i="9"/>
  <c r="A96" i="9"/>
  <c r="B96" i="9"/>
  <c r="D96" i="9"/>
  <c r="E96" i="9"/>
  <c r="G96" i="9"/>
  <c r="H96" i="9"/>
  <c r="I96" i="9"/>
  <c r="J96" i="9"/>
  <c r="K96" i="9"/>
  <c r="L96" i="9"/>
  <c r="M96" i="9"/>
  <c r="A97" i="9"/>
  <c r="B97" i="9"/>
  <c r="D97" i="9"/>
  <c r="E97" i="9"/>
  <c r="G97" i="9"/>
  <c r="H97" i="9"/>
  <c r="I97" i="9"/>
  <c r="J97" i="9"/>
  <c r="K97" i="9"/>
  <c r="L97" i="9"/>
  <c r="M97" i="9"/>
  <c r="A98" i="9"/>
  <c r="B98" i="9"/>
  <c r="D98" i="9"/>
  <c r="E98" i="9"/>
  <c r="G98" i="9"/>
  <c r="H98" i="9"/>
  <c r="I98" i="9"/>
  <c r="J98" i="9"/>
  <c r="K98" i="9"/>
  <c r="L98" i="9"/>
  <c r="M98" i="9"/>
  <c r="A99" i="9"/>
  <c r="B99" i="9"/>
  <c r="D99" i="9"/>
  <c r="E99" i="9"/>
  <c r="G99" i="9"/>
  <c r="H99" i="9"/>
  <c r="I99" i="9"/>
  <c r="J99" i="9"/>
  <c r="K99" i="9"/>
  <c r="L99" i="9"/>
  <c r="M99" i="9"/>
  <c r="A100" i="9"/>
  <c r="B100" i="9"/>
  <c r="D100" i="9"/>
  <c r="E100" i="9"/>
  <c r="G100" i="9"/>
  <c r="H100" i="9"/>
  <c r="I100" i="9"/>
  <c r="J100" i="9"/>
  <c r="K100" i="9"/>
  <c r="L100" i="9"/>
  <c r="M100" i="9"/>
  <c r="A101" i="9"/>
  <c r="B101" i="9"/>
  <c r="D101" i="9"/>
  <c r="E101" i="9"/>
  <c r="G101" i="9"/>
  <c r="H101" i="9"/>
  <c r="I101" i="9"/>
  <c r="J101" i="9"/>
  <c r="K101" i="9"/>
  <c r="L101" i="9"/>
  <c r="M101" i="9"/>
  <c r="A102" i="9"/>
  <c r="B102" i="9"/>
  <c r="D102" i="9"/>
  <c r="E102" i="9"/>
  <c r="G102" i="9"/>
  <c r="H102" i="9"/>
  <c r="I102" i="9"/>
  <c r="J102" i="9"/>
  <c r="K102" i="9"/>
  <c r="L102" i="9"/>
  <c r="M102" i="9"/>
  <c r="A103" i="9"/>
  <c r="B103" i="9"/>
  <c r="D103" i="9"/>
  <c r="E103" i="9"/>
  <c r="G103" i="9"/>
  <c r="H103" i="9"/>
  <c r="I103" i="9"/>
  <c r="J103" i="9"/>
  <c r="K103" i="9"/>
  <c r="L103" i="9"/>
  <c r="M103" i="9"/>
  <c r="A104" i="9"/>
  <c r="B104" i="9"/>
  <c r="D104" i="9"/>
  <c r="E104" i="9"/>
  <c r="G104" i="9"/>
  <c r="H104" i="9"/>
  <c r="I104" i="9"/>
  <c r="J104" i="9"/>
  <c r="K104" i="9"/>
  <c r="L104" i="9"/>
  <c r="M104" i="9"/>
  <c r="A105" i="9"/>
  <c r="B105" i="9"/>
  <c r="D105" i="9"/>
  <c r="E105" i="9"/>
  <c r="G105" i="9"/>
  <c r="H105" i="9"/>
  <c r="I105" i="9"/>
  <c r="J105" i="9"/>
  <c r="K105" i="9"/>
  <c r="L105" i="9"/>
  <c r="M105" i="9"/>
  <c r="A106" i="9"/>
  <c r="B106" i="9"/>
  <c r="D106" i="9"/>
  <c r="E106" i="9"/>
  <c r="G106" i="9"/>
  <c r="H106" i="9"/>
  <c r="I106" i="9"/>
  <c r="J106" i="9"/>
  <c r="K106" i="9"/>
  <c r="L106" i="9"/>
  <c r="M106" i="9"/>
  <c r="A107" i="9"/>
  <c r="B107" i="9"/>
  <c r="D107" i="9"/>
  <c r="E107" i="9"/>
  <c r="G107" i="9"/>
  <c r="H107" i="9"/>
  <c r="I107" i="9"/>
  <c r="J107" i="9"/>
  <c r="K107" i="9"/>
  <c r="L107" i="9"/>
  <c r="M107" i="9"/>
  <c r="A108" i="9"/>
  <c r="B108" i="9"/>
  <c r="D108" i="9"/>
  <c r="E108" i="9"/>
  <c r="G108" i="9"/>
  <c r="H108" i="9"/>
  <c r="I108" i="9"/>
  <c r="J108" i="9"/>
  <c r="K108" i="9"/>
  <c r="L108" i="9"/>
  <c r="M108" i="9"/>
  <c r="A109" i="9"/>
  <c r="B109" i="9"/>
  <c r="D109" i="9"/>
  <c r="E109" i="9"/>
  <c r="G109" i="9"/>
  <c r="H109" i="9"/>
  <c r="I109" i="9"/>
  <c r="J109" i="9"/>
  <c r="K109" i="9"/>
  <c r="L109" i="9"/>
  <c r="M109" i="9"/>
  <c r="A110" i="9"/>
  <c r="B110" i="9"/>
  <c r="D110" i="9"/>
  <c r="E110" i="9"/>
  <c r="G110" i="9"/>
  <c r="H110" i="9"/>
  <c r="I110" i="9"/>
  <c r="J110" i="9"/>
  <c r="K110" i="9"/>
  <c r="L110" i="9"/>
  <c r="M110" i="9"/>
  <c r="A111" i="9"/>
  <c r="B111" i="9"/>
  <c r="D111" i="9"/>
  <c r="E111" i="9"/>
  <c r="G111" i="9"/>
  <c r="H111" i="9"/>
  <c r="I111" i="9"/>
  <c r="J111" i="9"/>
  <c r="K111" i="9"/>
  <c r="L111" i="9"/>
  <c r="M111" i="9"/>
  <c r="A112" i="9"/>
  <c r="B112" i="9"/>
  <c r="D112" i="9"/>
  <c r="E112" i="9"/>
  <c r="G112" i="9"/>
  <c r="H112" i="9"/>
  <c r="I112" i="9"/>
  <c r="J112" i="9"/>
  <c r="K112" i="9"/>
  <c r="L112" i="9"/>
  <c r="M112" i="9"/>
  <c r="A113" i="9"/>
  <c r="B113" i="9"/>
  <c r="D113" i="9"/>
  <c r="E113" i="9"/>
  <c r="G113" i="9"/>
  <c r="H113" i="9"/>
  <c r="I113" i="9"/>
  <c r="J113" i="9"/>
  <c r="K113" i="9"/>
  <c r="L113" i="9"/>
  <c r="M113" i="9"/>
  <c r="A114" i="9"/>
  <c r="B114" i="9"/>
  <c r="D114" i="9"/>
  <c r="E114" i="9"/>
  <c r="G114" i="9"/>
  <c r="H114" i="9"/>
  <c r="I114" i="9"/>
  <c r="J114" i="9"/>
  <c r="K114" i="9"/>
  <c r="L114" i="9"/>
  <c r="M114" i="9"/>
  <c r="A115" i="9"/>
  <c r="B115" i="9"/>
  <c r="D115" i="9"/>
  <c r="E115" i="9"/>
  <c r="G115" i="9"/>
  <c r="H115" i="9"/>
  <c r="I115" i="9"/>
  <c r="J115" i="9"/>
  <c r="K115" i="9"/>
  <c r="L115" i="9"/>
  <c r="M115" i="9"/>
  <c r="A116" i="9"/>
  <c r="B116" i="9"/>
  <c r="D116" i="9"/>
  <c r="E116" i="9"/>
  <c r="G116" i="9"/>
  <c r="H116" i="9"/>
  <c r="I116" i="9"/>
  <c r="J116" i="9"/>
  <c r="K116" i="9"/>
  <c r="L116" i="9"/>
  <c r="M116" i="9"/>
  <c r="A117" i="9"/>
  <c r="B117" i="9"/>
  <c r="D117" i="9"/>
  <c r="E117" i="9"/>
  <c r="G117" i="9"/>
  <c r="H117" i="9"/>
  <c r="I117" i="9"/>
  <c r="J117" i="9"/>
  <c r="K117" i="9"/>
  <c r="L117" i="9"/>
  <c r="M117" i="9"/>
  <c r="A118" i="9"/>
  <c r="B118" i="9"/>
  <c r="D118" i="9"/>
  <c r="E118" i="9"/>
  <c r="G118" i="9"/>
  <c r="H118" i="9"/>
  <c r="I118" i="9"/>
  <c r="J118" i="9"/>
  <c r="K118" i="9"/>
  <c r="L118" i="9"/>
  <c r="M118" i="9"/>
  <c r="A119" i="9"/>
  <c r="B119" i="9"/>
  <c r="D119" i="9"/>
  <c r="E119" i="9"/>
  <c r="G119" i="9"/>
  <c r="H119" i="9"/>
  <c r="I119" i="9"/>
  <c r="J119" i="9"/>
  <c r="K119" i="9"/>
  <c r="L119" i="9"/>
  <c r="M119" i="9"/>
  <c r="A120" i="9"/>
  <c r="B120" i="9"/>
  <c r="D120" i="9"/>
  <c r="E120" i="9"/>
  <c r="G120" i="9"/>
  <c r="H120" i="9"/>
  <c r="I120" i="9"/>
  <c r="J120" i="9"/>
  <c r="K120" i="9"/>
  <c r="L120" i="9"/>
  <c r="M120" i="9"/>
  <c r="A121" i="9"/>
  <c r="B121" i="9"/>
  <c r="D121" i="9"/>
  <c r="E121" i="9"/>
  <c r="G121" i="9"/>
  <c r="H121" i="9"/>
  <c r="I121" i="9"/>
  <c r="J121" i="9"/>
  <c r="K121" i="9"/>
  <c r="L121" i="9"/>
  <c r="M121" i="9"/>
  <c r="A122" i="9"/>
  <c r="B122" i="9"/>
  <c r="D122" i="9"/>
  <c r="E122" i="9"/>
  <c r="G122" i="9"/>
  <c r="H122" i="9"/>
  <c r="I122" i="9"/>
  <c r="J122" i="9"/>
  <c r="K122" i="9"/>
  <c r="L122" i="9"/>
  <c r="M122" i="9"/>
  <c r="A123" i="9"/>
  <c r="B123" i="9"/>
  <c r="D123" i="9"/>
  <c r="E123" i="9"/>
  <c r="G123" i="9"/>
  <c r="H123" i="9"/>
  <c r="I123" i="9"/>
  <c r="J123" i="9"/>
  <c r="K123" i="9"/>
  <c r="L123" i="9"/>
  <c r="M123" i="9"/>
  <c r="A124" i="9"/>
  <c r="B124" i="9"/>
  <c r="D124" i="9"/>
  <c r="E124" i="9"/>
  <c r="G124" i="9"/>
  <c r="H124" i="9"/>
  <c r="I124" i="9"/>
  <c r="J124" i="9"/>
  <c r="K124" i="9"/>
  <c r="L124" i="9"/>
  <c r="M124" i="9"/>
  <c r="A125" i="9"/>
  <c r="B125" i="9"/>
  <c r="D125" i="9"/>
  <c r="E125" i="9"/>
  <c r="G125" i="9"/>
  <c r="H125" i="9"/>
  <c r="I125" i="9"/>
  <c r="J125" i="9"/>
  <c r="K125" i="9"/>
  <c r="L125" i="9"/>
  <c r="M125" i="9"/>
  <c r="A126" i="9"/>
  <c r="B126" i="9"/>
  <c r="D126" i="9"/>
  <c r="E126" i="9"/>
  <c r="G126" i="9"/>
  <c r="H126" i="9"/>
  <c r="I126" i="9"/>
  <c r="J126" i="9"/>
  <c r="K126" i="9"/>
  <c r="L126" i="9"/>
  <c r="M126" i="9"/>
  <c r="A127" i="9"/>
  <c r="B127" i="9"/>
  <c r="D127" i="9"/>
  <c r="E127" i="9"/>
  <c r="G127" i="9"/>
  <c r="H127" i="9"/>
  <c r="I127" i="9"/>
  <c r="J127" i="9"/>
  <c r="K127" i="9"/>
  <c r="L127" i="9"/>
  <c r="M127" i="9"/>
  <c r="A128" i="9"/>
  <c r="B128" i="9"/>
  <c r="D128" i="9"/>
  <c r="E128" i="9"/>
  <c r="G128" i="9"/>
  <c r="H128" i="9"/>
  <c r="I128" i="9"/>
  <c r="J128" i="9"/>
  <c r="K128" i="9"/>
  <c r="L128" i="9"/>
  <c r="M128" i="9"/>
  <c r="A129" i="9"/>
  <c r="B129" i="9"/>
  <c r="D129" i="9"/>
  <c r="E129" i="9"/>
  <c r="G129" i="9"/>
  <c r="H129" i="9"/>
  <c r="I129" i="9"/>
  <c r="J129" i="9"/>
  <c r="K129" i="9"/>
  <c r="L129" i="9"/>
  <c r="M129" i="9"/>
  <c r="A130" i="9"/>
  <c r="B130" i="9"/>
  <c r="D130" i="9"/>
  <c r="E130" i="9"/>
  <c r="G130" i="9"/>
  <c r="H130" i="9"/>
  <c r="I130" i="9"/>
  <c r="J130" i="9"/>
  <c r="K130" i="9"/>
  <c r="L130" i="9"/>
  <c r="M130" i="9"/>
  <c r="A131" i="9"/>
  <c r="B131" i="9"/>
  <c r="D131" i="9"/>
  <c r="E131" i="9"/>
  <c r="G131" i="9"/>
  <c r="H131" i="9"/>
  <c r="I131" i="9"/>
  <c r="J131" i="9"/>
  <c r="K131" i="9"/>
  <c r="L131" i="9"/>
  <c r="M131" i="9"/>
  <c r="A132" i="9"/>
  <c r="B132" i="9"/>
  <c r="D132" i="9"/>
  <c r="E132" i="9"/>
  <c r="G132" i="9"/>
  <c r="H132" i="9"/>
  <c r="I132" i="9"/>
  <c r="J132" i="9"/>
  <c r="K132" i="9"/>
  <c r="L132" i="9"/>
  <c r="M132" i="9"/>
  <c r="A133" i="9"/>
  <c r="B133" i="9"/>
  <c r="D133" i="9"/>
  <c r="E133" i="9"/>
  <c r="G133" i="9"/>
  <c r="H133" i="9"/>
  <c r="I133" i="9"/>
  <c r="J133" i="9"/>
  <c r="K133" i="9"/>
  <c r="L133" i="9"/>
  <c r="M133" i="9"/>
  <c r="A134" i="9"/>
  <c r="B134" i="9"/>
  <c r="D134" i="9"/>
  <c r="E134" i="9"/>
  <c r="G134" i="9"/>
  <c r="H134" i="9"/>
  <c r="I134" i="9"/>
  <c r="J134" i="9"/>
  <c r="K134" i="9"/>
  <c r="L134" i="9"/>
  <c r="M134" i="9"/>
  <c r="A135" i="9"/>
  <c r="B135" i="9"/>
  <c r="D135" i="9"/>
  <c r="E135" i="9"/>
  <c r="G135" i="9"/>
  <c r="H135" i="9"/>
  <c r="I135" i="9"/>
  <c r="J135" i="9"/>
  <c r="K135" i="9"/>
  <c r="L135" i="9"/>
  <c r="M135" i="9"/>
  <c r="A136" i="9"/>
  <c r="B136" i="9"/>
  <c r="D136" i="9"/>
  <c r="E136" i="9"/>
  <c r="G136" i="9"/>
  <c r="H136" i="9"/>
  <c r="I136" i="9"/>
  <c r="J136" i="9"/>
  <c r="K136" i="9"/>
  <c r="L136" i="9"/>
  <c r="M136" i="9"/>
  <c r="A137" i="9"/>
  <c r="B137" i="9"/>
  <c r="D137" i="9"/>
  <c r="E137" i="9"/>
  <c r="G137" i="9"/>
  <c r="H137" i="9"/>
  <c r="I137" i="9"/>
  <c r="J137" i="9"/>
  <c r="K137" i="9"/>
  <c r="L137" i="9"/>
  <c r="M137" i="9"/>
  <c r="A138" i="9"/>
  <c r="B138" i="9"/>
  <c r="D138" i="9"/>
  <c r="E138" i="9"/>
  <c r="G138" i="9"/>
  <c r="H138" i="9"/>
  <c r="I138" i="9"/>
  <c r="J138" i="9"/>
  <c r="K138" i="9"/>
  <c r="L138" i="9"/>
  <c r="M138" i="9"/>
  <c r="A139" i="9"/>
  <c r="B139" i="9"/>
  <c r="D139" i="9"/>
  <c r="E139" i="9"/>
  <c r="G139" i="9"/>
  <c r="H139" i="9"/>
  <c r="I139" i="9"/>
  <c r="J139" i="9"/>
  <c r="K139" i="9"/>
  <c r="L139" i="9"/>
  <c r="M139" i="9"/>
  <c r="A140" i="9"/>
  <c r="B140" i="9"/>
  <c r="D140" i="9"/>
  <c r="E140" i="9"/>
  <c r="G140" i="9"/>
  <c r="H140" i="9"/>
  <c r="I140" i="9"/>
  <c r="J140" i="9"/>
  <c r="K140" i="9"/>
  <c r="L140" i="9"/>
  <c r="M140" i="9"/>
  <c r="A141" i="9"/>
  <c r="B141" i="9"/>
  <c r="D141" i="9"/>
  <c r="E141" i="9"/>
  <c r="G141" i="9"/>
  <c r="H141" i="9"/>
  <c r="I141" i="9"/>
  <c r="J141" i="9"/>
  <c r="K141" i="9"/>
  <c r="L141" i="9"/>
  <c r="M141" i="9"/>
  <c r="A142" i="9"/>
  <c r="B142" i="9"/>
  <c r="D142" i="9"/>
  <c r="E142" i="9"/>
  <c r="G142" i="9"/>
  <c r="H142" i="9"/>
  <c r="I142" i="9"/>
  <c r="J142" i="9"/>
  <c r="K142" i="9"/>
  <c r="L142" i="9"/>
  <c r="M142" i="9"/>
  <c r="A143" i="9"/>
  <c r="B143" i="9"/>
  <c r="D143" i="9"/>
  <c r="E143" i="9"/>
  <c r="G143" i="9"/>
  <c r="H143" i="9"/>
  <c r="I143" i="9"/>
  <c r="J143" i="9"/>
  <c r="K143" i="9"/>
  <c r="L143" i="9"/>
  <c r="M143" i="9"/>
  <c r="A144" i="9"/>
  <c r="B144" i="9"/>
  <c r="D144" i="9"/>
  <c r="E144" i="9"/>
  <c r="G144" i="9"/>
  <c r="H144" i="9"/>
  <c r="I144" i="9"/>
  <c r="J144" i="9"/>
  <c r="K144" i="9"/>
  <c r="L144" i="9"/>
  <c r="M144" i="9"/>
  <c r="A145" i="9"/>
  <c r="B145" i="9"/>
  <c r="D145" i="9"/>
  <c r="E145" i="9"/>
  <c r="G145" i="9"/>
  <c r="H145" i="9"/>
  <c r="I145" i="9"/>
  <c r="J145" i="9"/>
  <c r="K145" i="9"/>
  <c r="L145" i="9"/>
  <c r="M145" i="9"/>
  <c r="A146" i="9"/>
  <c r="B146" i="9"/>
  <c r="D146" i="9"/>
  <c r="E146" i="9"/>
  <c r="G146" i="9"/>
  <c r="H146" i="9"/>
  <c r="I146" i="9"/>
  <c r="J146" i="9"/>
  <c r="K146" i="9"/>
  <c r="L146" i="9"/>
  <c r="M146" i="9"/>
  <c r="A147" i="9"/>
  <c r="B147" i="9"/>
  <c r="D147" i="9"/>
  <c r="E147" i="9"/>
  <c r="G147" i="9"/>
  <c r="H147" i="9"/>
  <c r="I147" i="9"/>
  <c r="J147" i="9"/>
  <c r="K147" i="9"/>
  <c r="L147" i="9"/>
  <c r="M147" i="9"/>
  <c r="A148" i="9"/>
  <c r="B148" i="9"/>
  <c r="D148" i="9"/>
  <c r="E148" i="9"/>
  <c r="G148" i="9"/>
  <c r="H148" i="9"/>
  <c r="I148" i="9"/>
  <c r="J148" i="9"/>
  <c r="K148" i="9"/>
  <c r="L148" i="9"/>
  <c r="M148" i="9"/>
  <c r="A149" i="9"/>
  <c r="B149" i="9"/>
  <c r="D149" i="9"/>
  <c r="E149" i="9"/>
  <c r="G149" i="9"/>
  <c r="H149" i="9"/>
  <c r="I149" i="9"/>
  <c r="J149" i="9"/>
  <c r="K149" i="9"/>
  <c r="L149" i="9"/>
  <c r="M149" i="9"/>
  <c r="A150" i="9"/>
  <c r="B150" i="9"/>
  <c r="D150" i="9"/>
  <c r="E150" i="9"/>
  <c r="G150" i="9"/>
  <c r="H150" i="9"/>
  <c r="I150" i="9"/>
  <c r="J150" i="9"/>
  <c r="K150" i="9"/>
  <c r="L150" i="9"/>
  <c r="M150" i="9"/>
  <c r="A151" i="9"/>
  <c r="B151" i="9"/>
  <c r="D151" i="9"/>
  <c r="E151" i="9"/>
  <c r="G151" i="9"/>
  <c r="H151" i="9"/>
  <c r="I151" i="9"/>
  <c r="J151" i="9"/>
  <c r="K151" i="9"/>
  <c r="L151" i="9"/>
  <c r="M151" i="9"/>
  <c r="A152" i="9"/>
  <c r="B152" i="9"/>
  <c r="D152" i="9"/>
  <c r="E152" i="9"/>
  <c r="G152" i="9"/>
  <c r="H152" i="9"/>
  <c r="I152" i="9"/>
  <c r="J152" i="9"/>
  <c r="K152" i="9"/>
  <c r="L152" i="9"/>
  <c r="M152" i="9"/>
  <c r="A153" i="9"/>
  <c r="B153" i="9"/>
  <c r="D153" i="9"/>
  <c r="E153" i="9"/>
  <c r="G153" i="9"/>
  <c r="H153" i="9"/>
  <c r="I153" i="9"/>
  <c r="J153" i="9"/>
  <c r="K153" i="9"/>
  <c r="L153" i="9"/>
  <c r="M153" i="9"/>
  <c r="A154" i="9"/>
  <c r="B154" i="9"/>
  <c r="D154" i="9"/>
  <c r="E154" i="9"/>
  <c r="G154" i="9"/>
  <c r="H154" i="9"/>
  <c r="I154" i="9"/>
  <c r="J154" i="9"/>
  <c r="K154" i="9"/>
  <c r="L154" i="9"/>
  <c r="M154" i="9"/>
  <c r="A155" i="9"/>
  <c r="B155" i="9"/>
  <c r="D155" i="9"/>
  <c r="E155" i="9"/>
  <c r="G155" i="9"/>
  <c r="H155" i="9"/>
  <c r="I155" i="9"/>
  <c r="J155" i="9"/>
  <c r="K155" i="9"/>
  <c r="L155" i="9"/>
  <c r="M155" i="9"/>
  <c r="A156" i="9"/>
  <c r="B156" i="9"/>
  <c r="D156" i="9"/>
  <c r="E156" i="9"/>
  <c r="G156" i="9"/>
  <c r="H156" i="9"/>
  <c r="I156" i="9"/>
  <c r="J156" i="9"/>
  <c r="K156" i="9"/>
  <c r="L156" i="9"/>
  <c r="M156" i="9"/>
  <c r="A157" i="9"/>
  <c r="B157" i="9"/>
  <c r="D157" i="9"/>
  <c r="E157" i="9"/>
  <c r="G157" i="9"/>
  <c r="H157" i="9"/>
  <c r="I157" i="9"/>
  <c r="J157" i="9"/>
  <c r="K157" i="9"/>
  <c r="L157" i="9"/>
  <c r="M157" i="9"/>
  <c r="A158" i="9"/>
  <c r="B158" i="9"/>
  <c r="D158" i="9"/>
  <c r="E158" i="9"/>
  <c r="G158" i="9"/>
  <c r="H158" i="9"/>
  <c r="I158" i="9"/>
  <c r="J158" i="9"/>
  <c r="K158" i="9"/>
  <c r="L158" i="9"/>
  <c r="M158" i="9"/>
  <c r="A159" i="9"/>
  <c r="B159" i="9"/>
  <c r="D159" i="9"/>
  <c r="E159" i="9"/>
  <c r="G159" i="9"/>
  <c r="H159" i="9"/>
  <c r="I159" i="9"/>
  <c r="J159" i="9"/>
  <c r="K159" i="9"/>
  <c r="L159" i="9"/>
  <c r="M159" i="9"/>
  <c r="A160" i="9"/>
  <c r="B160" i="9"/>
  <c r="D160" i="9"/>
  <c r="E160" i="9"/>
  <c r="G160" i="9"/>
  <c r="H160" i="9"/>
  <c r="I160" i="9"/>
  <c r="J160" i="9"/>
  <c r="K160" i="9"/>
  <c r="L160" i="9"/>
  <c r="M160" i="9"/>
  <c r="A161" i="9"/>
  <c r="B161" i="9"/>
  <c r="D161" i="9"/>
  <c r="E161" i="9"/>
  <c r="G161" i="9"/>
  <c r="H161" i="9"/>
  <c r="I161" i="9"/>
  <c r="J161" i="9"/>
  <c r="K161" i="9"/>
  <c r="L161" i="9"/>
  <c r="M161" i="9"/>
  <c r="A162" i="9"/>
  <c r="B162" i="9"/>
  <c r="D162" i="9"/>
  <c r="E162" i="9"/>
  <c r="G162" i="9"/>
  <c r="H162" i="9"/>
  <c r="I162" i="9"/>
  <c r="J162" i="9"/>
  <c r="K162" i="9"/>
  <c r="L162" i="9"/>
  <c r="M162" i="9"/>
  <c r="A163" i="9"/>
  <c r="B163" i="9"/>
  <c r="D163" i="9"/>
  <c r="E163" i="9"/>
  <c r="G163" i="9"/>
  <c r="H163" i="9"/>
  <c r="I163" i="9"/>
  <c r="J163" i="9"/>
  <c r="K163" i="9"/>
  <c r="L163" i="9"/>
  <c r="M163" i="9"/>
  <c r="A164" i="9"/>
  <c r="B164" i="9"/>
  <c r="D164" i="9"/>
  <c r="E164" i="9"/>
  <c r="G164" i="9"/>
  <c r="H164" i="9"/>
  <c r="I164" i="9"/>
  <c r="J164" i="9"/>
  <c r="K164" i="9"/>
  <c r="L164" i="9"/>
  <c r="M164" i="9"/>
  <c r="A165" i="9"/>
  <c r="B165" i="9"/>
  <c r="D165" i="9"/>
  <c r="E165" i="9"/>
  <c r="G165" i="9"/>
  <c r="H165" i="9"/>
  <c r="I165" i="9"/>
  <c r="J165" i="9"/>
  <c r="K165" i="9"/>
  <c r="L165" i="9"/>
  <c r="M165" i="9"/>
  <c r="A166" i="9"/>
  <c r="B166" i="9"/>
  <c r="D166" i="9"/>
  <c r="E166" i="9"/>
  <c r="G166" i="9"/>
  <c r="H166" i="9"/>
  <c r="I166" i="9"/>
  <c r="J166" i="9"/>
  <c r="K166" i="9"/>
  <c r="L166" i="9"/>
  <c r="M166" i="9"/>
  <c r="A167" i="9"/>
  <c r="B167" i="9"/>
  <c r="D167" i="9"/>
  <c r="E167" i="9"/>
  <c r="G167" i="9"/>
  <c r="H167" i="9"/>
  <c r="I167" i="9"/>
  <c r="J167" i="9"/>
  <c r="K167" i="9"/>
  <c r="L167" i="9"/>
  <c r="M167" i="9"/>
  <c r="A168" i="9"/>
  <c r="B168" i="9"/>
  <c r="D168" i="9"/>
  <c r="E168" i="9"/>
  <c r="G168" i="9"/>
  <c r="H168" i="9"/>
  <c r="I168" i="9"/>
  <c r="J168" i="9"/>
  <c r="K168" i="9"/>
  <c r="L168" i="9"/>
  <c r="M168" i="9"/>
  <c r="A169" i="9"/>
  <c r="B169" i="9"/>
  <c r="D169" i="9"/>
  <c r="E169" i="9"/>
  <c r="G169" i="9"/>
  <c r="H169" i="9"/>
  <c r="I169" i="9"/>
  <c r="J169" i="9"/>
  <c r="K169" i="9"/>
  <c r="L169" i="9"/>
  <c r="M169" i="9"/>
  <c r="A170" i="9"/>
  <c r="B170" i="9"/>
  <c r="D170" i="9"/>
  <c r="E170" i="9"/>
  <c r="G170" i="9"/>
  <c r="H170" i="9"/>
  <c r="I170" i="9"/>
  <c r="J170" i="9"/>
  <c r="K170" i="9"/>
  <c r="L170" i="9"/>
  <c r="M170" i="9"/>
  <c r="A171" i="9"/>
  <c r="B171" i="9"/>
  <c r="D171" i="9"/>
  <c r="E171" i="9"/>
  <c r="G171" i="9"/>
  <c r="H171" i="9"/>
  <c r="I171" i="9"/>
  <c r="J171" i="9"/>
  <c r="K171" i="9"/>
  <c r="L171" i="9"/>
  <c r="M171" i="9"/>
  <c r="A172" i="9"/>
  <c r="B172" i="9"/>
  <c r="D172" i="9"/>
  <c r="E172" i="9"/>
  <c r="G172" i="9"/>
  <c r="H172" i="9"/>
  <c r="I172" i="9"/>
  <c r="J172" i="9"/>
  <c r="K172" i="9"/>
  <c r="L172" i="9"/>
  <c r="M172" i="9"/>
  <c r="A173" i="9"/>
  <c r="B173" i="9"/>
  <c r="D173" i="9"/>
  <c r="E173" i="9"/>
  <c r="G173" i="9"/>
  <c r="H173" i="9"/>
  <c r="I173" i="9"/>
  <c r="J173" i="9"/>
  <c r="K173" i="9"/>
  <c r="L173" i="9"/>
  <c r="M173" i="9"/>
  <c r="A174" i="9"/>
  <c r="B174" i="9"/>
  <c r="D174" i="9"/>
  <c r="E174" i="9"/>
  <c r="G174" i="9"/>
  <c r="H174" i="9"/>
  <c r="I174" i="9"/>
  <c r="J174" i="9"/>
  <c r="K174" i="9"/>
  <c r="L174" i="9"/>
  <c r="M174" i="9"/>
  <c r="A175" i="9"/>
  <c r="B175" i="9"/>
  <c r="D175" i="9"/>
  <c r="E175" i="9"/>
  <c r="G175" i="9"/>
  <c r="H175" i="9"/>
  <c r="I175" i="9"/>
  <c r="J175" i="9"/>
  <c r="K175" i="9"/>
  <c r="L175" i="9"/>
  <c r="M175" i="9"/>
  <c r="A176" i="9"/>
  <c r="B176" i="9"/>
  <c r="D176" i="9"/>
  <c r="E176" i="9"/>
  <c r="G176" i="9"/>
  <c r="H176" i="9"/>
  <c r="I176" i="9"/>
  <c r="J176" i="9"/>
  <c r="K176" i="9"/>
  <c r="L176" i="9"/>
  <c r="M176" i="9"/>
  <c r="A177" i="9"/>
  <c r="B177" i="9"/>
  <c r="D177" i="9"/>
  <c r="E177" i="9"/>
  <c r="G177" i="9"/>
  <c r="H177" i="9"/>
  <c r="I177" i="9"/>
  <c r="J177" i="9"/>
  <c r="K177" i="9"/>
  <c r="L177" i="9"/>
  <c r="M177" i="9"/>
  <c r="A178" i="9"/>
  <c r="B178" i="9"/>
  <c r="D178" i="9"/>
  <c r="E178" i="9"/>
  <c r="G178" i="9"/>
  <c r="H178" i="9"/>
  <c r="I178" i="9"/>
  <c r="J178" i="9"/>
  <c r="K178" i="9"/>
  <c r="L178" i="9"/>
  <c r="M178" i="9"/>
  <c r="A179" i="9"/>
  <c r="B179" i="9"/>
  <c r="D179" i="9"/>
  <c r="E179" i="9"/>
  <c r="G179" i="9"/>
  <c r="H179" i="9"/>
  <c r="I179" i="9"/>
  <c r="J179" i="9"/>
  <c r="K179" i="9"/>
  <c r="L179" i="9"/>
  <c r="M179" i="9"/>
  <c r="A180" i="9"/>
  <c r="B180" i="9"/>
  <c r="D180" i="9"/>
  <c r="E180" i="9"/>
  <c r="G180" i="9"/>
  <c r="H180" i="9"/>
  <c r="I180" i="9"/>
  <c r="J180" i="9"/>
  <c r="K180" i="9"/>
  <c r="L180" i="9"/>
  <c r="M180" i="9"/>
  <c r="A181" i="9"/>
  <c r="B181" i="9"/>
  <c r="D181" i="9"/>
  <c r="E181" i="9"/>
  <c r="G181" i="9"/>
  <c r="H181" i="9"/>
  <c r="I181" i="9"/>
  <c r="J181" i="9"/>
  <c r="K181" i="9"/>
  <c r="L181" i="9"/>
  <c r="M181" i="9"/>
  <c r="A182" i="9"/>
  <c r="B182" i="9"/>
  <c r="D182" i="9"/>
  <c r="E182" i="9"/>
  <c r="G182" i="9"/>
  <c r="H182" i="9"/>
  <c r="I182" i="9"/>
  <c r="J182" i="9"/>
  <c r="K182" i="9"/>
  <c r="L182" i="9"/>
  <c r="M182" i="9"/>
  <c r="A183" i="9"/>
  <c r="B183" i="9"/>
  <c r="D183" i="9"/>
  <c r="E183" i="9"/>
  <c r="G183" i="9"/>
  <c r="H183" i="9"/>
  <c r="I183" i="9"/>
  <c r="J183" i="9"/>
  <c r="K183" i="9"/>
  <c r="L183" i="9"/>
  <c r="M183" i="9"/>
  <c r="A184" i="9"/>
  <c r="B184" i="9"/>
  <c r="D184" i="9"/>
  <c r="E184" i="9"/>
  <c r="G184" i="9"/>
  <c r="H184" i="9"/>
  <c r="I184" i="9"/>
  <c r="J184" i="9"/>
  <c r="K184" i="9"/>
  <c r="L184" i="9"/>
  <c r="M184" i="9"/>
  <c r="A185" i="9"/>
  <c r="B185" i="9"/>
  <c r="D185" i="9"/>
  <c r="E185" i="9"/>
  <c r="G185" i="9"/>
  <c r="H185" i="9"/>
  <c r="I185" i="9"/>
  <c r="J185" i="9"/>
  <c r="K185" i="9"/>
  <c r="L185" i="9"/>
  <c r="M185" i="9"/>
  <c r="A186" i="9"/>
  <c r="B186" i="9"/>
  <c r="D186" i="9"/>
  <c r="E186" i="9"/>
  <c r="G186" i="9"/>
  <c r="H186" i="9"/>
  <c r="I186" i="9"/>
  <c r="J186" i="9"/>
  <c r="K186" i="9"/>
  <c r="L186" i="9"/>
  <c r="M186" i="9"/>
  <c r="A187" i="9"/>
  <c r="B187" i="9"/>
  <c r="D187" i="9"/>
  <c r="E187" i="9"/>
  <c r="G187" i="9"/>
  <c r="H187" i="9"/>
  <c r="I187" i="9"/>
  <c r="J187" i="9"/>
  <c r="K187" i="9"/>
  <c r="L187" i="9"/>
  <c r="M187" i="9"/>
  <c r="A188" i="9"/>
  <c r="B188" i="9"/>
  <c r="D188" i="9"/>
  <c r="E188" i="9"/>
  <c r="G188" i="9"/>
  <c r="H188" i="9"/>
  <c r="I188" i="9"/>
  <c r="J188" i="9"/>
  <c r="K188" i="9"/>
  <c r="L188" i="9"/>
  <c r="M188" i="9"/>
  <c r="A189" i="9"/>
  <c r="B189" i="9"/>
  <c r="D189" i="9"/>
  <c r="E189" i="9"/>
  <c r="G189" i="9"/>
  <c r="H189" i="9"/>
  <c r="I189" i="9"/>
  <c r="J189" i="9"/>
  <c r="K189" i="9"/>
  <c r="L189" i="9"/>
  <c r="M189" i="9"/>
  <c r="A190" i="9"/>
  <c r="B190" i="9"/>
  <c r="D190" i="9"/>
  <c r="E190" i="9"/>
  <c r="G190" i="9"/>
  <c r="H190" i="9"/>
  <c r="I190" i="9"/>
  <c r="J190" i="9"/>
  <c r="K190" i="9"/>
  <c r="L190" i="9"/>
  <c r="M190" i="9"/>
  <c r="A191" i="9"/>
  <c r="B191" i="9"/>
  <c r="D191" i="9"/>
  <c r="E191" i="9"/>
  <c r="G191" i="9"/>
  <c r="H191" i="9"/>
  <c r="I191" i="9"/>
  <c r="J191" i="9"/>
  <c r="K191" i="9"/>
  <c r="L191" i="9"/>
  <c r="M191" i="9"/>
  <c r="A192" i="9"/>
  <c r="B192" i="9"/>
  <c r="D192" i="9"/>
  <c r="E192" i="9"/>
  <c r="G192" i="9"/>
  <c r="H192" i="9"/>
  <c r="I192" i="9"/>
  <c r="J192" i="9"/>
  <c r="K192" i="9"/>
  <c r="L192" i="9"/>
  <c r="M192" i="9"/>
  <c r="A193" i="9"/>
  <c r="B193" i="9"/>
  <c r="D193" i="9"/>
  <c r="E193" i="9"/>
  <c r="G193" i="9"/>
  <c r="H193" i="9"/>
  <c r="I193" i="9"/>
  <c r="J193" i="9"/>
  <c r="K193" i="9"/>
  <c r="L193" i="9"/>
  <c r="M193" i="9"/>
  <c r="A194" i="9"/>
  <c r="B194" i="9"/>
  <c r="D194" i="9"/>
  <c r="E194" i="9"/>
  <c r="G194" i="9"/>
  <c r="H194" i="9"/>
  <c r="I194" i="9"/>
  <c r="J194" i="9"/>
  <c r="K194" i="9"/>
  <c r="L194" i="9"/>
  <c r="M194" i="9"/>
  <c r="A195" i="9"/>
  <c r="B195" i="9"/>
  <c r="D195" i="9"/>
  <c r="E195" i="9"/>
  <c r="G195" i="9"/>
  <c r="H195" i="9"/>
  <c r="I195" i="9"/>
  <c r="J195" i="9"/>
  <c r="K195" i="9"/>
  <c r="L195" i="9"/>
  <c r="M195" i="9"/>
  <c r="A196" i="9"/>
  <c r="B196" i="9"/>
  <c r="D196" i="9"/>
  <c r="E196" i="9"/>
  <c r="G196" i="9"/>
  <c r="H196" i="9"/>
  <c r="I196" i="9"/>
  <c r="J196" i="9"/>
  <c r="K196" i="9"/>
  <c r="L196" i="9"/>
  <c r="M196" i="9"/>
  <c r="A197" i="9"/>
  <c r="B197" i="9"/>
  <c r="D197" i="9"/>
  <c r="E197" i="9"/>
  <c r="G197" i="9"/>
  <c r="H197" i="9"/>
  <c r="I197" i="9"/>
  <c r="J197" i="9"/>
  <c r="K197" i="9"/>
  <c r="L197" i="9"/>
  <c r="M197" i="9"/>
  <c r="A198" i="9"/>
  <c r="B198" i="9"/>
  <c r="D198" i="9"/>
  <c r="E198" i="9"/>
  <c r="G198" i="9"/>
  <c r="H198" i="9"/>
  <c r="I198" i="9"/>
  <c r="J198" i="9"/>
  <c r="K198" i="9"/>
  <c r="L198" i="9"/>
  <c r="M198" i="9"/>
  <c r="A199" i="9"/>
  <c r="B199" i="9"/>
  <c r="D199" i="9"/>
  <c r="E199" i="9"/>
  <c r="G199" i="9"/>
  <c r="H199" i="9"/>
  <c r="I199" i="9"/>
  <c r="J199" i="9"/>
  <c r="K199" i="9"/>
  <c r="L199" i="9"/>
  <c r="M199" i="9"/>
  <c r="A200" i="9"/>
  <c r="B200" i="9"/>
  <c r="D200" i="9"/>
  <c r="E200" i="9"/>
  <c r="G200" i="9"/>
  <c r="H200" i="9"/>
  <c r="I200" i="9"/>
  <c r="J200" i="9"/>
  <c r="K200" i="9"/>
  <c r="L200" i="9"/>
  <c r="M200" i="9"/>
  <c r="A201" i="9"/>
  <c r="B201" i="9"/>
  <c r="D201" i="9"/>
  <c r="E201" i="9"/>
  <c r="G201" i="9"/>
  <c r="H201" i="9"/>
  <c r="I201" i="9"/>
  <c r="J201" i="9"/>
  <c r="K201" i="9"/>
  <c r="L201" i="9"/>
  <c r="M201" i="9"/>
  <c r="A202" i="9"/>
  <c r="B202" i="9"/>
  <c r="D202" i="9"/>
  <c r="E202" i="9"/>
  <c r="G202" i="9"/>
  <c r="H202" i="9"/>
  <c r="I202" i="9"/>
  <c r="J202" i="9"/>
  <c r="K202" i="9"/>
  <c r="L202" i="9"/>
  <c r="M202" i="9"/>
  <c r="A203" i="9"/>
  <c r="B203" i="9"/>
  <c r="D203" i="9"/>
  <c r="E203" i="9"/>
  <c r="G203" i="9"/>
  <c r="H203" i="9"/>
  <c r="I203" i="9"/>
  <c r="J203" i="9"/>
  <c r="K203" i="9"/>
  <c r="L203" i="9"/>
  <c r="M203" i="9"/>
  <c r="A204" i="9"/>
  <c r="B204" i="9"/>
  <c r="D204" i="9"/>
  <c r="E204" i="9"/>
  <c r="G204" i="9"/>
  <c r="H204" i="9"/>
  <c r="I204" i="9"/>
  <c r="J204" i="9"/>
  <c r="K204" i="9"/>
  <c r="L204" i="9"/>
  <c r="M204" i="9"/>
  <c r="A205" i="9"/>
  <c r="B205" i="9"/>
  <c r="D205" i="9"/>
  <c r="E205" i="9"/>
  <c r="G205" i="9"/>
  <c r="H205" i="9"/>
  <c r="I205" i="9"/>
  <c r="J205" i="9"/>
  <c r="K205" i="9"/>
  <c r="L205" i="9"/>
  <c r="M205" i="9"/>
  <c r="A206" i="9"/>
  <c r="B206" i="9"/>
  <c r="D206" i="9"/>
  <c r="E206" i="9"/>
  <c r="G206" i="9"/>
  <c r="H206" i="9"/>
  <c r="I206" i="9"/>
  <c r="J206" i="9"/>
  <c r="K206" i="9"/>
  <c r="L206" i="9"/>
  <c r="M206" i="9"/>
  <c r="A207" i="9"/>
  <c r="B207" i="9"/>
  <c r="D207" i="9"/>
  <c r="E207" i="9"/>
  <c r="G207" i="9"/>
  <c r="H207" i="9"/>
  <c r="I207" i="9"/>
  <c r="J207" i="9"/>
  <c r="K207" i="9"/>
  <c r="L207" i="9"/>
  <c r="M207" i="9"/>
  <c r="A208" i="9"/>
  <c r="B208" i="9"/>
  <c r="D208" i="9"/>
  <c r="E208" i="9"/>
  <c r="G208" i="9"/>
  <c r="H208" i="9"/>
  <c r="I208" i="9"/>
  <c r="J208" i="9"/>
  <c r="K208" i="9"/>
  <c r="L208" i="9"/>
  <c r="M208" i="9"/>
  <c r="A209" i="9"/>
  <c r="B209" i="9"/>
  <c r="D209" i="9"/>
  <c r="E209" i="9"/>
  <c r="G209" i="9"/>
  <c r="H209" i="9"/>
  <c r="I209" i="9"/>
  <c r="J209" i="9"/>
  <c r="K209" i="9"/>
  <c r="L209" i="9"/>
  <c r="M209" i="9"/>
  <c r="A210" i="9"/>
  <c r="B210" i="9"/>
  <c r="D210" i="9"/>
  <c r="E210" i="9"/>
  <c r="G210" i="9"/>
  <c r="H210" i="9"/>
  <c r="I210" i="9"/>
  <c r="J210" i="9"/>
  <c r="K210" i="9"/>
  <c r="L210" i="9"/>
  <c r="M210" i="9"/>
  <c r="A211" i="9"/>
  <c r="B211" i="9"/>
  <c r="D211" i="9"/>
  <c r="E211" i="9"/>
  <c r="G211" i="9"/>
  <c r="H211" i="9"/>
  <c r="I211" i="9"/>
  <c r="J211" i="9"/>
  <c r="K211" i="9"/>
  <c r="L211" i="9"/>
  <c r="M211" i="9"/>
  <c r="A212" i="9"/>
  <c r="B212" i="9"/>
  <c r="D212" i="9"/>
  <c r="E212" i="9"/>
  <c r="G212" i="9"/>
  <c r="H212" i="9"/>
  <c r="I212" i="9"/>
  <c r="J212" i="9"/>
  <c r="K212" i="9"/>
  <c r="L212" i="9"/>
  <c r="M212" i="9"/>
  <c r="A213" i="9"/>
  <c r="B213" i="9"/>
  <c r="D213" i="9"/>
  <c r="E213" i="9"/>
  <c r="G213" i="9"/>
  <c r="H213" i="9"/>
  <c r="I213" i="9"/>
  <c r="J213" i="9"/>
  <c r="K213" i="9"/>
  <c r="L213" i="9"/>
  <c r="M213" i="9"/>
  <c r="A214" i="9"/>
  <c r="B214" i="9"/>
  <c r="D214" i="9"/>
  <c r="E214" i="9"/>
  <c r="G214" i="9"/>
  <c r="H214" i="9"/>
  <c r="I214" i="9"/>
  <c r="J214" i="9"/>
  <c r="K214" i="9"/>
  <c r="L214" i="9"/>
  <c r="M214" i="9"/>
  <c r="A215" i="9"/>
  <c r="B215" i="9"/>
  <c r="D215" i="9"/>
  <c r="E215" i="9"/>
  <c r="G215" i="9"/>
  <c r="H215" i="9"/>
  <c r="I215" i="9"/>
  <c r="J215" i="9"/>
  <c r="K215" i="9"/>
  <c r="L215" i="9"/>
  <c r="M215" i="9"/>
  <c r="A216" i="9"/>
  <c r="B216" i="9"/>
  <c r="D216" i="9"/>
  <c r="E216" i="9"/>
  <c r="G216" i="9"/>
  <c r="H216" i="9"/>
  <c r="I216" i="9"/>
  <c r="J216" i="9"/>
  <c r="K216" i="9"/>
  <c r="L216" i="9"/>
  <c r="M216" i="9"/>
  <c r="A217" i="9"/>
  <c r="B217" i="9"/>
  <c r="D217" i="9"/>
  <c r="E217" i="9"/>
  <c r="G217" i="9"/>
  <c r="H217" i="9"/>
  <c r="I217" i="9"/>
  <c r="J217" i="9"/>
  <c r="K217" i="9"/>
  <c r="L217" i="9"/>
  <c r="M217" i="9"/>
  <c r="A218" i="9"/>
  <c r="B218" i="9"/>
  <c r="D218" i="9"/>
  <c r="E218" i="9"/>
  <c r="G218" i="9"/>
  <c r="H218" i="9"/>
  <c r="I218" i="9"/>
  <c r="J218" i="9"/>
  <c r="K218" i="9"/>
  <c r="L218" i="9"/>
  <c r="M218" i="9"/>
  <c r="A219" i="9"/>
  <c r="B219" i="9"/>
  <c r="D219" i="9"/>
  <c r="E219" i="9"/>
  <c r="G219" i="9"/>
  <c r="H219" i="9"/>
  <c r="I219" i="9"/>
  <c r="J219" i="9"/>
  <c r="K219" i="9"/>
  <c r="L219" i="9"/>
  <c r="M219" i="9"/>
  <c r="A220" i="9"/>
  <c r="B220" i="9"/>
  <c r="D220" i="9"/>
  <c r="E220" i="9"/>
  <c r="G220" i="9"/>
  <c r="H220" i="9"/>
  <c r="I220" i="9"/>
  <c r="J220" i="9"/>
  <c r="K220" i="9"/>
  <c r="L220" i="9"/>
  <c r="M220" i="9"/>
  <c r="A221" i="9"/>
  <c r="B221" i="9"/>
  <c r="D221" i="9"/>
  <c r="E221" i="9"/>
  <c r="G221" i="9"/>
  <c r="H221" i="9"/>
  <c r="I221" i="9"/>
  <c r="J221" i="9"/>
  <c r="K221" i="9"/>
  <c r="L221" i="9"/>
  <c r="M221" i="9"/>
  <c r="A222" i="9"/>
  <c r="B222" i="9"/>
  <c r="D222" i="9"/>
  <c r="E222" i="9"/>
  <c r="G222" i="9"/>
  <c r="H222" i="9"/>
  <c r="I222" i="9"/>
  <c r="J222" i="9"/>
  <c r="K222" i="9"/>
  <c r="L222" i="9"/>
  <c r="M222" i="9"/>
  <c r="A223" i="9"/>
  <c r="B223" i="9"/>
  <c r="D223" i="9"/>
  <c r="E223" i="9"/>
  <c r="G223" i="9"/>
  <c r="H223" i="9"/>
  <c r="I223" i="9"/>
  <c r="J223" i="9"/>
  <c r="K223" i="9"/>
  <c r="L223" i="9"/>
  <c r="M223" i="9"/>
  <c r="A224" i="9"/>
  <c r="B224" i="9"/>
  <c r="D224" i="9"/>
  <c r="E224" i="9"/>
  <c r="G224" i="9"/>
  <c r="H224" i="9"/>
  <c r="I224" i="9"/>
  <c r="J224" i="9"/>
  <c r="K224" i="9"/>
  <c r="L224" i="9"/>
  <c r="M224" i="9"/>
  <c r="A225" i="9"/>
  <c r="B225" i="9"/>
  <c r="D225" i="9"/>
  <c r="E225" i="9"/>
  <c r="G225" i="9"/>
  <c r="H225" i="9"/>
  <c r="I225" i="9"/>
  <c r="J225" i="9"/>
  <c r="K225" i="9"/>
  <c r="L225" i="9"/>
  <c r="M225" i="9"/>
  <c r="A226" i="9"/>
  <c r="B226" i="9"/>
  <c r="D226" i="9"/>
  <c r="E226" i="9"/>
  <c r="G226" i="9"/>
  <c r="H226" i="9"/>
  <c r="I226" i="9"/>
  <c r="J226" i="9"/>
  <c r="K226" i="9"/>
  <c r="L226" i="9"/>
  <c r="M226" i="9"/>
  <c r="A227" i="9"/>
  <c r="B227" i="9"/>
  <c r="D227" i="9"/>
  <c r="E227" i="9"/>
  <c r="G227" i="9"/>
  <c r="H227" i="9"/>
  <c r="I227" i="9"/>
  <c r="J227" i="9"/>
  <c r="K227" i="9"/>
  <c r="L227" i="9"/>
  <c r="M227" i="9"/>
  <c r="A228" i="9"/>
  <c r="B228" i="9"/>
  <c r="D228" i="9"/>
  <c r="E228" i="9"/>
  <c r="G228" i="9"/>
  <c r="H228" i="9"/>
  <c r="I228" i="9"/>
  <c r="J228" i="9"/>
  <c r="K228" i="9"/>
  <c r="L228" i="9"/>
  <c r="M228" i="9"/>
  <c r="A229" i="9"/>
  <c r="B229" i="9"/>
  <c r="D229" i="9"/>
  <c r="E229" i="9"/>
  <c r="G229" i="9"/>
  <c r="H229" i="9"/>
  <c r="I229" i="9"/>
  <c r="J229" i="9"/>
  <c r="K229" i="9"/>
  <c r="L229" i="9"/>
  <c r="M229" i="9"/>
  <c r="A230" i="9"/>
  <c r="B230" i="9"/>
  <c r="D230" i="9"/>
  <c r="E230" i="9"/>
  <c r="G230" i="9"/>
  <c r="H230" i="9"/>
  <c r="I230" i="9"/>
  <c r="J230" i="9"/>
  <c r="K230" i="9"/>
  <c r="L230" i="9"/>
  <c r="M230" i="9"/>
  <c r="A231" i="9"/>
  <c r="B231" i="9"/>
  <c r="D231" i="9"/>
  <c r="E231" i="9"/>
  <c r="G231" i="9"/>
  <c r="H231" i="9"/>
  <c r="I231" i="9"/>
  <c r="J231" i="9"/>
  <c r="K231" i="9"/>
  <c r="L231" i="9"/>
  <c r="M231" i="9"/>
  <c r="A232" i="9"/>
  <c r="B232" i="9"/>
  <c r="D232" i="9"/>
  <c r="E232" i="9"/>
  <c r="G232" i="9"/>
  <c r="H232" i="9"/>
  <c r="I232" i="9"/>
  <c r="J232" i="9"/>
  <c r="K232" i="9"/>
  <c r="L232" i="9"/>
  <c r="M232" i="9"/>
  <c r="A233" i="9"/>
  <c r="B233" i="9"/>
  <c r="D233" i="9"/>
  <c r="E233" i="9"/>
  <c r="G233" i="9"/>
  <c r="H233" i="9"/>
  <c r="I233" i="9"/>
  <c r="J233" i="9"/>
  <c r="K233" i="9"/>
  <c r="L233" i="9"/>
  <c r="M233" i="9"/>
  <c r="A234" i="9"/>
  <c r="B234" i="9"/>
  <c r="D234" i="9"/>
  <c r="E234" i="9"/>
  <c r="G234" i="9"/>
  <c r="H234" i="9"/>
  <c r="I234" i="9"/>
  <c r="J234" i="9"/>
  <c r="K234" i="9"/>
  <c r="L234" i="9"/>
  <c r="M234" i="9"/>
  <c r="A235" i="9"/>
  <c r="B235" i="9"/>
  <c r="D235" i="9"/>
  <c r="E235" i="9"/>
  <c r="G235" i="9"/>
  <c r="H235" i="9"/>
  <c r="I235" i="9"/>
  <c r="J235" i="9"/>
  <c r="K235" i="9"/>
  <c r="L235" i="9"/>
  <c r="M235" i="9"/>
  <c r="A236" i="9"/>
  <c r="B236" i="9"/>
  <c r="D236" i="9"/>
  <c r="E236" i="9"/>
  <c r="G236" i="9"/>
  <c r="H236" i="9"/>
  <c r="I236" i="9"/>
  <c r="J236" i="9"/>
  <c r="K236" i="9"/>
  <c r="L236" i="9"/>
  <c r="M236" i="9"/>
  <c r="A237" i="9"/>
  <c r="B237" i="9"/>
  <c r="D237" i="9"/>
  <c r="E237" i="9"/>
  <c r="G237" i="9"/>
  <c r="H237" i="9"/>
  <c r="I237" i="9"/>
  <c r="J237" i="9"/>
  <c r="K237" i="9"/>
  <c r="L237" i="9"/>
  <c r="M237" i="9"/>
  <c r="A238" i="9"/>
  <c r="B238" i="9"/>
  <c r="D238" i="9"/>
  <c r="E238" i="9"/>
  <c r="G238" i="9"/>
  <c r="H238" i="9"/>
  <c r="I238" i="9"/>
  <c r="J238" i="9"/>
  <c r="K238" i="9"/>
  <c r="L238" i="9"/>
  <c r="M238" i="9"/>
  <c r="A239" i="9"/>
  <c r="B239" i="9"/>
  <c r="D239" i="9"/>
  <c r="E239" i="9"/>
  <c r="G239" i="9"/>
  <c r="H239" i="9"/>
  <c r="I239" i="9"/>
  <c r="J239" i="9"/>
  <c r="K239" i="9"/>
  <c r="L239" i="9"/>
  <c r="M239" i="9"/>
  <c r="A240" i="9"/>
  <c r="B240" i="9"/>
  <c r="D240" i="9"/>
  <c r="E240" i="9"/>
  <c r="G240" i="9"/>
  <c r="H240" i="9"/>
  <c r="I240" i="9"/>
  <c r="J240" i="9"/>
  <c r="K240" i="9"/>
  <c r="L240" i="9"/>
  <c r="M240" i="9"/>
  <c r="A241" i="9"/>
  <c r="B241" i="9"/>
  <c r="D241" i="9"/>
  <c r="E241" i="9"/>
  <c r="G241" i="9"/>
  <c r="H241" i="9"/>
  <c r="I241" i="9"/>
  <c r="J241" i="9"/>
  <c r="K241" i="9"/>
  <c r="L241" i="9"/>
  <c r="M241" i="9"/>
  <c r="A242" i="9"/>
  <c r="B242" i="9"/>
  <c r="D242" i="9"/>
  <c r="E242" i="9"/>
  <c r="G242" i="9"/>
  <c r="H242" i="9"/>
  <c r="I242" i="9"/>
  <c r="J242" i="9"/>
  <c r="K242" i="9"/>
  <c r="L242" i="9"/>
  <c r="M242" i="9"/>
  <c r="A243" i="9"/>
  <c r="B243" i="9"/>
  <c r="D243" i="9"/>
  <c r="E243" i="9"/>
  <c r="G243" i="9"/>
  <c r="H243" i="9"/>
  <c r="I243" i="9"/>
  <c r="J243" i="9"/>
  <c r="K243" i="9"/>
  <c r="L243" i="9"/>
  <c r="M243" i="9"/>
  <c r="A244" i="9"/>
  <c r="B244" i="9"/>
  <c r="D244" i="9"/>
  <c r="E244" i="9"/>
  <c r="G244" i="9"/>
  <c r="H244" i="9"/>
  <c r="I244" i="9"/>
  <c r="J244" i="9"/>
  <c r="K244" i="9"/>
  <c r="L244" i="9"/>
  <c r="M244" i="9"/>
  <c r="A245" i="9"/>
  <c r="B245" i="9"/>
  <c r="D245" i="9"/>
  <c r="E245" i="9"/>
  <c r="G245" i="9"/>
  <c r="H245" i="9"/>
  <c r="I245" i="9"/>
  <c r="J245" i="9"/>
  <c r="K245" i="9"/>
  <c r="L245" i="9"/>
  <c r="M245" i="9"/>
  <c r="A246" i="9"/>
  <c r="B246" i="9"/>
  <c r="D246" i="9"/>
  <c r="E246" i="9"/>
  <c r="G246" i="9"/>
  <c r="H246" i="9"/>
  <c r="I246" i="9"/>
  <c r="J246" i="9"/>
  <c r="K246" i="9"/>
  <c r="L246" i="9"/>
  <c r="M246" i="9"/>
  <c r="A247" i="9"/>
  <c r="B247" i="9"/>
  <c r="D247" i="9"/>
  <c r="E247" i="9"/>
  <c r="G247" i="9"/>
  <c r="H247" i="9"/>
  <c r="I247" i="9"/>
  <c r="J247" i="9"/>
  <c r="K247" i="9"/>
  <c r="L247" i="9"/>
  <c r="M247" i="9"/>
  <c r="A248" i="9"/>
  <c r="B248" i="9"/>
  <c r="D248" i="9"/>
  <c r="E248" i="9"/>
  <c r="G248" i="9"/>
  <c r="H248" i="9"/>
  <c r="I248" i="9"/>
  <c r="J248" i="9"/>
  <c r="K248" i="9"/>
  <c r="L248" i="9"/>
  <c r="M248" i="9"/>
  <c r="A249" i="9"/>
  <c r="B249" i="9"/>
  <c r="D249" i="9"/>
  <c r="E249" i="9"/>
  <c r="G249" i="9"/>
  <c r="H249" i="9"/>
  <c r="I249" i="9"/>
  <c r="J249" i="9"/>
  <c r="K249" i="9"/>
  <c r="L249" i="9"/>
  <c r="M249" i="9"/>
  <c r="A250" i="9"/>
  <c r="B250" i="9"/>
  <c r="D250" i="9"/>
  <c r="E250" i="9"/>
  <c r="G250" i="9"/>
  <c r="H250" i="9"/>
  <c r="I250" i="9"/>
  <c r="J250" i="9"/>
  <c r="K250" i="9"/>
  <c r="L250" i="9"/>
  <c r="M250" i="9"/>
  <c r="A251" i="9"/>
  <c r="B251" i="9"/>
  <c r="D251" i="9"/>
  <c r="E251" i="9"/>
  <c r="G251" i="9"/>
  <c r="H251" i="9"/>
  <c r="I251" i="9"/>
  <c r="J251" i="9"/>
  <c r="K251" i="9"/>
  <c r="L251" i="9"/>
  <c r="M251" i="9"/>
  <c r="A252" i="9"/>
  <c r="B252" i="9"/>
  <c r="D252" i="9"/>
  <c r="E252" i="9"/>
  <c r="G252" i="9"/>
  <c r="H252" i="9"/>
  <c r="I252" i="9"/>
  <c r="J252" i="9"/>
  <c r="K252" i="9"/>
  <c r="L252" i="9"/>
  <c r="M252" i="9"/>
  <c r="A253" i="9"/>
  <c r="B253" i="9"/>
  <c r="D253" i="9"/>
  <c r="E253" i="9"/>
  <c r="G253" i="9"/>
  <c r="H253" i="9"/>
  <c r="I253" i="9"/>
  <c r="J253" i="9"/>
  <c r="K253" i="9"/>
  <c r="L253" i="9"/>
  <c r="M253" i="9"/>
  <c r="A254" i="9"/>
  <c r="B254" i="9"/>
  <c r="D254" i="9"/>
  <c r="E254" i="9"/>
  <c r="G254" i="9"/>
  <c r="H254" i="9"/>
  <c r="I254" i="9"/>
  <c r="J254" i="9"/>
  <c r="K254" i="9"/>
  <c r="L254" i="9"/>
  <c r="M254" i="9"/>
  <c r="A255" i="9"/>
  <c r="B255" i="9"/>
  <c r="D255" i="9"/>
  <c r="E255" i="9"/>
  <c r="G255" i="9"/>
  <c r="H255" i="9"/>
  <c r="I255" i="9"/>
  <c r="J255" i="9"/>
  <c r="K255" i="9"/>
  <c r="L255" i="9"/>
  <c r="M255" i="9"/>
  <c r="A256" i="9"/>
  <c r="B256" i="9"/>
  <c r="D256" i="9"/>
  <c r="E256" i="9"/>
  <c r="G256" i="9"/>
  <c r="H256" i="9"/>
  <c r="I256" i="9"/>
  <c r="J256" i="9"/>
  <c r="K256" i="9"/>
  <c r="L256" i="9"/>
  <c r="M256" i="9"/>
  <c r="A257" i="9"/>
  <c r="B257" i="9"/>
  <c r="D257" i="9"/>
  <c r="E257" i="9"/>
  <c r="G257" i="9"/>
  <c r="H257" i="9"/>
  <c r="I257" i="9"/>
  <c r="J257" i="9"/>
  <c r="K257" i="9"/>
  <c r="L257" i="9"/>
  <c r="M257" i="9"/>
  <c r="A258" i="9"/>
  <c r="B258" i="9"/>
  <c r="D258" i="9"/>
  <c r="E258" i="9"/>
  <c r="G258" i="9"/>
  <c r="H258" i="9"/>
  <c r="I258" i="9"/>
  <c r="J258" i="9"/>
  <c r="K258" i="9"/>
  <c r="L258" i="9"/>
  <c r="M258" i="9"/>
  <c r="A259" i="9"/>
  <c r="B259" i="9"/>
  <c r="D259" i="9"/>
  <c r="E259" i="9"/>
  <c r="G259" i="9"/>
  <c r="H259" i="9"/>
  <c r="I259" i="9"/>
  <c r="J259" i="9"/>
  <c r="K259" i="9"/>
  <c r="L259" i="9"/>
  <c r="M259" i="9"/>
  <c r="A260" i="9"/>
  <c r="B260" i="9"/>
  <c r="D260" i="9"/>
  <c r="E260" i="9"/>
  <c r="G260" i="9"/>
  <c r="H260" i="9"/>
  <c r="I260" i="9"/>
  <c r="J260" i="9"/>
  <c r="K260" i="9"/>
  <c r="L260" i="9"/>
  <c r="M260" i="9"/>
  <c r="A261" i="9"/>
  <c r="B261" i="9"/>
  <c r="D261" i="9"/>
  <c r="E261" i="9"/>
  <c r="G261" i="9"/>
  <c r="H261" i="9"/>
  <c r="I261" i="9"/>
  <c r="J261" i="9"/>
  <c r="K261" i="9"/>
  <c r="L261" i="9"/>
  <c r="M261" i="9"/>
  <c r="A262" i="9"/>
  <c r="B262" i="9"/>
  <c r="D262" i="9"/>
  <c r="E262" i="9"/>
  <c r="G262" i="9"/>
  <c r="H262" i="9"/>
  <c r="I262" i="9"/>
  <c r="J262" i="9"/>
  <c r="K262" i="9"/>
  <c r="L262" i="9"/>
  <c r="M262" i="9"/>
  <c r="A263" i="9"/>
  <c r="B263" i="9"/>
  <c r="D263" i="9"/>
  <c r="E263" i="9"/>
  <c r="G263" i="9"/>
  <c r="H263" i="9"/>
  <c r="I263" i="9"/>
  <c r="J263" i="9"/>
  <c r="K263" i="9"/>
  <c r="L263" i="9"/>
  <c r="M263" i="9"/>
  <c r="A264" i="9"/>
  <c r="B264" i="9"/>
  <c r="D264" i="9"/>
  <c r="E264" i="9"/>
  <c r="G264" i="9"/>
  <c r="H264" i="9"/>
  <c r="I264" i="9"/>
  <c r="J264" i="9"/>
  <c r="K264" i="9"/>
  <c r="L264" i="9"/>
  <c r="M264" i="9"/>
  <c r="A265" i="9"/>
  <c r="B265" i="9"/>
  <c r="D265" i="9"/>
  <c r="E265" i="9"/>
  <c r="G265" i="9"/>
  <c r="H265" i="9"/>
  <c r="I265" i="9"/>
  <c r="J265" i="9"/>
  <c r="K265" i="9"/>
  <c r="L265" i="9"/>
  <c r="M265" i="9"/>
  <c r="A266" i="9"/>
  <c r="B266" i="9"/>
  <c r="D266" i="9"/>
  <c r="E266" i="9"/>
  <c r="G266" i="9"/>
  <c r="H266" i="9"/>
  <c r="I266" i="9"/>
  <c r="J266" i="9"/>
  <c r="K266" i="9"/>
  <c r="L266" i="9"/>
  <c r="M266" i="9"/>
  <c r="A267" i="9"/>
  <c r="B267" i="9"/>
  <c r="D267" i="9"/>
  <c r="E267" i="9"/>
  <c r="G267" i="9"/>
  <c r="H267" i="9"/>
  <c r="I267" i="9"/>
  <c r="J267" i="9"/>
  <c r="K267" i="9"/>
  <c r="L267" i="9"/>
  <c r="M267" i="9"/>
  <c r="A268" i="9"/>
  <c r="B268" i="9"/>
  <c r="D268" i="9"/>
  <c r="E268" i="9"/>
  <c r="G268" i="9"/>
  <c r="H268" i="9"/>
  <c r="I268" i="9"/>
  <c r="J268" i="9"/>
  <c r="K268" i="9"/>
  <c r="L268" i="9"/>
  <c r="M268" i="9"/>
  <c r="A269" i="9"/>
  <c r="B269" i="9"/>
  <c r="D269" i="9"/>
  <c r="E269" i="9"/>
  <c r="G269" i="9"/>
  <c r="H269" i="9"/>
  <c r="I269" i="9"/>
  <c r="J269" i="9"/>
  <c r="K269" i="9"/>
  <c r="L269" i="9"/>
  <c r="M269" i="9"/>
  <c r="A270" i="9"/>
  <c r="B270" i="9"/>
  <c r="D270" i="9"/>
  <c r="E270" i="9"/>
  <c r="G270" i="9"/>
  <c r="H270" i="9"/>
  <c r="I270" i="9"/>
  <c r="J270" i="9"/>
  <c r="K270" i="9"/>
  <c r="L270" i="9"/>
  <c r="M270" i="9"/>
  <c r="A271" i="9"/>
  <c r="B271" i="9"/>
  <c r="D271" i="9"/>
  <c r="E271" i="9"/>
  <c r="G271" i="9"/>
  <c r="H271" i="9"/>
  <c r="I271" i="9"/>
  <c r="J271" i="9"/>
  <c r="K271" i="9"/>
  <c r="L271" i="9"/>
  <c r="M271" i="9"/>
  <c r="A272" i="9"/>
  <c r="B272" i="9"/>
  <c r="D272" i="9"/>
  <c r="E272" i="9"/>
  <c r="G272" i="9"/>
  <c r="H272" i="9"/>
  <c r="I272" i="9"/>
  <c r="J272" i="9"/>
  <c r="K272" i="9"/>
  <c r="L272" i="9"/>
  <c r="M272" i="9"/>
  <c r="A273" i="9"/>
  <c r="B273" i="9"/>
  <c r="D273" i="9"/>
  <c r="E273" i="9"/>
  <c r="G273" i="9"/>
  <c r="H273" i="9"/>
  <c r="I273" i="9"/>
  <c r="J273" i="9"/>
  <c r="K273" i="9"/>
  <c r="L273" i="9"/>
  <c r="M273" i="9"/>
  <c r="A274" i="9"/>
  <c r="B274" i="9"/>
  <c r="D274" i="9"/>
  <c r="E274" i="9"/>
  <c r="G274" i="9"/>
  <c r="H274" i="9"/>
  <c r="I274" i="9"/>
  <c r="J274" i="9"/>
  <c r="K274" i="9"/>
  <c r="L274" i="9"/>
  <c r="M274" i="9"/>
  <c r="A275" i="9"/>
  <c r="B275" i="9"/>
  <c r="D275" i="9"/>
  <c r="E275" i="9"/>
  <c r="G275" i="9"/>
  <c r="H275" i="9"/>
  <c r="I275" i="9"/>
  <c r="J275" i="9"/>
  <c r="K275" i="9"/>
  <c r="L275" i="9"/>
  <c r="M275" i="9"/>
  <c r="A276" i="9"/>
  <c r="B276" i="9"/>
  <c r="D276" i="9"/>
  <c r="E276" i="9"/>
  <c r="G276" i="9"/>
  <c r="H276" i="9"/>
  <c r="I276" i="9"/>
  <c r="J276" i="9"/>
  <c r="K276" i="9"/>
  <c r="L276" i="9"/>
  <c r="M276" i="9"/>
  <c r="A277" i="9"/>
  <c r="B277" i="9"/>
  <c r="D277" i="9"/>
  <c r="E277" i="9"/>
  <c r="G277" i="9"/>
  <c r="H277" i="9"/>
  <c r="I277" i="9"/>
  <c r="J277" i="9"/>
  <c r="K277" i="9"/>
  <c r="L277" i="9"/>
  <c r="M277" i="9"/>
  <c r="A278" i="9"/>
  <c r="B278" i="9"/>
  <c r="D278" i="9"/>
  <c r="E278" i="9"/>
  <c r="G278" i="9"/>
  <c r="H278" i="9"/>
  <c r="I278" i="9"/>
  <c r="J278" i="9"/>
  <c r="K278" i="9"/>
  <c r="L278" i="9"/>
  <c r="M278" i="9"/>
  <c r="A279" i="9"/>
  <c r="B279" i="9"/>
  <c r="D279" i="9"/>
  <c r="E279" i="9"/>
  <c r="G279" i="9"/>
  <c r="H279" i="9"/>
  <c r="I279" i="9"/>
  <c r="J279" i="9"/>
  <c r="K279" i="9"/>
  <c r="L279" i="9"/>
  <c r="M279" i="9"/>
  <c r="A280" i="9"/>
  <c r="B280" i="9"/>
  <c r="D280" i="9"/>
  <c r="E280" i="9"/>
  <c r="G280" i="9"/>
  <c r="H280" i="9"/>
  <c r="I280" i="9"/>
  <c r="J280" i="9"/>
  <c r="K280" i="9"/>
  <c r="L280" i="9"/>
  <c r="M280" i="9"/>
  <c r="A281" i="9"/>
  <c r="B281" i="9"/>
  <c r="D281" i="9"/>
  <c r="E281" i="9"/>
  <c r="G281" i="9"/>
  <c r="H281" i="9"/>
  <c r="I281" i="9"/>
  <c r="J281" i="9"/>
  <c r="K281" i="9"/>
  <c r="L281" i="9"/>
  <c r="M281" i="9"/>
  <c r="A282" i="9"/>
  <c r="B282" i="9"/>
  <c r="D282" i="9"/>
  <c r="E282" i="9"/>
  <c r="G282" i="9"/>
  <c r="H282" i="9"/>
  <c r="I282" i="9"/>
  <c r="J282" i="9"/>
  <c r="K282" i="9"/>
  <c r="L282" i="9"/>
  <c r="M282" i="9"/>
  <c r="A283" i="9"/>
  <c r="B283" i="9"/>
  <c r="D283" i="9"/>
  <c r="E283" i="9"/>
  <c r="G283" i="9"/>
  <c r="H283" i="9"/>
  <c r="I283" i="9"/>
  <c r="J283" i="9"/>
  <c r="K283" i="9"/>
  <c r="L283" i="9"/>
  <c r="M283" i="9"/>
  <c r="A284" i="9"/>
  <c r="B284" i="9"/>
  <c r="D284" i="9"/>
  <c r="E284" i="9"/>
  <c r="G284" i="9"/>
  <c r="H284" i="9"/>
  <c r="I284" i="9"/>
  <c r="J284" i="9"/>
  <c r="K284" i="9"/>
  <c r="L284" i="9"/>
  <c r="M284" i="9"/>
  <c r="A285" i="9"/>
  <c r="B285" i="9"/>
  <c r="D285" i="9"/>
  <c r="E285" i="9"/>
  <c r="G285" i="9"/>
  <c r="H285" i="9"/>
  <c r="I285" i="9"/>
  <c r="J285" i="9"/>
  <c r="K285" i="9"/>
  <c r="L285" i="9"/>
  <c r="M285" i="9"/>
  <c r="A286" i="9"/>
  <c r="B286" i="9"/>
  <c r="D286" i="9"/>
  <c r="E286" i="9"/>
  <c r="G286" i="9"/>
  <c r="H286" i="9"/>
  <c r="I286" i="9"/>
  <c r="J286" i="9"/>
  <c r="K286" i="9"/>
  <c r="L286" i="9"/>
  <c r="M286" i="9"/>
  <c r="A287" i="9"/>
  <c r="B287" i="9"/>
  <c r="D287" i="9"/>
  <c r="E287" i="9"/>
  <c r="G287" i="9"/>
  <c r="H287" i="9"/>
  <c r="I287" i="9"/>
  <c r="J287" i="9"/>
  <c r="K287" i="9"/>
  <c r="L287" i="9"/>
  <c r="M287" i="9"/>
  <c r="A288" i="9"/>
  <c r="B288" i="9"/>
  <c r="D288" i="9"/>
  <c r="E288" i="9"/>
  <c r="G288" i="9"/>
  <c r="H288" i="9"/>
  <c r="I288" i="9"/>
  <c r="J288" i="9"/>
  <c r="K288" i="9"/>
  <c r="L288" i="9"/>
  <c r="M288" i="9"/>
  <c r="A289" i="9"/>
  <c r="B289" i="9"/>
  <c r="D289" i="9"/>
  <c r="E289" i="9"/>
  <c r="G289" i="9"/>
  <c r="H289" i="9"/>
  <c r="I289" i="9"/>
  <c r="J289" i="9"/>
  <c r="K289" i="9"/>
  <c r="L289" i="9"/>
  <c r="M289" i="9"/>
  <c r="A290" i="9"/>
  <c r="B290" i="9"/>
  <c r="D290" i="9"/>
  <c r="E290" i="9"/>
  <c r="G290" i="9"/>
  <c r="H290" i="9"/>
  <c r="I290" i="9"/>
  <c r="J290" i="9"/>
  <c r="K290" i="9"/>
  <c r="L290" i="9"/>
  <c r="M290" i="9"/>
  <c r="A291" i="9"/>
  <c r="B291" i="9"/>
  <c r="D291" i="9"/>
  <c r="E291" i="9"/>
  <c r="G291" i="9"/>
  <c r="H291" i="9"/>
  <c r="I291" i="9"/>
  <c r="J291" i="9"/>
  <c r="K291" i="9"/>
  <c r="L291" i="9"/>
  <c r="M291" i="9"/>
  <c r="A292" i="9"/>
  <c r="B292" i="9"/>
  <c r="D292" i="9"/>
  <c r="E292" i="9"/>
  <c r="G292" i="9"/>
  <c r="H292" i="9"/>
  <c r="I292" i="9"/>
  <c r="J292" i="9"/>
  <c r="K292" i="9"/>
  <c r="L292" i="9"/>
  <c r="M292" i="9"/>
  <c r="A293" i="9"/>
  <c r="B293" i="9"/>
  <c r="D293" i="9"/>
  <c r="E293" i="9"/>
  <c r="G293" i="9"/>
  <c r="H293" i="9"/>
  <c r="I293" i="9"/>
  <c r="J293" i="9"/>
  <c r="K293" i="9"/>
  <c r="L293" i="9"/>
  <c r="M293" i="9"/>
  <c r="A294" i="9"/>
  <c r="B294" i="9"/>
  <c r="D294" i="9"/>
  <c r="E294" i="9"/>
  <c r="G294" i="9"/>
  <c r="H294" i="9"/>
  <c r="I294" i="9"/>
  <c r="J294" i="9"/>
  <c r="K294" i="9"/>
  <c r="L294" i="9"/>
  <c r="M294" i="9"/>
  <c r="A295" i="9"/>
  <c r="B295" i="9"/>
  <c r="D295" i="9"/>
  <c r="E295" i="9"/>
  <c r="G295" i="9"/>
  <c r="H295" i="9"/>
  <c r="I295" i="9"/>
  <c r="J295" i="9"/>
  <c r="K295" i="9"/>
  <c r="L295" i="9"/>
  <c r="M295" i="9"/>
  <c r="A296" i="9"/>
  <c r="B296" i="9"/>
  <c r="D296" i="9"/>
  <c r="E296" i="9"/>
  <c r="G296" i="9"/>
  <c r="H296" i="9"/>
  <c r="I296" i="9"/>
  <c r="J296" i="9"/>
  <c r="K296" i="9"/>
  <c r="L296" i="9"/>
  <c r="M296" i="9"/>
  <c r="A297" i="9"/>
  <c r="B297" i="9"/>
  <c r="D297" i="9"/>
  <c r="E297" i="9"/>
  <c r="G297" i="9"/>
  <c r="H297" i="9"/>
  <c r="I297" i="9"/>
  <c r="J297" i="9"/>
  <c r="K297" i="9"/>
  <c r="L297" i="9"/>
  <c r="M297" i="9"/>
  <c r="A298" i="9"/>
  <c r="B298" i="9"/>
  <c r="D298" i="9"/>
  <c r="E298" i="9"/>
  <c r="G298" i="9"/>
  <c r="H298" i="9"/>
  <c r="I298" i="9"/>
  <c r="J298" i="9"/>
  <c r="K298" i="9"/>
  <c r="L298" i="9"/>
  <c r="M298" i="9"/>
  <c r="A299" i="9"/>
  <c r="B299" i="9"/>
  <c r="D299" i="9"/>
  <c r="E299" i="9"/>
  <c r="G299" i="9"/>
  <c r="H299" i="9"/>
  <c r="I299" i="9"/>
  <c r="J299" i="9"/>
  <c r="K299" i="9"/>
  <c r="L299" i="9"/>
  <c r="M299" i="9"/>
  <c r="A300" i="9"/>
  <c r="B300" i="9"/>
  <c r="D300" i="9"/>
  <c r="E300" i="9"/>
  <c r="G300" i="9"/>
  <c r="H300" i="9"/>
  <c r="I300" i="9"/>
  <c r="J300" i="9"/>
  <c r="K300" i="9"/>
  <c r="L300" i="9"/>
  <c r="M300" i="9"/>
  <c r="A301" i="9"/>
  <c r="B301" i="9"/>
  <c r="D301" i="9"/>
  <c r="E301" i="9"/>
  <c r="G301" i="9"/>
  <c r="H301" i="9"/>
  <c r="I301" i="9"/>
  <c r="J301" i="9"/>
  <c r="K301" i="9"/>
  <c r="L301" i="9"/>
  <c r="M301" i="9"/>
  <c r="A302" i="9"/>
  <c r="B302" i="9"/>
  <c r="D302" i="9"/>
  <c r="E302" i="9"/>
  <c r="G302" i="9"/>
  <c r="H302" i="9"/>
  <c r="I302" i="9"/>
  <c r="J302" i="9"/>
  <c r="K302" i="9"/>
  <c r="L302" i="9"/>
  <c r="M302" i="9"/>
  <c r="A303" i="9"/>
  <c r="B303" i="9"/>
  <c r="D303" i="9"/>
  <c r="E303" i="9"/>
  <c r="G303" i="9"/>
  <c r="H303" i="9"/>
  <c r="I303" i="9"/>
  <c r="J303" i="9"/>
  <c r="K303" i="9"/>
  <c r="L303" i="9"/>
  <c r="M303" i="9"/>
  <c r="A304" i="9"/>
  <c r="B304" i="9"/>
  <c r="D304" i="9"/>
  <c r="E304" i="9"/>
  <c r="G304" i="9"/>
  <c r="H304" i="9"/>
  <c r="I304" i="9"/>
  <c r="J304" i="9"/>
  <c r="K304" i="9"/>
  <c r="L304" i="9"/>
  <c r="M304" i="9"/>
  <c r="A305" i="9"/>
  <c r="B305" i="9"/>
  <c r="D305" i="9"/>
  <c r="E305" i="9"/>
  <c r="G305" i="9"/>
  <c r="H305" i="9"/>
  <c r="I305" i="9"/>
  <c r="J305" i="9"/>
  <c r="K305" i="9"/>
  <c r="L305" i="9"/>
  <c r="M305" i="9"/>
  <c r="A306" i="9"/>
  <c r="B306" i="9"/>
  <c r="D306" i="9"/>
  <c r="E306" i="9"/>
  <c r="G306" i="9"/>
  <c r="H306" i="9"/>
  <c r="I306" i="9"/>
  <c r="J306" i="9"/>
  <c r="K306" i="9"/>
  <c r="L306" i="9"/>
  <c r="M306" i="9"/>
  <c r="A307" i="9"/>
  <c r="B307" i="9"/>
  <c r="D307" i="9"/>
  <c r="E307" i="9"/>
  <c r="G307" i="9"/>
  <c r="H307" i="9"/>
  <c r="I307" i="9"/>
  <c r="J307" i="9"/>
  <c r="K307" i="9"/>
  <c r="L307" i="9"/>
  <c r="M307" i="9"/>
  <c r="A308" i="9"/>
  <c r="B308" i="9"/>
  <c r="D308" i="9"/>
  <c r="E308" i="9"/>
  <c r="G308" i="9"/>
  <c r="H308" i="9"/>
  <c r="I308" i="9"/>
  <c r="J308" i="9"/>
  <c r="K308" i="9"/>
  <c r="L308" i="9"/>
  <c r="M308" i="9"/>
  <c r="A309" i="9"/>
  <c r="B309" i="9"/>
  <c r="D309" i="9"/>
  <c r="E309" i="9"/>
  <c r="G309" i="9"/>
  <c r="H309" i="9"/>
  <c r="I309" i="9"/>
  <c r="J309" i="9"/>
  <c r="K309" i="9"/>
  <c r="L309" i="9"/>
  <c r="M309" i="9"/>
  <c r="A310" i="9"/>
  <c r="B310" i="9"/>
  <c r="D310" i="9"/>
  <c r="E310" i="9"/>
  <c r="G310" i="9"/>
  <c r="H310" i="9"/>
  <c r="I310" i="9"/>
  <c r="J310" i="9"/>
  <c r="K310" i="9"/>
  <c r="L310" i="9"/>
  <c r="M310" i="9"/>
  <c r="A311" i="9"/>
  <c r="B311" i="9"/>
  <c r="D311" i="9"/>
  <c r="E311" i="9"/>
  <c r="G311" i="9"/>
  <c r="H311" i="9"/>
  <c r="I311" i="9"/>
  <c r="J311" i="9"/>
  <c r="K311" i="9"/>
  <c r="L311" i="9"/>
  <c r="M311" i="9"/>
  <c r="A312" i="9"/>
  <c r="B312" i="9"/>
  <c r="D312" i="9"/>
  <c r="E312" i="9"/>
  <c r="G312" i="9"/>
  <c r="H312" i="9"/>
  <c r="I312" i="9"/>
  <c r="J312" i="9"/>
  <c r="K312" i="9"/>
  <c r="L312" i="9"/>
  <c r="M312" i="9"/>
  <c r="A313" i="9"/>
  <c r="B313" i="9"/>
  <c r="D313" i="9"/>
  <c r="E313" i="9"/>
  <c r="G313" i="9"/>
  <c r="H313" i="9"/>
  <c r="I313" i="9"/>
  <c r="J313" i="9"/>
  <c r="K313" i="9"/>
  <c r="L313" i="9"/>
  <c r="M313" i="9"/>
  <c r="A314" i="9"/>
  <c r="B314" i="9"/>
  <c r="D314" i="9"/>
  <c r="E314" i="9"/>
  <c r="G314" i="9"/>
  <c r="H314" i="9"/>
  <c r="I314" i="9"/>
  <c r="J314" i="9"/>
  <c r="K314" i="9"/>
  <c r="L314" i="9"/>
  <c r="M314" i="9"/>
  <c r="A315" i="9"/>
  <c r="B315" i="9"/>
  <c r="D315" i="9"/>
  <c r="E315" i="9"/>
  <c r="G315" i="9"/>
  <c r="H315" i="9"/>
  <c r="I315" i="9"/>
  <c r="J315" i="9"/>
  <c r="K315" i="9"/>
  <c r="L315" i="9"/>
  <c r="M315" i="9"/>
  <c r="A316" i="9"/>
  <c r="B316" i="9"/>
  <c r="D316" i="9"/>
  <c r="E316" i="9"/>
  <c r="G316" i="9"/>
  <c r="H316" i="9"/>
  <c r="I316" i="9"/>
  <c r="J316" i="9"/>
  <c r="K316" i="9"/>
  <c r="L316" i="9"/>
  <c r="M316" i="9"/>
  <c r="A317" i="9"/>
  <c r="B317" i="9"/>
  <c r="D317" i="9"/>
  <c r="E317" i="9"/>
  <c r="G317" i="9"/>
  <c r="H317" i="9"/>
  <c r="I317" i="9"/>
  <c r="J317" i="9"/>
  <c r="K317" i="9"/>
  <c r="L317" i="9"/>
  <c r="M317" i="9"/>
  <c r="A318" i="9"/>
  <c r="B318" i="9"/>
  <c r="D318" i="9"/>
  <c r="E318" i="9"/>
  <c r="G318" i="9"/>
  <c r="H318" i="9"/>
  <c r="I318" i="9"/>
  <c r="J318" i="9"/>
  <c r="K318" i="9"/>
  <c r="L318" i="9"/>
  <c r="M318" i="9"/>
  <c r="A319" i="9"/>
  <c r="B319" i="9"/>
  <c r="D319" i="9"/>
  <c r="E319" i="9"/>
  <c r="G319" i="9"/>
  <c r="H319" i="9"/>
  <c r="I319" i="9"/>
  <c r="J319" i="9"/>
  <c r="K319" i="9"/>
  <c r="L319" i="9"/>
  <c r="M319" i="9"/>
  <c r="A320" i="9"/>
  <c r="B320" i="9"/>
  <c r="D320" i="9"/>
  <c r="E320" i="9"/>
  <c r="G320" i="9"/>
  <c r="H320" i="9"/>
  <c r="I320" i="9"/>
  <c r="J320" i="9"/>
  <c r="K320" i="9"/>
  <c r="L320" i="9"/>
  <c r="M320" i="9"/>
  <c r="A321" i="9"/>
  <c r="B321" i="9"/>
  <c r="D321" i="9"/>
  <c r="E321" i="9"/>
  <c r="G321" i="9"/>
  <c r="H321" i="9"/>
  <c r="I321" i="9"/>
  <c r="J321" i="9"/>
  <c r="K321" i="9"/>
  <c r="L321" i="9"/>
  <c r="M321" i="9"/>
  <c r="A322" i="9"/>
  <c r="B322" i="9"/>
  <c r="D322" i="9"/>
  <c r="E322" i="9"/>
  <c r="G322" i="9"/>
  <c r="H322" i="9"/>
  <c r="I322" i="9"/>
  <c r="J322" i="9"/>
  <c r="K322" i="9"/>
  <c r="L322" i="9"/>
  <c r="M322" i="9"/>
  <c r="A323" i="9"/>
  <c r="B323" i="9"/>
  <c r="D323" i="9"/>
  <c r="E323" i="9"/>
  <c r="G323" i="9"/>
  <c r="H323" i="9"/>
  <c r="I323" i="9"/>
  <c r="J323" i="9"/>
  <c r="K323" i="9"/>
  <c r="L323" i="9"/>
  <c r="M323" i="9"/>
  <c r="A324" i="9"/>
  <c r="B324" i="9"/>
  <c r="D324" i="9"/>
  <c r="E324" i="9"/>
  <c r="G324" i="9"/>
  <c r="H324" i="9"/>
  <c r="I324" i="9"/>
  <c r="J324" i="9"/>
  <c r="K324" i="9"/>
  <c r="L324" i="9"/>
  <c r="M324" i="9"/>
  <c r="A325" i="9"/>
  <c r="B325" i="9"/>
  <c r="D325" i="9"/>
  <c r="E325" i="9"/>
  <c r="G325" i="9"/>
  <c r="H325" i="9"/>
  <c r="I325" i="9"/>
  <c r="J325" i="9"/>
  <c r="K325" i="9"/>
  <c r="L325" i="9"/>
  <c r="M325" i="9"/>
  <c r="A326" i="9"/>
  <c r="B326" i="9"/>
  <c r="D326" i="9"/>
  <c r="E326" i="9"/>
  <c r="G326" i="9"/>
  <c r="H326" i="9"/>
  <c r="I326" i="9"/>
  <c r="J326" i="9"/>
  <c r="K326" i="9"/>
  <c r="L326" i="9"/>
  <c r="M326" i="9"/>
  <c r="A327" i="9"/>
  <c r="B327" i="9"/>
  <c r="D327" i="9"/>
  <c r="E327" i="9"/>
  <c r="G327" i="9"/>
  <c r="H327" i="9"/>
  <c r="I327" i="9"/>
  <c r="J327" i="9"/>
  <c r="K327" i="9"/>
  <c r="L327" i="9"/>
  <c r="M327" i="9"/>
  <c r="A328" i="9"/>
  <c r="B328" i="9"/>
  <c r="D328" i="9"/>
  <c r="E328" i="9"/>
  <c r="G328" i="9"/>
  <c r="H328" i="9"/>
  <c r="I328" i="9"/>
  <c r="J328" i="9"/>
  <c r="K328" i="9"/>
  <c r="L328" i="9"/>
  <c r="M328" i="9"/>
  <c r="A329" i="9"/>
  <c r="B329" i="9"/>
  <c r="D329" i="9"/>
  <c r="E329" i="9"/>
  <c r="G329" i="9"/>
  <c r="H329" i="9"/>
  <c r="I329" i="9"/>
  <c r="J329" i="9"/>
  <c r="K329" i="9"/>
  <c r="L329" i="9"/>
  <c r="M329" i="9"/>
  <c r="A330" i="9"/>
  <c r="B330" i="9"/>
  <c r="D330" i="9"/>
  <c r="E330" i="9"/>
  <c r="G330" i="9"/>
  <c r="H330" i="9"/>
  <c r="I330" i="9"/>
  <c r="J330" i="9"/>
  <c r="K330" i="9"/>
  <c r="L330" i="9"/>
  <c r="M330" i="9"/>
  <c r="A331" i="9"/>
  <c r="B331" i="9"/>
  <c r="D331" i="9"/>
  <c r="E331" i="9"/>
  <c r="G331" i="9"/>
  <c r="H331" i="9"/>
  <c r="I331" i="9"/>
  <c r="J331" i="9"/>
  <c r="K331" i="9"/>
  <c r="L331" i="9"/>
  <c r="M331" i="9"/>
  <c r="A332" i="9"/>
  <c r="B332" i="9"/>
  <c r="D332" i="9"/>
  <c r="E332" i="9"/>
  <c r="G332" i="9"/>
  <c r="H332" i="9"/>
  <c r="I332" i="9"/>
  <c r="J332" i="9"/>
  <c r="K332" i="9"/>
  <c r="L332" i="9"/>
  <c r="M332" i="9"/>
  <c r="A333" i="9"/>
  <c r="B333" i="9"/>
  <c r="D333" i="9"/>
  <c r="E333" i="9"/>
  <c r="G333" i="9"/>
  <c r="H333" i="9"/>
  <c r="I333" i="9"/>
  <c r="J333" i="9"/>
  <c r="K333" i="9"/>
  <c r="L333" i="9"/>
  <c r="M333" i="9"/>
  <c r="A334" i="9"/>
  <c r="B334" i="9"/>
  <c r="D334" i="9"/>
  <c r="E334" i="9"/>
  <c r="G334" i="9"/>
  <c r="H334" i="9"/>
  <c r="I334" i="9"/>
  <c r="J334" i="9"/>
  <c r="K334" i="9"/>
  <c r="L334" i="9"/>
  <c r="M334" i="9"/>
  <c r="A335" i="9"/>
  <c r="B335" i="9"/>
  <c r="D335" i="9"/>
  <c r="E335" i="9"/>
  <c r="G335" i="9"/>
  <c r="H335" i="9"/>
  <c r="I335" i="9"/>
  <c r="J335" i="9"/>
  <c r="K335" i="9"/>
  <c r="L335" i="9"/>
  <c r="M335" i="9"/>
  <c r="A336" i="9"/>
  <c r="B336" i="9"/>
  <c r="D336" i="9"/>
  <c r="E336" i="9"/>
  <c r="G336" i="9"/>
  <c r="H336" i="9"/>
  <c r="I336" i="9"/>
  <c r="J336" i="9"/>
  <c r="K336" i="9"/>
  <c r="L336" i="9"/>
  <c r="M336" i="9"/>
  <c r="A337" i="9"/>
  <c r="B337" i="9"/>
  <c r="D337" i="9"/>
  <c r="E337" i="9"/>
  <c r="G337" i="9"/>
  <c r="H337" i="9"/>
  <c r="I337" i="9"/>
  <c r="J337" i="9"/>
  <c r="K337" i="9"/>
  <c r="L337" i="9"/>
  <c r="M337" i="9"/>
  <c r="A338" i="9"/>
  <c r="B338" i="9"/>
  <c r="D338" i="9"/>
  <c r="E338" i="9"/>
  <c r="G338" i="9"/>
  <c r="H338" i="9"/>
  <c r="I338" i="9"/>
  <c r="J338" i="9"/>
  <c r="K338" i="9"/>
  <c r="L338" i="9"/>
  <c r="M338" i="9"/>
  <c r="A339" i="9"/>
  <c r="B339" i="9"/>
  <c r="D339" i="9"/>
  <c r="E339" i="9"/>
  <c r="G339" i="9"/>
  <c r="H339" i="9"/>
  <c r="I339" i="9"/>
  <c r="J339" i="9"/>
  <c r="K339" i="9"/>
  <c r="L339" i="9"/>
  <c r="M339" i="9"/>
  <c r="A340" i="9"/>
  <c r="B340" i="9"/>
  <c r="D340" i="9"/>
  <c r="E340" i="9"/>
  <c r="G340" i="9"/>
  <c r="H340" i="9"/>
  <c r="I340" i="9"/>
  <c r="J340" i="9"/>
  <c r="K340" i="9"/>
  <c r="L340" i="9"/>
  <c r="M340" i="9"/>
  <c r="A341" i="9"/>
  <c r="B341" i="9"/>
  <c r="D341" i="9"/>
  <c r="E341" i="9"/>
  <c r="G341" i="9"/>
  <c r="H341" i="9"/>
  <c r="I341" i="9"/>
  <c r="J341" i="9"/>
  <c r="K341" i="9"/>
  <c r="L341" i="9"/>
  <c r="M341" i="9"/>
  <c r="A342" i="9"/>
  <c r="B342" i="9"/>
  <c r="D342" i="9"/>
  <c r="E342" i="9"/>
  <c r="G342" i="9"/>
  <c r="H342" i="9"/>
  <c r="I342" i="9"/>
  <c r="J342" i="9"/>
  <c r="K342" i="9"/>
  <c r="L342" i="9"/>
  <c r="M342" i="9"/>
  <c r="A343" i="9"/>
  <c r="B343" i="9"/>
  <c r="D343" i="9"/>
  <c r="E343" i="9"/>
  <c r="G343" i="9"/>
  <c r="H343" i="9"/>
  <c r="I343" i="9"/>
  <c r="J343" i="9"/>
  <c r="K343" i="9"/>
  <c r="L343" i="9"/>
  <c r="M343" i="9"/>
  <c r="A344" i="9"/>
  <c r="B344" i="9"/>
  <c r="D344" i="9"/>
  <c r="E344" i="9"/>
  <c r="G344" i="9"/>
  <c r="H344" i="9"/>
  <c r="I344" i="9"/>
  <c r="J344" i="9"/>
  <c r="K344" i="9"/>
  <c r="L344" i="9"/>
  <c r="M344" i="9"/>
  <c r="A345" i="9"/>
  <c r="B345" i="9"/>
  <c r="D345" i="9"/>
  <c r="E345" i="9"/>
  <c r="G345" i="9"/>
  <c r="H345" i="9"/>
  <c r="I345" i="9"/>
  <c r="J345" i="9"/>
  <c r="K345" i="9"/>
  <c r="L345" i="9"/>
  <c r="M345" i="9"/>
  <c r="A346" i="9"/>
  <c r="B346" i="9"/>
  <c r="D346" i="9"/>
  <c r="E346" i="9"/>
  <c r="G346" i="9"/>
  <c r="H346" i="9"/>
  <c r="I346" i="9"/>
  <c r="J346" i="9"/>
  <c r="K346" i="9"/>
  <c r="L346" i="9"/>
  <c r="M346" i="9"/>
  <c r="A347" i="9"/>
  <c r="B347" i="9"/>
  <c r="D347" i="9"/>
  <c r="E347" i="9"/>
  <c r="G347" i="9"/>
  <c r="H347" i="9"/>
  <c r="I347" i="9"/>
  <c r="J347" i="9"/>
  <c r="K347" i="9"/>
  <c r="L347" i="9"/>
  <c r="M347" i="9"/>
  <c r="A348" i="9"/>
  <c r="B348" i="9"/>
  <c r="D348" i="9"/>
  <c r="E348" i="9"/>
  <c r="G348" i="9"/>
  <c r="H348" i="9"/>
  <c r="I348" i="9"/>
  <c r="J348" i="9"/>
  <c r="K348" i="9"/>
  <c r="L348" i="9"/>
  <c r="M348" i="9"/>
  <c r="A349" i="9"/>
  <c r="B349" i="9"/>
  <c r="D349" i="9"/>
  <c r="E349" i="9"/>
  <c r="G349" i="9"/>
  <c r="H349" i="9"/>
  <c r="I349" i="9"/>
  <c r="J349" i="9"/>
  <c r="K349" i="9"/>
  <c r="L349" i="9"/>
  <c r="M349" i="9"/>
  <c r="A350" i="9"/>
  <c r="B350" i="9"/>
  <c r="D350" i="9"/>
  <c r="E350" i="9"/>
  <c r="G350" i="9"/>
  <c r="H350" i="9"/>
  <c r="I350" i="9"/>
  <c r="J350" i="9"/>
  <c r="K350" i="9"/>
  <c r="L350" i="9"/>
  <c r="M350" i="9"/>
  <c r="A351" i="9"/>
  <c r="B351" i="9"/>
  <c r="D351" i="9"/>
  <c r="E351" i="9"/>
  <c r="G351" i="9"/>
  <c r="H351" i="9"/>
  <c r="I351" i="9"/>
  <c r="J351" i="9"/>
  <c r="K351" i="9"/>
  <c r="L351" i="9"/>
  <c r="M351" i="9"/>
  <c r="A352" i="9"/>
  <c r="B352" i="9"/>
  <c r="D352" i="9"/>
  <c r="E352" i="9"/>
  <c r="G352" i="9"/>
  <c r="H352" i="9"/>
  <c r="I352" i="9"/>
  <c r="J352" i="9"/>
  <c r="K352" i="9"/>
  <c r="L352" i="9"/>
  <c r="M352" i="9"/>
  <c r="A353" i="9"/>
  <c r="B353" i="9"/>
  <c r="D353" i="9"/>
  <c r="E353" i="9"/>
  <c r="G353" i="9"/>
  <c r="H353" i="9"/>
  <c r="I353" i="9"/>
  <c r="J353" i="9"/>
  <c r="K353" i="9"/>
  <c r="L353" i="9"/>
  <c r="M353" i="9"/>
  <c r="A354" i="9"/>
  <c r="B354" i="9"/>
  <c r="D354" i="9"/>
  <c r="E354" i="9"/>
  <c r="G354" i="9"/>
  <c r="H354" i="9"/>
  <c r="I354" i="9"/>
  <c r="J354" i="9"/>
  <c r="K354" i="9"/>
  <c r="L354" i="9"/>
  <c r="M354" i="9"/>
  <c r="A355" i="9"/>
  <c r="B355" i="9"/>
  <c r="D355" i="9"/>
  <c r="E355" i="9"/>
  <c r="G355" i="9"/>
  <c r="H355" i="9"/>
  <c r="I355" i="9"/>
  <c r="J355" i="9"/>
  <c r="K355" i="9"/>
  <c r="L355" i="9"/>
  <c r="M355" i="9"/>
  <c r="A356" i="9"/>
  <c r="B356" i="9"/>
  <c r="D356" i="9"/>
  <c r="E356" i="9"/>
  <c r="G356" i="9"/>
  <c r="H356" i="9"/>
  <c r="I356" i="9"/>
  <c r="J356" i="9"/>
  <c r="K356" i="9"/>
  <c r="L356" i="9"/>
  <c r="M356" i="9"/>
  <c r="A357" i="9"/>
  <c r="B357" i="9"/>
  <c r="D357" i="9"/>
  <c r="E357" i="9"/>
  <c r="G357" i="9"/>
  <c r="H357" i="9"/>
  <c r="I357" i="9"/>
  <c r="J357" i="9"/>
  <c r="K357" i="9"/>
  <c r="L357" i="9"/>
  <c r="M357" i="9"/>
  <c r="A358" i="9"/>
  <c r="B358" i="9"/>
  <c r="D358" i="9"/>
  <c r="E358" i="9"/>
  <c r="G358" i="9"/>
  <c r="H358" i="9"/>
  <c r="I358" i="9"/>
  <c r="J358" i="9"/>
  <c r="K358" i="9"/>
  <c r="L358" i="9"/>
  <c r="M358" i="9"/>
  <c r="A359" i="9"/>
  <c r="B359" i="9"/>
  <c r="D359" i="9"/>
  <c r="E359" i="9"/>
  <c r="G359" i="9"/>
  <c r="H359" i="9"/>
  <c r="I359" i="9"/>
  <c r="J359" i="9"/>
  <c r="K359" i="9"/>
  <c r="L359" i="9"/>
  <c r="M359" i="9"/>
  <c r="A360" i="9"/>
  <c r="B360" i="9"/>
  <c r="D360" i="9"/>
  <c r="E360" i="9"/>
  <c r="G360" i="9"/>
  <c r="H360" i="9"/>
  <c r="I360" i="9"/>
  <c r="J360" i="9"/>
  <c r="K360" i="9"/>
  <c r="L360" i="9"/>
  <c r="M360" i="9"/>
  <c r="A361" i="9"/>
  <c r="B361" i="9"/>
  <c r="D361" i="9"/>
  <c r="E361" i="9"/>
  <c r="G361" i="9"/>
  <c r="H361" i="9"/>
  <c r="I361" i="9"/>
  <c r="J361" i="9"/>
  <c r="K361" i="9"/>
  <c r="L361" i="9"/>
  <c r="M361" i="9"/>
  <c r="A362" i="9"/>
  <c r="B362" i="9"/>
  <c r="D362" i="9"/>
  <c r="E362" i="9"/>
  <c r="G362" i="9"/>
  <c r="H362" i="9"/>
  <c r="I362" i="9"/>
  <c r="J362" i="9"/>
  <c r="K362" i="9"/>
  <c r="L362" i="9"/>
  <c r="M362" i="9"/>
  <c r="A363" i="9"/>
  <c r="B363" i="9"/>
  <c r="D363" i="9"/>
  <c r="E363" i="9"/>
  <c r="G363" i="9"/>
  <c r="H363" i="9"/>
  <c r="I363" i="9"/>
  <c r="J363" i="9"/>
  <c r="K363" i="9"/>
  <c r="L363" i="9"/>
  <c r="M363" i="9"/>
  <c r="A364" i="9"/>
  <c r="B364" i="9"/>
  <c r="D364" i="9"/>
  <c r="E364" i="9"/>
  <c r="G364" i="9"/>
  <c r="H364" i="9"/>
  <c r="I364" i="9"/>
  <c r="J364" i="9"/>
  <c r="K364" i="9"/>
  <c r="L364" i="9"/>
  <c r="M364" i="9"/>
  <c r="A365" i="9"/>
  <c r="B365" i="9"/>
  <c r="D365" i="9"/>
  <c r="E365" i="9"/>
  <c r="G365" i="9"/>
  <c r="H365" i="9"/>
  <c r="I365" i="9"/>
  <c r="J365" i="9"/>
  <c r="K365" i="9"/>
  <c r="L365" i="9"/>
  <c r="M365" i="9"/>
  <c r="A366" i="9"/>
  <c r="B366" i="9"/>
  <c r="D366" i="9"/>
  <c r="E366" i="9"/>
  <c r="G366" i="9"/>
  <c r="H366" i="9"/>
  <c r="I366" i="9"/>
  <c r="J366" i="9"/>
  <c r="K366" i="9"/>
  <c r="L366" i="9"/>
  <c r="M366" i="9"/>
  <c r="A367" i="9"/>
  <c r="B367" i="9"/>
  <c r="D367" i="9"/>
  <c r="E367" i="9"/>
  <c r="G367" i="9"/>
  <c r="H367" i="9"/>
  <c r="I367" i="9"/>
  <c r="J367" i="9"/>
  <c r="K367" i="9"/>
  <c r="L367" i="9"/>
  <c r="M367" i="9"/>
  <c r="A368" i="9"/>
  <c r="B368" i="9"/>
  <c r="D368" i="9"/>
  <c r="E368" i="9"/>
  <c r="G368" i="9"/>
  <c r="H368" i="9"/>
  <c r="I368" i="9"/>
  <c r="J368" i="9"/>
  <c r="K368" i="9"/>
  <c r="L368" i="9"/>
  <c r="M368" i="9"/>
  <c r="A369" i="9"/>
  <c r="B369" i="9"/>
  <c r="D369" i="9"/>
  <c r="E369" i="9"/>
  <c r="G369" i="9"/>
  <c r="H369" i="9"/>
  <c r="I369" i="9"/>
  <c r="J369" i="9"/>
  <c r="K369" i="9"/>
  <c r="L369" i="9"/>
  <c r="M369" i="9"/>
  <c r="A370" i="9"/>
  <c r="B370" i="9"/>
  <c r="D370" i="9"/>
  <c r="E370" i="9"/>
  <c r="G370" i="9"/>
  <c r="H370" i="9"/>
  <c r="I370" i="9"/>
  <c r="J370" i="9"/>
  <c r="K370" i="9"/>
  <c r="L370" i="9"/>
  <c r="M370" i="9"/>
  <c r="A371" i="9"/>
  <c r="B371" i="9"/>
  <c r="D371" i="9"/>
  <c r="E371" i="9"/>
  <c r="G371" i="9"/>
  <c r="H371" i="9"/>
  <c r="I371" i="9"/>
  <c r="J371" i="9"/>
  <c r="K371" i="9"/>
  <c r="L371" i="9"/>
  <c r="M371" i="9"/>
  <c r="A372" i="9"/>
  <c r="B372" i="9"/>
  <c r="D372" i="9"/>
  <c r="E372" i="9"/>
  <c r="G372" i="9"/>
  <c r="H372" i="9"/>
  <c r="I372" i="9"/>
  <c r="J372" i="9"/>
  <c r="K372" i="9"/>
  <c r="L372" i="9"/>
  <c r="M372" i="9"/>
  <c r="A373" i="9"/>
  <c r="B373" i="9"/>
  <c r="D373" i="9"/>
  <c r="E373" i="9"/>
  <c r="G373" i="9"/>
  <c r="H373" i="9"/>
  <c r="I373" i="9"/>
  <c r="J373" i="9"/>
  <c r="K373" i="9"/>
  <c r="L373" i="9"/>
  <c r="M373" i="9"/>
  <c r="A374" i="9"/>
  <c r="B374" i="9"/>
  <c r="D374" i="9"/>
  <c r="E374" i="9"/>
  <c r="G374" i="9"/>
  <c r="H374" i="9"/>
  <c r="I374" i="9"/>
  <c r="J374" i="9"/>
  <c r="K374" i="9"/>
  <c r="L374" i="9"/>
  <c r="M374" i="9"/>
  <c r="A375" i="9"/>
  <c r="B375" i="9"/>
  <c r="D375" i="9"/>
  <c r="E375" i="9"/>
  <c r="G375" i="9"/>
  <c r="H375" i="9"/>
  <c r="I375" i="9"/>
  <c r="J375" i="9"/>
  <c r="K375" i="9"/>
  <c r="L375" i="9"/>
  <c r="M375" i="9"/>
  <c r="A376" i="9"/>
  <c r="B376" i="9"/>
  <c r="D376" i="9"/>
  <c r="E376" i="9"/>
  <c r="G376" i="9"/>
  <c r="H376" i="9"/>
  <c r="I376" i="9"/>
  <c r="J376" i="9"/>
  <c r="K376" i="9"/>
  <c r="L376" i="9"/>
  <c r="M376" i="9"/>
  <c r="A377" i="9"/>
  <c r="B377" i="9"/>
  <c r="D377" i="9"/>
  <c r="E377" i="9"/>
  <c r="G377" i="9"/>
  <c r="H377" i="9"/>
  <c r="I377" i="9"/>
  <c r="J377" i="9"/>
  <c r="K377" i="9"/>
  <c r="L377" i="9"/>
  <c r="M377" i="9"/>
  <c r="A378" i="9"/>
  <c r="B378" i="9"/>
  <c r="D378" i="9"/>
  <c r="E378" i="9"/>
  <c r="G378" i="9"/>
  <c r="H378" i="9"/>
  <c r="I378" i="9"/>
  <c r="J378" i="9"/>
  <c r="K378" i="9"/>
  <c r="L378" i="9"/>
  <c r="M378" i="9"/>
  <c r="A379" i="9"/>
  <c r="B379" i="9"/>
  <c r="D379" i="9"/>
  <c r="E379" i="9"/>
  <c r="G379" i="9"/>
  <c r="H379" i="9"/>
  <c r="I379" i="9"/>
  <c r="J379" i="9"/>
  <c r="K379" i="9"/>
  <c r="L379" i="9"/>
  <c r="M379" i="9"/>
  <c r="A380" i="9"/>
  <c r="B380" i="9"/>
  <c r="D380" i="9"/>
  <c r="E380" i="9"/>
  <c r="G380" i="9"/>
  <c r="H380" i="9"/>
  <c r="I380" i="9"/>
  <c r="J380" i="9"/>
  <c r="K380" i="9"/>
  <c r="L380" i="9"/>
  <c r="M380" i="9"/>
  <c r="A381" i="9"/>
  <c r="B381" i="9"/>
  <c r="D381" i="9"/>
  <c r="E381" i="9"/>
  <c r="G381" i="9"/>
  <c r="H381" i="9"/>
  <c r="I381" i="9"/>
  <c r="J381" i="9"/>
  <c r="K381" i="9"/>
  <c r="L381" i="9"/>
  <c r="M381" i="9"/>
  <c r="A382" i="9"/>
  <c r="B382" i="9"/>
  <c r="D382" i="9"/>
  <c r="E382" i="9"/>
  <c r="G382" i="9"/>
  <c r="H382" i="9"/>
  <c r="I382" i="9"/>
  <c r="J382" i="9"/>
  <c r="K382" i="9"/>
  <c r="L382" i="9"/>
  <c r="M382" i="9"/>
  <c r="A383" i="9"/>
  <c r="B383" i="9"/>
  <c r="D383" i="9"/>
  <c r="E383" i="9"/>
  <c r="G383" i="9"/>
  <c r="H383" i="9"/>
  <c r="I383" i="9"/>
  <c r="J383" i="9"/>
  <c r="K383" i="9"/>
  <c r="L383" i="9"/>
  <c r="M383" i="9"/>
  <c r="A384" i="9"/>
  <c r="B384" i="9"/>
  <c r="D384" i="9"/>
  <c r="E384" i="9"/>
  <c r="G384" i="9"/>
  <c r="H384" i="9"/>
  <c r="I384" i="9"/>
  <c r="J384" i="9"/>
  <c r="K384" i="9"/>
  <c r="L384" i="9"/>
  <c r="M384" i="9"/>
  <c r="A385" i="9"/>
  <c r="B385" i="9"/>
  <c r="D385" i="9"/>
  <c r="E385" i="9"/>
  <c r="G385" i="9"/>
  <c r="H385" i="9"/>
  <c r="I385" i="9"/>
  <c r="J385" i="9"/>
  <c r="K385" i="9"/>
  <c r="L385" i="9"/>
  <c r="M385" i="9"/>
  <c r="A386" i="9"/>
  <c r="B386" i="9"/>
  <c r="D386" i="9"/>
  <c r="E386" i="9"/>
  <c r="G386" i="9"/>
  <c r="H386" i="9"/>
  <c r="I386" i="9"/>
  <c r="J386" i="9"/>
  <c r="K386" i="9"/>
  <c r="L386" i="9"/>
  <c r="M386" i="9"/>
  <c r="A387" i="9"/>
  <c r="B387" i="9"/>
  <c r="D387" i="9"/>
  <c r="E387" i="9"/>
  <c r="G387" i="9"/>
  <c r="H387" i="9"/>
  <c r="I387" i="9"/>
  <c r="J387" i="9"/>
  <c r="K387" i="9"/>
  <c r="L387" i="9"/>
  <c r="M387" i="9"/>
  <c r="A388" i="9"/>
  <c r="B388" i="9"/>
  <c r="D388" i="9"/>
  <c r="E388" i="9"/>
  <c r="G388" i="9"/>
  <c r="H388" i="9"/>
  <c r="I388" i="9"/>
  <c r="J388" i="9"/>
  <c r="K388" i="9"/>
  <c r="L388" i="9"/>
  <c r="M388" i="9"/>
  <c r="A389" i="9"/>
  <c r="B389" i="9"/>
  <c r="D389" i="9"/>
  <c r="E389" i="9"/>
  <c r="G389" i="9"/>
  <c r="H389" i="9"/>
  <c r="I389" i="9"/>
  <c r="J389" i="9"/>
  <c r="K389" i="9"/>
  <c r="L389" i="9"/>
  <c r="M389" i="9"/>
  <c r="A390" i="9"/>
  <c r="B390" i="9"/>
  <c r="D390" i="9"/>
  <c r="E390" i="9"/>
  <c r="G390" i="9"/>
  <c r="H390" i="9"/>
  <c r="I390" i="9"/>
  <c r="J390" i="9"/>
  <c r="K390" i="9"/>
  <c r="L390" i="9"/>
  <c r="M390" i="9"/>
  <c r="A391" i="9"/>
  <c r="B391" i="9"/>
  <c r="D391" i="9"/>
  <c r="E391" i="9"/>
  <c r="G391" i="9"/>
  <c r="H391" i="9"/>
  <c r="I391" i="9"/>
  <c r="J391" i="9"/>
  <c r="K391" i="9"/>
  <c r="L391" i="9"/>
  <c r="M391" i="9"/>
  <c r="A392" i="9"/>
  <c r="B392" i="9"/>
  <c r="D392" i="9"/>
  <c r="E392" i="9"/>
  <c r="G392" i="9"/>
  <c r="H392" i="9"/>
  <c r="I392" i="9"/>
  <c r="J392" i="9"/>
  <c r="K392" i="9"/>
  <c r="L392" i="9"/>
  <c r="M392" i="9"/>
  <c r="A393" i="9"/>
  <c r="B393" i="9"/>
  <c r="D393" i="9"/>
  <c r="E393" i="9"/>
  <c r="G393" i="9"/>
  <c r="H393" i="9"/>
  <c r="I393" i="9"/>
  <c r="J393" i="9"/>
  <c r="K393" i="9"/>
  <c r="L393" i="9"/>
  <c r="M393" i="9"/>
  <c r="A394" i="9"/>
  <c r="B394" i="9"/>
  <c r="D394" i="9"/>
  <c r="E394" i="9"/>
  <c r="G394" i="9"/>
  <c r="H394" i="9"/>
  <c r="I394" i="9"/>
  <c r="J394" i="9"/>
  <c r="K394" i="9"/>
  <c r="L394" i="9"/>
  <c r="M394" i="9"/>
  <c r="A395" i="9"/>
  <c r="B395" i="9"/>
  <c r="D395" i="9"/>
  <c r="E395" i="9"/>
  <c r="G395" i="9"/>
  <c r="H395" i="9"/>
  <c r="I395" i="9"/>
  <c r="J395" i="9"/>
  <c r="K395" i="9"/>
  <c r="L395" i="9"/>
  <c r="M395" i="9"/>
  <c r="A396" i="9"/>
  <c r="B396" i="9"/>
  <c r="D396" i="9"/>
  <c r="E396" i="9"/>
  <c r="G396" i="9"/>
  <c r="H396" i="9"/>
  <c r="I396" i="9"/>
  <c r="J396" i="9"/>
  <c r="K396" i="9"/>
  <c r="L396" i="9"/>
  <c r="M396" i="9"/>
  <c r="A397" i="9"/>
  <c r="B397" i="9"/>
  <c r="D397" i="9"/>
  <c r="E397" i="9"/>
  <c r="G397" i="9"/>
  <c r="H397" i="9"/>
  <c r="I397" i="9"/>
  <c r="J397" i="9"/>
  <c r="K397" i="9"/>
  <c r="L397" i="9"/>
  <c r="M397" i="9"/>
  <c r="A398" i="9"/>
  <c r="B398" i="9"/>
  <c r="D398" i="9"/>
  <c r="E398" i="9"/>
  <c r="G398" i="9"/>
  <c r="H398" i="9"/>
  <c r="I398" i="9"/>
  <c r="J398" i="9"/>
  <c r="K398" i="9"/>
  <c r="L398" i="9"/>
  <c r="M398" i="9"/>
  <c r="A399" i="9"/>
  <c r="B399" i="9"/>
  <c r="D399" i="9"/>
  <c r="E399" i="9"/>
  <c r="G399" i="9"/>
  <c r="H399" i="9"/>
  <c r="I399" i="9"/>
  <c r="J399" i="9"/>
  <c r="K399" i="9"/>
  <c r="L399" i="9"/>
  <c r="M399" i="9"/>
  <c r="A400" i="9"/>
  <c r="B400" i="9"/>
  <c r="D400" i="9"/>
  <c r="E400" i="9"/>
  <c r="G400" i="9"/>
  <c r="H400" i="9"/>
  <c r="I400" i="9"/>
  <c r="J400" i="9"/>
  <c r="K400" i="9"/>
  <c r="L400" i="9"/>
  <c r="M400" i="9"/>
  <c r="A401" i="9"/>
  <c r="B401" i="9"/>
  <c r="D401" i="9"/>
  <c r="E401" i="9"/>
  <c r="G401" i="9"/>
  <c r="H401" i="9"/>
  <c r="I401" i="9"/>
  <c r="J401" i="9"/>
  <c r="K401" i="9"/>
  <c r="L401" i="9"/>
  <c r="M401" i="9"/>
  <c r="A402" i="9"/>
  <c r="B402" i="9"/>
  <c r="D402" i="9"/>
  <c r="E402" i="9"/>
  <c r="G402" i="9"/>
  <c r="H402" i="9"/>
  <c r="I402" i="9"/>
  <c r="J402" i="9"/>
  <c r="K402" i="9"/>
  <c r="L402" i="9"/>
  <c r="M402" i="9"/>
  <c r="A403" i="9"/>
  <c r="B403" i="9"/>
  <c r="D403" i="9"/>
  <c r="E403" i="9"/>
  <c r="G403" i="9"/>
  <c r="H403" i="9"/>
  <c r="I403" i="9"/>
  <c r="J403" i="9"/>
  <c r="K403" i="9"/>
  <c r="L403" i="9"/>
  <c r="M403" i="9"/>
  <c r="A404" i="9"/>
  <c r="B404" i="9"/>
  <c r="D404" i="9"/>
  <c r="E404" i="9"/>
  <c r="G404" i="9"/>
  <c r="H404" i="9"/>
  <c r="I404" i="9"/>
  <c r="J404" i="9"/>
  <c r="K404" i="9"/>
  <c r="L404" i="9"/>
  <c r="M404" i="9"/>
  <c r="A405" i="9"/>
  <c r="B405" i="9"/>
  <c r="D405" i="9"/>
  <c r="E405" i="9"/>
  <c r="G405" i="9"/>
  <c r="H405" i="9"/>
  <c r="I405" i="9"/>
  <c r="J405" i="9"/>
  <c r="K405" i="9"/>
  <c r="L405" i="9"/>
  <c r="M405" i="9"/>
  <c r="A406" i="9"/>
  <c r="B406" i="9"/>
  <c r="D406" i="9"/>
  <c r="E406" i="9"/>
  <c r="G406" i="9"/>
  <c r="H406" i="9"/>
  <c r="I406" i="9"/>
  <c r="J406" i="9"/>
  <c r="K406" i="9"/>
  <c r="L406" i="9"/>
  <c r="M406" i="9"/>
  <c r="A407" i="9"/>
  <c r="B407" i="9"/>
  <c r="D407" i="9"/>
  <c r="E407" i="9"/>
  <c r="G407" i="9"/>
  <c r="H407" i="9"/>
  <c r="I407" i="9"/>
  <c r="J407" i="9"/>
  <c r="K407" i="9"/>
  <c r="L407" i="9"/>
  <c r="M407" i="9"/>
  <c r="A408" i="9"/>
  <c r="B408" i="9"/>
  <c r="D408" i="9"/>
  <c r="E408" i="9"/>
  <c r="G408" i="9"/>
  <c r="H408" i="9"/>
  <c r="I408" i="9"/>
  <c r="J408" i="9"/>
  <c r="K408" i="9"/>
  <c r="L408" i="9"/>
  <c r="M408" i="9"/>
  <c r="A409" i="9"/>
  <c r="B409" i="9"/>
  <c r="D409" i="9"/>
  <c r="E409" i="9"/>
  <c r="G409" i="9"/>
  <c r="H409" i="9"/>
  <c r="I409" i="9"/>
  <c r="J409" i="9"/>
  <c r="K409" i="9"/>
  <c r="L409" i="9"/>
  <c r="M409" i="9"/>
  <c r="A410" i="9"/>
  <c r="B410" i="9"/>
  <c r="D410" i="9"/>
  <c r="E410" i="9"/>
  <c r="G410" i="9"/>
  <c r="H410" i="9"/>
  <c r="I410" i="9"/>
  <c r="J410" i="9"/>
  <c r="K410" i="9"/>
  <c r="L410" i="9"/>
  <c r="M410" i="9"/>
  <c r="A411" i="9"/>
  <c r="B411" i="9"/>
  <c r="D411" i="9"/>
  <c r="E411" i="9"/>
  <c r="G411" i="9"/>
  <c r="H411" i="9"/>
  <c r="I411" i="9"/>
  <c r="J411" i="9"/>
  <c r="K411" i="9"/>
  <c r="L411" i="9"/>
  <c r="M411" i="9"/>
  <c r="A412" i="9"/>
  <c r="B412" i="9"/>
  <c r="D412" i="9"/>
  <c r="E412" i="9"/>
  <c r="G412" i="9"/>
  <c r="H412" i="9"/>
  <c r="I412" i="9"/>
  <c r="J412" i="9"/>
  <c r="K412" i="9"/>
  <c r="L412" i="9"/>
  <c r="M412" i="9"/>
  <c r="A413" i="9"/>
  <c r="B413" i="9"/>
  <c r="D413" i="9"/>
  <c r="E413" i="9"/>
  <c r="G413" i="9"/>
  <c r="H413" i="9"/>
  <c r="I413" i="9"/>
  <c r="J413" i="9"/>
  <c r="K413" i="9"/>
  <c r="L413" i="9"/>
  <c r="M413" i="9"/>
  <c r="A414" i="9"/>
  <c r="B414" i="9"/>
  <c r="D414" i="9"/>
  <c r="E414" i="9"/>
  <c r="G414" i="9"/>
  <c r="H414" i="9"/>
  <c r="I414" i="9"/>
  <c r="J414" i="9"/>
  <c r="K414" i="9"/>
  <c r="L414" i="9"/>
  <c r="M414" i="9"/>
  <c r="A415" i="9"/>
  <c r="B415" i="9"/>
  <c r="D415" i="9"/>
  <c r="E415" i="9"/>
  <c r="G415" i="9"/>
  <c r="H415" i="9"/>
  <c r="I415" i="9"/>
  <c r="J415" i="9"/>
  <c r="K415" i="9"/>
  <c r="L415" i="9"/>
  <c r="M415" i="9"/>
  <c r="A416" i="9"/>
  <c r="B416" i="9"/>
  <c r="D416" i="9"/>
  <c r="E416" i="9"/>
  <c r="G416" i="9"/>
  <c r="H416" i="9"/>
  <c r="I416" i="9"/>
  <c r="J416" i="9"/>
  <c r="K416" i="9"/>
  <c r="L416" i="9"/>
  <c r="M416" i="9"/>
  <c r="A417" i="9"/>
  <c r="B417" i="9"/>
  <c r="D417" i="9"/>
  <c r="E417" i="9"/>
  <c r="G417" i="9"/>
  <c r="H417" i="9"/>
  <c r="I417" i="9"/>
  <c r="J417" i="9"/>
  <c r="K417" i="9"/>
  <c r="L417" i="9"/>
  <c r="M417" i="9"/>
  <c r="A418" i="9"/>
  <c r="B418" i="9"/>
  <c r="D418" i="9"/>
  <c r="E418" i="9"/>
  <c r="G418" i="9"/>
  <c r="H418" i="9"/>
  <c r="I418" i="9"/>
  <c r="J418" i="9"/>
  <c r="K418" i="9"/>
  <c r="L418" i="9"/>
  <c r="M418" i="9"/>
  <c r="A419" i="9"/>
  <c r="B419" i="9"/>
  <c r="D419" i="9"/>
  <c r="E419" i="9"/>
  <c r="G419" i="9"/>
  <c r="H419" i="9"/>
  <c r="I419" i="9"/>
  <c r="J419" i="9"/>
  <c r="K419" i="9"/>
  <c r="L419" i="9"/>
  <c r="M419" i="9"/>
  <c r="A420" i="9"/>
  <c r="B420" i="9"/>
  <c r="D420" i="9"/>
  <c r="E420" i="9"/>
  <c r="G420" i="9"/>
  <c r="H420" i="9"/>
  <c r="I420" i="9"/>
  <c r="J420" i="9"/>
  <c r="K420" i="9"/>
  <c r="L420" i="9"/>
  <c r="M420" i="9"/>
  <c r="A421" i="9"/>
  <c r="B421" i="9"/>
  <c r="D421" i="9"/>
  <c r="E421" i="9"/>
  <c r="G421" i="9"/>
  <c r="H421" i="9"/>
  <c r="I421" i="9"/>
  <c r="J421" i="9"/>
  <c r="K421" i="9"/>
  <c r="L421" i="9"/>
  <c r="M421" i="9"/>
  <c r="A422" i="9"/>
  <c r="B422" i="9"/>
  <c r="D422" i="9"/>
  <c r="E422" i="9"/>
  <c r="G422" i="9"/>
  <c r="H422" i="9"/>
  <c r="I422" i="9"/>
  <c r="J422" i="9"/>
  <c r="K422" i="9"/>
  <c r="L422" i="9"/>
  <c r="M422" i="9"/>
  <c r="A423" i="9"/>
  <c r="B423" i="9"/>
  <c r="D423" i="9"/>
  <c r="E423" i="9"/>
  <c r="G423" i="9"/>
  <c r="H423" i="9"/>
  <c r="I423" i="9"/>
  <c r="J423" i="9"/>
  <c r="K423" i="9"/>
  <c r="L423" i="9"/>
  <c r="M423" i="9"/>
  <c r="A424" i="9"/>
  <c r="B424" i="9"/>
  <c r="D424" i="9"/>
  <c r="E424" i="9"/>
  <c r="G424" i="9"/>
  <c r="H424" i="9"/>
  <c r="I424" i="9"/>
  <c r="J424" i="9"/>
  <c r="K424" i="9"/>
  <c r="L424" i="9"/>
  <c r="M424" i="9"/>
  <c r="A425" i="9"/>
  <c r="B425" i="9"/>
  <c r="D425" i="9"/>
  <c r="E425" i="9"/>
  <c r="G425" i="9"/>
  <c r="H425" i="9"/>
  <c r="I425" i="9"/>
  <c r="J425" i="9"/>
  <c r="K425" i="9"/>
  <c r="L425" i="9"/>
  <c r="M425" i="9"/>
  <c r="A426" i="9"/>
  <c r="B426" i="9"/>
  <c r="D426" i="9"/>
  <c r="E426" i="9"/>
  <c r="G426" i="9"/>
  <c r="H426" i="9"/>
  <c r="I426" i="9"/>
  <c r="J426" i="9"/>
  <c r="K426" i="9"/>
  <c r="L426" i="9"/>
  <c r="M426" i="9"/>
  <c r="A427" i="9"/>
  <c r="B427" i="9"/>
  <c r="D427" i="9"/>
  <c r="E427" i="9"/>
  <c r="G427" i="9"/>
  <c r="H427" i="9"/>
  <c r="I427" i="9"/>
  <c r="J427" i="9"/>
  <c r="K427" i="9"/>
  <c r="L427" i="9"/>
  <c r="M427" i="9"/>
  <c r="A428" i="9"/>
  <c r="B428" i="9"/>
  <c r="D428" i="9"/>
  <c r="E428" i="9"/>
  <c r="G428" i="9"/>
  <c r="H428" i="9"/>
  <c r="I428" i="9"/>
  <c r="J428" i="9"/>
  <c r="K428" i="9"/>
  <c r="L428" i="9"/>
  <c r="M428" i="9"/>
  <c r="A429" i="9"/>
  <c r="B429" i="9"/>
  <c r="D429" i="9"/>
  <c r="E429" i="9"/>
  <c r="G429" i="9"/>
  <c r="H429" i="9"/>
  <c r="I429" i="9"/>
  <c r="J429" i="9"/>
  <c r="K429" i="9"/>
  <c r="L429" i="9"/>
  <c r="M429" i="9"/>
  <c r="A430" i="9"/>
  <c r="B430" i="9"/>
  <c r="D430" i="9"/>
  <c r="E430" i="9"/>
  <c r="G430" i="9"/>
  <c r="H430" i="9"/>
  <c r="I430" i="9"/>
  <c r="J430" i="9"/>
  <c r="K430" i="9"/>
  <c r="L430" i="9"/>
  <c r="M430" i="9"/>
  <c r="A431" i="9"/>
  <c r="B431" i="9"/>
  <c r="D431" i="9"/>
  <c r="E431" i="9"/>
  <c r="G431" i="9"/>
  <c r="H431" i="9"/>
  <c r="I431" i="9"/>
  <c r="J431" i="9"/>
  <c r="K431" i="9"/>
  <c r="L431" i="9"/>
  <c r="M431" i="9"/>
  <c r="A432" i="9"/>
  <c r="B432" i="9"/>
  <c r="D432" i="9"/>
  <c r="E432" i="9"/>
  <c r="G432" i="9"/>
  <c r="H432" i="9"/>
  <c r="I432" i="9"/>
  <c r="J432" i="9"/>
  <c r="K432" i="9"/>
  <c r="L432" i="9"/>
  <c r="M432" i="9"/>
  <c r="A433" i="9"/>
  <c r="B433" i="9"/>
  <c r="D433" i="9"/>
  <c r="E433" i="9"/>
  <c r="G433" i="9"/>
  <c r="H433" i="9"/>
  <c r="I433" i="9"/>
  <c r="J433" i="9"/>
  <c r="K433" i="9"/>
  <c r="L433" i="9"/>
  <c r="M433" i="9"/>
  <c r="A434" i="9"/>
  <c r="B434" i="9"/>
  <c r="D434" i="9"/>
  <c r="E434" i="9"/>
  <c r="G434" i="9"/>
  <c r="H434" i="9"/>
  <c r="I434" i="9"/>
  <c r="J434" i="9"/>
  <c r="K434" i="9"/>
  <c r="L434" i="9"/>
  <c r="M434" i="9"/>
  <c r="A435" i="9"/>
  <c r="B435" i="9"/>
  <c r="D435" i="9"/>
  <c r="E435" i="9"/>
  <c r="G435" i="9"/>
  <c r="H435" i="9"/>
  <c r="I435" i="9"/>
  <c r="J435" i="9"/>
  <c r="K435" i="9"/>
  <c r="L435" i="9"/>
  <c r="M435" i="9"/>
  <c r="A436" i="9"/>
  <c r="B436" i="9"/>
  <c r="D436" i="9"/>
  <c r="E436" i="9"/>
  <c r="G436" i="9"/>
  <c r="H436" i="9"/>
  <c r="I436" i="9"/>
  <c r="J436" i="9"/>
  <c r="K436" i="9"/>
  <c r="L436" i="9"/>
  <c r="M436" i="9"/>
  <c r="A437" i="9"/>
  <c r="B437" i="9"/>
  <c r="D437" i="9"/>
  <c r="E437" i="9"/>
  <c r="G437" i="9"/>
  <c r="H437" i="9"/>
  <c r="I437" i="9"/>
  <c r="J437" i="9"/>
  <c r="K437" i="9"/>
  <c r="L437" i="9"/>
  <c r="M437" i="9"/>
  <c r="A438" i="9"/>
  <c r="B438" i="9"/>
  <c r="D438" i="9"/>
  <c r="E438" i="9"/>
  <c r="G438" i="9"/>
  <c r="H438" i="9"/>
  <c r="I438" i="9"/>
  <c r="J438" i="9"/>
  <c r="K438" i="9"/>
  <c r="L438" i="9"/>
  <c r="M438" i="9"/>
  <c r="A439" i="9"/>
  <c r="B439" i="9"/>
  <c r="D439" i="9"/>
  <c r="E439" i="9"/>
  <c r="G439" i="9"/>
  <c r="H439" i="9"/>
  <c r="I439" i="9"/>
  <c r="J439" i="9"/>
  <c r="K439" i="9"/>
  <c r="L439" i="9"/>
  <c r="M439" i="9"/>
  <c r="A440" i="9"/>
  <c r="B440" i="9"/>
  <c r="D440" i="9"/>
  <c r="E440" i="9"/>
  <c r="G440" i="9"/>
  <c r="H440" i="9"/>
  <c r="I440" i="9"/>
  <c r="J440" i="9"/>
  <c r="K440" i="9"/>
  <c r="L440" i="9"/>
  <c r="M440" i="9"/>
  <c r="A441" i="9"/>
  <c r="B441" i="9"/>
  <c r="D441" i="9"/>
  <c r="E441" i="9"/>
  <c r="G441" i="9"/>
  <c r="H441" i="9"/>
  <c r="I441" i="9"/>
  <c r="J441" i="9"/>
  <c r="K441" i="9"/>
  <c r="L441" i="9"/>
  <c r="M441" i="9"/>
  <c r="A442" i="9"/>
  <c r="B442" i="9"/>
  <c r="D442" i="9"/>
  <c r="E442" i="9"/>
  <c r="G442" i="9"/>
  <c r="H442" i="9"/>
  <c r="I442" i="9"/>
  <c r="J442" i="9"/>
  <c r="K442" i="9"/>
  <c r="L442" i="9"/>
  <c r="M442" i="9"/>
  <c r="A443" i="9"/>
  <c r="B443" i="9"/>
  <c r="D443" i="9"/>
  <c r="E443" i="9"/>
  <c r="G443" i="9"/>
  <c r="H443" i="9"/>
  <c r="I443" i="9"/>
  <c r="J443" i="9"/>
  <c r="K443" i="9"/>
  <c r="L443" i="9"/>
  <c r="M443" i="9"/>
  <c r="A444" i="9"/>
  <c r="B444" i="9"/>
  <c r="D444" i="9"/>
  <c r="E444" i="9"/>
  <c r="G444" i="9"/>
  <c r="H444" i="9"/>
  <c r="I444" i="9"/>
  <c r="J444" i="9"/>
  <c r="K444" i="9"/>
  <c r="L444" i="9"/>
  <c r="M444" i="9"/>
  <c r="A445" i="9"/>
  <c r="B445" i="9"/>
  <c r="D445" i="9"/>
  <c r="E445" i="9"/>
  <c r="G445" i="9"/>
  <c r="H445" i="9"/>
  <c r="I445" i="9"/>
  <c r="J445" i="9"/>
  <c r="K445" i="9"/>
  <c r="L445" i="9"/>
  <c r="M445" i="9"/>
  <c r="A446" i="9"/>
  <c r="B446" i="9"/>
  <c r="D446" i="9"/>
  <c r="E446" i="9"/>
  <c r="G446" i="9"/>
  <c r="H446" i="9"/>
  <c r="I446" i="9"/>
  <c r="J446" i="9"/>
  <c r="K446" i="9"/>
  <c r="L446" i="9"/>
  <c r="M446" i="9"/>
  <c r="A447" i="9"/>
  <c r="B447" i="9"/>
  <c r="D447" i="9"/>
  <c r="E447" i="9"/>
  <c r="G447" i="9"/>
  <c r="H447" i="9"/>
  <c r="I447" i="9"/>
  <c r="J447" i="9"/>
  <c r="K447" i="9"/>
  <c r="L447" i="9"/>
  <c r="M447" i="9"/>
  <c r="A448" i="9"/>
  <c r="B448" i="9"/>
  <c r="D448" i="9"/>
  <c r="E448" i="9"/>
  <c r="G448" i="9"/>
  <c r="H448" i="9"/>
  <c r="I448" i="9"/>
  <c r="J448" i="9"/>
  <c r="K448" i="9"/>
  <c r="L448" i="9"/>
  <c r="M448" i="9"/>
  <c r="A449" i="9"/>
  <c r="B449" i="9"/>
  <c r="D449" i="9"/>
  <c r="E449" i="9"/>
  <c r="G449" i="9"/>
  <c r="H449" i="9"/>
  <c r="I449" i="9"/>
  <c r="J449" i="9"/>
  <c r="K449" i="9"/>
  <c r="L449" i="9"/>
  <c r="M449" i="9"/>
  <c r="A450" i="9"/>
  <c r="B450" i="9"/>
  <c r="D450" i="9"/>
  <c r="E450" i="9"/>
  <c r="G450" i="9"/>
  <c r="H450" i="9"/>
  <c r="I450" i="9"/>
  <c r="J450" i="9"/>
  <c r="K450" i="9"/>
  <c r="L450" i="9"/>
  <c r="M450" i="9"/>
  <c r="A451" i="9"/>
  <c r="B451" i="9"/>
  <c r="D451" i="9"/>
  <c r="E451" i="9"/>
  <c r="G451" i="9"/>
  <c r="H451" i="9"/>
  <c r="I451" i="9"/>
  <c r="J451" i="9"/>
  <c r="K451" i="9"/>
  <c r="L451" i="9"/>
  <c r="M451" i="9"/>
  <c r="A452" i="9"/>
  <c r="B452" i="9"/>
  <c r="D452" i="9"/>
  <c r="E452" i="9"/>
  <c r="G452" i="9"/>
  <c r="H452" i="9"/>
  <c r="I452" i="9"/>
  <c r="J452" i="9"/>
  <c r="K452" i="9"/>
  <c r="L452" i="9"/>
  <c r="M452" i="9"/>
  <c r="A453" i="9"/>
  <c r="B453" i="9"/>
  <c r="D453" i="9"/>
  <c r="E453" i="9"/>
  <c r="G453" i="9"/>
  <c r="H453" i="9"/>
  <c r="I453" i="9"/>
  <c r="J453" i="9"/>
  <c r="K453" i="9"/>
  <c r="L453" i="9"/>
  <c r="M453" i="9"/>
  <c r="A454" i="9"/>
  <c r="B454" i="9"/>
  <c r="D454" i="9"/>
  <c r="E454" i="9"/>
  <c r="G454" i="9"/>
  <c r="H454" i="9"/>
  <c r="I454" i="9"/>
  <c r="J454" i="9"/>
  <c r="K454" i="9"/>
  <c r="L454" i="9"/>
  <c r="M454" i="9"/>
  <c r="A455" i="9"/>
  <c r="B455" i="9"/>
  <c r="D455" i="9"/>
  <c r="E455" i="9"/>
  <c r="G455" i="9"/>
  <c r="H455" i="9"/>
  <c r="I455" i="9"/>
  <c r="J455" i="9"/>
  <c r="K455" i="9"/>
  <c r="L455" i="9"/>
  <c r="M455" i="9"/>
  <c r="A456" i="9"/>
  <c r="B456" i="9"/>
  <c r="D456" i="9"/>
  <c r="E456" i="9"/>
  <c r="G456" i="9"/>
  <c r="H456" i="9"/>
  <c r="I456" i="9"/>
  <c r="J456" i="9"/>
  <c r="K456" i="9"/>
  <c r="L456" i="9"/>
  <c r="M456" i="9"/>
  <c r="A457" i="9"/>
  <c r="B457" i="9"/>
  <c r="D457" i="9"/>
  <c r="E457" i="9"/>
  <c r="G457" i="9"/>
  <c r="H457" i="9"/>
  <c r="I457" i="9"/>
  <c r="J457" i="9"/>
  <c r="K457" i="9"/>
  <c r="L457" i="9"/>
  <c r="M457" i="9"/>
  <c r="A458" i="9"/>
  <c r="B458" i="9"/>
  <c r="D458" i="9"/>
  <c r="E458" i="9"/>
  <c r="G458" i="9"/>
  <c r="H458" i="9"/>
  <c r="I458" i="9"/>
  <c r="J458" i="9"/>
  <c r="K458" i="9"/>
  <c r="L458" i="9"/>
  <c r="M458" i="9"/>
  <c r="A459" i="9"/>
  <c r="B459" i="9"/>
  <c r="D459" i="9"/>
  <c r="E459" i="9"/>
  <c r="G459" i="9"/>
  <c r="H459" i="9"/>
  <c r="I459" i="9"/>
  <c r="J459" i="9"/>
  <c r="K459" i="9"/>
  <c r="L459" i="9"/>
  <c r="M459" i="9"/>
  <c r="A460" i="9"/>
  <c r="B460" i="9"/>
  <c r="D460" i="9"/>
  <c r="E460" i="9"/>
  <c r="G460" i="9"/>
  <c r="H460" i="9"/>
  <c r="I460" i="9"/>
  <c r="J460" i="9"/>
  <c r="K460" i="9"/>
  <c r="L460" i="9"/>
  <c r="M460" i="9"/>
  <c r="A461" i="9"/>
  <c r="B461" i="9"/>
  <c r="D461" i="9"/>
  <c r="E461" i="9"/>
  <c r="G461" i="9"/>
  <c r="H461" i="9"/>
  <c r="I461" i="9"/>
  <c r="J461" i="9"/>
  <c r="K461" i="9"/>
  <c r="L461" i="9"/>
  <c r="M461" i="9"/>
  <c r="A462" i="9"/>
  <c r="B462" i="9"/>
  <c r="D462" i="9"/>
  <c r="E462" i="9"/>
  <c r="G462" i="9"/>
  <c r="H462" i="9"/>
  <c r="I462" i="9"/>
  <c r="J462" i="9"/>
  <c r="K462" i="9"/>
  <c r="L462" i="9"/>
  <c r="M462" i="9"/>
  <c r="A463" i="9"/>
  <c r="B463" i="9"/>
  <c r="D463" i="9"/>
  <c r="E463" i="9"/>
  <c r="G463" i="9"/>
  <c r="H463" i="9"/>
  <c r="I463" i="9"/>
  <c r="J463" i="9"/>
  <c r="K463" i="9"/>
  <c r="L463" i="9"/>
  <c r="M463" i="9"/>
  <c r="A464" i="9"/>
  <c r="B464" i="9"/>
  <c r="D464" i="9"/>
  <c r="E464" i="9"/>
  <c r="G464" i="9"/>
  <c r="H464" i="9"/>
  <c r="I464" i="9"/>
  <c r="J464" i="9"/>
  <c r="K464" i="9"/>
  <c r="L464" i="9"/>
  <c r="M464" i="9"/>
  <c r="A465" i="9"/>
  <c r="B465" i="9"/>
  <c r="D465" i="9"/>
  <c r="E465" i="9"/>
  <c r="G465" i="9"/>
  <c r="H465" i="9"/>
  <c r="I465" i="9"/>
  <c r="J465" i="9"/>
  <c r="K465" i="9"/>
  <c r="L465" i="9"/>
  <c r="M465" i="9"/>
  <c r="A466" i="9"/>
  <c r="B466" i="9"/>
  <c r="D466" i="9"/>
  <c r="E466" i="9"/>
  <c r="G466" i="9"/>
  <c r="H466" i="9"/>
  <c r="I466" i="9"/>
  <c r="J466" i="9"/>
  <c r="K466" i="9"/>
  <c r="L466" i="9"/>
  <c r="M466" i="9"/>
  <c r="A467" i="9"/>
  <c r="B467" i="9"/>
  <c r="D467" i="9"/>
  <c r="E467" i="9"/>
  <c r="G467" i="9"/>
  <c r="H467" i="9"/>
  <c r="I467" i="9"/>
  <c r="J467" i="9"/>
  <c r="K467" i="9"/>
  <c r="L467" i="9"/>
  <c r="M467" i="9"/>
  <c r="A468" i="9"/>
  <c r="B468" i="9"/>
  <c r="D468" i="9"/>
  <c r="E468" i="9"/>
  <c r="G468" i="9"/>
  <c r="H468" i="9"/>
  <c r="I468" i="9"/>
  <c r="J468" i="9"/>
  <c r="K468" i="9"/>
  <c r="L468" i="9"/>
  <c r="M468" i="9"/>
  <c r="A469" i="9"/>
  <c r="B469" i="9"/>
  <c r="D469" i="9"/>
  <c r="E469" i="9"/>
  <c r="G469" i="9"/>
  <c r="H469" i="9"/>
  <c r="I469" i="9"/>
  <c r="J469" i="9"/>
  <c r="K469" i="9"/>
  <c r="L469" i="9"/>
  <c r="M469" i="9"/>
  <c r="A470" i="9"/>
  <c r="B470" i="9"/>
  <c r="D470" i="9"/>
  <c r="E470" i="9"/>
  <c r="G470" i="9"/>
  <c r="H470" i="9"/>
  <c r="I470" i="9"/>
  <c r="J470" i="9"/>
  <c r="K470" i="9"/>
  <c r="L470" i="9"/>
  <c r="M470" i="9"/>
  <c r="A471" i="9"/>
  <c r="B471" i="9"/>
  <c r="D471" i="9"/>
  <c r="E471" i="9"/>
  <c r="G471" i="9"/>
  <c r="H471" i="9"/>
  <c r="I471" i="9"/>
  <c r="J471" i="9"/>
  <c r="K471" i="9"/>
  <c r="L471" i="9"/>
  <c r="M471" i="9"/>
  <c r="A472" i="9"/>
  <c r="B472" i="9"/>
  <c r="D472" i="9"/>
  <c r="E472" i="9"/>
  <c r="G472" i="9"/>
  <c r="H472" i="9"/>
  <c r="I472" i="9"/>
  <c r="J472" i="9"/>
  <c r="K472" i="9"/>
  <c r="L472" i="9"/>
  <c r="M472" i="9"/>
  <c r="A473" i="9"/>
  <c r="B473" i="9"/>
  <c r="D473" i="9"/>
  <c r="E473" i="9"/>
  <c r="G473" i="9"/>
  <c r="H473" i="9"/>
  <c r="I473" i="9"/>
  <c r="J473" i="9"/>
  <c r="K473" i="9"/>
  <c r="L473" i="9"/>
  <c r="M473" i="9"/>
  <c r="A474" i="9"/>
  <c r="B474" i="9"/>
  <c r="D474" i="9"/>
  <c r="E474" i="9"/>
  <c r="G474" i="9"/>
  <c r="H474" i="9"/>
  <c r="I474" i="9"/>
  <c r="J474" i="9"/>
  <c r="K474" i="9"/>
  <c r="L474" i="9"/>
  <c r="M474" i="9"/>
  <c r="A475" i="9"/>
  <c r="B475" i="9"/>
  <c r="D475" i="9"/>
  <c r="E475" i="9"/>
  <c r="G475" i="9"/>
  <c r="H475" i="9"/>
  <c r="I475" i="9"/>
  <c r="J475" i="9"/>
  <c r="K475" i="9"/>
  <c r="L475" i="9"/>
  <c r="M475" i="9"/>
  <c r="A476" i="9"/>
  <c r="B476" i="9"/>
  <c r="D476" i="9"/>
  <c r="E476" i="9"/>
  <c r="G476" i="9"/>
  <c r="H476" i="9"/>
  <c r="I476" i="9"/>
  <c r="J476" i="9"/>
  <c r="K476" i="9"/>
  <c r="L476" i="9"/>
  <c r="M476" i="9"/>
  <c r="A477" i="9"/>
  <c r="B477" i="9"/>
  <c r="D477" i="9"/>
  <c r="E477" i="9"/>
  <c r="G477" i="9"/>
  <c r="H477" i="9"/>
  <c r="I477" i="9"/>
  <c r="J477" i="9"/>
  <c r="K477" i="9"/>
  <c r="L477" i="9"/>
  <c r="M477" i="9"/>
  <c r="A478" i="9"/>
  <c r="B478" i="9"/>
  <c r="D478" i="9"/>
  <c r="E478" i="9"/>
  <c r="G478" i="9"/>
  <c r="H478" i="9"/>
  <c r="I478" i="9"/>
  <c r="J478" i="9"/>
  <c r="K478" i="9"/>
  <c r="L478" i="9"/>
  <c r="M478" i="9"/>
  <c r="A479" i="9"/>
  <c r="B479" i="9"/>
  <c r="D479" i="9"/>
  <c r="E479" i="9"/>
  <c r="G479" i="9"/>
  <c r="H479" i="9"/>
  <c r="I479" i="9"/>
  <c r="J479" i="9"/>
  <c r="K479" i="9"/>
  <c r="L479" i="9"/>
  <c r="M479" i="9"/>
  <c r="A480" i="9"/>
  <c r="B480" i="9"/>
  <c r="D480" i="9"/>
  <c r="E480" i="9"/>
  <c r="G480" i="9"/>
  <c r="H480" i="9"/>
  <c r="I480" i="9"/>
  <c r="J480" i="9"/>
  <c r="K480" i="9"/>
  <c r="L480" i="9"/>
  <c r="M480" i="9"/>
  <c r="A481" i="9"/>
  <c r="B481" i="9"/>
  <c r="D481" i="9"/>
  <c r="E481" i="9"/>
  <c r="G481" i="9"/>
  <c r="H481" i="9"/>
  <c r="I481" i="9"/>
  <c r="J481" i="9"/>
  <c r="K481" i="9"/>
  <c r="L481" i="9"/>
  <c r="M481" i="9"/>
  <c r="A482" i="9"/>
  <c r="B482" i="9"/>
  <c r="D482" i="9"/>
  <c r="E482" i="9"/>
  <c r="G482" i="9"/>
  <c r="H482" i="9"/>
  <c r="I482" i="9"/>
  <c r="J482" i="9"/>
  <c r="K482" i="9"/>
  <c r="L482" i="9"/>
  <c r="M482" i="9"/>
  <c r="A483" i="9"/>
  <c r="B483" i="9"/>
  <c r="D483" i="9"/>
  <c r="E483" i="9"/>
  <c r="G483" i="9"/>
  <c r="H483" i="9"/>
  <c r="I483" i="9"/>
  <c r="J483" i="9"/>
  <c r="K483" i="9"/>
  <c r="L483" i="9"/>
  <c r="M483" i="9"/>
  <c r="A484" i="9"/>
  <c r="B484" i="9"/>
  <c r="D484" i="9"/>
  <c r="E484" i="9"/>
  <c r="G484" i="9"/>
  <c r="H484" i="9"/>
  <c r="I484" i="9"/>
  <c r="J484" i="9"/>
  <c r="K484" i="9"/>
  <c r="L484" i="9"/>
  <c r="M484" i="9"/>
  <c r="A485" i="9"/>
  <c r="B485" i="9"/>
  <c r="D485" i="9"/>
  <c r="E485" i="9"/>
  <c r="G485" i="9"/>
  <c r="H485" i="9"/>
  <c r="I485" i="9"/>
  <c r="J485" i="9"/>
  <c r="K485" i="9"/>
  <c r="L485" i="9"/>
  <c r="M485" i="9"/>
  <c r="A486" i="9"/>
  <c r="B486" i="9"/>
  <c r="D486" i="9"/>
  <c r="E486" i="9"/>
  <c r="G486" i="9"/>
  <c r="H486" i="9"/>
  <c r="I486" i="9"/>
  <c r="J486" i="9"/>
  <c r="K486" i="9"/>
  <c r="L486" i="9"/>
  <c r="M486" i="9"/>
  <c r="A487" i="9"/>
  <c r="B487" i="9"/>
  <c r="D487" i="9"/>
  <c r="E487" i="9"/>
  <c r="G487" i="9"/>
  <c r="H487" i="9"/>
  <c r="I487" i="9"/>
  <c r="J487" i="9"/>
  <c r="K487" i="9"/>
  <c r="L487" i="9"/>
  <c r="M487" i="9"/>
  <c r="A488" i="9"/>
  <c r="B488" i="9"/>
  <c r="D488" i="9"/>
  <c r="E488" i="9"/>
  <c r="G488" i="9"/>
  <c r="H488" i="9"/>
  <c r="I488" i="9"/>
  <c r="J488" i="9"/>
  <c r="K488" i="9"/>
  <c r="L488" i="9"/>
  <c r="M488" i="9"/>
  <c r="A489" i="9"/>
  <c r="B489" i="9"/>
  <c r="D489" i="9"/>
  <c r="E489" i="9"/>
  <c r="G489" i="9"/>
  <c r="H489" i="9"/>
  <c r="I489" i="9"/>
  <c r="J489" i="9"/>
  <c r="K489" i="9"/>
  <c r="L489" i="9"/>
  <c r="M489" i="9"/>
  <c r="A490" i="9"/>
  <c r="B490" i="9"/>
  <c r="D490" i="9"/>
  <c r="E490" i="9"/>
  <c r="G490" i="9"/>
  <c r="H490" i="9"/>
  <c r="I490" i="9"/>
  <c r="J490" i="9"/>
  <c r="K490" i="9"/>
  <c r="L490" i="9"/>
  <c r="M490" i="9"/>
  <c r="A491" i="9"/>
  <c r="B491" i="9"/>
  <c r="D491" i="9"/>
  <c r="E491" i="9"/>
  <c r="G491" i="9"/>
  <c r="H491" i="9"/>
  <c r="I491" i="9"/>
  <c r="J491" i="9"/>
  <c r="K491" i="9"/>
  <c r="L491" i="9"/>
  <c r="M491" i="9"/>
  <c r="A492" i="9"/>
  <c r="B492" i="9"/>
  <c r="D492" i="9"/>
  <c r="E492" i="9"/>
  <c r="G492" i="9"/>
  <c r="H492" i="9"/>
  <c r="I492" i="9"/>
  <c r="J492" i="9"/>
  <c r="K492" i="9"/>
  <c r="L492" i="9"/>
  <c r="M492" i="9"/>
  <c r="A493" i="9"/>
  <c r="B493" i="9"/>
  <c r="D493" i="9"/>
  <c r="E493" i="9"/>
  <c r="G493" i="9"/>
  <c r="H493" i="9"/>
  <c r="I493" i="9"/>
  <c r="J493" i="9"/>
  <c r="K493" i="9"/>
  <c r="L493" i="9"/>
  <c r="M493" i="9"/>
  <c r="A494" i="9"/>
  <c r="B494" i="9"/>
  <c r="D494" i="9"/>
  <c r="E494" i="9"/>
  <c r="G494" i="9"/>
  <c r="H494" i="9"/>
  <c r="I494" i="9"/>
  <c r="J494" i="9"/>
  <c r="K494" i="9"/>
  <c r="L494" i="9"/>
  <c r="M494" i="9"/>
  <c r="A495" i="9"/>
  <c r="B495" i="9"/>
  <c r="D495" i="9"/>
  <c r="E495" i="9"/>
  <c r="G495" i="9"/>
  <c r="H495" i="9"/>
  <c r="I495" i="9"/>
  <c r="J495" i="9"/>
  <c r="K495" i="9"/>
  <c r="L495" i="9"/>
  <c r="M495" i="9"/>
  <c r="A496" i="9"/>
  <c r="B496" i="9"/>
  <c r="D496" i="9"/>
  <c r="E496" i="9"/>
  <c r="G496" i="9"/>
  <c r="H496" i="9"/>
  <c r="I496" i="9"/>
  <c r="J496" i="9"/>
  <c r="K496" i="9"/>
  <c r="L496" i="9"/>
  <c r="M496" i="9"/>
  <c r="A497" i="9"/>
  <c r="B497" i="9"/>
  <c r="D497" i="9"/>
  <c r="E497" i="9"/>
  <c r="G497" i="9"/>
  <c r="H497" i="9"/>
  <c r="I497" i="9"/>
  <c r="J497" i="9"/>
  <c r="K497" i="9"/>
  <c r="L497" i="9"/>
  <c r="M497" i="9"/>
  <c r="A498" i="9"/>
  <c r="B498" i="9"/>
  <c r="D498" i="9"/>
  <c r="E498" i="9"/>
  <c r="G498" i="9"/>
  <c r="H498" i="9"/>
  <c r="I498" i="9"/>
  <c r="J498" i="9"/>
  <c r="K498" i="9"/>
  <c r="L498" i="9"/>
  <c r="M498" i="9"/>
  <c r="A499" i="9"/>
  <c r="B499" i="9"/>
  <c r="D499" i="9"/>
  <c r="E499" i="9"/>
  <c r="G499" i="9"/>
  <c r="H499" i="9"/>
  <c r="I499" i="9"/>
  <c r="J499" i="9"/>
  <c r="K499" i="9"/>
  <c r="L499" i="9"/>
  <c r="M499" i="9"/>
  <c r="A500" i="9"/>
  <c r="B500" i="9"/>
  <c r="D500" i="9"/>
  <c r="E500" i="9"/>
  <c r="G500" i="9"/>
  <c r="H500" i="9"/>
  <c r="I500" i="9"/>
  <c r="J500" i="9"/>
  <c r="K500" i="9"/>
  <c r="L500" i="9"/>
  <c r="M500" i="9"/>
  <c r="A501" i="9"/>
  <c r="B501" i="9"/>
  <c r="D501" i="9"/>
  <c r="E501" i="9"/>
  <c r="G501" i="9"/>
  <c r="H501" i="9"/>
  <c r="I501" i="9"/>
  <c r="J501" i="9"/>
  <c r="K501" i="9"/>
  <c r="L501" i="9"/>
  <c r="M501" i="9"/>
  <c r="A502" i="9"/>
  <c r="B502" i="9"/>
  <c r="D502" i="9"/>
  <c r="E502" i="9"/>
  <c r="G502" i="9"/>
  <c r="H502" i="9"/>
  <c r="I502" i="9"/>
  <c r="J502" i="9"/>
  <c r="K502" i="9"/>
  <c r="L502" i="9"/>
  <c r="M502" i="9"/>
  <c r="A503" i="9"/>
  <c r="B503" i="9"/>
  <c r="D503" i="9"/>
  <c r="E503" i="9"/>
  <c r="G503" i="9"/>
  <c r="H503" i="9"/>
  <c r="I503" i="9"/>
  <c r="J503" i="9"/>
  <c r="K503" i="9"/>
  <c r="L503" i="9"/>
  <c r="M503" i="9"/>
  <c r="A504" i="9"/>
  <c r="B504" i="9"/>
  <c r="D504" i="9"/>
  <c r="E504" i="9"/>
  <c r="G504" i="9"/>
  <c r="H504" i="9"/>
  <c r="I504" i="9"/>
  <c r="J504" i="9"/>
  <c r="K504" i="9"/>
  <c r="L504" i="9"/>
  <c r="M504" i="9"/>
  <c r="A505" i="9"/>
  <c r="B505" i="9"/>
  <c r="D505" i="9"/>
  <c r="E505" i="9"/>
  <c r="G505" i="9"/>
  <c r="H505" i="9"/>
  <c r="I505" i="9"/>
  <c r="J505" i="9"/>
  <c r="K505" i="9"/>
  <c r="L505" i="9"/>
  <c r="M505" i="9"/>
  <c r="A506" i="9"/>
  <c r="B506" i="9"/>
  <c r="D506" i="9"/>
  <c r="E506" i="9"/>
  <c r="G506" i="9"/>
  <c r="H506" i="9"/>
  <c r="I506" i="9"/>
  <c r="J506" i="9"/>
  <c r="K506" i="9"/>
  <c r="L506" i="9"/>
  <c r="M506" i="9"/>
  <c r="A507" i="9"/>
  <c r="B507" i="9"/>
  <c r="D507" i="9"/>
  <c r="E507" i="9"/>
  <c r="G507" i="9"/>
  <c r="H507" i="9"/>
  <c r="I507" i="9"/>
  <c r="J507" i="9"/>
  <c r="K507" i="9"/>
  <c r="L507" i="9"/>
  <c r="M507" i="9"/>
  <c r="A508" i="9"/>
  <c r="B508" i="9"/>
  <c r="D508" i="9"/>
  <c r="E508" i="9"/>
  <c r="G508" i="9"/>
  <c r="H508" i="9"/>
  <c r="I508" i="9"/>
  <c r="J508" i="9"/>
  <c r="K508" i="9"/>
  <c r="L508" i="9"/>
  <c r="M508" i="9"/>
  <c r="A509" i="9"/>
  <c r="B509" i="9"/>
  <c r="D509" i="9"/>
  <c r="E509" i="9"/>
  <c r="G509" i="9"/>
  <c r="H509" i="9"/>
  <c r="I509" i="9"/>
  <c r="J509" i="9"/>
  <c r="K509" i="9"/>
  <c r="L509" i="9"/>
  <c r="M509" i="9"/>
  <c r="A510" i="9"/>
  <c r="B510" i="9"/>
  <c r="D510" i="9"/>
  <c r="E510" i="9"/>
  <c r="G510" i="9"/>
  <c r="H510" i="9"/>
  <c r="I510" i="9"/>
  <c r="J510" i="9"/>
  <c r="K510" i="9"/>
  <c r="L510" i="9"/>
  <c r="M510" i="9"/>
  <c r="A511" i="9"/>
  <c r="B511" i="9"/>
  <c r="D511" i="9"/>
  <c r="E511" i="9"/>
  <c r="G511" i="9"/>
  <c r="H511" i="9"/>
  <c r="I511" i="9"/>
  <c r="J511" i="9"/>
  <c r="K511" i="9"/>
  <c r="L511" i="9"/>
  <c r="M511" i="9"/>
  <c r="A512" i="9"/>
  <c r="B512" i="9"/>
  <c r="D512" i="9"/>
  <c r="E512" i="9"/>
  <c r="G512" i="9"/>
  <c r="H512" i="9"/>
  <c r="I512" i="9"/>
  <c r="J512" i="9"/>
  <c r="K512" i="9"/>
  <c r="L512" i="9"/>
  <c r="M512" i="9"/>
  <c r="A513" i="9"/>
  <c r="B513" i="9"/>
  <c r="D513" i="9"/>
  <c r="E513" i="9"/>
  <c r="G513" i="9"/>
  <c r="H513" i="9"/>
  <c r="I513" i="9"/>
  <c r="J513" i="9"/>
  <c r="K513" i="9"/>
  <c r="L513" i="9"/>
  <c r="M513" i="9"/>
  <c r="A514" i="9"/>
  <c r="B514" i="9"/>
  <c r="D514" i="9"/>
  <c r="E514" i="9"/>
  <c r="G514" i="9"/>
  <c r="H514" i="9"/>
  <c r="I514" i="9"/>
  <c r="J514" i="9"/>
  <c r="K514" i="9"/>
  <c r="L514" i="9"/>
  <c r="M514" i="9"/>
  <c r="A515" i="9"/>
  <c r="B515" i="9"/>
  <c r="D515" i="9"/>
  <c r="E515" i="9"/>
  <c r="G515" i="9"/>
  <c r="H515" i="9"/>
  <c r="I515" i="9"/>
  <c r="J515" i="9"/>
  <c r="K515" i="9"/>
  <c r="L515" i="9"/>
  <c r="M515" i="9"/>
  <c r="A516" i="9"/>
  <c r="B516" i="9"/>
  <c r="D516" i="9"/>
  <c r="E516" i="9"/>
  <c r="G516" i="9"/>
  <c r="H516" i="9"/>
  <c r="I516" i="9"/>
  <c r="J516" i="9"/>
  <c r="K516" i="9"/>
  <c r="L516" i="9"/>
  <c r="M516" i="9"/>
  <c r="A517" i="9"/>
  <c r="B517" i="9"/>
  <c r="D517" i="9"/>
  <c r="E517" i="9"/>
  <c r="G517" i="9"/>
  <c r="H517" i="9"/>
  <c r="I517" i="9"/>
  <c r="J517" i="9"/>
  <c r="K517" i="9"/>
  <c r="L517" i="9"/>
  <c r="M517" i="9"/>
  <c r="A518" i="9"/>
  <c r="B518" i="9"/>
  <c r="D518" i="9"/>
  <c r="E518" i="9"/>
  <c r="G518" i="9"/>
  <c r="H518" i="9"/>
  <c r="I518" i="9"/>
  <c r="J518" i="9"/>
  <c r="K518" i="9"/>
  <c r="L518" i="9"/>
  <c r="M518" i="9"/>
  <c r="A519" i="9"/>
  <c r="B519" i="9"/>
  <c r="D519" i="9"/>
  <c r="E519" i="9"/>
  <c r="G519" i="9"/>
  <c r="H519" i="9"/>
  <c r="I519" i="9"/>
  <c r="J519" i="9"/>
  <c r="K519" i="9"/>
  <c r="L519" i="9"/>
  <c r="M519" i="9"/>
  <c r="A520" i="9"/>
  <c r="B520" i="9"/>
  <c r="D520" i="9"/>
  <c r="E520" i="9"/>
  <c r="G520" i="9"/>
  <c r="H520" i="9"/>
  <c r="I520" i="9"/>
  <c r="J520" i="9"/>
  <c r="K520" i="9"/>
  <c r="L520" i="9"/>
  <c r="M520" i="9"/>
  <c r="A521" i="9"/>
  <c r="B521" i="9"/>
  <c r="D521" i="9"/>
  <c r="E521" i="9"/>
  <c r="G521" i="9"/>
  <c r="H521" i="9"/>
  <c r="I521" i="9"/>
  <c r="J521" i="9"/>
  <c r="K521" i="9"/>
  <c r="L521" i="9"/>
  <c r="M521" i="9"/>
  <c r="A522" i="9"/>
  <c r="B522" i="9"/>
  <c r="D522" i="9"/>
  <c r="E522" i="9"/>
  <c r="G522" i="9"/>
  <c r="H522" i="9"/>
  <c r="I522" i="9"/>
  <c r="J522" i="9"/>
  <c r="K522" i="9"/>
  <c r="L522" i="9"/>
  <c r="M522" i="9"/>
  <c r="A523" i="9"/>
  <c r="B523" i="9"/>
  <c r="D523" i="9"/>
  <c r="E523" i="9"/>
  <c r="G523" i="9"/>
  <c r="H523" i="9"/>
  <c r="I523" i="9"/>
  <c r="J523" i="9"/>
  <c r="K523" i="9"/>
  <c r="L523" i="9"/>
  <c r="M523" i="9"/>
  <c r="A524" i="9"/>
  <c r="B524" i="9"/>
  <c r="D524" i="9"/>
  <c r="E524" i="9"/>
  <c r="G524" i="9"/>
  <c r="H524" i="9"/>
  <c r="I524" i="9"/>
  <c r="J524" i="9"/>
  <c r="K524" i="9"/>
  <c r="L524" i="9"/>
  <c r="M524" i="9"/>
  <c r="A525" i="9"/>
  <c r="B525" i="9"/>
  <c r="D525" i="9"/>
  <c r="E525" i="9"/>
  <c r="G525" i="9"/>
  <c r="H525" i="9"/>
  <c r="I525" i="9"/>
  <c r="J525" i="9"/>
  <c r="K525" i="9"/>
  <c r="L525" i="9"/>
  <c r="M525" i="9"/>
  <c r="A526" i="9"/>
  <c r="B526" i="9"/>
  <c r="D526" i="9"/>
  <c r="E526" i="9"/>
  <c r="G526" i="9"/>
  <c r="H526" i="9"/>
  <c r="I526" i="9"/>
  <c r="J526" i="9"/>
  <c r="K526" i="9"/>
  <c r="L526" i="9"/>
  <c r="M526" i="9"/>
  <c r="A527" i="9"/>
  <c r="B527" i="9"/>
  <c r="D527" i="9"/>
  <c r="E527" i="9"/>
  <c r="G527" i="9"/>
  <c r="H527" i="9"/>
  <c r="I527" i="9"/>
  <c r="J527" i="9"/>
  <c r="K527" i="9"/>
  <c r="L527" i="9"/>
  <c r="M527" i="9"/>
  <c r="A528" i="9"/>
  <c r="B528" i="9"/>
  <c r="D528" i="9"/>
  <c r="E528" i="9"/>
  <c r="G528" i="9"/>
  <c r="H528" i="9"/>
  <c r="I528" i="9"/>
  <c r="J528" i="9"/>
  <c r="K528" i="9"/>
  <c r="L528" i="9"/>
  <c r="M528" i="9"/>
  <c r="A529" i="9"/>
  <c r="B529" i="9"/>
  <c r="D529" i="9"/>
  <c r="E529" i="9"/>
  <c r="G529" i="9"/>
  <c r="H529" i="9"/>
  <c r="I529" i="9"/>
  <c r="J529" i="9"/>
  <c r="K529" i="9"/>
  <c r="L529" i="9"/>
  <c r="M529" i="9"/>
  <c r="A530" i="9"/>
  <c r="B530" i="9"/>
  <c r="D530" i="9"/>
  <c r="E530" i="9"/>
  <c r="G530" i="9"/>
  <c r="H530" i="9"/>
  <c r="I530" i="9"/>
  <c r="J530" i="9"/>
  <c r="K530" i="9"/>
  <c r="L530" i="9"/>
  <c r="M530" i="9"/>
  <c r="A531" i="9"/>
  <c r="B531" i="9"/>
  <c r="D531" i="9"/>
  <c r="E531" i="9"/>
  <c r="G531" i="9"/>
  <c r="H531" i="9"/>
  <c r="I531" i="9"/>
  <c r="J531" i="9"/>
  <c r="K531" i="9"/>
  <c r="L531" i="9"/>
  <c r="M531" i="9"/>
  <c r="A532" i="9"/>
  <c r="B532" i="9"/>
  <c r="D532" i="9"/>
  <c r="E532" i="9"/>
  <c r="G532" i="9"/>
  <c r="H532" i="9"/>
  <c r="I532" i="9"/>
  <c r="J532" i="9"/>
  <c r="K532" i="9"/>
  <c r="L532" i="9"/>
  <c r="M532" i="9"/>
  <c r="A533" i="9"/>
  <c r="B533" i="9"/>
  <c r="D533" i="9"/>
  <c r="E533" i="9"/>
  <c r="G533" i="9"/>
  <c r="H533" i="9"/>
  <c r="I533" i="9"/>
  <c r="J533" i="9"/>
  <c r="K533" i="9"/>
  <c r="L533" i="9"/>
  <c r="M533" i="9"/>
  <c r="A534" i="9"/>
  <c r="B534" i="9"/>
  <c r="D534" i="9"/>
  <c r="E534" i="9"/>
  <c r="G534" i="9"/>
  <c r="H534" i="9"/>
  <c r="I534" i="9"/>
  <c r="J534" i="9"/>
  <c r="K534" i="9"/>
  <c r="L534" i="9"/>
  <c r="M534" i="9"/>
  <c r="A535" i="9"/>
  <c r="B535" i="9"/>
  <c r="D535" i="9"/>
  <c r="E535" i="9"/>
  <c r="G535" i="9"/>
  <c r="H535" i="9"/>
  <c r="I535" i="9"/>
  <c r="J535" i="9"/>
  <c r="K535" i="9"/>
  <c r="L535" i="9"/>
  <c r="M535" i="9"/>
  <c r="A536" i="9"/>
  <c r="B536" i="9"/>
  <c r="D536" i="9"/>
  <c r="E536" i="9"/>
  <c r="G536" i="9"/>
  <c r="H536" i="9"/>
  <c r="I536" i="9"/>
  <c r="J536" i="9"/>
  <c r="K536" i="9"/>
  <c r="L536" i="9"/>
  <c r="M536" i="9"/>
  <c r="A537" i="9"/>
  <c r="B537" i="9"/>
  <c r="D537" i="9"/>
  <c r="E537" i="9"/>
  <c r="G537" i="9"/>
  <c r="H537" i="9"/>
  <c r="I537" i="9"/>
  <c r="J537" i="9"/>
  <c r="K537" i="9"/>
  <c r="L537" i="9"/>
  <c r="M537" i="9"/>
  <c r="A538" i="9"/>
  <c r="B538" i="9"/>
  <c r="D538" i="9"/>
  <c r="E538" i="9"/>
  <c r="G538" i="9"/>
  <c r="H538" i="9"/>
  <c r="I538" i="9"/>
  <c r="J538" i="9"/>
  <c r="K538" i="9"/>
  <c r="L538" i="9"/>
  <c r="M538" i="9"/>
  <c r="A539" i="9"/>
  <c r="B539" i="9"/>
  <c r="D539" i="9"/>
  <c r="E539" i="9"/>
  <c r="G539" i="9"/>
  <c r="H539" i="9"/>
  <c r="I539" i="9"/>
  <c r="J539" i="9"/>
  <c r="K539" i="9"/>
  <c r="L539" i="9"/>
  <c r="M539" i="9"/>
  <c r="A540" i="9"/>
  <c r="B540" i="9"/>
  <c r="D540" i="9"/>
  <c r="E540" i="9"/>
  <c r="G540" i="9"/>
  <c r="H540" i="9"/>
  <c r="I540" i="9"/>
  <c r="J540" i="9"/>
  <c r="K540" i="9"/>
  <c r="L540" i="9"/>
  <c r="M540" i="9"/>
  <c r="A541" i="9"/>
  <c r="B541" i="9"/>
  <c r="D541" i="9"/>
  <c r="E541" i="9"/>
  <c r="G541" i="9"/>
  <c r="H541" i="9"/>
  <c r="I541" i="9"/>
  <c r="J541" i="9"/>
  <c r="K541" i="9"/>
  <c r="L541" i="9"/>
  <c r="M541" i="9"/>
  <c r="A542" i="9"/>
  <c r="B542" i="9"/>
  <c r="D542" i="9"/>
  <c r="E542" i="9"/>
  <c r="G542" i="9"/>
  <c r="H542" i="9"/>
  <c r="I542" i="9"/>
  <c r="J542" i="9"/>
  <c r="K542" i="9"/>
  <c r="L542" i="9"/>
  <c r="M542" i="9"/>
  <c r="A543" i="9"/>
  <c r="B543" i="9"/>
  <c r="D543" i="9"/>
  <c r="E543" i="9"/>
  <c r="G543" i="9"/>
  <c r="H543" i="9"/>
  <c r="I543" i="9"/>
  <c r="J543" i="9"/>
  <c r="K543" i="9"/>
  <c r="L543" i="9"/>
  <c r="M543" i="9"/>
  <c r="A544" i="9"/>
  <c r="B544" i="9"/>
  <c r="D544" i="9"/>
  <c r="E544" i="9"/>
  <c r="G544" i="9"/>
  <c r="H544" i="9"/>
  <c r="I544" i="9"/>
  <c r="J544" i="9"/>
  <c r="K544" i="9"/>
  <c r="L544" i="9"/>
  <c r="M544" i="9"/>
  <c r="A545" i="9"/>
  <c r="B545" i="9"/>
  <c r="D545" i="9"/>
  <c r="E545" i="9"/>
  <c r="G545" i="9"/>
  <c r="H545" i="9"/>
  <c r="I545" i="9"/>
  <c r="J545" i="9"/>
  <c r="K545" i="9"/>
  <c r="L545" i="9"/>
  <c r="M545" i="9"/>
  <c r="A546" i="9"/>
  <c r="B546" i="9"/>
  <c r="D546" i="9"/>
  <c r="E546" i="9"/>
  <c r="G546" i="9"/>
  <c r="H546" i="9"/>
  <c r="I546" i="9"/>
  <c r="J546" i="9"/>
  <c r="K546" i="9"/>
  <c r="L546" i="9"/>
  <c r="M546" i="9"/>
  <c r="A547" i="9"/>
  <c r="B547" i="9"/>
  <c r="D547" i="9"/>
  <c r="E547" i="9"/>
  <c r="G547" i="9"/>
  <c r="H547" i="9"/>
  <c r="I547" i="9"/>
  <c r="J547" i="9"/>
  <c r="K547" i="9"/>
  <c r="L547" i="9"/>
  <c r="M547" i="9"/>
  <c r="A548" i="9"/>
  <c r="B548" i="9"/>
  <c r="D548" i="9"/>
  <c r="E548" i="9"/>
  <c r="G548" i="9"/>
  <c r="H548" i="9"/>
  <c r="I548" i="9"/>
  <c r="J548" i="9"/>
  <c r="K548" i="9"/>
  <c r="L548" i="9"/>
  <c r="M548" i="9"/>
  <c r="A549" i="9"/>
  <c r="B549" i="9"/>
  <c r="D549" i="9"/>
  <c r="E549" i="9"/>
  <c r="G549" i="9"/>
  <c r="H549" i="9"/>
  <c r="I549" i="9"/>
  <c r="J549" i="9"/>
  <c r="K549" i="9"/>
  <c r="L549" i="9"/>
  <c r="M549" i="9"/>
  <c r="A550" i="9"/>
  <c r="B550" i="9"/>
  <c r="D550" i="9"/>
  <c r="E550" i="9"/>
  <c r="G550" i="9"/>
  <c r="H550" i="9"/>
  <c r="I550" i="9"/>
  <c r="J550" i="9"/>
  <c r="K550" i="9"/>
  <c r="L550" i="9"/>
  <c r="M550" i="9"/>
  <c r="A551" i="9"/>
  <c r="B551" i="9"/>
  <c r="D551" i="9"/>
  <c r="E551" i="9"/>
  <c r="G551" i="9"/>
  <c r="H551" i="9"/>
  <c r="I551" i="9"/>
  <c r="J551" i="9"/>
  <c r="K551" i="9"/>
  <c r="L551" i="9"/>
  <c r="M551" i="9"/>
  <c r="A552" i="9"/>
  <c r="B552" i="9"/>
  <c r="D552" i="9"/>
  <c r="E552" i="9"/>
  <c r="G552" i="9"/>
  <c r="H552" i="9"/>
  <c r="I552" i="9"/>
  <c r="J552" i="9"/>
  <c r="K552" i="9"/>
  <c r="L552" i="9"/>
  <c r="M552" i="9"/>
  <c r="A553" i="9"/>
  <c r="B553" i="9"/>
  <c r="D553" i="9"/>
  <c r="E553" i="9"/>
  <c r="G553" i="9"/>
  <c r="H553" i="9"/>
  <c r="I553" i="9"/>
  <c r="J553" i="9"/>
  <c r="K553" i="9"/>
  <c r="L553" i="9"/>
  <c r="M553" i="9"/>
  <c r="A554" i="9"/>
  <c r="B554" i="9"/>
  <c r="D554" i="9"/>
  <c r="E554" i="9"/>
  <c r="G554" i="9"/>
  <c r="H554" i="9"/>
  <c r="I554" i="9"/>
  <c r="J554" i="9"/>
  <c r="K554" i="9"/>
  <c r="L554" i="9"/>
  <c r="M554" i="9"/>
  <c r="A555" i="9"/>
  <c r="B555" i="9"/>
  <c r="D555" i="9"/>
  <c r="E555" i="9"/>
  <c r="G555" i="9"/>
  <c r="H555" i="9"/>
  <c r="I555" i="9"/>
  <c r="J555" i="9"/>
  <c r="K555" i="9"/>
  <c r="L555" i="9"/>
  <c r="M555" i="9"/>
  <c r="A556" i="9"/>
  <c r="B556" i="9"/>
  <c r="D556" i="9"/>
  <c r="E556" i="9"/>
  <c r="G556" i="9"/>
  <c r="H556" i="9"/>
  <c r="I556" i="9"/>
  <c r="J556" i="9"/>
  <c r="K556" i="9"/>
  <c r="L556" i="9"/>
  <c r="M556" i="9"/>
  <c r="A557" i="9"/>
  <c r="B557" i="9"/>
  <c r="D557" i="9"/>
  <c r="E557" i="9"/>
  <c r="G557" i="9"/>
  <c r="H557" i="9"/>
  <c r="I557" i="9"/>
  <c r="J557" i="9"/>
  <c r="K557" i="9"/>
  <c r="L557" i="9"/>
  <c r="M557" i="9"/>
  <c r="A558" i="9"/>
  <c r="B558" i="9"/>
  <c r="D558" i="9"/>
  <c r="E558" i="9"/>
  <c r="G558" i="9"/>
  <c r="H558" i="9"/>
  <c r="I558" i="9"/>
  <c r="J558" i="9"/>
  <c r="K558" i="9"/>
  <c r="L558" i="9"/>
  <c r="M558" i="9"/>
  <c r="A559" i="9"/>
  <c r="B559" i="9"/>
  <c r="D559" i="9"/>
  <c r="E559" i="9"/>
  <c r="G559" i="9"/>
  <c r="H559" i="9"/>
  <c r="I559" i="9"/>
  <c r="J559" i="9"/>
  <c r="K559" i="9"/>
  <c r="L559" i="9"/>
  <c r="M559" i="9"/>
  <c r="A560" i="9"/>
  <c r="B560" i="9"/>
  <c r="D560" i="9"/>
  <c r="E560" i="9"/>
  <c r="G560" i="9"/>
  <c r="H560" i="9"/>
  <c r="I560" i="9"/>
  <c r="J560" i="9"/>
  <c r="K560" i="9"/>
  <c r="L560" i="9"/>
  <c r="M560" i="9"/>
  <c r="A561" i="9"/>
  <c r="B561" i="9"/>
  <c r="D561" i="9"/>
  <c r="E561" i="9"/>
  <c r="G561" i="9"/>
  <c r="H561" i="9"/>
  <c r="I561" i="9"/>
  <c r="J561" i="9"/>
  <c r="K561" i="9"/>
  <c r="L561" i="9"/>
  <c r="M561" i="9"/>
  <c r="A562" i="9"/>
  <c r="B562" i="9"/>
  <c r="D562" i="9"/>
  <c r="E562" i="9"/>
  <c r="G562" i="9"/>
  <c r="H562" i="9"/>
  <c r="I562" i="9"/>
  <c r="J562" i="9"/>
  <c r="K562" i="9"/>
  <c r="L562" i="9"/>
  <c r="M562" i="9"/>
  <c r="A563" i="9"/>
  <c r="B563" i="9"/>
  <c r="D563" i="9"/>
  <c r="E563" i="9"/>
  <c r="G563" i="9"/>
  <c r="H563" i="9"/>
  <c r="I563" i="9"/>
  <c r="J563" i="9"/>
  <c r="K563" i="9"/>
  <c r="L563" i="9"/>
  <c r="M563" i="9"/>
  <c r="A564" i="9"/>
  <c r="B564" i="9"/>
  <c r="D564" i="9"/>
  <c r="E564" i="9"/>
  <c r="G564" i="9"/>
  <c r="H564" i="9"/>
  <c r="I564" i="9"/>
  <c r="J564" i="9"/>
  <c r="K564" i="9"/>
  <c r="L564" i="9"/>
  <c r="M564" i="9"/>
  <c r="A565" i="9"/>
  <c r="B565" i="9"/>
  <c r="D565" i="9"/>
  <c r="E565" i="9"/>
  <c r="G565" i="9"/>
  <c r="H565" i="9"/>
  <c r="I565" i="9"/>
  <c r="J565" i="9"/>
  <c r="K565" i="9"/>
  <c r="L565" i="9"/>
  <c r="M565" i="9"/>
  <c r="A566" i="9"/>
  <c r="B566" i="9"/>
  <c r="D566" i="9"/>
  <c r="E566" i="9"/>
  <c r="G566" i="9"/>
  <c r="H566" i="9"/>
  <c r="I566" i="9"/>
  <c r="J566" i="9"/>
  <c r="K566" i="9"/>
  <c r="L566" i="9"/>
  <c r="M566" i="9"/>
  <c r="A567" i="9"/>
  <c r="B567" i="9"/>
  <c r="D567" i="9"/>
  <c r="E567" i="9"/>
  <c r="G567" i="9"/>
  <c r="H567" i="9"/>
  <c r="I567" i="9"/>
  <c r="J567" i="9"/>
  <c r="K567" i="9"/>
  <c r="L567" i="9"/>
  <c r="M567" i="9"/>
  <c r="A568" i="9"/>
  <c r="B568" i="9"/>
  <c r="D568" i="9"/>
  <c r="E568" i="9"/>
  <c r="G568" i="9"/>
  <c r="H568" i="9"/>
  <c r="I568" i="9"/>
  <c r="J568" i="9"/>
  <c r="K568" i="9"/>
  <c r="L568" i="9"/>
  <c r="M568" i="9"/>
  <c r="A569" i="9"/>
  <c r="B569" i="9"/>
  <c r="D569" i="9"/>
  <c r="E569" i="9"/>
  <c r="G569" i="9"/>
  <c r="H569" i="9"/>
  <c r="I569" i="9"/>
  <c r="J569" i="9"/>
  <c r="K569" i="9"/>
  <c r="L569" i="9"/>
  <c r="M569" i="9"/>
  <c r="A570" i="9"/>
  <c r="B570" i="9"/>
  <c r="D570" i="9"/>
  <c r="E570" i="9"/>
  <c r="G570" i="9"/>
  <c r="H570" i="9"/>
  <c r="I570" i="9"/>
  <c r="J570" i="9"/>
  <c r="K570" i="9"/>
  <c r="L570" i="9"/>
  <c r="M570" i="9"/>
  <c r="A571" i="9"/>
  <c r="B571" i="9"/>
  <c r="D571" i="9"/>
  <c r="E571" i="9"/>
  <c r="G571" i="9"/>
  <c r="H571" i="9"/>
  <c r="I571" i="9"/>
  <c r="J571" i="9"/>
  <c r="K571" i="9"/>
  <c r="L571" i="9"/>
  <c r="M571" i="9"/>
  <c r="A572" i="9"/>
  <c r="B572" i="9"/>
  <c r="D572" i="9"/>
  <c r="E572" i="9"/>
  <c r="G572" i="9"/>
  <c r="H572" i="9"/>
  <c r="I572" i="9"/>
  <c r="J572" i="9"/>
  <c r="K572" i="9"/>
  <c r="L572" i="9"/>
  <c r="M572" i="9"/>
  <c r="A573" i="9"/>
  <c r="B573" i="9"/>
  <c r="D573" i="9"/>
  <c r="E573" i="9"/>
  <c r="G573" i="9"/>
  <c r="H573" i="9"/>
  <c r="I573" i="9"/>
  <c r="J573" i="9"/>
  <c r="K573" i="9"/>
  <c r="L573" i="9"/>
  <c r="M573" i="9"/>
  <c r="A574" i="9"/>
  <c r="B574" i="9"/>
  <c r="D574" i="9"/>
  <c r="E574" i="9"/>
  <c r="G574" i="9"/>
  <c r="H574" i="9"/>
  <c r="I574" i="9"/>
  <c r="J574" i="9"/>
  <c r="K574" i="9"/>
  <c r="L574" i="9"/>
  <c r="M574" i="9"/>
  <c r="A575" i="9"/>
  <c r="B575" i="9"/>
  <c r="D575" i="9"/>
  <c r="E575" i="9"/>
  <c r="G575" i="9"/>
  <c r="H575" i="9"/>
  <c r="I575" i="9"/>
  <c r="J575" i="9"/>
  <c r="K575" i="9"/>
  <c r="L575" i="9"/>
  <c r="M575" i="9"/>
  <c r="A576" i="9"/>
  <c r="B576" i="9"/>
  <c r="D576" i="9"/>
  <c r="E576" i="9"/>
  <c r="G576" i="9"/>
  <c r="H576" i="9"/>
  <c r="I576" i="9"/>
  <c r="J576" i="9"/>
  <c r="K576" i="9"/>
  <c r="L576" i="9"/>
  <c r="M576" i="9"/>
  <c r="A577" i="9"/>
  <c r="B577" i="9"/>
  <c r="D577" i="9"/>
  <c r="E577" i="9"/>
  <c r="G577" i="9"/>
  <c r="H577" i="9"/>
  <c r="I577" i="9"/>
  <c r="J577" i="9"/>
  <c r="K577" i="9"/>
  <c r="L577" i="9"/>
  <c r="M577" i="9"/>
  <c r="A578" i="9"/>
  <c r="B578" i="9"/>
  <c r="D578" i="9"/>
  <c r="E578" i="9"/>
  <c r="G578" i="9"/>
  <c r="H578" i="9"/>
  <c r="I578" i="9"/>
  <c r="J578" i="9"/>
  <c r="K578" i="9"/>
  <c r="L578" i="9"/>
  <c r="M578" i="9"/>
  <c r="A579" i="9"/>
  <c r="B579" i="9"/>
  <c r="D579" i="9"/>
  <c r="E579" i="9"/>
  <c r="G579" i="9"/>
  <c r="H579" i="9"/>
  <c r="I579" i="9"/>
  <c r="J579" i="9"/>
  <c r="K579" i="9"/>
  <c r="L579" i="9"/>
  <c r="M579" i="9"/>
  <c r="A580" i="9"/>
  <c r="B580" i="9"/>
  <c r="D580" i="9"/>
  <c r="E580" i="9"/>
  <c r="G580" i="9"/>
  <c r="H580" i="9"/>
  <c r="I580" i="9"/>
  <c r="J580" i="9"/>
  <c r="K580" i="9"/>
  <c r="L580" i="9"/>
  <c r="M580" i="9"/>
  <c r="A581" i="9"/>
  <c r="B581" i="9"/>
  <c r="D581" i="9"/>
  <c r="E581" i="9"/>
  <c r="G581" i="9"/>
  <c r="H581" i="9"/>
  <c r="I581" i="9"/>
  <c r="J581" i="9"/>
  <c r="K581" i="9"/>
  <c r="L581" i="9"/>
  <c r="M581" i="9"/>
  <c r="A582" i="9"/>
  <c r="B582" i="9"/>
  <c r="D582" i="9"/>
  <c r="E582" i="9"/>
  <c r="G582" i="9"/>
  <c r="H582" i="9"/>
  <c r="I582" i="9"/>
  <c r="J582" i="9"/>
  <c r="K582" i="9"/>
  <c r="L582" i="9"/>
  <c r="M582" i="9"/>
  <c r="A583" i="9"/>
  <c r="B583" i="9"/>
  <c r="D583" i="9"/>
  <c r="E583" i="9"/>
  <c r="G583" i="9"/>
  <c r="H583" i="9"/>
  <c r="I583" i="9"/>
  <c r="J583" i="9"/>
  <c r="K583" i="9"/>
  <c r="L583" i="9"/>
  <c r="M583" i="9"/>
  <c r="A584" i="9"/>
  <c r="B584" i="9"/>
  <c r="D584" i="9"/>
  <c r="E584" i="9"/>
  <c r="G584" i="9"/>
  <c r="H584" i="9"/>
  <c r="I584" i="9"/>
  <c r="J584" i="9"/>
  <c r="K584" i="9"/>
  <c r="L584" i="9"/>
  <c r="M584" i="9"/>
  <c r="A585" i="9"/>
  <c r="B585" i="9"/>
  <c r="D585" i="9"/>
  <c r="E585" i="9"/>
  <c r="G585" i="9"/>
  <c r="H585" i="9"/>
  <c r="I585" i="9"/>
  <c r="J585" i="9"/>
  <c r="K585" i="9"/>
  <c r="L585" i="9"/>
  <c r="M585" i="9"/>
  <c r="A586" i="9"/>
  <c r="B586" i="9"/>
  <c r="D586" i="9"/>
  <c r="E586" i="9"/>
  <c r="G586" i="9"/>
  <c r="H586" i="9"/>
  <c r="I586" i="9"/>
  <c r="J586" i="9"/>
  <c r="K586" i="9"/>
  <c r="L586" i="9"/>
  <c r="M586" i="9"/>
  <c r="A587" i="9"/>
  <c r="B587" i="9"/>
  <c r="D587" i="9"/>
  <c r="E587" i="9"/>
  <c r="G587" i="9"/>
  <c r="H587" i="9"/>
  <c r="I587" i="9"/>
  <c r="J587" i="9"/>
  <c r="K587" i="9"/>
  <c r="L587" i="9"/>
  <c r="M587" i="9"/>
  <c r="A588" i="9"/>
  <c r="B588" i="9"/>
  <c r="D588" i="9"/>
  <c r="E588" i="9"/>
  <c r="G588" i="9"/>
  <c r="H588" i="9"/>
  <c r="I588" i="9"/>
  <c r="J588" i="9"/>
  <c r="K588" i="9"/>
  <c r="L588" i="9"/>
  <c r="M588" i="9"/>
  <c r="A589" i="9"/>
  <c r="B589" i="9"/>
  <c r="D589" i="9"/>
  <c r="E589" i="9"/>
  <c r="G589" i="9"/>
  <c r="H589" i="9"/>
  <c r="I589" i="9"/>
  <c r="J589" i="9"/>
  <c r="K589" i="9"/>
  <c r="L589" i="9"/>
  <c r="M589" i="9"/>
  <c r="A590" i="9"/>
  <c r="B590" i="9"/>
  <c r="D590" i="9"/>
  <c r="E590" i="9"/>
  <c r="G590" i="9"/>
  <c r="H590" i="9"/>
  <c r="I590" i="9"/>
  <c r="J590" i="9"/>
  <c r="K590" i="9"/>
  <c r="L590" i="9"/>
  <c r="M590" i="9"/>
  <c r="A591" i="9"/>
  <c r="B591" i="9"/>
  <c r="D591" i="9"/>
  <c r="E591" i="9"/>
  <c r="G591" i="9"/>
  <c r="H591" i="9"/>
  <c r="I591" i="9"/>
  <c r="J591" i="9"/>
  <c r="K591" i="9"/>
  <c r="L591" i="9"/>
  <c r="M591" i="9"/>
  <c r="A592" i="9"/>
  <c r="B592" i="9"/>
  <c r="D592" i="9"/>
  <c r="E592" i="9"/>
  <c r="G592" i="9"/>
  <c r="H592" i="9"/>
  <c r="I592" i="9"/>
  <c r="J592" i="9"/>
  <c r="K592" i="9"/>
  <c r="L592" i="9"/>
  <c r="M592" i="9"/>
  <c r="A593" i="9"/>
  <c r="B593" i="9"/>
  <c r="D593" i="9"/>
  <c r="E593" i="9"/>
  <c r="G593" i="9"/>
  <c r="H593" i="9"/>
  <c r="I593" i="9"/>
  <c r="J593" i="9"/>
  <c r="K593" i="9"/>
  <c r="L593" i="9"/>
  <c r="M593" i="9"/>
  <c r="A594" i="9"/>
  <c r="B594" i="9"/>
  <c r="D594" i="9"/>
  <c r="E594" i="9"/>
  <c r="G594" i="9"/>
  <c r="H594" i="9"/>
  <c r="I594" i="9"/>
  <c r="J594" i="9"/>
  <c r="K594" i="9"/>
  <c r="L594" i="9"/>
  <c r="M594" i="9"/>
  <c r="A595" i="9"/>
  <c r="B595" i="9"/>
  <c r="D595" i="9"/>
  <c r="E595" i="9"/>
  <c r="G595" i="9"/>
  <c r="H595" i="9"/>
  <c r="I595" i="9"/>
  <c r="J595" i="9"/>
  <c r="K595" i="9"/>
  <c r="L595" i="9"/>
  <c r="M595" i="9"/>
  <c r="A596" i="9"/>
  <c r="B596" i="9"/>
  <c r="D596" i="9"/>
  <c r="E596" i="9"/>
  <c r="G596" i="9"/>
  <c r="H596" i="9"/>
  <c r="I596" i="9"/>
  <c r="J596" i="9"/>
  <c r="K596" i="9"/>
  <c r="L596" i="9"/>
  <c r="M596" i="9"/>
  <c r="A597" i="9"/>
  <c r="B597" i="9"/>
  <c r="D597" i="9"/>
  <c r="E597" i="9"/>
  <c r="G597" i="9"/>
  <c r="H597" i="9"/>
  <c r="I597" i="9"/>
  <c r="J597" i="9"/>
  <c r="K597" i="9"/>
  <c r="L597" i="9"/>
  <c r="M597" i="9"/>
  <c r="A598" i="9"/>
  <c r="B598" i="9"/>
  <c r="D598" i="9"/>
  <c r="E598" i="9"/>
  <c r="G598" i="9"/>
  <c r="H598" i="9"/>
  <c r="I598" i="9"/>
  <c r="J598" i="9"/>
  <c r="K598" i="9"/>
  <c r="L598" i="9"/>
  <c r="M598" i="9"/>
  <c r="A599" i="9"/>
  <c r="B599" i="9"/>
  <c r="D599" i="9"/>
  <c r="E599" i="9"/>
  <c r="G599" i="9"/>
  <c r="H599" i="9"/>
  <c r="I599" i="9"/>
  <c r="J599" i="9"/>
  <c r="K599" i="9"/>
  <c r="L599" i="9"/>
  <c r="M599" i="9"/>
  <c r="A600" i="9"/>
  <c r="B600" i="9"/>
  <c r="D600" i="9"/>
  <c r="E600" i="9"/>
  <c r="G600" i="9"/>
  <c r="H600" i="9"/>
  <c r="I600" i="9"/>
  <c r="J600" i="9"/>
  <c r="K600" i="9"/>
  <c r="L600" i="9"/>
  <c r="M600" i="9"/>
  <c r="A601" i="9"/>
  <c r="B601" i="9"/>
  <c r="D601" i="9"/>
  <c r="E601" i="9"/>
  <c r="G601" i="9"/>
  <c r="H601" i="9"/>
  <c r="I601" i="9"/>
  <c r="J601" i="9"/>
  <c r="K601" i="9"/>
  <c r="L601" i="9"/>
  <c r="M601" i="9"/>
  <c r="A602" i="9"/>
  <c r="B602" i="9"/>
  <c r="D602" i="9"/>
  <c r="E602" i="9"/>
  <c r="G602" i="9"/>
  <c r="H602" i="9"/>
  <c r="I602" i="9"/>
  <c r="J602" i="9"/>
  <c r="K602" i="9"/>
  <c r="L602" i="9"/>
  <c r="M602" i="9"/>
  <c r="A603" i="9"/>
  <c r="B603" i="9"/>
  <c r="D603" i="9"/>
  <c r="E603" i="9"/>
  <c r="G603" i="9"/>
  <c r="H603" i="9"/>
  <c r="I603" i="9"/>
  <c r="J603" i="9"/>
  <c r="K603" i="9"/>
  <c r="L603" i="9"/>
  <c r="M603" i="9"/>
  <c r="A604" i="9"/>
  <c r="B604" i="9"/>
  <c r="D604" i="9"/>
  <c r="E604" i="9"/>
  <c r="G604" i="9"/>
  <c r="H604" i="9"/>
  <c r="I604" i="9"/>
  <c r="J604" i="9"/>
  <c r="K604" i="9"/>
  <c r="L604" i="9"/>
  <c r="M604" i="9"/>
  <c r="A605" i="9"/>
  <c r="B605" i="9"/>
  <c r="D605" i="9"/>
  <c r="E605" i="9"/>
  <c r="G605" i="9"/>
  <c r="H605" i="9"/>
  <c r="I605" i="9"/>
  <c r="J605" i="9"/>
  <c r="K605" i="9"/>
  <c r="L605" i="9"/>
  <c r="M605" i="9"/>
  <c r="A606" i="9"/>
  <c r="B606" i="9"/>
  <c r="D606" i="9"/>
  <c r="E606" i="9"/>
  <c r="G606" i="9"/>
  <c r="H606" i="9"/>
  <c r="I606" i="9"/>
  <c r="J606" i="9"/>
  <c r="K606" i="9"/>
  <c r="L606" i="9"/>
  <c r="M606" i="9"/>
  <c r="A607" i="9"/>
  <c r="B607" i="9"/>
  <c r="D607" i="9"/>
  <c r="E607" i="9"/>
  <c r="G607" i="9"/>
  <c r="H607" i="9"/>
  <c r="I607" i="9"/>
  <c r="J607" i="9"/>
  <c r="K607" i="9"/>
  <c r="L607" i="9"/>
  <c r="M607" i="9"/>
  <c r="A608" i="9"/>
  <c r="B608" i="9"/>
  <c r="D608" i="9"/>
  <c r="E608" i="9"/>
  <c r="G608" i="9"/>
  <c r="H608" i="9"/>
  <c r="I608" i="9"/>
  <c r="J608" i="9"/>
  <c r="K608" i="9"/>
  <c r="L608" i="9"/>
  <c r="M608" i="9"/>
  <c r="A609" i="9"/>
  <c r="B609" i="9"/>
  <c r="D609" i="9"/>
  <c r="E609" i="9"/>
  <c r="G609" i="9"/>
  <c r="H609" i="9"/>
  <c r="I609" i="9"/>
  <c r="J609" i="9"/>
  <c r="K609" i="9"/>
  <c r="L609" i="9"/>
  <c r="M609" i="9"/>
  <c r="A610" i="9"/>
  <c r="B610" i="9"/>
  <c r="D610" i="9"/>
  <c r="E610" i="9"/>
  <c r="G610" i="9"/>
  <c r="H610" i="9"/>
  <c r="I610" i="9"/>
  <c r="J610" i="9"/>
  <c r="K610" i="9"/>
  <c r="L610" i="9"/>
  <c r="M610" i="9"/>
  <c r="A611" i="9"/>
  <c r="B611" i="9"/>
  <c r="D611" i="9"/>
  <c r="E611" i="9"/>
  <c r="G611" i="9"/>
  <c r="H611" i="9"/>
  <c r="I611" i="9"/>
  <c r="J611" i="9"/>
  <c r="K611" i="9"/>
  <c r="L611" i="9"/>
  <c r="M611" i="9"/>
  <c r="A612" i="9"/>
  <c r="B612" i="9"/>
  <c r="D612" i="9"/>
  <c r="E612" i="9"/>
  <c r="G612" i="9"/>
  <c r="H612" i="9"/>
  <c r="I612" i="9"/>
  <c r="J612" i="9"/>
  <c r="K612" i="9"/>
  <c r="L612" i="9"/>
  <c r="M612" i="9"/>
  <c r="A613" i="9"/>
  <c r="B613" i="9"/>
  <c r="D613" i="9"/>
  <c r="E613" i="9"/>
  <c r="G613" i="9"/>
  <c r="H613" i="9"/>
  <c r="I613" i="9"/>
  <c r="J613" i="9"/>
  <c r="K613" i="9"/>
  <c r="L613" i="9"/>
  <c r="M613" i="9"/>
  <c r="A614" i="9"/>
  <c r="B614" i="9"/>
  <c r="D614" i="9"/>
  <c r="E614" i="9"/>
  <c r="G614" i="9"/>
  <c r="H614" i="9"/>
  <c r="I614" i="9"/>
  <c r="J614" i="9"/>
  <c r="K614" i="9"/>
  <c r="L614" i="9"/>
  <c r="M614" i="9"/>
  <c r="A615" i="9"/>
  <c r="B615" i="9"/>
  <c r="D615" i="9"/>
  <c r="E615" i="9"/>
  <c r="G615" i="9"/>
  <c r="H615" i="9"/>
  <c r="I615" i="9"/>
  <c r="J615" i="9"/>
  <c r="K615" i="9"/>
  <c r="L615" i="9"/>
  <c r="M615" i="9"/>
  <c r="A616" i="9"/>
  <c r="B616" i="9"/>
  <c r="D616" i="9"/>
  <c r="E616" i="9"/>
  <c r="G616" i="9"/>
  <c r="H616" i="9"/>
  <c r="I616" i="9"/>
  <c r="J616" i="9"/>
  <c r="K616" i="9"/>
  <c r="L616" i="9"/>
  <c r="M616" i="9"/>
  <c r="A617" i="9"/>
  <c r="B617" i="9"/>
  <c r="D617" i="9"/>
  <c r="E617" i="9"/>
  <c r="G617" i="9"/>
  <c r="H617" i="9"/>
  <c r="I617" i="9"/>
  <c r="J617" i="9"/>
  <c r="K617" i="9"/>
  <c r="L617" i="9"/>
  <c r="M617" i="9"/>
  <c r="A618" i="9"/>
  <c r="B618" i="9"/>
  <c r="D618" i="9"/>
  <c r="E618" i="9"/>
  <c r="G618" i="9"/>
  <c r="H618" i="9"/>
  <c r="I618" i="9"/>
  <c r="J618" i="9"/>
  <c r="K618" i="9"/>
  <c r="L618" i="9"/>
  <c r="M618" i="9"/>
  <c r="A619" i="9"/>
  <c r="B619" i="9"/>
  <c r="D619" i="9"/>
  <c r="E619" i="9"/>
  <c r="G619" i="9"/>
  <c r="H619" i="9"/>
  <c r="I619" i="9"/>
  <c r="J619" i="9"/>
  <c r="K619" i="9"/>
  <c r="L619" i="9"/>
  <c r="M619" i="9"/>
  <c r="A620" i="9"/>
  <c r="B620" i="9"/>
  <c r="D620" i="9"/>
  <c r="E620" i="9"/>
  <c r="G620" i="9"/>
  <c r="H620" i="9"/>
  <c r="I620" i="9"/>
  <c r="J620" i="9"/>
  <c r="K620" i="9"/>
  <c r="L620" i="9"/>
  <c r="M620" i="9"/>
  <c r="A621" i="9"/>
  <c r="B621" i="9"/>
  <c r="D621" i="9"/>
  <c r="E621" i="9"/>
  <c r="G621" i="9"/>
  <c r="H621" i="9"/>
  <c r="I621" i="9"/>
  <c r="J621" i="9"/>
  <c r="K621" i="9"/>
  <c r="L621" i="9"/>
  <c r="M621" i="9"/>
  <c r="A622" i="9"/>
  <c r="B622" i="9"/>
  <c r="D622" i="9"/>
  <c r="E622" i="9"/>
  <c r="G622" i="9"/>
  <c r="H622" i="9"/>
  <c r="I622" i="9"/>
  <c r="J622" i="9"/>
  <c r="K622" i="9"/>
  <c r="L622" i="9"/>
  <c r="M622" i="9"/>
  <c r="A623" i="9"/>
  <c r="B623" i="9"/>
  <c r="D623" i="9"/>
  <c r="E623" i="9"/>
  <c r="G623" i="9"/>
  <c r="H623" i="9"/>
  <c r="I623" i="9"/>
  <c r="J623" i="9"/>
  <c r="K623" i="9"/>
  <c r="L623" i="9"/>
  <c r="M623" i="9"/>
  <c r="A624" i="9"/>
  <c r="B624" i="9"/>
  <c r="D624" i="9"/>
  <c r="E624" i="9"/>
  <c r="G624" i="9"/>
  <c r="H624" i="9"/>
  <c r="I624" i="9"/>
  <c r="J624" i="9"/>
  <c r="K624" i="9"/>
  <c r="L624" i="9"/>
  <c r="M624" i="9"/>
  <c r="A625" i="9"/>
  <c r="B625" i="9"/>
  <c r="D625" i="9"/>
  <c r="E625" i="9"/>
  <c r="G625" i="9"/>
  <c r="H625" i="9"/>
  <c r="I625" i="9"/>
  <c r="J625" i="9"/>
  <c r="K625" i="9"/>
  <c r="L625" i="9"/>
  <c r="M625" i="9"/>
  <c r="A626" i="9"/>
  <c r="B626" i="9"/>
  <c r="D626" i="9"/>
  <c r="E626" i="9"/>
  <c r="G626" i="9"/>
  <c r="H626" i="9"/>
  <c r="I626" i="9"/>
  <c r="J626" i="9"/>
  <c r="K626" i="9"/>
  <c r="L626" i="9"/>
  <c r="M626" i="9"/>
  <c r="A627" i="9"/>
  <c r="B627" i="9"/>
  <c r="D627" i="9"/>
  <c r="E627" i="9"/>
  <c r="G627" i="9"/>
  <c r="H627" i="9"/>
  <c r="I627" i="9"/>
  <c r="J627" i="9"/>
  <c r="K627" i="9"/>
  <c r="L627" i="9"/>
  <c r="M627" i="9"/>
  <c r="A628" i="9"/>
  <c r="B628" i="9"/>
  <c r="D628" i="9"/>
  <c r="E628" i="9"/>
  <c r="G628" i="9"/>
  <c r="H628" i="9"/>
  <c r="I628" i="9"/>
  <c r="J628" i="9"/>
  <c r="K628" i="9"/>
  <c r="L628" i="9"/>
  <c r="M628" i="9"/>
  <c r="A629" i="9"/>
  <c r="B629" i="9"/>
  <c r="D629" i="9"/>
  <c r="E629" i="9"/>
  <c r="G629" i="9"/>
  <c r="H629" i="9"/>
  <c r="I629" i="9"/>
  <c r="J629" i="9"/>
  <c r="K629" i="9"/>
  <c r="L629" i="9"/>
  <c r="M629" i="9"/>
  <c r="A630" i="9"/>
  <c r="B630" i="9"/>
  <c r="D630" i="9"/>
  <c r="E630" i="9"/>
  <c r="G630" i="9"/>
  <c r="H630" i="9"/>
  <c r="I630" i="9"/>
  <c r="J630" i="9"/>
  <c r="K630" i="9"/>
  <c r="L630" i="9"/>
  <c r="M630" i="9"/>
  <c r="A631" i="9"/>
  <c r="B631" i="9"/>
  <c r="D631" i="9"/>
  <c r="E631" i="9"/>
  <c r="G631" i="9"/>
  <c r="H631" i="9"/>
  <c r="I631" i="9"/>
  <c r="J631" i="9"/>
  <c r="K631" i="9"/>
  <c r="L631" i="9"/>
  <c r="M631" i="9"/>
  <c r="A632" i="9"/>
  <c r="B632" i="9"/>
  <c r="D632" i="9"/>
  <c r="E632" i="9"/>
  <c r="G632" i="9"/>
  <c r="H632" i="9"/>
  <c r="I632" i="9"/>
  <c r="J632" i="9"/>
  <c r="K632" i="9"/>
  <c r="L632" i="9"/>
  <c r="M632" i="9"/>
  <c r="A633" i="9"/>
  <c r="B633" i="9"/>
  <c r="D633" i="9"/>
  <c r="E633" i="9"/>
  <c r="G633" i="9"/>
  <c r="H633" i="9"/>
  <c r="I633" i="9"/>
  <c r="J633" i="9"/>
  <c r="K633" i="9"/>
  <c r="L633" i="9"/>
  <c r="M633" i="9"/>
  <c r="A634" i="9"/>
  <c r="B634" i="9"/>
  <c r="D634" i="9"/>
  <c r="E634" i="9"/>
  <c r="G634" i="9"/>
  <c r="H634" i="9"/>
  <c r="I634" i="9"/>
  <c r="J634" i="9"/>
  <c r="K634" i="9"/>
  <c r="L634" i="9"/>
  <c r="M634" i="9"/>
  <c r="A635" i="9"/>
  <c r="B635" i="9"/>
  <c r="D635" i="9"/>
  <c r="E635" i="9"/>
  <c r="G635" i="9"/>
  <c r="H635" i="9"/>
  <c r="I635" i="9"/>
  <c r="J635" i="9"/>
  <c r="K635" i="9"/>
  <c r="L635" i="9"/>
  <c r="M635" i="9"/>
  <c r="A636" i="9"/>
  <c r="B636" i="9"/>
  <c r="D636" i="9"/>
  <c r="E636" i="9"/>
  <c r="G636" i="9"/>
  <c r="H636" i="9"/>
  <c r="I636" i="9"/>
  <c r="J636" i="9"/>
  <c r="K636" i="9"/>
  <c r="L636" i="9"/>
  <c r="M636" i="9"/>
  <c r="A637" i="9"/>
  <c r="B637" i="9"/>
  <c r="D637" i="9"/>
  <c r="E637" i="9"/>
  <c r="G637" i="9"/>
  <c r="H637" i="9"/>
  <c r="I637" i="9"/>
  <c r="J637" i="9"/>
  <c r="K637" i="9"/>
  <c r="L637" i="9"/>
  <c r="M637" i="9"/>
  <c r="A638" i="9"/>
  <c r="B638" i="9"/>
  <c r="D638" i="9"/>
  <c r="E638" i="9"/>
  <c r="G638" i="9"/>
  <c r="H638" i="9"/>
  <c r="I638" i="9"/>
  <c r="J638" i="9"/>
  <c r="K638" i="9"/>
  <c r="L638" i="9"/>
  <c r="M638" i="9"/>
  <c r="A639" i="9"/>
  <c r="B639" i="9"/>
  <c r="D639" i="9"/>
  <c r="E639" i="9"/>
  <c r="G639" i="9"/>
  <c r="H639" i="9"/>
  <c r="I639" i="9"/>
  <c r="J639" i="9"/>
  <c r="K639" i="9"/>
  <c r="L639" i="9"/>
  <c r="M639" i="9"/>
  <c r="A640" i="9"/>
  <c r="B640" i="9"/>
  <c r="D640" i="9"/>
  <c r="E640" i="9"/>
  <c r="G640" i="9"/>
  <c r="H640" i="9"/>
  <c r="I640" i="9"/>
  <c r="J640" i="9"/>
  <c r="K640" i="9"/>
  <c r="L640" i="9"/>
  <c r="M640" i="9"/>
  <c r="A641" i="9"/>
  <c r="B641" i="9"/>
  <c r="D641" i="9"/>
  <c r="E641" i="9"/>
  <c r="G641" i="9"/>
  <c r="H641" i="9"/>
  <c r="I641" i="9"/>
  <c r="J641" i="9"/>
  <c r="K641" i="9"/>
  <c r="L641" i="9"/>
  <c r="M641" i="9"/>
  <c r="A642" i="9"/>
  <c r="B642" i="9"/>
  <c r="D642" i="9"/>
  <c r="E642" i="9"/>
  <c r="G642" i="9"/>
  <c r="H642" i="9"/>
  <c r="I642" i="9"/>
  <c r="J642" i="9"/>
  <c r="K642" i="9"/>
  <c r="L642" i="9"/>
  <c r="M642" i="9"/>
  <c r="A643" i="9"/>
  <c r="B643" i="9"/>
  <c r="D643" i="9"/>
  <c r="E643" i="9"/>
  <c r="G643" i="9"/>
  <c r="H643" i="9"/>
  <c r="I643" i="9"/>
  <c r="J643" i="9"/>
  <c r="K643" i="9"/>
  <c r="L643" i="9"/>
  <c r="M643" i="9"/>
  <c r="A644" i="9"/>
  <c r="B644" i="9"/>
  <c r="D644" i="9"/>
  <c r="E644" i="9"/>
  <c r="G644" i="9"/>
  <c r="H644" i="9"/>
  <c r="I644" i="9"/>
  <c r="J644" i="9"/>
  <c r="K644" i="9"/>
  <c r="L644" i="9"/>
  <c r="M644" i="9"/>
  <c r="A645" i="9"/>
  <c r="B645" i="9"/>
  <c r="D645" i="9"/>
  <c r="E645" i="9"/>
  <c r="G645" i="9"/>
  <c r="H645" i="9"/>
  <c r="I645" i="9"/>
  <c r="J645" i="9"/>
  <c r="K645" i="9"/>
  <c r="L645" i="9"/>
  <c r="M645" i="9"/>
  <c r="A646" i="9"/>
  <c r="B646" i="9"/>
  <c r="D646" i="9"/>
  <c r="E646" i="9"/>
  <c r="G646" i="9"/>
  <c r="H646" i="9"/>
  <c r="I646" i="9"/>
  <c r="J646" i="9"/>
  <c r="K646" i="9"/>
  <c r="L646" i="9"/>
  <c r="M646" i="9"/>
  <c r="A647" i="9"/>
  <c r="B647" i="9"/>
  <c r="D647" i="9"/>
  <c r="E647" i="9"/>
  <c r="G647" i="9"/>
  <c r="H647" i="9"/>
  <c r="I647" i="9"/>
  <c r="J647" i="9"/>
  <c r="K647" i="9"/>
  <c r="L647" i="9"/>
  <c r="M647" i="9"/>
  <c r="A648" i="9"/>
  <c r="B648" i="9"/>
  <c r="D648" i="9"/>
  <c r="E648" i="9"/>
  <c r="G648" i="9"/>
  <c r="H648" i="9"/>
  <c r="I648" i="9"/>
  <c r="J648" i="9"/>
  <c r="K648" i="9"/>
  <c r="L648" i="9"/>
  <c r="M648" i="9"/>
  <c r="A649" i="9"/>
  <c r="B649" i="9"/>
  <c r="D649" i="9"/>
  <c r="E649" i="9"/>
  <c r="G649" i="9"/>
  <c r="H649" i="9"/>
  <c r="I649" i="9"/>
  <c r="J649" i="9"/>
  <c r="K649" i="9"/>
  <c r="L649" i="9"/>
  <c r="M649" i="9"/>
  <c r="A650" i="9"/>
  <c r="B650" i="9"/>
  <c r="D650" i="9"/>
  <c r="E650" i="9"/>
  <c r="G650" i="9"/>
  <c r="H650" i="9"/>
  <c r="I650" i="9"/>
  <c r="J650" i="9"/>
  <c r="K650" i="9"/>
  <c r="L650" i="9"/>
  <c r="M650" i="9"/>
  <c r="A651" i="9"/>
  <c r="B651" i="9"/>
  <c r="D651" i="9"/>
  <c r="E651" i="9"/>
  <c r="G651" i="9"/>
  <c r="H651" i="9"/>
  <c r="I651" i="9"/>
  <c r="J651" i="9"/>
  <c r="K651" i="9"/>
  <c r="L651" i="9"/>
  <c r="M651" i="9"/>
  <c r="A652" i="9"/>
  <c r="B652" i="9"/>
  <c r="D652" i="9"/>
  <c r="E652" i="9"/>
  <c r="G652" i="9"/>
  <c r="H652" i="9"/>
  <c r="I652" i="9"/>
  <c r="J652" i="9"/>
  <c r="K652" i="9"/>
  <c r="L652" i="9"/>
  <c r="M652" i="9"/>
  <c r="A653" i="9"/>
  <c r="B653" i="9"/>
  <c r="D653" i="9"/>
  <c r="E653" i="9"/>
  <c r="G653" i="9"/>
  <c r="H653" i="9"/>
  <c r="I653" i="9"/>
  <c r="J653" i="9"/>
  <c r="K653" i="9"/>
  <c r="L653" i="9"/>
  <c r="M653" i="9"/>
  <c r="A654" i="9"/>
  <c r="B654" i="9"/>
  <c r="D654" i="9"/>
  <c r="E654" i="9"/>
  <c r="G654" i="9"/>
  <c r="H654" i="9"/>
  <c r="I654" i="9"/>
  <c r="J654" i="9"/>
  <c r="K654" i="9"/>
  <c r="L654" i="9"/>
  <c r="M654" i="9"/>
  <c r="A655" i="9"/>
  <c r="B655" i="9"/>
  <c r="D655" i="9"/>
  <c r="E655" i="9"/>
  <c r="G655" i="9"/>
  <c r="H655" i="9"/>
  <c r="I655" i="9"/>
  <c r="J655" i="9"/>
  <c r="K655" i="9"/>
  <c r="L655" i="9"/>
  <c r="M655" i="9"/>
  <c r="A656" i="9"/>
  <c r="B656" i="9"/>
  <c r="D656" i="9"/>
  <c r="E656" i="9"/>
  <c r="G656" i="9"/>
  <c r="H656" i="9"/>
  <c r="I656" i="9"/>
  <c r="J656" i="9"/>
  <c r="K656" i="9"/>
  <c r="L656" i="9"/>
  <c r="M656" i="9"/>
  <c r="A657" i="9"/>
  <c r="B657" i="9"/>
  <c r="D657" i="9"/>
  <c r="E657" i="9"/>
  <c r="G657" i="9"/>
  <c r="H657" i="9"/>
  <c r="I657" i="9"/>
  <c r="J657" i="9"/>
  <c r="K657" i="9"/>
  <c r="L657" i="9"/>
  <c r="M657" i="9"/>
  <c r="A658" i="9"/>
  <c r="B658" i="9"/>
  <c r="D658" i="9"/>
  <c r="E658" i="9"/>
  <c r="G658" i="9"/>
  <c r="H658" i="9"/>
  <c r="I658" i="9"/>
  <c r="J658" i="9"/>
  <c r="K658" i="9"/>
  <c r="L658" i="9"/>
  <c r="M658" i="9"/>
  <c r="A659" i="9"/>
  <c r="B659" i="9"/>
  <c r="D659" i="9"/>
  <c r="E659" i="9"/>
  <c r="G659" i="9"/>
  <c r="H659" i="9"/>
  <c r="I659" i="9"/>
  <c r="J659" i="9"/>
  <c r="K659" i="9"/>
  <c r="L659" i="9"/>
  <c r="M659" i="9"/>
  <c r="A660" i="9"/>
  <c r="B660" i="9"/>
  <c r="D660" i="9"/>
  <c r="E660" i="9"/>
  <c r="G660" i="9"/>
  <c r="H660" i="9"/>
  <c r="I660" i="9"/>
  <c r="J660" i="9"/>
  <c r="K660" i="9"/>
  <c r="L660" i="9"/>
  <c r="M660" i="9"/>
  <c r="A661" i="9"/>
  <c r="B661" i="9"/>
  <c r="D661" i="9"/>
  <c r="E661" i="9"/>
  <c r="G661" i="9"/>
  <c r="H661" i="9"/>
  <c r="I661" i="9"/>
  <c r="J661" i="9"/>
  <c r="K661" i="9"/>
  <c r="L661" i="9"/>
  <c r="M661" i="9"/>
  <c r="A662" i="9"/>
  <c r="B662" i="9"/>
  <c r="D662" i="9"/>
  <c r="E662" i="9"/>
  <c r="G662" i="9"/>
  <c r="H662" i="9"/>
  <c r="I662" i="9"/>
  <c r="J662" i="9"/>
  <c r="K662" i="9"/>
  <c r="L662" i="9"/>
  <c r="M662" i="9"/>
  <c r="A663" i="9"/>
  <c r="B663" i="9"/>
  <c r="D663" i="9"/>
  <c r="E663" i="9"/>
  <c r="G663" i="9"/>
  <c r="H663" i="9"/>
  <c r="I663" i="9"/>
  <c r="J663" i="9"/>
  <c r="K663" i="9"/>
  <c r="L663" i="9"/>
  <c r="M663" i="9"/>
  <c r="A664" i="9"/>
  <c r="B664" i="9"/>
  <c r="D664" i="9"/>
  <c r="E664" i="9"/>
  <c r="G664" i="9"/>
  <c r="H664" i="9"/>
  <c r="I664" i="9"/>
  <c r="J664" i="9"/>
  <c r="K664" i="9"/>
  <c r="L664" i="9"/>
  <c r="M664" i="9"/>
  <c r="A665" i="9"/>
  <c r="B665" i="9"/>
  <c r="D665" i="9"/>
  <c r="E665" i="9"/>
  <c r="G665" i="9"/>
  <c r="H665" i="9"/>
  <c r="I665" i="9"/>
  <c r="J665" i="9"/>
  <c r="K665" i="9"/>
  <c r="L665" i="9"/>
  <c r="M665" i="9"/>
  <c r="A666" i="9"/>
  <c r="B666" i="9"/>
  <c r="D666" i="9"/>
  <c r="E666" i="9"/>
  <c r="G666" i="9"/>
  <c r="H666" i="9"/>
  <c r="I666" i="9"/>
  <c r="J666" i="9"/>
  <c r="K666" i="9"/>
  <c r="L666" i="9"/>
  <c r="M666" i="9"/>
  <c r="A667" i="9"/>
  <c r="B667" i="9"/>
  <c r="D667" i="9"/>
  <c r="E667" i="9"/>
  <c r="G667" i="9"/>
  <c r="H667" i="9"/>
  <c r="I667" i="9"/>
  <c r="J667" i="9"/>
  <c r="K667" i="9"/>
  <c r="L667" i="9"/>
  <c r="M667" i="9"/>
  <c r="A668" i="9"/>
  <c r="B668" i="9"/>
  <c r="D668" i="9"/>
  <c r="E668" i="9"/>
  <c r="G668" i="9"/>
  <c r="H668" i="9"/>
  <c r="I668" i="9"/>
  <c r="J668" i="9"/>
  <c r="K668" i="9"/>
  <c r="L668" i="9"/>
  <c r="M668" i="9"/>
  <c r="A669" i="9"/>
  <c r="B669" i="9"/>
  <c r="D669" i="9"/>
  <c r="E669" i="9"/>
  <c r="G669" i="9"/>
  <c r="H669" i="9"/>
  <c r="I669" i="9"/>
  <c r="J669" i="9"/>
  <c r="K669" i="9"/>
  <c r="L669" i="9"/>
  <c r="M669" i="9"/>
  <c r="A670" i="9"/>
  <c r="B670" i="9"/>
  <c r="D670" i="9"/>
  <c r="E670" i="9"/>
  <c r="G670" i="9"/>
  <c r="H670" i="9"/>
  <c r="I670" i="9"/>
  <c r="J670" i="9"/>
  <c r="K670" i="9"/>
  <c r="L670" i="9"/>
  <c r="M670" i="9"/>
  <c r="A671" i="9"/>
  <c r="B671" i="9"/>
  <c r="D671" i="9"/>
  <c r="E671" i="9"/>
  <c r="G671" i="9"/>
  <c r="H671" i="9"/>
  <c r="I671" i="9"/>
  <c r="J671" i="9"/>
  <c r="K671" i="9"/>
  <c r="L671" i="9"/>
  <c r="M671" i="9"/>
  <c r="A672" i="9"/>
  <c r="B672" i="9"/>
  <c r="D672" i="9"/>
  <c r="E672" i="9"/>
  <c r="G672" i="9"/>
  <c r="H672" i="9"/>
  <c r="I672" i="9"/>
  <c r="J672" i="9"/>
  <c r="K672" i="9"/>
  <c r="L672" i="9"/>
  <c r="M672" i="9"/>
  <c r="A673" i="9"/>
  <c r="B673" i="9"/>
  <c r="D673" i="9"/>
  <c r="E673" i="9"/>
  <c r="G673" i="9"/>
  <c r="H673" i="9"/>
  <c r="I673" i="9"/>
  <c r="J673" i="9"/>
  <c r="K673" i="9"/>
  <c r="L673" i="9"/>
  <c r="M673" i="9"/>
  <c r="A674" i="9"/>
  <c r="B674" i="9"/>
  <c r="D674" i="9"/>
  <c r="E674" i="9"/>
  <c r="G674" i="9"/>
  <c r="H674" i="9"/>
  <c r="I674" i="9"/>
  <c r="J674" i="9"/>
  <c r="K674" i="9"/>
  <c r="L674" i="9"/>
  <c r="M674" i="9"/>
  <c r="A675" i="9"/>
  <c r="B675" i="9"/>
  <c r="D675" i="9"/>
  <c r="E675" i="9"/>
  <c r="G675" i="9"/>
  <c r="H675" i="9"/>
  <c r="I675" i="9"/>
  <c r="J675" i="9"/>
  <c r="K675" i="9"/>
  <c r="L675" i="9"/>
  <c r="M675" i="9"/>
  <c r="A676" i="9"/>
  <c r="B676" i="9"/>
  <c r="D676" i="9"/>
  <c r="E676" i="9"/>
  <c r="G676" i="9"/>
  <c r="H676" i="9"/>
  <c r="I676" i="9"/>
  <c r="J676" i="9"/>
  <c r="K676" i="9"/>
  <c r="L676" i="9"/>
  <c r="M676" i="9"/>
  <c r="A677" i="9"/>
  <c r="B677" i="9"/>
  <c r="D677" i="9"/>
  <c r="E677" i="9"/>
  <c r="G677" i="9"/>
  <c r="H677" i="9"/>
  <c r="I677" i="9"/>
  <c r="J677" i="9"/>
  <c r="K677" i="9"/>
  <c r="L677" i="9"/>
  <c r="M677" i="9"/>
  <c r="A678" i="9"/>
  <c r="B678" i="9"/>
  <c r="D678" i="9"/>
  <c r="E678" i="9"/>
  <c r="G678" i="9"/>
  <c r="H678" i="9"/>
  <c r="I678" i="9"/>
  <c r="J678" i="9"/>
  <c r="K678" i="9"/>
  <c r="L678" i="9"/>
  <c r="M678" i="9"/>
  <c r="A679" i="9"/>
  <c r="B679" i="9"/>
  <c r="D679" i="9"/>
  <c r="E679" i="9"/>
  <c r="G679" i="9"/>
  <c r="H679" i="9"/>
  <c r="I679" i="9"/>
  <c r="J679" i="9"/>
  <c r="K679" i="9"/>
  <c r="L679" i="9"/>
  <c r="M679" i="9"/>
  <c r="A680" i="9"/>
  <c r="B680" i="9"/>
  <c r="D680" i="9"/>
  <c r="E680" i="9"/>
  <c r="G680" i="9"/>
  <c r="H680" i="9"/>
  <c r="I680" i="9"/>
  <c r="J680" i="9"/>
  <c r="K680" i="9"/>
  <c r="L680" i="9"/>
  <c r="M680" i="9"/>
  <c r="A681" i="9"/>
  <c r="B681" i="9"/>
  <c r="D681" i="9"/>
  <c r="E681" i="9"/>
  <c r="G681" i="9"/>
  <c r="H681" i="9"/>
  <c r="I681" i="9"/>
  <c r="J681" i="9"/>
  <c r="K681" i="9"/>
  <c r="L681" i="9"/>
  <c r="M681" i="9"/>
  <c r="A682" i="9"/>
  <c r="B682" i="9"/>
  <c r="D682" i="9"/>
  <c r="E682" i="9"/>
  <c r="G682" i="9"/>
  <c r="H682" i="9"/>
  <c r="I682" i="9"/>
  <c r="J682" i="9"/>
  <c r="K682" i="9"/>
  <c r="L682" i="9"/>
  <c r="M682" i="9"/>
  <c r="A683" i="9"/>
  <c r="B683" i="9"/>
  <c r="D683" i="9"/>
  <c r="E683" i="9"/>
  <c r="G683" i="9"/>
  <c r="H683" i="9"/>
  <c r="I683" i="9"/>
  <c r="J683" i="9"/>
  <c r="K683" i="9"/>
  <c r="L683" i="9"/>
  <c r="M683" i="9"/>
  <c r="A684" i="9"/>
  <c r="B684" i="9"/>
  <c r="D684" i="9"/>
  <c r="E684" i="9"/>
  <c r="G684" i="9"/>
  <c r="H684" i="9"/>
  <c r="I684" i="9"/>
  <c r="J684" i="9"/>
  <c r="K684" i="9"/>
  <c r="L684" i="9"/>
  <c r="M684" i="9"/>
  <c r="A685" i="9"/>
  <c r="B685" i="9"/>
  <c r="D685" i="9"/>
  <c r="E685" i="9"/>
  <c r="G685" i="9"/>
  <c r="H685" i="9"/>
  <c r="I685" i="9"/>
  <c r="J685" i="9"/>
  <c r="K685" i="9"/>
  <c r="L685" i="9"/>
  <c r="M685" i="9"/>
  <c r="A686" i="9"/>
  <c r="B686" i="9"/>
  <c r="D686" i="9"/>
  <c r="E686" i="9"/>
  <c r="G686" i="9"/>
  <c r="H686" i="9"/>
  <c r="I686" i="9"/>
  <c r="J686" i="9"/>
  <c r="K686" i="9"/>
  <c r="L686" i="9"/>
  <c r="M686" i="9"/>
  <c r="A687" i="9"/>
  <c r="B687" i="9"/>
  <c r="D687" i="9"/>
  <c r="E687" i="9"/>
  <c r="G687" i="9"/>
  <c r="H687" i="9"/>
  <c r="I687" i="9"/>
  <c r="J687" i="9"/>
  <c r="K687" i="9"/>
  <c r="L687" i="9"/>
  <c r="M687" i="9"/>
  <c r="A688" i="9"/>
  <c r="B688" i="9"/>
  <c r="D688" i="9"/>
  <c r="E688" i="9"/>
  <c r="G688" i="9"/>
  <c r="H688" i="9"/>
  <c r="I688" i="9"/>
  <c r="J688" i="9"/>
  <c r="K688" i="9"/>
  <c r="L688" i="9"/>
  <c r="M688" i="9"/>
  <c r="A689" i="9"/>
  <c r="B689" i="9"/>
  <c r="D689" i="9"/>
  <c r="E689" i="9"/>
  <c r="G689" i="9"/>
  <c r="H689" i="9"/>
  <c r="I689" i="9"/>
  <c r="J689" i="9"/>
  <c r="K689" i="9"/>
  <c r="L689" i="9"/>
  <c r="M689" i="9"/>
  <c r="A690" i="9"/>
  <c r="B690" i="9"/>
  <c r="D690" i="9"/>
  <c r="E690" i="9"/>
  <c r="G690" i="9"/>
  <c r="H690" i="9"/>
  <c r="I690" i="9"/>
  <c r="J690" i="9"/>
  <c r="K690" i="9"/>
  <c r="L690" i="9"/>
  <c r="M690" i="9"/>
  <c r="A691" i="9"/>
  <c r="B691" i="9"/>
  <c r="D691" i="9"/>
  <c r="E691" i="9"/>
  <c r="G691" i="9"/>
  <c r="H691" i="9"/>
  <c r="I691" i="9"/>
  <c r="J691" i="9"/>
  <c r="K691" i="9"/>
  <c r="L691" i="9"/>
  <c r="M691" i="9"/>
  <c r="A692" i="9"/>
  <c r="B692" i="9"/>
  <c r="D692" i="9"/>
  <c r="E692" i="9"/>
  <c r="G692" i="9"/>
  <c r="H692" i="9"/>
  <c r="I692" i="9"/>
  <c r="J692" i="9"/>
  <c r="K692" i="9"/>
  <c r="L692" i="9"/>
  <c r="M692" i="9"/>
  <c r="A693" i="9"/>
  <c r="B693" i="9"/>
  <c r="D693" i="9"/>
  <c r="E693" i="9"/>
  <c r="G693" i="9"/>
  <c r="H693" i="9"/>
  <c r="I693" i="9"/>
  <c r="J693" i="9"/>
  <c r="K693" i="9"/>
  <c r="L693" i="9"/>
  <c r="M693" i="9"/>
  <c r="A694" i="9"/>
  <c r="B694" i="9"/>
  <c r="D694" i="9"/>
  <c r="E694" i="9"/>
  <c r="G694" i="9"/>
  <c r="H694" i="9"/>
  <c r="I694" i="9"/>
  <c r="J694" i="9"/>
  <c r="K694" i="9"/>
  <c r="L694" i="9"/>
  <c r="M694" i="9"/>
  <c r="A695" i="9"/>
  <c r="B695" i="9"/>
  <c r="D695" i="9"/>
  <c r="E695" i="9"/>
  <c r="G695" i="9"/>
  <c r="H695" i="9"/>
  <c r="I695" i="9"/>
  <c r="J695" i="9"/>
  <c r="K695" i="9"/>
  <c r="L695" i="9"/>
  <c r="M695" i="9"/>
  <c r="A696" i="9"/>
  <c r="B696" i="9"/>
  <c r="D696" i="9"/>
  <c r="E696" i="9"/>
  <c r="G696" i="9"/>
  <c r="H696" i="9"/>
  <c r="I696" i="9"/>
  <c r="J696" i="9"/>
  <c r="K696" i="9"/>
  <c r="L696" i="9"/>
  <c r="M696" i="9"/>
  <c r="A697" i="9"/>
  <c r="B697" i="9"/>
  <c r="D697" i="9"/>
  <c r="E697" i="9"/>
  <c r="G697" i="9"/>
  <c r="H697" i="9"/>
  <c r="I697" i="9"/>
  <c r="J697" i="9"/>
  <c r="K697" i="9"/>
  <c r="L697" i="9"/>
  <c r="M697" i="9"/>
  <c r="A698" i="9"/>
  <c r="B698" i="9"/>
  <c r="D698" i="9"/>
  <c r="E698" i="9"/>
  <c r="G698" i="9"/>
  <c r="H698" i="9"/>
  <c r="I698" i="9"/>
  <c r="J698" i="9"/>
  <c r="K698" i="9"/>
  <c r="L698" i="9"/>
  <c r="M698" i="9"/>
  <c r="A699" i="9"/>
  <c r="B699" i="9"/>
  <c r="D699" i="9"/>
  <c r="E699" i="9"/>
  <c r="G699" i="9"/>
  <c r="H699" i="9"/>
  <c r="I699" i="9"/>
  <c r="J699" i="9"/>
  <c r="K699" i="9"/>
  <c r="L699" i="9"/>
  <c r="M699" i="9"/>
  <c r="A700" i="9"/>
  <c r="B700" i="9"/>
  <c r="D700" i="9"/>
  <c r="E700" i="9"/>
  <c r="G700" i="9"/>
  <c r="H700" i="9"/>
  <c r="I700" i="9"/>
  <c r="J700" i="9"/>
  <c r="K700" i="9"/>
  <c r="L700" i="9"/>
  <c r="M700" i="9"/>
  <c r="A701" i="9"/>
  <c r="B701" i="9"/>
  <c r="D701" i="9"/>
  <c r="E701" i="9"/>
  <c r="G701" i="9"/>
  <c r="H701" i="9"/>
  <c r="I701" i="9"/>
  <c r="J701" i="9"/>
  <c r="K701" i="9"/>
  <c r="L701" i="9"/>
  <c r="M701" i="9"/>
  <c r="A702" i="9"/>
  <c r="B702" i="9"/>
  <c r="D702" i="9"/>
  <c r="E702" i="9"/>
  <c r="G702" i="9"/>
  <c r="H702" i="9"/>
  <c r="I702" i="9"/>
  <c r="J702" i="9"/>
  <c r="K702" i="9"/>
  <c r="L702" i="9"/>
  <c r="M702" i="9"/>
  <c r="A703" i="9"/>
  <c r="B703" i="9"/>
  <c r="D703" i="9"/>
  <c r="E703" i="9"/>
  <c r="G703" i="9"/>
  <c r="H703" i="9"/>
  <c r="I703" i="9"/>
  <c r="J703" i="9"/>
  <c r="K703" i="9"/>
  <c r="L703" i="9"/>
  <c r="M703" i="9"/>
  <c r="A704" i="9"/>
  <c r="B704" i="9"/>
  <c r="D704" i="9"/>
  <c r="E704" i="9"/>
  <c r="G704" i="9"/>
  <c r="H704" i="9"/>
  <c r="I704" i="9"/>
  <c r="J704" i="9"/>
  <c r="K704" i="9"/>
  <c r="L704" i="9"/>
  <c r="M704" i="9"/>
  <c r="A705" i="9"/>
  <c r="B705" i="9"/>
  <c r="D705" i="9"/>
  <c r="E705" i="9"/>
  <c r="G705" i="9"/>
  <c r="H705" i="9"/>
  <c r="I705" i="9"/>
  <c r="J705" i="9"/>
  <c r="K705" i="9"/>
  <c r="L705" i="9"/>
  <c r="M705" i="9"/>
  <c r="A706" i="9"/>
  <c r="B706" i="9"/>
  <c r="D706" i="9"/>
  <c r="E706" i="9"/>
  <c r="G706" i="9"/>
  <c r="H706" i="9"/>
  <c r="I706" i="9"/>
  <c r="J706" i="9"/>
  <c r="K706" i="9"/>
  <c r="L706" i="9"/>
  <c r="M706" i="9"/>
  <c r="A707" i="9"/>
  <c r="B707" i="9"/>
  <c r="D707" i="9"/>
  <c r="E707" i="9"/>
  <c r="G707" i="9"/>
  <c r="H707" i="9"/>
  <c r="I707" i="9"/>
  <c r="J707" i="9"/>
  <c r="K707" i="9"/>
  <c r="L707" i="9"/>
  <c r="M707" i="9"/>
  <c r="A708" i="9"/>
  <c r="B708" i="9"/>
  <c r="D708" i="9"/>
  <c r="E708" i="9"/>
  <c r="G708" i="9"/>
  <c r="H708" i="9"/>
  <c r="I708" i="9"/>
  <c r="J708" i="9"/>
  <c r="K708" i="9"/>
  <c r="L708" i="9"/>
  <c r="M708" i="9"/>
  <c r="A709" i="9"/>
  <c r="B709" i="9"/>
  <c r="D709" i="9"/>
  <c r="E709" i="9"/>
  <c r="G709" i="9"/>
  <c r="H709" i="9"/>
  <c r="I709" i="9"/>
  <c r="J709" i="9"/>
  <c r="K709" i="9"/>
  <c r="L709" i="9"/>
  <c r="M709" i="9"/>
  <c r="A710" i="9"/>
  <c r="B710" i="9"/>
  <c r="D710" i="9"/>
  <c r="E710" i="9"/>
  <c r="G710" i="9"/>
  <c r="H710" i="9"/>
  <c r="I710" i="9"/>
  <c r="J710" i="9"/>
  <c r="K710" i="9"/>
  <c r="L710" i="9"/>
  <c r="M710" i="9"/>
  <c r="A711" i="9"/>
  <c r="B711" i="9"/>
  <c r="D711" i="9"/>
  <c r="E711" i="9"/>
  <c r="G711" i="9"/>
  <c r="H711" i="9"/>
  <c r="I711" i="9"/>
  <c r="J711" i="9"/>
  <c r="K711" i="9"/>
  <c r="L711" i="9"/>
  <c r="M711" i="9"/>
  <c r="A712" i="9"/>
  <c r="B712" i="9"/>
  <c r="D712" i="9"/>
  <c r="E712" i="9"/>
  <c r="G712" i="9"/>
  <c r="H712" i="9"/>
  <c r="I712" i="9"/>
  <c r="J712" i="9"/>
  <c r="K712" i="9"/>
  <c r="L712" i="9"/>
  <c r="M712" i="9"/>
  <c r="A713" i="9"/>
  <c r="B713" i="9"/>
  <c r="D713" i="9"/>
  <c r="E713" i="9"/>
  <c r="G713" i="9"/>
  <c r="H713" i="9"/>
  <c r="I713" i="9"/>
  <c r="J713" i="9"/>
  <c r="K713" i="9"/>
  <c r="L713" i="9"/>
  <c r="M713" i="9"/>
  <c r="A714" i="9"/>
  <c r="B714" i="9"/>
  <c r="D714" i="9"/>
  <c r="E714" i="9"/>
  <c r="G714" i="9"/>
  <c r="H714" i="9"/>
  <c r="I714" i="9"/>
  <c r="J714" i="9"/>
  <c r="K714" i="9"/>
  <c r="L714" i="9"/>
  <c r="M714" i="9"/>
  <c r="A715" i="9"/>
  <c r="B715" i="9"/>
  <c r="D715" i="9"/>
  <c r="E715" i="9"/>
  <c r="G715" i="9"/>
  <c r="H715" i="9"/>
  <c r="I715" i="9"/>
  <c r="J715" i="9"/>
  <c r="K715" i="9"/>
  <c r="L715" i="9"/>
  <c r="M715" i="9"/>
  <c r="A716" i="9"/>
  <c r="B716" i="9"/>
  <c r="D716" i="9"/>
  <c r="E716" i="9"/>
  <c r="G716" i="9"/>
  <c r="H716" i="9"/>
  <c r="I716" i="9"/>
  <c r="J716" i="9"/>
  <c r="K716" i="9"/>
  <c r="L716" i="9"/>
  <c r="M716" i="9"/>
  <c r="A717" i="9"/>
  <c r="B717" i="9"/>
  <c r="D717" i="9"/>
  <c r="E717" i="9"/>
  <c r="G717" i="9"/>
  <c r="H717" i="9"/>
  <c r="I717" i="9"/>
  <c r="J717" i="9"/>
  <c r="K717" i="9"/>
  <c r="L717" i="9"/>
  <c r="M717" i="9"/>
  <c r="A718" i="9"/>
  <c r="B718" i="9"/>
  <c r="D718" i="9"/>
  <c r="E718" i="9"/>
  <c r="G718" i="9"/>
  <c r="H718" i="9"/>
  <c r="I718" i="9"/>
  <c r="J718" i="9"/>
  <c r="K718" i="9"/>
  <c r="L718" i="9"/>
  <c r="M718" i="9"/>
  <c r="A719" i="9"/>
  <c r="B719" i="9"/>
  <c r="D719" i="9"/>
  <c r="E719" i="9"/>
  <c r="G719" i="9"/>
  <c r="H719" i="9"/>
  <c r="I719" i="9"/>
  <c r="J719" i="9"/>
  <c r="K719" i="9"/>
  <c r="L719" i="9"/>
  <c r="M719" i="9"/>
  <c r="A720" i="9"/>
  <c r="B720" i="9"/>
  <c r="D720" i="9"/>
  <c r="E720" i="9"/>
  <c r="G720" i="9"/>
  <c r="H720" i="9"/>
  <c r="I720" i="9"/>
  <c r="J720" i="9"/>
  <c r="K720" i="9"/>
  <c r="L720" i="9"/>
  <c r="M720" i="9"/>
  <c r="A721" i="9"/>
  <c r="B721" i="9"/>
  <c r="D721" i="9"/>
  <c r="E721" i="9"/>
  <c r="G721" i="9"/>
  <c r="H721" i="9"/>
  <c r="I721" i="9"/>
  <c r="J721" i="9"/>
  <c r="K721" i="9"/>
  <c r="L721" i="9"/>
  <c r="M721" i="9"/>
  <c r="A722" i="9"/>
  <c r="B722" i="9"/>
  <c r="D722" i="9"/>
  <c r="E722" i="9"/>
  <c r="G722" i="9"/>
  <c r="H722" i="9"/>
  <c r="I722" i="9"/>
  <c r="J722" i="9"/>
  <c r="K722" i="9"/>
  <c r="L722" i="9"/>
  <c r="M722" i="9"/>
  <c r="A723" i="9"/>
  <c r="B723" i="9"/>
  <c r="D723" i="9"/>
  <c r="E723" i="9"/>
  <c r="G723" i="9"/>
  <c r="H723" i="9"/>
  <c r="I723" i="9"/>
  <c r="J723" i="9"/>
  <c r="K723" i="9"/>
  <c r="L723" i="9"/>
  <c r="M723" i="9"/>
  <c r="A724" i="9"/>
  <c r="B724" i="9"/>
  <c r="D724" i="9"/>
  <c r="E724" i="9"/>
  <c r="G724" i="9"/>
  <c r="H724" i="9"/>
  <c r="I724" i="9"/>
  <c r="J724" i="9"/>
  <c r="K724" i="9"/>
  <c r="L724" i="9"/>
  <c r="M724" i="9"/>
  <c r="A725" i="9"/>
  <c r="B725" i="9"/>
  <c r="D725" i="9"/>
  <c r="E725" i="9"/>
  <c r="G725" i="9"/>
  <c r="H725" i="9"/>
  <c r="I725" i="9"/>
  <c r="J725" i="9"/>
  <c r="K725" i="9"/>
  <c r="L725" i="9"/>
  <c r="M725" i="9"/>
  <c r="A726" i="9"/>
  <c r="B726" i="9"/>
  <c r="D726" i="9"/>
  <c r="E726" i="9"/>
  <c r="G726" i="9"/>
  <c r="H726" i="9"/>
  <c r="I726" i="9"/>
  <c r="J726" i="9"/>
  <c r="K726" i="9"/>
  <c r="L726" i="9"/>
  <c r="M726" i="9"/>
  <c r="A727" i="9"/>
  <c r="B727" i="9"/>
  <c r="D727" i="9"/>
  <c r="E727" i="9"/>
  <c r="G727" i="9"/>
  <c r="H727" i="9"/>
  <c r="I727" i="9"/>
  <c r="J727" i="9"/>
  <c r="K727" i="9"/>
  <c r="L727" i="9"/>
  <c r="M727" i="9"/>
  <c r="A728" i="9"/>
  <c r="B728" i="9"/>
  <c r="D728" i="9"/>
  <c r="E728" i="9"/>
  <c r="G728" i="9"/>
  <c r="H728" i="9"/>
  <c r="I728" i="9"/>
  <c r="J728" i="9"/>
  <c r="K728" i="9"/>
  <c r="L728" i="9"/>
  <c r="M728" i="9"/>
  <c r="A729" i="9"/>
  <c r="B729" i="9"/>
  <c r="D729" i="9"/>
  <c r="E729" i="9"/>
  <c r="G729" i="9"/>
  <c r="H729" i="9"/>
  <c r="I729" i="9"/>
  <c r="J729" i="9"/>
  <c r="K729" i="9"/>
  <c r="L729" i="9"/>
  <c r="M729" i="9"/>
  <c r="A730" i="9"/>
  <c r="B730" i="9"/>
  <c r="D730" i="9"/>
  <c r="E730" i="9"/>
  <c r="G730" i="9"/>
  <c r="H730" i="9"/>
  <c r="I730" i="9"/>
  <c r="J730" i="9"/>
  <c r="K730" i="9"/>
  <c r="L730" i="9"/>
  <c r="M730" i="9"/>
  <c r="A731" i="9"/>
  <c r="B731" i="9"/>
  <c r="D731" i="9"/>
  <c r="E731" i="9"/>
  <c r="G731" i="9"/>
  <c r="H731" i="9"/>
  <c r="I731" i="9"/>
  <c r="J731" i="9"/>
  <c r="K731" i="9"/>
  <c r="L731" i="9"/>
  <c r="M731" i="9"/>
  <c r="A732" i="9"/>
  <c r="B732" i="9"/>
  <c r="D732" i="9"/>
  <c r="E732" i="9"/>
  <c r="G732" i="9"/>
  <c r="H732" i="9"/>
  <c r="I732" i="9"/>
  <c r="J732" i="9"/>
  <c r="K732" i="9"/>
  <c r="L732" i="9"/>
  <c r="M732" i="9"/>
  <c r="A733" i="9"/>
  <c r="B733" i="9"/>
  <c r="D733" i="9"/>
  <c r="E733" i="9"/>
  <c r="G733" i="9"/>
  <c r="H733" i="9"/>
  <c r="I733" i="9"/>
  <c r="J733" i="9"/>
  <c r="K733" i="9"/>
  <c r="L733" i="9"/>
  <c r="M733" i="9"/>
  <c r="A734" i="9"/>
  <c r="B734" i="9"/>
  <c r="D734" i="9"/>
  <c r="E734" i="9"/>
  <c r="G734" i="9"/>
  <c r="H734" i="9"/>
  <c r="I734" i="9"/>
  <c r="J734" i="9"/>
  <c r="K734" i="9"/>
  <c r="L734" i="9"/>
  <c r="M734" i="9"/>
  <c r="A735" i="9"/>
  <c r="B735" i="9"/>
  <c r="D735" i="9"/>
  <c r="E735" i="9"/>
  <c r="G735" i="9"/>
  <c r="H735" i="9"/>
  <c r="I735" i="9"/>
  <c r="J735" i="9"/>
  <c r="K735" i="9"/>
  <c r="L735" i="9"/>
  <c r="M735" i="9"/>
  <c r="A736" i="9"/>
  <c r="B736" i="9"/>
  <c r="D736" i="9"/>
  <c r="E736" i="9"/>
  <c r="G736" i="9"/>
  <c r="H736" i="9"/>
  <c r="I736" i="9"/>
  <c r="J736" i="9"/>
  <c r="K736" i="9"/>
  <c r="L736" i="9"/>
  <c r="M736" i="9"/>
  <c r="A737" i="9"/>
  <c r="B737" i="9"/>
  <c r="D737" i="9"/>
  <c r="E737" i="9"/>
  <c r="G737" i="9"/>
  <c r="H737" i="9"/>
  <c r="I737" i="9"/>
  <c r="J737" i="9"/>
  <c r="K737" i="9"/>
  <c r="L737" i="9"/>
  <c r="M737" i="9"/>
  <c r="A738" i="9"/>
  <c r="B738" i="9"/>
  <c r="D738" i="9"/>
  <c r="E738" i="9"/>
  <c r="G738" i="9"/>
  <c r="H738" i="9"/>
  <c r="I738" i="9"/>
  <c r="J738" i="9"/>
  <c r="K738" i="9"/>
  <c r="L738" i="9"/>
  <c r="M738" i="9"/>
  <c r="A739" i="9"/>
  <c r="B739" i="9"/>
  <c r="D739" i="9"/>
  <c r="E739" i="9"/>
  <c r="G739" i="9"/>
  <c r="H739" i="9"/>
  <c r="I739" i="9"/>
  <c r="J739" i="9"/>
  <c r="K739" i="9"/>
  <c r="L739" i="9"/>
  <c r="M739" i="9"/>
  <c r="A740" i="9"/>
  <c r="B740" i="9"/>
  <c r="D740" i="9"/>
  <c r="E740" i="9"/>
  <c r="G740" i="9"/>
  <c r="H740" i="9"/>
  <c r="I740" i="9"/>
  <c r="J740" i="9"/>
  <c r="K740" i="9"/>
  <c r="L740" i="9"/>
  <c r="M740" i="9"/>
  <c r="A741" i="9"/>
  <c r="B741" i="9"/>
  <c r="D741" i="9"/>
  <c r="E741" i="9"/>
  <c r="G741" i="9"/>
  <c r="H741" i="9"/>
  <c r="I741" i="9"/>
  <c r="J741" i="9"/>
  <c r="K741" i="9"/>
  <c r="L741" i="9"/>
  <c r="M741" i="9"/>
  <c r="A742" i="9"/>
  <c r="B742" i="9"/>
  <c r="D742" i="9"/>
  <c r="E742" i="9"/>
  <c r="G742" i="9"/>
  <c r="H742" i="9"/>
  <c r="I742" i="9"/>
  <c r="J742" i="9"/>
  <c r="K742" i="9"/>
  <c r="L742" i="9"/>
  <c r="M742" i="9"/>
  <c r="A743" i="9"/>
  <c r="B743" i="9"/>
  <c r="D743" i="9"/>
  <c r="E743" i="9"/>
  <c r="G743" i="9"/>
  <c r="H743" i="9"/>
  <c r="I743" i="9"/>
  <c r="J743" i="9"/>
  <c r="K743" i="9"/>
  <c r="L743" i="9"/>
  <c r="M743" i="9"/>
  <c r="A744" i="9"/>
  <c r="B744" i="9"/>
  <c r="D744" i="9"/>
  <c r="E744" i="9"/>
  <c r="G744" i="9"/>
  <c r="H744" i="9"/>
  <c r="I744" i="9"/>
  <c r="J744" i="9"/>
  <c r="K744" i="9"/>
  <c r="L744" i="9"/>
  <c r="M744" i="9"/>
  <c r="A745" i="9"/>
  <c r="B745" i="9"/>
  <c r="D745" i="9"/>
  <c r="E745" i="9"/>
  <c r="G745" i="9"/>
  <c r="H745" i="9"/>
  <c r="I745" i="9"/>
  <c r="J745" i="9"/>
  <c r="K745" i="9"/>
  <c r="L745" i="9"/>
  <c r="M745" i="9"/>
  <c r="A746" i="9"/>
  <c r="B746" i="9"/>
  <c r="D746" i="9"/>
  <c r="E746" i="9"/>
  <c r="G746" i="9"/>
  <c r="H746" i="9"/>
  <c r="I746" i="9"/>
  <c r="J746" i="9"/>
  <c r="K746" i="9"/>
  <c r="L746" i="9"/>
  <c r="M746" i="9"/>
  <c r="A747" i="9"/>
  <c r="B747" i="9"/>
  <c r="D747" i="9"/>
  <c r="E747" i="9"/>
  <c r="G747" i="9"/>
  <c r="H747" i="9"/>
  <c r="I747" i="9"/>
  <c r="J747" i="9"/>
  <c r="K747" i="9"/>
  <c r="L747" i="9"/>
  <c r="M747" i="9"/>
  <c r="A748" i="9"/>
  <c r="B748" i="9"/>
  <c r="D748" i="9"/>
  <c r="E748" i="9"/>
  <c r="G748" i="9"/>
  <c r="H748" i="9"/>
  <c r="I748" i="9"/>
  <c r="J748" i="9"/>
  <c r="K748" i="9"/>
  <c r="L748" i="9"/>
  <c r="M748" i="9"/>
  <c r="A749" i="9"/>
  <c r="B749" i="9"/>
  <c r="D749" i="9"/>
  <c r="E749" i="9"/>
  <c r="G749" i="9"/>
  <c r="H749" i="9"/>
  <c r="I749" i="9"/>
  <c r="J749" i="9"/>
  <c r="K749" i="9"/>
  <c r="L749" i="9"/>
  <c r="M749" i="9"/>
  <c r="A750" i="9"/>
  <c r="B750" i="9"/>
  <c r="D750" i="9"/>
  <c r="E750" i="9"/>
  <c r="G750" i="9"/>
  <c r="H750" i="9"/>
  <c r="I750" i="9"/>
  <c r="J750" i="9"/>
  <c r="K750" i="9"/>
  <c r="L750" i="9"/>
  <c r="M750" i="9"/>
  <c r="A751" i="9"/>
  <c r="B751" i="9"/>
  <c r="D751" i="9"/>
  <c r="E751" i="9"/>
  <c r="G751" i="9"/>
  <c r="H751" i="9"/>
  <c r="I751" i="9"/>
  <c r="J751" i="9"/>
  <c r="K751" i="9"/>
  <c r="L751" i="9"/>
  <c r="M751" i="9"/>
  <c r="A752" i="9"/>
  <c r="B752" i="9"/>
  <c r="D752" i="9"/>
  <c r="E752" i="9"/>
  <c r="G752" i="9"/>
  <c r="H752" i="9"/>
  <c r="I752" i="9"/>
  <c r="J752" i="9"/>
  <c r="K752" i="9"/>
  <c r="L752" i="9"/>
  <c r="M752" i="9"/>
  <c r="A753" i="9"/>
  <c r="B753" i="9"/>
  <c r="D753" i="9"/>
  <c r="E753" i="9"/>
  <c r="G753" i="9"/>
  <c r="H753" i="9"/>
  <c r="I753" i="9"/>
  <c r="J753" i="9"/>
  <c r="K753" i="9"/>
  <c r="L753" i="9"/>
  <c r="M753" i="9"/>
  <c r="A754" i="9"/>
  <c r="B754" i="9"/>
  <c r="D754" i="9"/>
  <c r="E754" i="9"/>
  <c r="G754" i="9"/>
  <c r="H754" i="9"/>
  <c r="I754" i="9"/>
  <c r="J754" i="9"/>
  <c r="K754" i="9"/>
  <c r="L754" i="9"/>
  <c r="M754" i="9"/>
  <c r="A755" i="9"/>
  <c r="B755" i="9"/>
  <c r="D755" i="9"/>
  <c r="E755" i="9"/>
  <c r="G755" i="9"/>
  <c r="H755" i="9"/>
  <c r="I755" i="9"/>
  <c r="J755" i="9"/>
  <c r="K755" i="9"/>
  <c r="L755" i="9"/>
  <c r="M755" i="9"/>
  <c r="A756" i="9"/>
  <c r="B756" i="9"/>
  <c r="D756" i="9"/>
  <c r="E756" i="9"/>
  <c r="G756" i="9"/>
  <c r="H756" i="9"/>
  <c r="I756" i="9"/>
  <c r="J756" i="9"/>
  <c r="K756" i="9"/>
  <c r="L756" i="9"/>
  <c r="M756" i="9"/>
  <c r="A757" i="9"/>
  <c r="B757" i="9"/>
  <c r="D757" i="9"/>
  <c r="E757" i="9"/>
  <c r="G757" i="9"/>
  <c r="H757" i="9"/>
  <c r="I757" i="9"/>
  <c r="J757" i="9"/>
  <c r="K757" i="9"/>
  <c r="L757" i="9"/>
  <c r="M757" i="9"/>
  <c r="A758" i="9"/>
  <c r="B758" i="9"/>
  <c r="D758" i="9"/>
  <c r="E758" i="9"/>
  <c r="G758" i="9"/>
  <c r="H758" i="9"/>
  <c r="I758" i="9"/>
  <c r="J758" i="9"/>
  <c r="K758" i="9"/>
  <c r="L758" i="9"/>
  <c r="M758" i="9"/>
  <c r="A759" i="9"/>
  <c r="B759" i="9"/>
  <c r="D759" i="9"/>
  <c r="E759" i="9"/>
  <c r="G759" i="9"/>
  <c r="H759" i="9"/>
  <c r="I759" i="9"/>
  <c r="J759" i="9"/>
  <c r="K759" i="9"/>
  <c r="L759" i="9"/>
  <c r="M759" i="9"/>
  <c r="A760" i="9"/>
  <c r="B760" i="9"/>
  <c r="D760" i="9"/>
  <c r="E760" i="9"/>
  <c r="G760" i="9"/>
  <c r="H760" i="9"/>
  <c r="I760" i="9"/>
  <c r="J760" i="9"/>
  <c r="K760" i="9"/>
  <c r="L760" i="9"/>
  <c r="M760" i="9"/>
  <c r="A761" i="9"/>
  <c r="B761" i="9"/>
  <c r="D761" i="9"/>
  <c r="E761" i="9"/>
  <c r="G761" i="9"/>
  <c r="H761" i="9"/>
  <c r="I761" i="9"/>
  <c r="J761" i="9"/>
  <c r="K761" i="9"/>
  <c r="L761" i="9"/>
  <c r="M761" i="9"/>
  <c r="A762" i="9"/>
  <c r="B762" i="9"/>
  <c r="D762" i="9"/>
  <c r="E762" i="9"/>
  <c r="G762" i="9"/>
  <c r="H762" i="9"/>
  <c r="I762" i="9"/>
  <c r="J762" i="9"/>
  <c r="K762" i="9"/>
  <c r="L762" i="9"/>
  <c r="M762" i="9"/>
  <c r="A763" i="9"/>
  <c r="B763" i="9"/>
  <c r="D763" i="9"/>
  <c r="E763" i="9"/>
  <c r="G763" i="9"/>
  <c r="H763" i="9"/>
  <c r="I763" i="9"/>
  <c r="J763" i="9"/>
  <c r="K763" i="9"/>
  <c r="L763" i="9"/>
  <c r="M763" i="9"/>
  <c r="A764" i="9"/>
  <c r="B764" i="9"/>
  <c r="D764" i="9"/>
  <c r="E764" i="9"/>
  <c r="G764" i="9"/>
  <c r="H764" i="9"/>
  <c r="I764" i="9"/>
  <c r="J764" i="9"/>
  <c r="K764" i="9"/>
  <c r="L764" i="9"/>
  <c r="M764" i="9"/>
  <c r="A765" i="9"/>
  <c r="B765" i="9"/>
  <c r="D765" i="9"/>
  <c r="E765" i="9"/>
  <c r="G765" i="9"/>
  <c r="H765" i="9"/>
  <c r="I765" i="9"/>
  <c r="J765" i="9"/>
  <c r="K765" i="9"/>
  <c r="L765" i="9"/>
  <c r="M765" i="9"/>
  <c r="A766" i="9"/>
  <c r="B766" i="9"/>
  <c r="D766" i="9"/>
  <c r="E766" i="9"/>
  <c r="G766" i="9"/>
  <c r="H766" i="9"/>
  <c r="I766" i="9"/>
  <c r="J766" i="9"/>
  <c r="K766" i="9"/>
  <c r="L766" i="9"/>
  <c r="M766" i="9"/>
  <c r="A767" i="9"/>
  <c r="B767" i="9"/>
  <c r="D767" i="9"/>
  <c r="E767" i="9"/>
  <c r="G767" i="9"/>
  <c r="H767" i="9"/>
  <c r="I767" i="9"/>
  <c r="J767" i="9"/>
  <c r="K767" i="9"/>
  <c r="L767" i="9"/>
  <c r="M767" i="9"/>
  <c r="A768" i="9"/>
  <c r="B768" i="9"/>
  <c r="D768" i="9"/>
  <c r="E768" i="9"/>
  <c r="G768" i="9"/>
  <c r="H768" i="9"/>
  <c r="I768" i="9"/>
  <c r="J768" i="9"/>
  <c r="K768" i="9"/>
  <c r="L768" i="9"/>
  <c r="M768" i="9"/>
  <c r="A769" i="9"/>
  <c r="B769" i="9"/>
  <c r="D769" i="9"/>
  <c r="E769" i="9"/>
  <c r="G769" i="9"/>
  <c r="H769" i="9"/>
  <c r="I769" i="9"/>
  <c r="J769" i="9"/>
  <c r="K769" i="9"/>
  <c r="L769" i="9"/>
  <c r="M769" i="9"/>
  <c r="A770" i="9"/>
  <c r="B770" i="9"/>
  <c r="D770" i="9"/>
  <c r="E770" i="9"/>
  <c r="G770" i="9"/>
  <c r="H770" i="9"/>
  <c r="I770" i="9"/>
  <c r="J770" i="9"/>
  <c r="K770" i="9"/>
  <c r="L770" i="9"/>
  <c r="M770" i="9"/>
  <c r="A771" i="9"/>
  <c r="B771" i="9"/>
  <c r="D771" i="9"/>
  <c r="E771" i="9"/>
  <c r="G771" i="9"/>
  <c r="H771" i="9"/>
  <c r="I771" i="9"/>
  <c r="J771" i="9"/>
  <c r="K771" i="9"/>
  <c r="L771" i="9"/>
  <c r="M771" i="9"/>
  <c r="A772" i="9"/>
  <c r="B772" i="9"/>
  <c r="D772" i="9"/>
  <c r="E772" i="9"/>
  <c r="G772" i="9"/>
  <c r="H772" i="9"/>
  <c r="I772" i="9"/>
  <c r="J772" i="9"/>
  <c r="K772" i="9"/>
  <c r="L772" i="9"/>
  <c r="M772" i="9"/>
  <c r="A773" i="9"/>
  <c r="B773" i="9"/>
  <c r="D773" i="9"/>
  <c r="E773" i="9"/>
  <c r="G773" i="9"/>
  <c r="H773" i="9"/>
  <c r="I773" i="9"/>
  <c r="J773" i="9"/>
  <c r="K773" i="9"/>
  <c r="L773" i="9"/>
  <c r="M773" i="9"/>
  <c r="A774" i="9"/>
  <c r="B774" i="9"/>
  <c r="D774" i="9"/>
  <c r="E774" i="9"/>
  <c r="G774" i="9"/>
  <c r="H774" i="9"/>
  <c r="I774" i="9"/>
  <c r="J774" i="9"/>
  <c r="K774" i="9"/>
  <c r="L774" i="9"/>
  <c r="M774" i="9"/>
  <c r="A775" i="9"/>
  <c r="B775" i="9"/>
  <c r="D775" i="9"/>
  <c r="E775" i="9"/>
  <c r="G775" i="9"/>
  <c r="H775" i="9"/>
  <c r="I775" i="9"/>
  <c r="J775" i="9"/>
  <c r="K775" i="9"/>
  <c r="L775" i="9"/>
  <c r="M775" i="9"/>
  <c r="A776" i="9"/>
  <c r="B776" i="9"/>
  <c r="D776" i="9"/>
  <c r="E776" i="9"/>
  <c r="G776" i="9"/>
  <c r="H776" i="9"/>
  <c r="I776" i="9"/>
  <c r="J776" i="9"/>
  <c r="K776" i="9"/>
  <c r="L776" i="9"/>
  <c r="M776" i="9"/>
  <c r="A777" i="9"/>
  <c r="B777" i="9"/>
  <c r="D777" i="9"/>
  <c r="E777" i="9"/>
  <c r="G777" i="9"/>
  <c r="H777" i="9"/>
  <c r="I777" i="9"/>
  <c r="J777" i="9"/>
  <c r="K777" i="9"/>
  <c r="L777" i="9"/>
  <c r="M777" i="9"/>
  <c r="A778" i="9"/>
  <c r="B778" i="9"/>
  <c r="D778" i="9"/>
  <c r="E778" i="9"/>
  <c r="G778" i="9"/>
  <c r="H778" i="9"/>
  <c r="I778" i="9"/>
  <c r="J778" i="9"/>
  <c r="K778" i="9"/>
  <c r="L778" i="9"/>
  <c r="M778" i="9"/>
  <c r="A779" i="9"/>
  <c r="B779" i="9"/>
  <c r="D779" i="9"/>
  <c r="E779" i="9"/>
  <c r="G779" i="9"/>
  <c r="H779" i="9"/>
  <c r="I779" i="9"/>
  <c r="J779" i="9"/>
  <c r="K779" i="9"/>
  <c r="L779" i="9"/>
  <c r="M779" i="9"/>
  <c r="A780" i="9"/>
  <c r="B780" i="9"/>
  <c r="D780" i="9"/>
  <c r="E780" i="9"/>
  <c r="G780" i="9"/>
  <c r="H780" i="9"/>
  <c r="I780" i="9"/>
  <c r="J780" i="9"/>
  <c r="K780" i="9"/>
  <c r="L780" i="9"/>
  <c r="M780" i="9"/>
  <c r="A781" i="9"/>
  <c r="B781" i="9"/>
  <c r="D781" i="9"/>
  <c r="E781" i="9"/>
  <c r="G781" i="9"/>
  <c r="H781" i="9"/>
  <c r="I781" i="9"/>
  <c r="J781" i="9"/>
  <c r="K781" i="9"/>
  <c r="L781" i="9"/>
  <c r="M781" i="9"/>
  <c r="A782" i="9"/>
  <c r="B782" i="9"/>
  <c r="D782" i="9"/>
  <c r="E782" i="9"/>
  <c r="G782" i="9"/>
  <c r="H782" i="9"/>
  <c r="I782" i="9"/>
  <c r="J782" i="9"/>
  <c r="K782" i="9"/>
  <c r="L782" i="9"/>
  <c r="M782" i="9"/>
  <c r="A783" i="9"/>
  <c r="B783" i="9"/>
  <c r="D783" i="9"/>
  <c r="E783" i="9"/>
  <c r="G783" i="9"/>
  <c r="H783" i="9"/>
  <c r="I783" i="9"/>
  <c r="J783" i="9"/>
  <c r="K783" i="9"/>
  <c r="L783" i="9"/>
  <c r="M783" i="9"/>
  <c r="A784" i="9"/>
  <c r="B784" i="9"/>
  <c r="D784" i="9"/>
  <c r="E784" i="9"/>
  <c r="G784" i="9"/>
  <c r="H784" i="9"/>
  <c r="I784" i="9"/>
  <c r="J784" i="9"/>
  <c r="K784" i="9"/>
  <c r="L784" i="9"/>
  <c r="M784" i="9"/>
  <c r="A785" i="9"/>
  <c r="B785" i="9"/>
  <c r="D785" i="9"/>
  <c r="E785" i="9"/>
  <c r="G785" i="9"/>
  <c r="H785" i="9"/>
  <c r="I785" i="9"/>
  <c r="J785" i="9"/>
  <c r="K785" i="9"/>
  <c r="L785" i="9"/>
  <c r="M785" i="9"/>
  <c r="A786" i="9"/>
  <c r="B786" i="9"/>
  <c r="D786" i="9"/>
  <c r="E786" i="9"/>
  <c r="G786" i="9"/>
  <c r="H786" i="9"/>
  <c r="I786" i="9"/>
  <c r="J786" i="9"/>
  <c r="K786" i="9"/>
  <c r="L786" i="9"/>
  <c r="M786" i="9"/>
  <c r="A787" i="9"/>
  <c r="B787" i="9"/>
  <c r="D787" i="9"/>
  <c r="E787" i="9"/>
  <c r="G787" i="9"/>
  <c r="H787" i="9"/>
  <c r="I787" i="9"/>
  <c r="J787" i="9"/>
  <c r="K787" i="9"/>
  <c r="L787" i="9"/>
  <c r="M787" i="9"/>
  <c r="A788" i="9"/>
  <c r="B788" i="9"/>
  <c r="D788" i="9"/>
  <c r="E788" i="9"/>
  <c r="G788" i="9"/>
  <c r="H788" i="9"/>
  <c r="I788" i="9"/>
  <c r="J788" i="9"/>
  <c r="K788" i="9"/>
  <c r="L788" i="9"/>
  <c r="M788" i="9"/>
  <c r="A789" i="9"/>
  <c r="B789" i="9"/>
  <c r="D789" i="9"/>
  <c r="E789" i="9"/>
  <c r="G789" i="9"/>
  <c r="H789" i="9"/>
  <c r="I789" i="9"/>
  <c r="J789" i="9"/>
  <c r="K789" i="9"/>
  <c r="L789" i="9"/>
  <c r="M789" i="9"/>
  <c r="A790" i="9"/>
  <c r="B790" i="9"/>
  <c r="D790" i="9"/>
  <c r="E790" i="9"/>
  <c r="G790" i="9"/>
  <c r="H790" i="9"/>
  <c r="I790" i="9"/>
  <c r="J790" i="9"/>
  <c r="K790" i="9"/>
  <c r="L790" i="9"/>
  <c r="M790" i="9"/>
  <c r="A791" i="9"/>
  <c r="B791" i="9"/>
  <c r="D791" i="9"/>
  <c r="E791" i="9"/>
  <c r="G791" i="9"/>
  <c r="H791" i="9"/>
  <c r="I791" i="9"/>
  <c r="J791" i="9"/>
  <c r="K791" i="9"/>
  <c r="L791" i="9"/>
  <c r="M791" i="9"/>
  <c r="A792" i="9"/>
  <c r="B792" i="9"/>
  <c r="D792" i="9"/>
  <c r="E792" i="9"/>
  <c r="G792" i="9"/>
  <c r="H792" i="9"/>
  <c r="I792" i="9"/>
  <c r="J792" i="9"/>
  <c r="K792" i="9"/>
  <c r="L792" i="9"/>
  <c r="M792" i="9"/>
  <c r="A793" i="9"/>
  <c r="B793" i="9"/>
  <c r="D793" i="9"/>
  <c r="E793" i="9"/>
  <c r="G793" i="9"/>
  <c r="H793" i="9"/>
  <c r="I793" i="9"/>
  <c r="J793" i="9"/>
  <c r="K793" i="9"/>
  <c r="L793" i="9"/>
  <c r="M793" i="9"/>
  <c r="A794" i="9"/>
  <c r="B794" i="9"/>
  <c r="D794" i="9"/>
  <c r="E794" i="9"/>
  <c r="G794" i="9"/>
  <c r="H794" i="9"/>
  <c r="I794" i="9"/>
  <c r="J794" i="9"/>
  <c r="K794" i="9"/>
  <c r="L794" i="9"/>
  <c r="M794" i="9"/>
  <c r="A795" i="9"/>
  <c r="B795" i="9"/>
  <c r="D795" i="9"/>
  <c r="E795" i="9"/>
  <c r="G795" i="9"/>
  <c r="H795" i="9"/>
  <c r="I795" i="9"/>
  <c r="J795" i="9"/>
  <c r="K795" i="9"/>
  <c r="L795" i="9"/>
  <c r="M795" i="9"/>
  <c r="A796" i="9"/>
  <c r="B796" i="9"/>
  <c r="D796" i="9"/>
  <c r="E796" i="9"/>
  <c r="G796" i="9"/>
  <c r="H796" i="9"/>
  <c r="I796" i="9"/>
  <c r="J796" i="9"/>
  <c r="K796" i="9"/>
  <c r="L796" i="9"/>
  <c r="M796" i="9"/>
  <c r="A797" i="9"/>
  <c r="B797" i="9"/>
  <c r="D797" i="9"/>
  <c r="E797" i="9"/>
  <c r="G797" i="9"/>
  <c r="H797" i="9"/>
  <c r="I797" i="9"/>
  <c r="J797" i="9"/>
  <c r="K797" i="9"/>
  <c r="L797" i="9"/>
  <c r="M797" i="9"/>
  <c r="A798" i="9"/>
  <c r="B798" i="9"/>
  <c r="D798" i="9"/>
  <c r="E798" i="9"/>
  <c r="G798" i="9"/>
  <c r="H798" i="9"/>
  <c r="I798" i="9"/>
  <c r="J798" i="9"/>
  <c r="K798" i="9"/>
  <c r="L798" i="9"/>
  <c r="M798" i="9"/>
  <c r="A799" i="9"/>
  <c r="B799" i="9"/>
  <c r="D799" i="9"/>
  <c r="E799" i="9"/>
  <c r="G799" i="9"/>
  <c r="H799" i="9"/>
  <c r="I799" i="9"/>
  <c r="J799" i="9"/>
  <c r="K799" i="9"/>
  <c r="L799" i="9"/>
  <c r="M799" i="9"/>
  <c r="A800" i="9"/>
  <c r="B800" i="9"/>
  <c r="D800" i="9"/>
  <c r="E800" i="9"/>
  <c r="G800" i="9"/>
  <c r="H800" i="9"/>
  <c r="I800" i="9"/>
  <c r="J800" i="9"/>
  <c r="K800" i="9"/>
  <c r="L800" i="9"/>
  <c r="M800" i="9"/>
  <c r="A801" i="9"/>
  <c r="B801" i="9"/>
  <c r="D801" i="9"/>
  <c r="E801" i="9"/>
  <c r="G801" i="9"/>
  <c r="H801" i="9"/>
  <c r="I801" i="9"/>
  <c r="J801" i="9"/>
  <c r="K801" i="9"/>
  <c r="L801" i="9"/>
  <c r="M801" i="9"/>
  <c r="A802" i="9"/>
  <c r="B802" i="9"/>
  <c r="D802" i="9"/>
  <c r="E802" i="9"/>
  <c r="G802" i="9"/>
  <c r="H802" i="9"/>
  <c r="I802" i="9"/>
  <c r="J802" i="9"/>
  <c r="K802" i="9"/>
  <c r="L802" i="9"/>
  <c r="M802" i="9"/>
  <c r="A803" i="9"/>
  <c r="B803" i="9"/>
  <c r="D803" i="9"/>
  <c r="E803" i="9"/>
  <c r="G803" i="9"/>
  <c r="H803" i="9"/>
  <c r="I803" i="9"/>
  <c r="J803" i="9"/>
  <c r="K803" i="9"/>
  <c r="L803" i="9"/>
  <c r="M803" i="9"/>
  <c r="A804" i="9"/>
  <c r="B804" i="9"/>
  <c r="D804" i="9"/>
  <c r="E804" i="9"/>
  <c r="G804" i="9"/>
  <c r="H804" i="9"/>
  <c r="I804" i="9"/>
  <c r="J804" i="9"/>
  <c r="K804" i="9"/>
  <c r="L804" i="9"/>
  <c r="M804" i="9"/>
  <c r="A805" i="9"/>
  <c r="B805" i="9"/>
  <c r="D805" i="9"/>
  <c r="E805" i="9"/>
  <c r="G805" i="9"/>
  <c r="H805" i="9"/>
  <c r="I805" i="9"/>
  <c r="J805" i="9"/>
  <c r="K805" i="9"/>
  <c r="L805" i="9"/>
  <c r="M805" i="9"/>
  <c r="A806" i="9"/>
  <c r="B806" i="9"/>
  <c r="D806" i="9"/>
  <c r="E806" i="9"/>
  <c r="G806" i="9"/>
  <c r="H806" i="9"/>
  <c r="I806" i="9"/>
  <c r="J806" i="9"/>
  <c r="K806" i="9"/>
  <c r="L806" i="9"/>
  <c r="M806" i="9"/>
  <c r="A807" i="9"/>
  <c r="B807" i="9"/>
  <c r="D807" i="9"/>
  <c r="E807" i="9"/>
  <c r="G807" i="9"/>
  <c r="H807" i="9"/>
  <c r="I807" i="9"/>
  <c r="J807" i="9"/>
  <c r="K807" i="9"/>
  <c r="L807" i="9"/>
  <c r="M807" i="9"/>
  <c r="A808" i="9"/>
  <c r="B808" i="9"/>
  <c r="D808" i="9"/>
  <c r="E808" i="9"/>
  <c r="G808" i="9"/>
  <c r="H808" i="9"/>
  <c r="I808" i="9"/>
  <c r="J808" i="9"/>
  <c r="K808" i="9"/>
  <c r="L808" i="9"/>
  <c r="M808" i="9"/>
  <c r="A809" i="9"/>
  <c r="B809" i="9"/>
  <c r="D809" i="9"/>
  <c r="E809" i="9"/>
  <c r="G809" i="9"/>
  <c r="H809" i="9"/>
  <c r="I809" i="9"/>
  <c r="J809" i="9"/>
  <c r="K809" i="9"/>
  <c r="L809" i="9"/>
  <c r="M809" i="9"/>
  <c r="A810" i="9"/>
  <c r="B810" i="9"/>
  <c r="D810" i="9"/>
  <c r="E810" i="9"/>
  <c r="G810" i="9"/>
  <c r="H810" i="9"/>
  <c r="I810" i="9"/>
  <c r="J810" i="9"/>
  <c r="K810" i="9"/>
  <c r="L810" i="9"/>
  <c r="M810" i="9"/>
  <c r="A811" i="9"/>
  <c r="B811" i="9"/>
  <c r="D811" i="9"/>
  <c r="E811" i="9"/>
  <c r="G811" i="9"/>
  <c r="H811" i="9"/>
  <c r="I811" i="9"/>
  <c r="J811" i="9"/>
  <c r="K811" i="9"/>
  <c r="L811" i="9"/>
  <c r="M811" i="9"/>
  <c r="A812" i="9"/>
  <c r="B812" i="9"/>
  <c r="D812" i="9"/>
  <c r="E812" i="9"/>
  <c r="G812" i="9"/>
  <c r="H812" i="9"/>
  <c r="I812" i="9"/>
  <c r="J812" i="9"/>
  <c r="K812" i="9"/>
  <c r="L812" i="9"/>
  <c r="M812" i="9"/>
  <c r="A813" i="9"/>
  <c r="B813" i="9"/>
  <c r="D813" i="9"/>
  <c r="E813" i="9"/>
  <c r="G813" i="9"/>
  <c r="H813" i="9"/>
  <c r="I813" i="9"/>
  <c r="J813" i="9"/>
  <c r="K813" i="9"/>
  <c r="L813" i="9"/>
  <c r="M813" i="9"/>
  <c r="A814" i="9"/>
  <c r="B814" i="9"/>
  <c r="D814" i="9"/>
  <c r="E814" i="9"/>
  <c r="G814" i="9"/>
  <c r="H814" i="9"/>
  <c r="I814" i="9"/>
  <c r="J814" i="9"/>
  <c r="K814" i="9"/>
  <c r="L814" i="9"/>
  <c r="M814" i="9"/>
  <c r="A815" i="9"/>
  <c r="B815" i="9"/>
  <c r="D815" i="9"/>
  <c r="E815" i="9"/>
  <c r="G815" i="9"/>
  <c r="H815" i="9"/>
  <c r="I815" i="9"/>
  <c r="J815" i="9"/>
  <c r="K815" i="9"/>
  <c r="L815" i="9"/>
  <c r="M815" i="9"/>
  <c r="A816" i="9"/>
  <c r="B816" i="9"/>
  <c r="D816" i="9"/>
  <c r="E816" i="9"/>
  <c r="G816" i="9"/>
  <c r="H816" i="9"/>
  <c r="I816" i="9"/>
  <c r="J816" i="9"/>
  <c r="K816" i="9"/>
  <c r="L816" i="9"/>
  <c r="M816" i="9"/>
  <c r="A817" i="9"/>
  <c r="B817" i="9"/>
  <c r="D817" i="9"/>
  <c r="E817" i="9"/>
  <c r="G817" i="9"/>
  <c r="H817" i="9"/>
  <c r="I817" i="9"/>
  <c r="J817" i="9"/>
  <c r="K817" i="9"/>
  <c r="L817" i="9"/>
  <c r="M817" i="9"/>
  <c r="A818" i="9"/>
  <c r="B818" i="9"/>
  <c r="D818" i="9"/>
  <c r="E818" i="9"/>
  <c r="G818" i="9"/>
  <c r="H818" i="9"/>
  <c r="I818" i="9"/>
  <c r="J818" i="9"/>
  <c r="K818" i="9"/>
  <c r="L818" i="9"/>
  <c r="M818" i="9"/>
  <c r="A819" i="9"/>
  <c r="B819" i="9"/>
  <c r="D819" i="9"/>
  <c r="E819" i="9"/>
  <c r="G819" i="9"/>
  <c r="H819" i="9"/>
  <c r="I819" i="9"/>
  <c r="J819" i="9"/>
  <c r="K819" i="9"/>
  <c r="L819" i="9"/>
  <c r="M819" i="9"/>
  <c r="A820" i="9"/>
  <c r="B820" i="9"/>
  <c r="D820" i="9"/>
  <c r="E820" i="9"/>
  <c r="G820" i="9"/>
  <c r="H820" i="9"/>
  <c r="I820" i="9"/>
  <c r="J820" i="9"/>
  <c r="K820" i="9"/>
  <c r="L820" i="9"/>
  <c r="M820" i="9"/>
  <c r="A821" i="9"/>
  <c r="B821" i="9"/>
  <c r="D821" i="9"/>
  <c r="E821" i="9"/>
  <c r="G821" i="9"/>
  <c r="H821" i="9"/>
  <c r="I821" i="9"/>
  <c r="J821" i="9"/>
  <c r="K821" i="9"/>
  <c r="L821" i="9"/>
  <c r="M821" i="9"/>
  <c r="A822" i="9"/>
  <c r="B822" i="9"/>
  <c r="D822" i="9"/>
  <c r="E822" i="9"/>
  <c r="G822" i="9"/>
  <c r="H822" i="9"/>
  <c r="I822" i="9"/>
  <c r="J822" i="9"/>
  <c r="K822" i="9"/>
  <c r="L822" i="9"/>
  <c r="M822" i="9"/>
  <c r="A823" i="9"/>
  <c r="B823" i="9"/>
  <c r="D823" i="9"/>
  <c r="E823" i="9"/>
  <c r="G823" i="9"/>
  <c r="H823" i="9"/>
  <c r="I823" i="9"/>
  <c r="J823" i="9"/>
  <c r="K823" i="9"/>
  <c r="L823" i="9"/>
  <c r="M823" i="9"/>
  <c r="A824" i="9"/>
  <c r="B824" i="9"/>
  <c r="D824" i="9"/>
  <c r="E824" i="9"/>
  <c r="G824" i="9"/>
  <c r="H824" i="9"/>
  <c r="I824" i="9"/>
  <c r="J824" i="9"/>
  <c r="K824" i="9"/>
  <c r="L824" i="9"/>
  <c r="M824" i="9"/>
  <c r="A825" i="9"/>
  <c r="B825" i="9"/>
  <c r="D825" i="9"/>
  <c r="E825" i="9"/>
  <c r="G825" i="9"/>
  <c r="H825" i="9"/>
  <c r="I825" i="9"/>
  <c r="J825" i="9"/>
  <c r="K825" i="9"/>
  <c r="L825" i="9"/>
  <c r="M825" i="9"/>
  <c r="A826" i="9"/>
  <c r="B826" i="9"/>
  <c r="D826" i="9"/>
  <c r="E826" i="9"/>
  <c r="G826" i="9"/>
  <c r="H826" i="9"/>
  <c r="I826" i="9"/>
  <c r="J826" i="9"/>
  <c r="K826" i="9"/>
  <c r="L826" i="9"/>
  <c r="M826" i="9"/>
  <c r="A827" i="9"/>
  <c r="B827" i="9"/>
  <c r="D827" i="9"/>
  <c r="E827" i="9"/>
  <c r="G827" i="9"/>
  <c r="H827" i="9"/>
  <c r="I827" i="9"/>
  <c r="J827" i="9"/>
  <c r="K827" i="9"/>
  <c r="L827" i="9"/>
  <c r="M827" i="9"/>
  <c r="A828" i="9"/>
  <c r="B828" i="9"/>
  <c r="D828" i="9"/>
  <c r="E828" i="9"/>
  <c r="G828" i="9"/>
  <c r="H828" i="9"/>
  <c r="I828" i="9"/>
  <c r="J828" i="9"/>
  <c r="K828" i="9"/>
  <c r="L828" i="9"/>
  <c r="M828" i="9"/>
  <c r="A829" i="9"/>
  <c r="B829" i="9"/>
  <c r="D829" i="9"/>
  <c r="E829" i="9"/>
  <c r="G829" i="9"/>
  <c r="H829" i="9"/>
  <c r="I829" i="9"/>
  <c r="J829" i="9"/>
  <c r="K829" i="9"/>
  <c r="L829" i="9"/>
  <c r="M829" i="9"/>
  <c r="A830" i="9"/>
  <c r="B830" i="9"/>
  <c r="D830" i="9"/>
  <c r="E830" i="9"/>
  <c r="G830" i="9"/>
  <c r="H830" i="9"/>
  <c r="I830" i="9"/>
  <c r="J830" i="9"/>
  <c r="K830" i="9"/>
  <c r="L830" i="9"/>
  <c r="M830" i="9"/>
  <c r="A831" i="9"/>
  <c r="B831" i="9"/>
  <c r="D831" i="9"/>
  <c r="E831" i="9"/>
  <c r="G831" i="9"/>
  <c r="H831" i="9"/>
  <c r="I831" i="9"/>
  <c r="J831" i="9"/>
  <c r="K831" i="9"/>
  <c r="L831" i="9"/>
  <c r="M831" i="9"/>
  <c r="A832" i="9"/>
  <c r="B832" i="9"/>
  <c r="D832" i="9"/>
  <c r="E832" i="9"/>
  <c r="G832" i="9"/>
  <c r="H832" i="9"/>
  <c r="I832" i="9"/>
  <c r="J832" i="9"/>
  <c r="K832" i="9"/>
  <c r="L832" i="9"/>
  <c r="M832" i="9"/>
  <c r="A833" i="9"/>
  <c r="B833" i="9"/>
  <c r="D833" i="9"/>
  <c r="E833" i="9"/>
  <c r="G833" i="9"/>
  <c r="H833" i="9"/>
  <c r="I833" i="9"/>
  <c r="J833" i="9"/>
  <c r="K833" i="9"/>
  <c r="L833" i="9"/>
  <c r="M833" i="9"/>
  <c r="A834" i="9"/>
  <c r="B834" i="9"/>
  <c r="D834" i="9"/>
  <c r="E834" i="9"/>
  <c r="G834" i="9"/>
  <c r="H834" i="9"/>
  <c r="I834" i="9"/>
  <c r="J834" i="9"/>
  <c r="K834" i="9"/>
  <c r="L834" i="9"/>
  <c r="M834" i="9"/>
  <c r="A835" i="9"/>
  <c r="B835" i="9"/>
  <c r="D835" i="9"/>
  <c r="E835" i="9"/>
  <c r="G835" i="9"/>
  <c r="H835" i="9"/>
  <c r="I835" i="9"/>
  <c r="J835" i="9"/>
  <c r="K835" i="9"/>
  <c r="L835" i="9"/>
  <c r="M835" i="9"/>
  <c r="A836" i="9"/>
  <c r="B836" i="9"/>
  <c r="D836" i="9"/>
  <c r="E836" i="9"/>
  <c r="G836" i="9"/>
  <c r="H836" i="9"/>
  <c r="I836" i="9"/>
  <c r="J836" i="9"/>
  <c r="K836" i="9"/>
  <c r="L836" i="9"/>
  <c r="M836" i="9"/>
  <c r="A837" i="9"/>
  <c r="B837" i="9"/>
  <c r="D837" i="9"/>
  <c r="E837" i="9"/>
  <c r="G837" i="9"/>
  <c r="H837" i="9"/>
  <c r="I837" i="9"/>
  <c r="J837" i="9"/>
  <c r="K837" i="9"/>
  <c r="L837" i="9"/>
  <c r="M837" i="9"/>
  <c r="A838" i="9"/>
  <c r="B838" i="9"/>
  <c r="D838" i="9"/>
  <c r="E838" i="9"/>
  <c r="G838" i="9"/>
  <c r="H838" i="9"/>
  <c r="I838" i="9"/>
  <c r="J838" i="9"/>
  <c r="K838" i="9"/>
  <c r="L838" i="9"/>
  <c r="M838" i="9"/>
  <c r="A839" i="9"/>
  <c r="B839" i="9"/>
  <c r="D839" i="9"/>
  <c r="E839" i="9"/>
  <c r="G839" i="9"/>
  <c r="H839" i="9"/>
  <c r="I839" i="9"/>
  <c r="J839" i="9"/>
  <c r="K839" i="9"/>
  <c r="L839" i="9"/>
  <c r="M839" i="9"/>
  <c r="A840" i="9"/>
  <c r="B840" i="9"/>
  <c r="D840" i="9"/>
  <c r="E840" i="9"/>
  <c r="G840" i="9"/>
  <c r="H840" i="9"/>
  <c r="I840" i="9"/>
  <c r="J840" i="9"/>
  <c r="K840" i="9"/>
  <c r="L840" i="9"/>
  <c r="M840" i="9"/>
  <c r="A841" i="9"/>
  <c r="B841" i="9"/>
  <c r="D841" i="9"/>
  <c r="E841" i="9"/>
  <c r="G841" i="9"/>
  <c r="H841" i="9"/>
  <c r="I841" i="9"/>
  <c r="J841" i="9"/>
  <c r="K841" i="9"/>
  <c r="L841" i="9"/>
  <c r="M841" i="9"/>
  <c r="A842" i="9"/>
  <c r="B842" i="9"/>
  <c r="D842" i="9"/>
  <c r="E842" i="9"/>
  <c r="G842" i="9"/>
  <c r="H842" i="9"/>
  <c r="I842" i="9"/>
  <c r="J842" i="9"/>
  <c r="K842" i="9"/>
  <c r="L842" i="9"/>
  <c r="M842" i="9"/>
  <c r="A843" i="9"/>
  <c r="B843" i="9"/>
  <c r="D843" i="9"/>
  <c r="E843" i="9"/>
  <c r="G843" i="9"/>
  <c r="H843" i="9"/>
  <c r="I843" i="9"/>
  <c r="J843" i="9"/>
  <c r="K843" i="9"/>
  <c r="L843" i="9"/>
  <c r="M843" i="9"/>
  <c r="A844" i="9"/>
  <c r="B844" i="9"/>
  <c r="D844" i="9"/>
  <c r="E844" i="9"/>
  <c r="G844" i="9"/>
  <c r="H844" i="9"/>
  <c r="I844" i="9"/>
  <c r="J844" i="9"/>
  <c r="K844" i="9"/>
  <c r="L844" i="9"/>
  <c r="M844" i="9"/>
  <c r="A845" i="9"/>
  <c r="B845" i="9"/>
  <c r="D845" i="9"/>
  <c r="E845" i="9"/>
  <c r="G845" i="9"/>
  <c r="H845" i="9"/>
  <c r="I845" i="9"/>
  <c r="J845" i="9"/>
  <c r="K845" i="9"/>
  <c r="L845" i="9"/>
  <c r="M845" i="9"/>
  <c r="A846" i="9"/>
  <c r="B846" i="9"/>
  <c r="D846" i="9"/>
  <c r="E846" i="9"/>
  <c r="G846" i="9"/>
  <c r="H846" i="9"/>
  <c r="I846" i="9"/>
  <c r="J846" i="9"/>
  <c r="K846" i="9"/>
  <c r="L846" i="9"/>
  <c r="M846" i="9"/>
  <c r="A847" i="9"/>
  <c r="B847" i="9"/>
  <c r="D847" i="9"/>
  <c r="E847" i="9"/>
  <c r="G847" i="9"/>
  <c r="H847" i="9"/>
  <c r="I847" i="9"/>
  <c r="J847" i="9"/>
  <c r="K847" i="9"/>
  <c r="L847" i="9"/>
  <c r="M847" i="9"/>
  <c r="A848" i="9"/>
  <c r="B848" i="9"/>
  <c r="D848" i="9"/>
  <c r="E848" i="9"/>
  <c r="G848" i="9"/>
  <c r="H848" i="9"/>
  <c r="I848" i="9"/>
  <c r="J848" i="9"/>
  <c r="K848" i="9"/>
  <c r="L848" i="9"/>
  <c r="M848" i="9"/>
  <c r="A849" i="9"/>
  <c r="B849" i="9"/>
  <c r="D849" i="9"/>
  <c r="E849" i="9"/>
  <c r="G849" i="9"/>
  <c r="H849" i="9"/>
  <c r="I849" i="9"/>
  <c r="J849" i="9"/>
  <c r="K849" i="9"/>
  <c r="L849" i="9"/>
  <c r="M849" i="9"/>
  <c r="A850" i="9"/>
  <c r="B850" i="9"/>
  <c r="D850" i="9"/>
  <c r="E850" i="9"/>
  <c r="G850" i="9"/>
  <c r="H850" i="9"/>
  <c r="I850" i="9"/>
  <c r="J850" i="9"/>
  <c r="K850" i="9"/>
  <c r="L850" i="9"/>
  <c r="M850" i="9"/>
  <c r="A851" i="9"/>
  <c r="B851" i="9"/>
  <c r="D851" i="9"/>
  <c r="E851" i="9"/>
  <c r="G851" i="9"/>
  <c r="H851" i="9"/>
  <c r="I851" i="9"/>
  <c r="J851" i="9"/>
  <c r="K851" i="9"/>
  <c r="L851" i="9"/>
  <c r="M851" i="9"/>
  <c r="A852" i="9"/>
  <c r="B852" i="9"/>
  <c r="D852" i="9"/>
  <c r="E852" i="9"/>
  <c r="G852" i="9"/>
  <c r="H852" i="9"/>
  <c r="I852" i="9"/>
  <c r="J852" i="9"/>
  <c r="K852" i="9"/>
  <c r="L852" i="9"/>
  <c r="M852" i="9"/>
  <c r="A853" i="9"/>
  <c r="B853" i="9"/>
  <c r="D853" i="9"/>
  <c r="E853" i="9"/>
  <c r="G853" i="9"/>
  <c r="H853" i="9"/>
  <c r="I853" i="9"/>
  <c r="J853" i="9"/>
  <c r="K853" i="9"/>
  <c r="L853" i="9"/>
  <c r="M853" i="9"/>
  <c r="A854" i="9"/>
  <c r="B854" i="9"/>
  <c r="D854" i="9"/>
  <c r="E854" i="9"/>
  <c r="G854" i="9"/>
  <c r="H854" i="9"/>
  <c r="I854" i="9"/>
  <c r="J854" i="9"/>
  <c r="K854" i="9"/>
  <c r="L854" i="9"/>
  <c r="M854" i="9"/>
  <c r="A855" i="9"/>
  <c r="B855" i="9"/>
  <c r="D855" i="9"/>
  <c r="E855" i="9"/>
  <c r="G855" i="9"/>
  <c r="H855" i="9"/>
  <c r="I855" i="9"/>
  <c r="J855" i="9"/>
  <c r="K855" i="9"/>
  <c r="L855" i="9"/>
  <c r="M855" i="9"/>
  <c r="A856" i="9"/>
  <c r="B856" i="9"/>
  <c r="D856" i="9"/>
  <c r="E856" i="9"/>
  <c r="G856" i="9"/>
  <c r="H856" i="9"/>
  <c r="I856" i="9"/>
  <c r="J856" i="9"/>
  <c r="K856" i="9"/>
  <c r="L856" i="9"/>
  <c r="M856" i="9"/>
  <c r="A857" i="9"/>
  <c r="B857" i="9"/>
  <c r="D857" i="9"/>
  <c r="E857" i="9"/>
  <c r="G857" i="9"/>
  <c r="H857" i="9"/>
  <c r="I857" i="9"/>
  <c r="J857" i="9"/>
  <c r="K857" i="9"/>
  <c r="L857" i="9"/>
  <c r="M857" i="9"/>
  <c r="A858" i="9"/>
  <c r="B858" i="9"/>
  <c r="D858" i="9"/>
  <c r="E858" i="9"/>
  <c r="G858" i="9"/>
  <c r="H858" i="9"/>
  <c r="I858" i="9"/>
  <c r="J858" i="9"/>
  <c r="K858" i="9"/>
  <c r="L858" i="9"/>
  <c r="M858" i="9"/>
  <c r="A859" i="9"/>
  <c r="B859" i="9"/>
  <c r="D859" i="9"/>
  <c r="E859" i="9"/>
  <c r="G859" i="9"/>
  <c r="H859" i="9"/>
  <c r="I859" i="9"/>
  <c r="J859" i="9"/>
  <c r="K859" i="9"/>
  <c r="L859" i="9"/>
  <c r="M859" i="9"/>
  <c r="A860" i="9"/>
  <c r="B860" i="9"/>
  <c r="D860" i="9"/>
  <c r="E860" i="9"/>
  <c r="G860" i="9"/>
  <c r="H860" i="9"/>
  <c r="I860" i="9"/>
  <c r="J860" i="9"/>
  <c r="K860" i="9"/>
  <c r="L860" i="9"/>
  <c r="M860" i="9"/>
  <c r="A861" i="9"/>
  <c r="B861" i="9"/>
  <c r="D861" i="9"/>
  <c r="E861" i="9"/>
  <c r="G861" i="9"/>
  <c r="H861" i="9"/>
  <c r="I861" i="9"/>
  <c r="J861" i="9"/>
  <c r="K861" i="9"/>
  <c r="L861" i="9"/>
  <c r="M861" i="9"/>
  <c r="A862" i="9"/>
  <c r="B862" i="9"/>
  <c r="D862" i="9"/>
  <c r="E862" i="9"/>
  <c r="G862" i="9"/>
  <c r="H862" i="9"/>
  <c r="I862" i="9"/>
  <c r="J862" i="9"/>
  <c r="K862" i="9"/>
  <c r="L862" i="9"/>
  <c r="M862" i="9"/>
  <c r="A863" i="9"/>
  <c r="B863" i="9"/>
  <c r="D863" i="9"/>
  <c r="E863" i="9"/>
  <c r="G863" i="9"/>
  <c r="H863" i="9"/>
  <c r="I863" i="9"/>
  <c r="J863" i="9"/>
  <c r="K863" i="9"/>
  <c r="L863" i="9"/>
  <c r="M863" i="9"/>
  <c r="A864" i="9"/>
  <c r="B864" i="9"/>
  <c r="D864" i="9"/>
  <c r="E864" i="9"/>
  <c r="G864" i="9"/>
  <c r="H864" i="9"/>
  <c r="I864" i="9"/>
  <c r="J864" i="9"/>
  <c r="K864" i="9"/>
  <c r="L864" i="9"/>
  <c r="M864" i="9"/>
  <c r="A865" i="9"/>
  <c r="B865" i="9"/>
  <c r="D865" i="9"/>
  <c r="E865" i="9"/>
  <c r="G865" i="9"/>
  <c r="H865" i="9"/>
  <c r="I865" i="9"/>
  <c r="J865" i="9"/>
  <c r="K865" i="9"/>
  <c r="L865" i="9"/>
  <c r="M865" i="9"/>
  <c r="A866" i="9"/>
  <c r="B866" i="9"/>
  <c r="D866" i="9"/>
  <c r="E866" i="9"/>
  <c r="G866" i="9"/>
  <c r="H866" i="9"/>
  <c r="I866" i="9"/>
  <c r="J866" i="9"/>
  <c r="K866" i="9"/>
  <c r="L866" i="9"/>
  <c r="M866" i="9"/>
  <c r="A867" i="9"/>
  <c r="B867" i="9"/>
  <c r="D867" i="9"/>
  <c r="E867" i="9"/>
  <c r="G867" i="9"/>
  <c r="H867" i="9"/>
  <c r="I867" i="9"/>
  <c r="J867" i="9"/>
  <c r="K867" i="9"/>
  <c r="L867" i="9"/>
  <c r="M867" i="9"/>
  <c r="A868" i="9"/>
  <c r="B868" i="9"/>
  <c r="D868" i="9"/>
  <c r="E868" i="9"/>
  <c r="G868" i="9"/>
  <c r="H868" i="9"/>
  <c r="I868" i="9"/>
  <c r="J868" i="9"/>
  <c r="K868" i="9"/>
  <c r="L868" i="9"/>
  <c r="M868" i="9"/>
  <c r="A869" i="9"/>
  <c r="B869" i="9"/>
  <c r="D869" i="9"/>
  <c r="E869" i="9"/>
  <c r="G869" i="9"/>
  <c r="H869" i="9"/>
  <c r="I869" i="9"/>
  <c r="J869" i="9"/>
  <c r="K869" i="9"/>
  <c r="L869" i="9"/>
  <c r="M869" i="9"/>
  <c r="A870" i="9"/>
  <c r="B870" i="9"/>
  <c r="D870" i="9"/>
  <c r="E870" i="9"/>
  <c r="G870" i="9"/>
  <c r="H870" i="9"/>
  <c r="I870" i="9"/>
  <c r="J870" i="9"/>
  <c r="K870" i="9"/>
  <c r="L870" i="9"/>
  <c r="M870" i="9"/>
  <c r="A871" i="9"/>
  <c r="B871" i="9"/>
  <c r="D871" i="9"/>
  <c r="E871" i="9"/>
  <c r="G871" i="9"/>
  <c r="H871" i="9"/>
  <c r="I871" i="9"/>
  <c r="J871" i="9"/>
  <c r="K871" i="9"/>
  <c r="L871" i="9"/>
  <c r="M871" i="9"/>
  <c r="A872" i="9"/>
  <c r="B872" i="9"/>
  <c r="D872" i="9"/>
  <c r="E872" i="9"/>
  <c r="G872" i="9"/>
  <c r="H872" i="9"/>
  <c r="I872" i="9"/>
  <c r="J872" i="9"/>
  <c r="K872" i="9"/>
  <c r="L872" i="9"/>
  <c r="M872" i="9"/>
  <c r="A873" i="9"/>
  <c r="B873" i="9"/>
  <c r="D873" i="9"/>
  <c r="E873" i="9"/>
  <c r="G873" i="9"/>
  <c r="H873" i="9"/>
  <c r="I873" i="9"/>
  <c r="J873" i="9"/>
  <c r="K873" i="9"/>
  <c r="L873" i="9"/>
  <c r="M873" i="9"/>
  <c r="A874" i="9"/>
  <c r="B874" i="9"/>
  <c r="D874" i="9"/>
  <c r="E874" i="9"/>
  <c r="G874" i="9"/>
  <c r="H874" i="9"/>
  <c r="I874" i="9"/>
  <c r="J874" i="9"/>
  <c r="K874" i="9"/>
  <c r="L874" i="9"/>
  <c r="M874" i="9"/>
  <c r="A875" i="9"/>
  <c r="B875" i="9"/>
  <c r="D875" i="9"/>
  <c r="E875" i="9"/>
  <c r="G875" i="9"/>
  <c r="H875" i="9"/>
  <c r="I875" i="9"/>
  <c r="J875" i="9"/>
  <c r="K875" i="9"/>
  <c r="L875" i="9"/>
  <c r="M875" i="9"/>
  <c r="A876" i="9"/>
  <c r="B876" i="9"/>
  <c r="D876" i="9"/>
  <c r="E876" i="9"/>
  <c r="G876" i="9"/>
  <c r="H876" i="9"/>
  <c r="I876" i="9"/>
  <c r="J876" i="9"/>
  <c r="K876" i="9"/>
  <c r="L876" i="9"/>
  <c r="M876" i="9"/>
  <c r="A877" i="9"/>
  <c r="B877" i="9"/>
  <c r="D877" i="9"/>
  <c r="E877" i="9"/>
  <c r="G877" i="9"/>
  <c r="H877" i="9"/>
  <c r="I877" i="9"/>
  <c r="J877" i="9"/>
  <c r="K877" i="9"/>
  <c r="L877" i="9"/>
  <c r="M877" i="9"/>
  <c r="A878" i="9"/>
  <c r="B878" i="9"/>
  <c r="D878" i="9"/>
  <c r="E878" i="9"/>
  <c r="G878" i="9"/>
  <c r="H878" i="9"/>
  <c r="I878" i="9"/>
  <c r="J878" i="9"/>
  <c r="K878" i="9"/>
  <c r="L878" i="9"/>
  <c r="M878" i="9"/>
  <c r="A879" i="9"/>
  <c r="B879" i="9"/>
  <c r="D879" i="9"/>
  <c r="E879" i="9"/>
  <c r="G879" i="9"/>
  <c r="H879" i="9"/>
  <c r="I879" i="9"/>
  <c r="J879" i="9"/>
  <c r="K879" i="9"/>
  <c r="L879" i="9"/>
  <c r="M879" i="9"/>
  <c r="A880" i="9"/>
  <c r="B880" i="9"/>
  <c r="D880" i="9"/>
  <c r="E880" i="9"/>
  <c r="G880" i="9"/>
  <c r="H880" i="9"/>
  <c r="I880" i="9"/>
  <c r="J880" i="9"/>
  <c r="K880" i="9"/>
  <c r="L880" i="9"/>
  <c r="M880" i="9"/>
  <c r="A881" i="9"/>
  <c r="B881" i="9"/>
  <c r="D881" i="9"/>
  <c r="E881" i="9"/>
  <c r="G881" i="9"/>
  <c r="H881" i="9"/>
  <c r="I881" i="9"/>
  <c r="J881" i="9"/>
  <c r="K881" i="9"/>
  <c r="L881" i="9"/>
  <c r="M881" i="9"/>
  <c r="A882" i="9"/>
  <c r="B882" i="9"/>
  <c r="D882" i="9"/>
  <c r="E882" i="9"/>
  <c r="G882" i="9"/>
  <c r="H882" i="9"/>
  <c r="I882" i="9"/>
  <c r="J882" i="9"/>
  <c r="K882" i="9"/>
  <c r="L882" i="9"/>
  <c r="M882" i="9"/>
  <c r="A883" i="9"/>
  <c r="B883" i="9"/>
  <c r="D883" i="9"/>
  <c r="E883" i="9"/>
  <c r="G883" i="9"/>
  <c r="H883" i="9"/>
  <c r="I883" i="9"/>
  <c r="J883" i="9"/>
  <c r="K883" i="9"/>
  <c r="L883" i="9"/>
  <c r="M883" i="9"/>
  <c r="A884" i="9"/>
  <c r="B884" i="9"/>
  <c r="D884" i="9"/>
  <c r="E884" i="9"/>
  <c r="G884" i="9"/>
  <c r="H884" i="9"/>
  <c r="I884" i="9"/>
  <c r="J884" i="9"/>
  <c r="K884" i="9"/>
  <c r="L884" i="9"/>
  <c r="M884" i="9"/>
  <c r="A885" i="9"/>
  <c r="B885" i="9"/>
  <c r="D885" i="9"/>
  <c r="E885" i="9"/>
  <c r="G885" i="9"/>
  <c r="H885" i="9"/>
  <c r="I885" i="9"/>
  <c r="J885" i="9"/>
  <c r="K885" i="9"/>
  <c r="L885" i="9"/>
  <c r="M885" i="9"/>
  <c r="A886" i="9"/>
  <c r="B886" i="9"/>
  <c r="D886" i="9"/>
  <c r="E886" i="9"/>
  <c r="G886" i="9"/>
  <c r="H886" i="9"/>
  <c r="I886" i="9"/>
  <c r="J886" i="9"/>
  <c r="K886" i="9"/>
  <c r="L886" i="9"/>
  <c r="M886" i="9"/>
  <c r="A887" i="9"/>
  <c r="B887" i="9"/>
  <c r="D887" i="9"/>
  <c r="E887" i="9"/>
  <c r="G887" i="9"/>
  <c r="H887" i="9"/>
  <c r="I887" i="9"/>
  <c r="J887" i="9"/>
  <c r="K887" i="9"/>
  <c r="L887" i="9"/>
  <c r="M887" i="9"/>
  <c r="A888" i="9"/>
  <c r="B888" i="9"/>
  <c r="D888" i="9"/>
  <c r="E888" i="9"/>
  <c r="G888" i="9"/>
  <c r="H888" i="9"/>
  <c r="I888" i="9"/>
  <c r="J888" i="9"/>
  <c r="K888" i="9"/>
  <c r="L888" i="9"/>
  <c r="M888" i="9"/>
  <c r="A889" i="9"/>
  <c r="B889" i="9"/>
  <c r="D889" i="9"/>
  <c r="E889" i="9"/>
  <c r="G889" i="9"/>
  <c r="H889" i="9"/>
  <c r="I889" i="9"/>
  <c r="J889" i="9"/>
  <c r="K889" i="9"/>
  <c r="L889" i="9"/>
  <c r="M889" i="9"/>
  <c r="A890" i="9"/>
  <c r="B890" i="9"/>
  <c r="D890" i="9"/>
  <c r="E890" i="9"/>
  <c r="G890" i="9"/>
  <c r="H890" i="9"/>
  <c r="I890" i="9"/>
  <c r="J890" i="9"/>
  <c r="K890" i="9"/>
  <c r="L890" i="9"/>
  <c r="M890" i="9"/>
  <c r="A891" i="9"/>
  <c r="B891" i="9"/>
  <c r="D891" i="9"/>
  <c r="E891" i="9"/>
  <c r="G891" i="9"/>
  <c r="H891" i="9"/>
  <c r="I891" i="9"/>
  <c r="J891" i="9"/>
  <c r="K891" i="9"/>
  <c r="L891" i="9"/>
  <c r="M891" i="9"/>
  <c r="A892" i="9"/>
  <c r="B892" i="9"/>
  <c r="D892" i="9"/>
  <c r="E892" i="9"/>
  <c r="G892" i="9"/>
  <c r="H892" i="9"/>
  <c r="I892" i="9"/>
  <c r="J892" i="9"/>
  <c r="K892" i="9"/>
  <c r="L892" i="9"/>
  <c r="M892" i="9"/>
  <c r="A893" i="9"/>
  <c r="B893" i="9"/>
  <c r="D893" i="9"/>
  <c r="E893" i="9"/>
  <c r="G893" i="9"/>
  <c r="H893" i="9"/>
  <c r="I893" i="9"/>
  <c r="J893" i="9"/>
  <c r="K893" i="9"/>
  <c r="L893" i="9"/>
  <c r="M893" i="9"/>
  <c r="A894" i="9"/>
  <c r="B894" i="9"/>
  <c r="D894" i="9"/>
  <c r="E894" i="9"/>
  <c r="G894" i="9"/>
  <c r="H894" i="9"/>
  <c r="I894" i="9"/>
  <c r="J894" i="9"/>
  <c r="K894" i="9"/>
  <c r="L894" i="9"/>
  <c r="M894" i="9"/>
  <c r="A895" i="9"/>
  <c r="B895" i="9"/>
  <c r="D895" i="9"/>
  <c r="E895" i="9"/>
  <c r="G895" i="9"/>
  <c r="H895" i="9"/>
  <c r="I895" i="9"/>
  <c r="J895" i="9"/>
  <c r="K895" i="9"/>
  <c r="L895" i="9"/>
  <c r="M895" i="9"/>
  <c r="A896" i="9"/>
  <c r="B896" i="9"/>
  <c r="D896" i="9"/>
  <c r="E896" i="9"/>
  <c r="G896" i="9"/>
  <c r="H896" i="9"/>
  <c r="I896" i="9"/>
  <c r="J896" i="9"/>
  <c r="K896" i="9"/>
  <c r="L896" i="9"/>
  <c r="M896" i="9"/>
  <c r="A897" i="9"/>
  <c r="B897" i="9"/>
  <c r="D897" i="9"/>
  <c r="E897" i="9"/>
  <c r="G897" i="9"/>
  <c r="H897" i="9"/>
  <c r="I897" i="9"/>
  <c r="J897" i="9"/>
  <c r="K897" i="9"/>
  <c r="L897" i="9"/>
  <c r="M897" i="9"/>
  <c r="A898" i="9"/>
  <c r="B898" i="9"/>
  <c r="D898" i="9"/>
  <c r="E898" i="9"/>
  <c r="G898" i="9"/>
  <c r="H898" i="9"/>
  <c r="I898" i="9"/>
  <c r="J898" i="9"/>
  <c r="K898" i="9"/>
  <c r="L898" i="9"/>
  <c r="M898" i="9"/>
  <c r="A899" i="9"/>
  <c r="B899" i="9"/>
  <c r="D899" i="9"/>
  <c r="E899" i="9"/>
  <c r="G899" i="9"/>
  <c r="H899" i="9"/>
  <c r="I899" i="9"/>
  <c r="J899" i="9"/>
  <c r="K899" i="9"/>
  <c r="L899" i="9"/>
  <c r="M899" i="9"/>
  <c r="A900" i="9"/>
  <c r="B900" i="9"/>
  <c r="D900" i="9"/>
  <c r="E900" i="9"/>
  <c r="G900" i="9"/>
  <c r="H900" i="9"/>
  <c r="I900" i="9"/>
  <c r="J900" i="9"/>
  <c r="K900" i="9"/>
  <c r="L900" i="9"/>
  <c r="M900" i="9"/>
  <c r="A901" i="9"/>
  <c r="B901" i="9"/>
  <c r="D901" i="9"/>
  <c r="E901" i="9"/>
  <c r="G901" i="9"/>
  <c r="H901" i="9"/>
  <c r="I901" i="9"/>
  <c r="J901" i="9"/>
  <c r="K901" i="9"/>
  <c r="L901" i="9"/>
  <c r="M901" i="9"/>
  <c r="A902" i="9"/>
  <c r="B902" i="9"/>
  <c r="D902" i="9"/>
  <c r="E902" i="9"/>
  <c r="G902" i="9"/>
  <c r="H902" i="9"/>
  <c r="I902" i="9"/>
  <c r="J902" i="9"/>
  <c r="K902" i="9"/>
  <c r="L902" i="9"/>
  <c r="M902" i="9"/>
  <c r="A903" i="9"/>
  <c r="B903" i="9"/>
  <c r="D903" i="9"/>
  <c r="E903" i="9"/>
  <c r="G903" i="9"/>
  <c r="H903" i="9"/>
  <c r="I903" i="9"/>
  <c r="J903" i="9"/>
  <c r="K903" i="9"/>
  <c r="L903" i="9"/>
  <c r="M903" i="9"/>
  <c r="A904" i="9"/>
  <c r="B904" i="9"/>
  <c r="D904" i="9"/>
  <c r="E904" i="9"/>
  <c r="G904" i="9"/>
  <c r="H904" i="9"/>
  <c r="I904" i="9"/>
  <c r="J904" i="9"/>
  <c r="K904" i="9"/>
  <c r="L904" i="9"/>
  <c r="M904" i="9"/>
  <c r="A905" i="9"/>
  <c r="B905" i="9"/>
  <c r="D905" i="9"/>
  <c r="E905" i="9"/>
  <c r="G905" i="9"/>
  <c r="H905" i="9"/>
  <c r="I905" i="9"/>
  <c r="J905" i="9"/>
  <c r="K905" i="9"/>
  <c r="L905" i="9"/>
  <c r="M905" i="9"/>
  <c r="A906" i="9"/>
  <c r="B906" i="9"/>
  <c r="D906" i="9"/>
  <c r="E906" i="9"/>
  <c r="G906" i="9"/>
  <c r="H906" i="9"/>
  <c r="I906" i="9"/>
  <c r="J906" i="9"/>
  <c r="K906" i="9"/>
  <c r="L906" i="9"/>
  <c r="M906" i="9"/>
  <c r="A907" i="9"/>
  <c r="B907" i="9"/>
  <c r="D907" i="9"/>
  <c r="E907" i="9"/>
  <c r="G907" i="9"/>
  <c r="H907" i="9"/>
  <c r="I907" i="9"/>
  <c r="J907" i="9"/>
  <c r="K907" i="9"/>
  <c r="L907" i="9"/>
  <c r="M907" i="9"/>
  <c r="A908" i="9"/>
  <c r="B908" i="9"/>
  <c r="D908" i="9"/>
  <c r="E908" i="9"/>
  <c r="G908" i="9"/>
  <c r="H908" i="9"/>
  <c r="I908" i="9"/>
  <c r="J908" i="9"/>
  <c r="K908" i="9"/>
  <c r="L908" i="9"/>
  <c r="M908" i="9"/>
  <c r="A909" i="9"/>
  <c r="B909" i="9"/>
  <c r="D909" i="9"/>
  <c r="E909" i="9"/>
  <c r="G909" i="9"/>
  <c r="H909" i="9"/>
  <c r="I909" i="9"/>
  <c r="J909" i="9"/>
  <c r="K909" i="9"/>
  <c r="L909" i="9"/>
  <c r="M909" i="9"/>
  <c r="A910" i="9"/>
  <c r="B910" i="9"/>
  <c r="D910" i="9"/>
  <c r="E910" i="9"/>
  <c r="G910" i="9"/>
  <c r="H910" i="9"/>
  <c r="I910" i="9"/>
  <c r="J910" i="9"/>
  <c r="K910" i="9"/>
  <c r="L910" i="9"/>
  <c r="M910" i="9"/>
  <c r="A911" i="9"/>
  <c r="B911" i="9"/>
  <c r="D911" i="9"/>
  <c r="E911" i="9"/>
  <c r="G911" i="9"/>
  <c r="H911" i="9"/>
  <c r="I911" i="9"/>
  <c r="J911" i="9"/>
  <c r="K911" i="9"/>
  <c r="L911" i="9"/>
  <c r="M911" i="9"/>
  <c r="A912" i="9"/>
  <c r="B912" i="9"/>
  <c r="D912" i="9"/>
  <c r="E912" i="9"/>
  <c r="G912" i="9"/>
  <c r="H912" i="9"/>
  <c r="I912" i="9"/>
  <c r="J912" i="9"/>
  <c r="K912" i="9"/>
  <c r="L912" i="9"/>
  <c r="M912" i="9"/>
  <c r="A913" i="9"/>
  <c r="B913" i="9"/>
  <c r="D913" i="9"/>
  <c r="E913" i="9"/>
  <c r="G913" i="9"/>
  <c r="H913" i="9"/>
  <c r="I913" i="9"/>
  <c r="J913" i="9"/>
  <c r="K913" i="9"/>
  <c r="L913" i="9"/>
  <c r="M913" i="9"/>
  <c r="A914" i="9"/>
  <c r="B914" i="9"/>
  <c r="D914" i="9"/>
  <c r="E914" i="9"/>
  <c r="G914" i="9"/>
  <c r="H914" i="9"/>
  <c r="I914" i="9"/>
  <c r="J914" i="9"/>
  <c r="K914" i="9"/>
  <c r="L914" i="9"/>
  <c r="M914" i="9"/>
  <c r="A915" i="9"/>
  <c r="B915" i="9"/>
  <c r="D915" i="9"/>
  <c r="E915" i="9"/>
  <c r="G915" i="9"/>
  <c r="H915" i="9"/>
  <c r="I915" i="9"/>
  <c r="J915" i="9"/>
  <c r="K915" i="9"/>
  <c r="L915" i="9"/>
  <c r="M915" i="9"/>
  <c r="A916" i="9"/>
  <c r="B916" i="9"/>
  <c r="D916" i="9"/>
  <c r="E916" i="9"/>
  <c r="G916" i="9"/>
  <c r="H916" i="9"/>
  <c r="I916" i="9"/>
  <c r="J916" i="9"/>
  <c r="K916" i="9"/>
  <c r="L916" i="9"/>
  <c r="M916" i="9"/>
  <c r="A917" i="9"/>
  <c r="B917" i="9"/>
  <c r="D917" i="9"/>
  <c r="E917" i="9"/>
  <c r="G917" i="9"/>
  <c r="H917" i="9"/>
  <c r="I917" i="9"/>
  <c r="J917" i="9"/>
  <c r="K917" i="9"/>
  <c r="L917" i="9"/>
  <c r="M917" i="9"/>
  <c r="A918" i="9"/>
  <c r="B918" i="9"/>
  <c r="D918" i="9"/>
  <c r="E918" i="9"/>
  <c r="G918" i="9"/>
  <c r="H918" i="9"/>
  <c r="I918" i="9"/>
  <c r="J918" i="9"/>
  <c r="K918" i="9"/>
  <c r="L918" i="9"/>
  <c r="M918" i="9"/>
  <c r="A919" i="9"/>
  <c r="B919" i="9"/>
  <c r="D919" i="9"/>
  <c r="E919" i="9"/>
  <c r="G919" i="9"/>
  <c r="H919" i="9"/>
  <c r="I919" i="9"/>
  <c r="J919" i="9"/>
  <c r="K919" i="9"/>
  <c r="L919" i="9"/>
  <c r="M919" i="9"/>
  <c r="A920" i="9"/>
  <c r="B920" i="9"/>
  <c r="D920" i="9"/>
  <c r="E920" i="9"/>
  <c r="G920" i="9"/>
  <c r="H920" i="9"/>
  <c r="I920" i="9"/>
  <c r="J920" i="9"/>
  <c r="K920" i="9"/>
  <c r="L920" i="9"/>
  <c r="M920" i="9"/>
  <c r="A921" i="9"/>
  <c r="B921" i="9"/>
  <c r="D921" i="9"/>
  <c r="E921" i="9"/>
  <c r="G921" i="9"/>
  <c r="H921" i="9"/>
  <c r="I921" i="9"/>
  <c r="J921" i="9"/>
  <c r="K921" i="9"/>
  <c r="L921" i="9"/>
  <c r="M921" i="9"/>
  <c r="A922" i="9"/>
  <c r="B922" i="9"/>
  <c r="D922" i="9"/>
  <c r="E922" i="9"/>
  <c r="G922" i="9"/>
  <c r="H922" i="9"/>
  <c r="I922" i="9"/>
  <c r="J922" i="9"/>
  <c r="K922" i="9"/>
  <c r="L922" i="9"/>
  <c r="M922" i="9"/>
  <c r="A923" i="9"/>
  <c r="B923" i="9"/>
  <c r="D923" i="9"/>
  <c r="E923" i="9"/>
  <c r="G923" i="9"/>
  <c r="H923" i="9"/>
  <c r="I923" i="9"/>
  <c r="J923" i="9"/>
  <c r="K923" i="9"/>
  <c r="L923" i="9"/>
  <c r="M923" i="9"/>
  <c r="A924" i="9"/>
  <c r="B924" i="9"/>
  <c r="D924" i="9"/>
  <c r="E924" i="9"/>
  <c r="G924" i="9"/>
  <c r="H924" i="9"/>
  <c r="I924" i="9"/>
  <c r="J924" i="9"/>
  <c r="K924" i="9"/>
  <c r="L924" i="9"/>
  <c r="M924" i="9"/>
  <c r="A925" i="9"/>
  <c r="B925" i="9"/>
  <c r="D925" i="9"/>
  <c r="E925" i="9"/>
  <c r="G925" i="9"/>
  <c r="H925" i="9"/>
  <c r="I925" i="9"/>
  <c r="J925" i="9"/>
  <c r="K925" i="9"/>
  <c r="L925" i="9"/>
  <c r="M925" i="9"/>
  <c r="A926" i="9"/>
  <c r="B926" i="9"/>
  <c r="D926" i="9"/>
  <c r="E926" i="9"/>
  <c r="G926" i="9"/>
  <c r="H926" i="9"/>
  <c r="I926" i="9"/>
  <c r="J926" i="9"/>
  <c r="K926" i="9"/>
  <c r="L926" i="9"/>
  <c r="M926" i="9"/>
  <c r="A927" i="9"/>
  <c r="B927" i="9"/>
  <c r="D927" i="9"/>
  <c r="E927" i="9"/>
  <c r="G927" i="9"/>
  <c r="H927" i="9"/>
  <c r="I927" i="9"/>
  <c r="J927" i="9"/>
  <c r="K927" i="9"/>
  <c r="L927" i="9"/>
  <c r="M927" i="9"/>
  <c r="A928" i="9"/>
  <c r="B928" i="9"/>
  <c r="D928" i="9"/>
  <c r="E928" i="9"/>
  <c r="G928" i="9"/>
  <c r="H928" i="9"/>
  <c r="I928" i="9"/>
  <c r="J928" i="9"/>
  <c r="K928" i="9"/>
  <c r="L928" i="9"/>
  <c r="M928" i="9"/>
  <c r="A929" i="9"/>
  <c r="B929" i="9"/>
  <c r="D929" i="9"/>
  <c r="E929" i="9"/>
  <c r="G929" i="9"/>
  <c r="H929" i="9"/>
  <c r="I929" i="9"/>
  <c r="J929" i="9"/>
  <c r="K929" i="9"/>
  <c r="L929" i="9"/>
  <c r="M929" i="9"/>
  <c r="A930" i="9"/>
  <c r="B930" i="9"/>
  <c r="D930" i="9"/>
  <c r="E930" i="9"/>
  <c r="G930" i="9"/>
  <c r="H930" i="9"/>
  <c r="I930" i="9"/>
  <c r="J930" i="9"/>
  <c r="K930" i="9"/>
  <c r="L930" i="9"/>
  <c r="M930" i="9"/>
  <c r="A931" i="9"/>
  <c r="B931" i="9"/>
  <c r="D931" i="9"/>
  <c r="E931" i="9"/>
  <c r="G931" i="9"/>
  <c r="H931" i="9"/>
  <c r="I931" i="9"/>
  <c r="J931" i="9"/>
  <c r="K931" i="9"/>
  <c r="L931" i="9"/>
  <c r="M931" i="9"/>
  <c r="A932" i="9"/>
  <c r="B932" i="9"/>
  <c r="D932" i="9"/>
  <c r="E932" i="9"/>
  <c r="G932" i="9"/>
  <c r="H932" i="9"/>
  <c r="I932" i="9"/>
  <c r="J932" i="9"/>
  <c r="K932" i="9"/>
  <c r="L932" i="9"/>
  <c r="M932" i="9"/>
  <c r="A933" i="9"/>
  <c r="B933" i="9"/>
  <c r="D933" i="9"/>
  <c r="E933" i="9"/>
  <c r="G933" i="9"/>
  <c r="H933" i="9"/>
  <c r="I933" i="9"/>
  <c r="J933" i="9"/>
  <c r="K933" i="9"/>
  <c r="L933" i="9"/>
  <c r="M933" i="9"/>
  <c r="A934" i="9"/>
  <c r="B934" i="9"/>
  <c r="D934" i="9"/>
  <c r="E934" i="9"/>
  <c r="G934" i="9"/>
  <c r="H934" i="9"/>
  <c r="I934" i="9"/>
  <c r="J934" i="9"/>
  <c r="K934" i="9"/>
  <c r="L934" i="9"/>
  <c r="M934" i="9"/>
  <c r="A935" i="9"/>
  <c r="B935" i="9"/>
  <c r="D935" i="9"/>
  <c r="E935" i="9"/>
  <c r="G935" i="9"/>
  <c r="H935" i="9"/>
  <c r="I935" i="9"/>
  <c r="J935" i="9"/>
  <c r="K935" i="9"/>
  <c r="L935" i="9"/>
  <c r="M935" i="9"/>
  <c r="A936" i="9"/>
  <c r="B936" i="9"/>
  <c r="D936" i="9"/>
  <c r="E936" i="9"/>
  <c r="G936" i="9"/>
  <c r="H936" i="9"/>
  <c r="I936" i="9"/>
  <c r="J936" i="9"/>
  <c r="K936" i="9"/>
  <c r="L936" i="9"/>
  <c r="M936" i="9"/>
  <c r="A937" i="9"/>
  <c r="B937" i="9"/>
  <c r="D937" i="9"/>
  <c r="E937" i="9"/>
  <c r="G937" i="9"/>
  <c r="H937" i="9"/>
  <c r="I937" i="9"/>
  <c r="J937" i="9"/>
  <c r="K937" i="9"/>
  <c r="L937" i="9"/>
  <c r="M937" i="9"/>
  <c r="A938" i="9"/>
  <c r="B938" i="9"/>
  <c r="D938" i="9"/>
  <c r="E938" i="9"/>
  <c r="G938" i="9"/>
  <c r="H938" i="9"/>
  <c r="I938" i="9"/>
  <c r="J938" i="9"/>
  <c r="K938" i="9"/>
  <c r="L938" i="9"/>
  <c r="M938" i="9"/>
  <c r="A939" i="9"/>
  <c r="B939" i="9"/>
  <c r="D939" i="9"/>
  <c r="E939" i="9"/>
  <c r="G939" i="9"/>
  <c r="H939" i="9"/>
  <c r="I939" i="9"/>
  <c r="J939" i="9"/>
  <c r="K939" i="9"/>
  <c r="L939" i="9"/>
  <c r="M939" i="9"/>
  <c r="A940" i="9"/>
  <c r="B940" i="9"/>
  <c r="D940" i="9"/>
  <c r="E940" i="9"/>
  <c r="G940" i="9"/>
  <c r="H940" i="9"/>
  <c r="I940" i="9"/>
  <c r="J940" i="9"/>
  <c r="K940" i="9"/>
  <c r="L940" i="9"/>
  <c r="M940" i="9"/>
  <c r="A941" i="9"/>
  <c r="B941" i="9"/>
  <c r="D941" i="9"/>
  <c r="E941" i="9"/>
  <c r="G941" i="9"/>
  <c r="H941" i="9"/>
  <c r="I941" i="9"/>
  <c r="J941" i="9"/>
  <c r="K941" i="9"/>
  <c r="L941" i="9"/>
  <c r="M941" i="9"/>
  <c r="A942" i="9"/>
  <c r="B942" i="9"/>
  <c r="D942" i="9"/>
  <c r="E942" i="9"/>
  <c r="G942" i="9"/>
  <c r="H942" i="9"/>
  <c r="I942" i="9"/>
  <c r="J942" i="9"/>
  <c r="K942" i="9"/>
  <c r="L942" i="9"/>
  <c r="M942" i="9"/>
  <c r="A943" i="9"/>
  <c r="B943" i="9"/>
  <c r="D943" i="9"/>
  <c r="E943" i="9"/>
  <c r="G943" i="9"/>
  <c r="H943" i="9"/>
  <c r="I943" i="9"/>
  <c r="J943" i="9"/>
  <c r="K943" i="9"/>
  <c r="L943" i="9"/>
  <c r="M943" i="9"/>
  <c r="A944" i="9"/>
  <c r="B944" i="9"/>
  <c r="D944" i="9"/>
  <c r="E944" i="9"/>
  <c r="G944" i="9"/>
  <c r="H944" i="9"/>
  <c r="I944" i="9"/>
  <c r="J944" i="9"/>
  <c r="K944" i="9"/>
  <c r="L944" i="9"/>
  <c r="M944" i="9"/>
  <c r="A945" i="9"/>
  <c r="B945" i="9"/>
  <c r="D945" i="9"/>
  <c r="E945" i="9"/>
  <c r="G945" i="9"/>
  <c r="H945" i="9"/>
  <c r="I945" i="9"/>
  <c r="J945" i="9"/>
  <c r="K945" i="9"/>
  <c r="L945" i="9"/>
  <c r="M945" i="9"/>
  <c r="A946" i="9"/>
  <c r="B946" i="9"/>
  <c r="D946" i="9"/>
  <c r="E946" i="9"/>
  <c r="G946" i="9"/>
  <c r="H946" i="9"/>
  <c r="I946" i="9"/>
  <c r="J946" i="9"/>
  <c r="K946" i="9"/>
  <c r="L946" i="9"/>
  <c r="M946" i="9"/>
  <c r="A947" i="9"/>
  <c r="B947" i="9"/>
  <c r="D947" i="9"/>
  <c r="E947" i="9"/>
  <c r="G947" i="9"/>
  <c r="H947" i="9"/>
  <c r="I947" i="9"/>
  <c r="J947" i="9"/>
  <c r="K947" i="9"/>
  <c r="L947" i="9"/>
  <c r="M947" i="9"/>
  <c r="A948" i="9"/>
  <c r="B948" i="9"/>
  <c r="D948" i="9"/>
  <c r="E948" i="9"/>
  <c r="G948" i="9"/>
  <c r="H948" i="9"/>
  <c r="I948" i="9"/>
  <c r="J948" i="9"/>
  <c r="K948" i="9"/>
  <c r="L948" i="9"/>
  <c r="M948" i="9"/>
  <c r="A949" i="9"/>
  <c r="B949" i="9"/>
  <c r="D949" i="9"/>
  <c r="E949" i="9"/>
  <c r="G949" i="9"/>
  <c r="H949" i="9"/>
  <c r="I949" i="9"/>
  <c r="J949" i="9"/>
  <c r="K949" i="9"/>
  <c r="L949" i="9"/>
  <c r="M949" i="9"/>
  <c r="A950" i="9"/>
  <c r="B950" i="9"/>
  <c r="D950" i="9"/>
  <c r="E950" i="9"/>
  <c r="G950" i="9"/>
  <c r="H950" i="9"/>
  <c r="I950" i="9"/>
  <c r="J950" i="9"/>
  <c r="K950" i="9"/>
  <c r="L950" i="9"/>
  <c r="M950" i="9"/>
  <c r="A951" i="9"/>
  <c r="B951" i="9"/>
  <c r="D951" i="9"/>
  <c r="E951" i="9"/>
  <c r="G951" i="9"/>
  <c r="H951" i="9"/>
  <c r="I951" i="9"/>
  <c r="J951" i="9"/>
  <c r="K951" i="9"/>
  <c r="L951" i="9"/>
  <c r="M951" i="9"/>
  <c r="A952" i="9"/>
  <c r="B952" i="9"/>
  <c r="D952" i="9"/>
  <c r="E952" i="9"/>
  <c r="G952" i="9"/>
  <c r="H952" i="9"/>
  <c r="I952" i="9"/>
  <c r="J952" i="9"/>
  <c r="K952" i="9"/>
  <c r="L952" i="9"/>
  <c r="M952" i="9"/>
  <c r="A953" i="9"/>
  <c r="B953" i="9"/>
  <c r="D953" i="9"/>
  <c r="E953" i="9"/>
  <c r="G953" i="9"/>
  <c r="H953" i="9"/>
  <c r="I953" i="9"/>
  <c r="J953" i="9"/>
  <c r="K953" i="9"/>
  <c r="L953" i="9"/>
  <c r="M953" i="9"/>
  <c r="A954" i="9"/>
  <c r="B954" i="9"/>
  <c r="D954" i="9"/>
  <c r="E954" i="9"/>
  <c r="G954" i="9"/>
  <c r="H954" i="9"/>
  <c r="I954" i="9"/>
  <c r="J954" i="9"/>
  <c r="K954" i="9"/>
  <c r="L954" i="9"/>
  <c r="M954" i="9"/>
  <c r="A955" i="9"/>
  <c r="B955" i="9"/>
  <c r="D955" i="9"/>
  <c r="E955" i="9"/>
  <c r="G955" i="9"/>
  <c r="H955" i="9"/>
  <c r="I955" i="9"/>
  <c r="J955" i="9"/>
  <c r="K955" i="9"/>
  <c r="L955" i="9"/>
  <c r="M955" i="9"/>
  <c r="A956" i="9"/>
  <c r="B956" i="9"/>
  <c r="D956" i="9"/>
  <c r="E956" i="9"/>
  <c r="G956" i="9"/>
  <c r="H956" i="9"/>
  <c r="I956" i="9"/>
  <c r="J956" i="9"/>
  <c r="K956" i="9"/>
  <c r="L956" i="9"/>
  <c r="M956" i="9"/>
  <c r="A957" i="9"/>
  <c r="B957" i="9"/>
  <c r="D957" i="9"/>
  <c r="E957" i="9"/>
  <c r="G957" i="9"/>
  <c r="H957" i="9"/>
  <c r="I957" i="9"/>
  <c r="J957" i="9"/>
  <c r="K957" i="9"/>
  <c r="L957" i="9"/>
  <c r="M957" i="9"/>
  <c r="A958" i="9"/>
  <c r="B958" i="9"/>
  <c r="D958" i="9"/>
  <c r="E958" i="9"/>
  <c r="G958" i="9"/>
  <c r="H958" i="9"/>
  <c r="I958" i="9"/>
  <c r="J958" i="9"/>
  <c r="K958" i="9"/>
  <c r="L958" i="9"/>
  <c r="M958" i="9"/>
  <c r="A959" i="9"/>
  <c r="B959" i="9"/>
  <c r="D959" i="9"/>
  <c r="E959" i="9"/>
  <c r="G959" i="9"/>
  <c r="H959" i="9"/>
  <c r="I959" i="9"/>
  <c r="J959" i="9"/>
  <c r="K959" i="9"/>
  <c r="L959" i="9"/>
  <c r="M959" i="9"/>
  <c r="A960" i="9"/>
  <c r="B960" i="9"/>
  <c r="D960" i="9"/>
  <c r="E960" i="9"/>
  <c r="G960" i="9"/>
  <c r="H960" i="9"/>
  <c r="I960" i="9"/>
  <c r="J960" i="9"/>
  <c r="K960" i="9"/>
  <c r="L960" i="9"/>
  <c r="M960" i="9"/>
  <c r="A961" i="9"/>
  <c r="B961" i="9"/>
  <c r="D961" i="9"/>
  <c r="E961" i="9"/>
  <c r="G961" i="9"/>
  <c r="H961" i="9"/>
  <c r="I961" i="9"/>
  <c r="J961" i="9"/>
  <c r="K961" i="9"/>
  <c r="L961" i="9"/>
  <c r="M961" i="9"/>
  <c r="A962" i="9"/>
  <c r="B962" i="9"/>
  <c r="D962" i="9"/>
  <c r="E962" i="9"/>
  <c r="G962" i="9"/>
  <c r="H962" i="9"/>
  <c r="I962" i="9"/>
  <c r="J962" i="9"/>
  <c r="K962" i="9"/>
  <c r="L962" i="9"/>
  <c r="M962" i="9"/>
  <c r="A963" i="9"/>
  <c r="B963" i="9"/>
  <c r="D963" i="9"/>
  <c r="E963" i="9"/>
  <c r="G963" i="9"/>
  <c r="H963" i="9"/>
  <c r="I963" i="9"/>
  <c r="J963" i="9"/>
  <c r="K963" i="9"/>
  <c r="L963" i="9"/>
  <c r="M963" i="9"/>
  <c r="A964" i="9"/>
  <c r="B964" i="9"/>
  <c r="D964" i="9"/>
  <c r="E964" i="9"/>
  <c r="G964" i="9"/>
  <c r="H964" i="9"/>
  <c r="I964" i="9"/>
  <c r="J964" i="9"/>
  <c r="K964" i="9"/>
  <c r="L964" i="9"/>
  <c r="M964" i="9"/>
  <c r="A965" i="9"/>
  <c r="B965" i="9"/>
  <c r="D965" i="9"/>
  <c r="E965" i="9"/>
  <c r="G965" i="9"/>
  <c r="H965" i="9"/>
  <c r="I965" i="9"/>
  <c r="J965" i="9"/>
  <c r="K965" i="9"/>
  <c r="L965" i="9"/>
  <c r="M965" i="9"/>
  <c r="A966" i="9"/>
  <c r="B966" i="9"/>
  <c r="D966" i="9"/>
  <c r="E966" i="9"/>
  <c r="G966" i="9"/>
  <c r="H966" i="9"/>
  <c r="I966" i="9"/>
  <c r="J966" i="9"/>
  <c r="K966" i="9"/>
  <c r="L966" i="9"/>
  <c r="M966" i="9"/>
  <c r="A967" i="9"/>
  <c r="B967" i="9"/>
  <c r="D967" i="9"/>
  <c r="E967" i="9"/>
  <c r="G967" i="9"/>
  <c r="H967" i="9"/>
  <c r="I967" i="9"/>
  <c r="J967" i="9"/>
  <c r="K967" i="9"/>
  <c r="L967" i="9"/>
  <c r="M967" i="9"/>
  <c r="A968" i="9"/>
  <c r="B968" i="9"/>
  <c r="D968" i="9"/>
  <c r="E968" i="9"/>
  <c r="G968" i="9"/>
  <c r="H968" i="9"/>
  <c r="I968" i="9"/>
  <c r="J968" i="9"/>
  <c r="K968" i="9"/>
  <c r="L968" i="9"/>
  <c r="M968" i="9"/>
  <c r="A969" i="9"/>
  <c r="B969" i="9"/>
  <c r="D969" i="9"/>
  <c r="E969" i="9"/>
  <c r="G969" i="9"/>
  <c r="H969" i="9"/>
  <c r="I969" i="9"/>
  <c r="J969" i="9"/>
  <c r="K969" i="9"/>
  <c r="L969" i="9"/>
  <c r="M969" i="9"/>
  <c r="A970" i="9"/>
  <c r="B970" i="9"/>
  <c r="D970" i="9"/>
  <c r="E970" i="9"/>
  <c r="G970" i="9"/>
  <c r="H970" i="9"/>
  <c r="I970" i="9"/>
  <c r="J970" i="9"/>
  <c r="K970" i="9"/>
  <c r="L970" i="9"/>
  <c r="M970" i="9"/>
  <c r="A971" i="9"/>
  <c r="B971" i="9"/>
  <c r="D971" i="9"/>
  <c r="E971" i="9"/>
  <c r="G971" i="9"/>
  <c r="H971" i="9"/>
  <c r="I971" i="9"/>
  <c r="J971" i="9"/>
  <c r="K971" i="9"/>
  <c r="L971" i="9"/>
  <c r="M971" i="9"/>
  <c r="A972" i="9"/>
  <c r="B972" i="9"/>
  <c r="D972" i="9"/>
  <c r="E972" i="9"/>
  <c r="G972" i="9"/>
  <c r="H972" i="9"/>
  <c r="I972" i="9"/>
  <c r="J972" i="9"/>
  <c r="K972" i="9"/>
  <c r="L972" i="9"/>
  <c r="M972" i="9"/>
  <c r="A973" i="9"/>
  <c r="B973" i="9"/>
  <c r="D973" i="9"/>
  <c r="E973" i="9"/>
  <c r="G973" i="9"/>
  <c r="H973" i="9"/>
  <c r="I973" i="9"/>
  <c r="J973" i="9"/>
  <c r="K973" i="9"/>
  <c r="L973" i="9"/>
  <c r="M973" i="9"/>
  <c r="A974" i="9"/>
  <c r="B974" i="9"/>
  <c r="D974" i="9"/>
  <c r="E974" i="9"/>
  <c r="G974" i="9"/>
  <c r="H974" i="9"/>
  <c r="I974" i="9"/>
  <c r="J974" i="9"/>
  <c r="K974" i="9"/>
  <c r="L974" i="9"/>
  <c r="M974" i="9"/>
  <c r="A975" i="9"/>
  <c r="B975" i="9"/>
  <c r="D975" i="9"/>
  <c r="E975" i="9"/>
  <c r="G975" i="9"/>
  <c r="H975" i="9"/>
  <c r="I975" i="9"/>
  <c r="J975" i="9"/>
  <c r="K975" i="9"/>
  <c r="L975" i="9"/>
  <c r="M975" i="9"/>
  <c r="A976" i="9"/>
  <c r="B976" i="9"/>
  <c r="D976" i="9"/>
  <c r="E976" i="9"/>
  <c r="G976" i="9"/>
  <c r="H976" i="9"/>
  <c r="I976" i="9"/>
  <c r="J976" i="9"/>
  <c r="K976" i="9"/>
  <c r="L976" i="9"/>
  <c r="M976" i="9"/>
  <c r="A977" i="9"/>
  <c r="B977" i="9"/>
  <c r="D977" i="9"/>
  <c r="E977" i="9"/>
  <c r="G977" i="9"/>
  <c r="H977" i="9"/>
  <c r="I977" i="9"/>
  <c r="J977" i="9"/>
  <c r="K977" i="9"/>
  <c r="L977" i="9"/>
  <c r="M977" i="9"/>
  <c r="A978" i="9"/>
  <c r="B978" i="9"/>
  <c r="D978" i="9"/>
  <c r="E978" i="9"/>
  <c r="G978" i="9"/>
  <c r="H978" i="9"/>
  <c r="I978" i="9"/>
  <c r="J978" i="9"/>
  <c r="K978" i="9"/>
  <c r="L978" i="9"/>
  <c r="M978" i="9"/>
  <c r="A979" i="9"/>
  <c r="B979" i="9"/>
  <c r="D979" i="9"/>
  <c r="E979" i="9"/>
  <c r="G979" i="9"/>
  <c r="H979" i="9"/>
  <c r="I979" i="9"/>
  <c r="J979" i="9"/>
  <c r="K979" i="9"/>
  <c r="L979" i="9"/>
  <c r="M979" i="9"/>
  <c r="A980" i="9"/>
  <c r="B980" i="9"/>
  <c r="D980" i="9"/>
  <c r="E980" i="9"/>
  <c r="G980" i="9"/>
  <c r="H980" i="9"/>
  <c r="I980" i="9"/>
  <c r="J980" i="9"/>
  <c r="K980" i="9"/>
  <c r="L980" i="9"/>
  <c r="M980" i="9"/>
  <c r="A981" i="9"/>
  <c r="B981" i="9"/>
  <c r="D981" i="9"/>
  <c r="E981" i="9"/>
  <c r="G981" i="9"/>
  <c r="H981" i="9"/>
  <c r="I981" i="9"/>
  <c r="J981" i="9"/>
  <c r="K981" i="9"/>
  <c r="L981" i="9"/>
  <c r="M981" i="9"/>
  <c r="A982" i="9"/>
  <c r="B982" i="9"/>
  <c r="D982" i="9"/>
  <c r="E982" i="9"/>
  <c r="G982" i="9"/>
  <c r="H982" i="9"/>
  <c r="I982" i="9"/>
  <c r="J982" i="9"/>
  <c r="K982" i="9"/>
  <c r="L982" i="9"/>
  <c r="M982" i="9"/>
  <c r="A983" i="9"/>
  <c r="B983" i="9"/>
  <c r="D983" i="9"/>
  <c r="E983" i="9"/>
  <c r="G983" i="9"/>
  <c r="H983" i="9"/>
  <c r="I983" i="9"/>
  <c r="J983" i="9"/>
  <c r="K983" i="9"/>
  <c r="L983" i="9"/>
  <c r="M983" i="9"/>
  <c r="A984" i="9"/>
  <c r="B984" i="9"/>
  <c r="D984" i="9"/>
  <c r="E984" i="9"/>
  <c r="G984" i="9"/>
  <c r="H984" i="9"/>
  <c r="I984" i="9"/>
  <c r="J984" i="9"/>
  <c r="K984" i="9"/>
  <c r="L984" i="9"/>
  <c r="M984" i="9"/>
  <c r="A985" i="9"/>
  <c r="B985" i="9"/>
  <c r="D985" i="9"/>
  <c r="E985" i="9"/>
  <c r="G985" i="9"/>
  <c r="H985" i="9"/>
  <c r="I985" i="9"/>
  <c r="J985" i="9"/>
  <c r="K985" i="9"/>
  <c r="L985" i="9"/>
  <c r="M985" i="9"/>
  <c r="A986" i="9"/>
  <c r="B986" i="9"/>
  <c r="D986" i="9"/>
  <c r="E986" i="9"/>
  <c r="G986" i="9"/>
  <c r="H986" i="9"/>
  <c r="I986" i="9"/>
  <c r="J986" i="9"/>
  <c r="K986" i="9"/>
  <c r="L986" i="9"/>
  <c r="M986" i="9"/>
  <c r="A987" i="9"/>
  <c r="B987" i="9"/>
  <c r="D987" i="9"/>
  <c r="E987" i="9"/>
  <c r="G987" i="9"/>
  <c r="H987" i="9"/>
  <c r="I987" i="9"/>
  <c r="J987" i="9"/>
  <c r="K987" i="9"/>
  <c r="L987" i="9"/>
  <c r="M987" i="9"/>
  <c r="A988" i="9"/>
  <c r="B988" i="9"/>
  <c r="D988" i="9"/>
  <c r="E988" i="9"/>
  <c r="G988" i="9"/>
  <c r="H988" i="9"/>
  <c r="I988" i="9"/>
  <c r="J988" i="9"/>
  <c r="K988" i="9"/>
  <c r="L988" i="9"/>
  <c r="M988" i="9"/>
  <c r="A989" i="9"/>
  <c r="B989" i="9"/>
  <c r="D989" i="9"/>
  <c r="E989" i="9"/>
  <c r="G989" i="9"/>
  <c r="H989" i="9"/>
  <c r="I989" i="9"/>
  <c r="J989" i="9"/>
  <c r="K989" i="9"/>
  <c r="L989" i="9"/>
  <c r="M989" i="9"/>
  <c r="A990" i="9"/>
  <c r="B990" i="9"/>
  <c r="D990" i="9"/>
  <c r="E990" i="9"/>
  <c r="G990" i="9"/>
  <c r="H990" i="9"/>
  <c r="I990" i="9"/>
  <c r="J990" i="9"/>
  <c r="K990" i="9"/>
  <c r="L990" i="9"/>
  <c r="M990" i="9"/>
  <c r="A991" i="9"/>
  <c r="B991" i="9"/>
  <c r="D991" i="9"/>
  <c r="E991" i="9"/>
  <c r="G991" i="9"/>
  <c r="H991" i="9"/>
  <c r="I991" i="9"/>
  <c r="J991" i="9"/>
  <c r="K991" i="9"/>
  <c r="L991" i="9"/>
  <c r="M991" i="9"/>
  <c r="A992" i="9"/>
  <c r="B992" i="9"/>
  <c r="D992" i="9"/>
  <c r="E992" i="9"/>
  <c r="G992" i="9"/>
  <c r="H992" i="9"/>
  <c r="I992" i="9"/>
  <c r="J992" i="9"/>
  <c r="K992" i="9"/>
  <c r="L992" i="9"/>
  <c r="M992" i="9"/>
  <c r="A993" i="9"/>
  <c r="B993" i="9"/>
  <c r="D993" i="9"/>
  <c r="E993" i="9"/>
  <c r="G993" i="9"/>
  <c r="H993" i="9"/>
  <c r="I993" i="9"/>
  <c r="J993" i="9"/>
  <c r="K993" i="9"/>
  <c r="L993" i="9"/>
  <c r="M993" i="9"/>
  <c r="A994" i="9"/>
  <c r="B994" i="9"/>
  <c r="D994" i="9"/>
  <c r="E994" i="9"/>
  <c r="G994" i="9"/>
  <c r="H994" i="9"/>
  <c r="I994" i="9"/>
  <c r="J994" i="9"/>
  <c r="K994" i="9"/>
  <c r="L994" i="9"/>
  <c r="M994" i="9"/>
  <c r="A995" i="9"/>
  <c r="B995" i="9"/>
  <c r="D995" i="9"/>
  <c r="E995" i="9"/>
  <c r="G995" i="9"/>
  <c r="H995" i="9"/>
  <c r="I995" i="9"/>
  <c r="J995" i="9"/>
  <c r="K995" i="9"/>
  <c r="L995" i="9"/>
  <c r="M995" i="9"/>
  <c r="A996" i="9"/>
  <c r="B996" i="9"/>
  <c r="D996" i="9"/>
  <c r="E996" i="9"/>
  <c r="G996" i="9"/>
  <c r="H996" i="9"/>
  <c r="I996" i="9"/>
  <c r="J996" i="9"/>
  <c r="K996" i="9"/>
  <c r="L996" i="9"/>
  <c r="M996" i="9"/>
  <c r="A997" i="9"/>
  <c r="B997" i="9"/>
  <c r="D997" i="9"/>
  <c r="E997" i="9"/>
  <c r="G997" i="9"/>
  <c r="H997" i="9"/>
  <c r="I997" i="9"/>
  <c r="J997" i="9"/>
  <c r="K997" i="9"/>
  <c r="L997" i="9"/>
  <c r="M997" i="9"/>
  <c r="A998" i="9"/>
  <c r="B998" i="9"/>
  <c r="D998" i="9"/>
  <c r="E998" i="9"/>
  <c r="G998" i="9"/>
  <c r="H998" i="9"/>
  <c r="I998" i="9"/>
  <c r="J998" i="9"/>
  <c r="K998" i="9"/>
  <c r="L998" i="9"/>
  <c r="M998" i="9"/>
  <c r="A999" i="9"/>
  <c r="B999" i="9"/>
  <c r="D999" i="9"/>
  <c r="E999" i="9"/>
  <c r="G999" i="9"/>
  <c r="H999" i="9"/>
  <c r="I999" i="9"/>
  <c r="J999" i="9"/>
  <c r="K999" i="9"/>
  <c r="L999" i="9"/>
  <c r="M999" i="9"/>
  <c r="A1000" i="9"/>
  <c r="B1000" i="9"/>
  <c r="D1000" i="9"/>
  <c r="E1000" i="9"/>
  <c r="G1000" i="9"/>
  <c r="H1000" i="9"/>
  <c r="I1000" i="9"/>
  <c r="J1000" i="9"/>
  <c r="K1000" i="9"/>
  <c r="L1000" i="9"/>
  <c r="M1000" i="9"/>
  <c r="A1001" i="9"/>
  <c r="B1001" i="9"/>
  <c r="D1001" i="9"/>
  <c r="E1001" i="9"/>
  <c r="G1001" i="9"/>
  <c r="H1001" i="9"/>
  <c r="I1001" i="9"/>
  <c r="J1001" i="9"/>
  <c r="K1001" i="9"/>
  <c r="L1001" i="9"/>
  <c r="M1001" i="9"/>
  <c r="A1002" i="9"/>
  <c r="B1002" i="9"/>
  <c r="D1002" i="9"/>
  <c r="E1002" i="9"/>
  <c r="G1002" i="9"/>
  <c r="H1002" i="9"/>
  <c r="I1002" i="9"/>
  <c r="J1002" i="9"/>
  <c r="K1002" i="9"/>
  <c r="L1002" i="9"/>
  <c r="M1002" i="9"/>
  <c r="A1003" i="9"/>
  <c r="B1003" i="9"/>
  <c r="D1003" i="9"/>
  <c r="E1003" i="9"/>
  <c r="G1003" i="9"/>
  <c r="H1003" i="9"/>
  <c r="I1003" i="9"/>
  <c r="J1003" i="9"/>
  <c r="K1003" i="9"/>
  <c r="L1003" i="9"/>
  <c r="M1003" i="9"/>
  <c r="A1004" i="9"/>
  <c r="B1004" i="9"/>
  <c r="D1004" i="9"/>
  <c r="E1004" i="9"/>
  <c r="G1004" i="9"/>
  <c r="H1004" i="9"/>
  <c r="I1004" i="9"/>
  <c r="J1004" i="9"/>
  <c r="K1004" i="9"/>
  <c r="L1004" i="9"/>
  <c r="M1004" i="9"/>
  <c r="A1005" i="9"/>
  <c r="B1005" i="9"/>
  <c r="D1005" i="9"/>
  <c r="E1005" i="9"/>
  <c r="G1005" i="9"/>
  <c r="H1005" i="9"/>
  <c r="I1005" i="9"/>
  <c r="J1005" i="9"/>
  <c r="K1005" i="9"/>
  <c r="L1005" i="9"/>
  <c r="M1005" i="9"/>
  <c r="A1006" i="9"/>
  <c r="B1006" i="9"/>
  <c r="D1006" i="9"/>
  <c r="E1006" i="9"/>
  <c r="G1006" i="9"/>
  <c r="H1006" i="9"/>
  <c r="I1006" i="9"/>
  <c r="J1006" i="9"/>
  <c r="K1006" i="9"/>
  <c r="L1006" i="9"/>
  <c r="M1006" i="9"/>
  <c r="A1007" i="9"/>
  <c r="B1007" i="9"/>
  <c r="D1007" i="9"/>
  <c r="E1007" i="9"/>
  <c r="G1007" i="9"/>
  <c r="H1007" i="9"/>
  <c r="I1007" i="9"/>
  <c r="J1007" i="9"/>
  <c r="K1007" i="9"/>
  <c r="L1007" i="9"/>
  <c r="M1007" i="9"/>
  <c r="A1008" i="9"/>
  <c r="B1008" i="9"/>
  <c r="D1008" i="9"/>
  <c r="E1008" i="9"/>
  <c r="G1008" i="9"/>
  <c r="H1008" i="9"/>
  <c r="I1008" i="9"/>
  <c r="J1008" i="9"/>
  <c r="K1008" i="9"/>
  <c r="L1008" i="9"/>
  <c r="M1008" i="9"/>
  <c r="A1009" i="9"/>
  <c r="B1009" i="9"/>
  <c r="D1009" i="9"/>
  <c r="E1009" i="9"/>
  <c r="G1009" i="9"/>
  <c r="H1009" i="9"/>
  <c r="I1009" i="9"/>
  <c r="J1009" i="9"/>
  <c r="K1009" i="9"/>
  <c r="L1009" i="9"/>
  <c r="M1009" i="9"/>
  <c r="A1010" i="9"/>
  <c r="B1010" i="9"/>
  <c r="D1010" i="9"/>
  <c r="E1010" i="9"/>
  <c r="G1010" i="9"/>
  <c r="H1010" i="9"/>
  <c r="I1010" i="9"/>
  <c r="J1010" i="9"/>
  <c r="K1010" i="9"/>
  <c r="L1010" i="9"/>
  <c r="M1010" i="9"/>
  <c r="A1011" i="9"/>
  <c r="B1011" i="9"/>
  <c r="D1011" i="9"/>
  <c r="E1011" i="9"/>
  <c r="G1011" i="9"/>
  <c r="H1011" i="9"/>
  <c r="I1011" i="9"/>
  <c r="J1011" i="9"/>
  <c r="K1011" i="9"/>
  <c r="L1011" i="9"/>
  <c r="M1011" i="9"/>
  <c r="A1012" i="9"/>
  <c r="B1012" i="9"/>
  <c r="D1012" i="9"/>
  <c r="E1012" i="9"/>
  <c r="G1012" i="9"/>
  <c r="H1012" i="9"/>
  <c r="I1012" i="9"/>
  <c r="J1012" i="9"/>
  <c r="K1012" i="9"/>
  <c r="L1012" i="9"/>
  <c r="M1012" i="9"/>
  <c r="A1013" i="9"/>
  <c r="B1013" i="9"/>
  <c r="E1013" i="9"/>
  <c r="G1013" i="9"/>
  <c r="H1013" i="9"/>
  <c r="I1013" i="9"/>
  <c r="J1013" i="9"/>
  <c r="K1013" i="9"/>
  <c r="L1013" i="9"/>
  <c r="M1013" i="9"/>
  <c r="L1002" i="6"/>
  <c r="D1002" i="6"/>
  <c r="O1001" i="6"/>
  <c r="O1013" i="9" s="1"/>
  <c r="N1001" i="6"/>
  <c r="N1013" i="9" s="1"/>
  <c r="O1000" i="6"/>
  <c r="O1012" i="9" s="1"/>
  <c r="N1000" i="6"/>
  <c r="N1012" i="9" s="1"/>
  <c r="O999" i="6"/>
  <c r="O1011" i="9" s="1"/>
  <c r="N999" i="6"/>
  <c r="N1011" i="9" s="1"/>
  <c r="O998" i="6"/>
  <c r="O1010" i="9" s="1"/>
  <c r="N998" i="6"/>
  <c r="N1010" i="9" s="1"/>
  <c r="O997" i="6"/>
  <c r="O1009" i="9" s="1"/>
  <c r="N997" i="6"/>
  <c r="N1009" i="9" s="1"/>
  <c r="O996" i="6"/>
  <c r="O1008" i="9" s="1"/>
  <c r="N996" i="6"/>
  <c r="N1008" i="9" s="1"/>
  <c r="O995" i="6"/>
  <c r="O1007" i="9" s="1"/>
  <c r="N995" i="6"/>
  <c r="N1007" i="9" s="1"/>
  <c r="O994" i="6"/>
  <c r="O1006" i="9" s="1"/>
  <c r="N994" i="6"/>
  <c r="N1006" i="9" s="1"/>
  <c r="O993" i="6"/>
  <c r="O1005" i="9" s="1"/>
  <c r="N993" i="6"/>
  <c r="N1005" i="9" s="1"/>
  <c r="O992" i="6"/>
  <c r="O1004" i="9" s="1"/>
  <c r="N992" i="6"/>
  <c r="N1004" i="9" s="1"/>
  <c r="O991" i="6"/>
  <c r="O1003" i="9" s="1"/>
  <c r="N991" i="6"/>
  <c r="N1003" i="9" s="1"/>
  <c r="O990" i="6"/>
  <c r="O1002" i="9" s="1"/>
  <c r="N990" i="6"/>
  <c r="N1002" i="9" s="1"/>
  <c r="O989" i="6"/>
  <c r="O1001" i="9" s="1"/>
  <c r="N989" i="6"/>
  <c r="N1001" i="9" s="1"/>
  <c r="O988" i="6"/>
  <c r="O1000" i="9" s="1"/>
  <c r="N988" i="6"/>
  <c r="N1000" i="9" s="1"/>
  <c r="O987" i="6"/>
  <c r="O999" i="9" s="1"/>
  <c r="N987" i="6"/>
  <c r="N999" i="9" s="1"/>
  <c r="O986" i="6"/>
  <c r="O998" i="9" s="1"/>
  <c r="N986" i="6"/>
  <c r="N998" i="9" s="1"/>
  <c r="O985" i="6"/>
  <c r="O997" i="9" s="1"/>
  <c r="N985" i="6"/>
  <c r="N997" i="9" s="1"/>
  <c r="O984" i="6"/>
  <c r="O996" i="9" s="1"/>
  <c r="N984" i="6"/>
  <c r="N996" i="9" s="1"/>
  <c r="O983" i="6"/>
  <c r="O995" i="9" s="1"/>
  <c r="N983" i="6"/>
  <c r="N995" i="9" s="1"/>
  <c r="O982" i="6"/>
  <c r="O994" i="9" s="1"/>
  <c r="N982" i="6"/>
  <c r="N994" i="9" s="1"/>
  <c r="O981" i="6"/>
  <c r="O993" i="9" s="1"/>
  <c r="N981" i="6"/>
  <c r="N993" i="9" s="1"/>
  <c r="O980" i="6"/>
  <c r="O992" i="9" s="1"/>
  <c r="N980" i="6"/>
  <c r="N992" i="9" s="1"/>
  <c r="O979" i="6"/>
  <c r="O991" i="9" s="1"/>
  <c r="N979" i="6"/>
  <c r="N991" i="9" s="1"/>
  <c r="O978" i="6"/>
  <c r="O990" i="9" s="1"/>
  <c r="N978" i="6"/>
  <c r="N990" i="9" s="1"/>
  <c r="O977" i="6"/>
  <c r="O989" i="9" s="1"/>
  <c r="N977" i="6"/>
  <c r="N989" i="9" s="1"/>
  <c r="O976" i="6"/>
  <c r="O988" i="9" s="1"/>
  <c r="N976" i="6"/>
  <c r="N988" i="9" s="1"/>
  <c r="O975" i="6"/>
  <c r="O987" i="9" s="1"/>
  <c r="N975" i="6"/>
  <c r="N987" i="9" s="1"/>
  <c r="O974" i="6"/>
  <c r="O986" i="9" s="1"/>
  <c r="N974" i="6"/>
  <c r="N986" i="9" s="1"/>
  <c r="O973" i="6"/>
  <c r="O985" i="9" s="1"/>
  <c r="N973" i="6"/>
  <c r="N985" i="9" s="1"/>
  <c r="O972" i="6"/>
  <c r="O984" i="9" s="1"/>
  <c r="N972" i="6"/>
  <c r="N984" i="9" s="1"/>
  <c r="O971" i="6"/>
  <c r="O983" i="9" s="1"/>
  <c r="N971" i="6"/>
  <c r="N983" i="9" s="1"/>
  <c r="O970" i="6"/>
  <c r="O982" i="9" s="1"/>
  <c r="N970" i="6"/>
  <c r="N982" i="9" s="1"/>
  <c r="O969" i="6"/>
  <c r="O981" i="9" s="1"/>
  <c r="N969" i="6"/>
  <c r="N981" i="9" s="1"/>
  <c r="O968" i="6"/>
  <c r="O980" i="9" s="1"/>
  <c r="N968" i="6"/>
  <c r="N980" i="9" s="1"/>
  <c r="O967" i="6"/>
  <c r="O979" i="9" s="1"/>
  <c r="N967" i="6"/>
  <c r="N979" i="9" s="1"/>
  <c r="O966" i="6"/>
  <c r="O978" i="9" s="1"/>
  <c r="N966" i="6"/>
  <c r="N978" i="9" s="1"/>
  <c r="O965" i="6"/>
  <c r="O977" i="9" s="1"/>
  <c r="N965" i="6"/>
  <c r="N977" i="9" s="1"/>
  <c r="O964" i="6"/>
  <c r="O976" i="9" s="1"/>
  <c r="N964" i="6"/>
  <c r="N976" i="9" s="1"/>
  <c r="O963" i="6"/>
  <c r="O975" i="9" s="1"/>
  <c r="N963" i="6"/>
  <c r="N975" i="9" s="1"/>
  <c r="O962" i="6"/>
  <c r="O974" i="9" s="1"/>
  <c r="N962" i="6"/>
  <c r="N974" i="9" s="1"/>
  <c r="O961" i="6"/>
  <c r="O973" i="9" s="1"/>
  <c r="N961" i="6"/>
  <c r="N973" i="9" s="1"/>
  <c r="O960" i="6"/>
  <c r="O972" i="9" s="1"/>
  <c r="N960" i="6"/>
  <c r="N972" i="9" s="1"/>
  <c r="O959" i="6"/>
  <c r="O971" i="9" s="1"/>
  <c r="N959" i="6"/>
  <c r="N971" i="9" s="1"/>
  <c r="O958" i="6"/>
  <c r="O970" i="9" s="1"/>
  <c r="N958" i="6"/>
  <c r="N970" i="9" s="1"/>
  <c r="O957" i="6"/>
  <c r="O969" i="9" s="1"/>
  <c r="N957" i="6"/>
  <c r="N969" i="9" s="1"/>
  <c r="O956" i="6"/>
  <c r="O968" i="9" s="1"/>
  <c r="N956" i="6"/>
  <c r="N968" i="9" s="1"/>
  <c r="O955" i="6"/>
  <c r="O967" i="9" s="1"/>
  <c r="N955" i="6"/>
  <c r="N967" i="9" s="1"/>
  <c r="O954" i="6"/>
  <c r="O966" i="9" s="1"/>
  <c r="N954" i="6"/>
  <c r="N966" i="9" s="1"/>
  <c r="O953" i="6"/>
  <c r="O965" i="9" s="1"/>
  <c r="N953" i="6"/>
  <c r="N965" i="9" s="1"/>
  <c r="O952" i="6"/>
  <c r="O964" i="9" s="1"/>
  <c r="N952" i="6"/>
  <c r="N964" i="9" s="1"/>
  <c r="O951" i="6"/>
  <c r="O963" i="9" s="1"/>
  <c r="N951" i="6"/>
  <c r="N963" i="9" s="1"/>
  <c r="O950" i="6"/>
  <c r="O962" i="9" s="1"/>
  <c r="N950" i="6"/>
  <c r="N962" i="9" s="1"/>
  <c r="O949" i="6"/>
  <c r="O961" i="9" s="1"/>
  <c r="N949" i="6"/>
  <c r="N961" i="9" s="1"/>
  <c r="O948" i="6"/>
  <c r="O960" i="9" s="1"/>
  <c r="N948" i="6"/>
  <c r="N960" i="9" s="1"/>
  <c r="O947" i="6"/>
  <c r="O959" i="9" s="1"/>
  <c r="N947" i="6"/>
  <c r="N959" i="9" s="1"/>
  <c r="O946" i="6"/>
  <c r="O958" i="9" s="1"/>
  <c r="N946" i="6"/>
  <c r="N958" i="9" s="1"/>
  <c r="O945" i="6"/>
  <c r="O957" i="9" s="1"/>
  <c r="N945" i="6"/>
  <c r="N957" i="9" s="1"/>
  <c r="O944" i="6"/>
  <c r="O956" i="9" s="1"/>
  <c r="N944" i="6"/>
  <c r="N956" i="9" s="1"/>
  <c r="O943" i="6"/>
  <c r="O955" i="9" s="1"/>
  <c r="N943" i="6"/>
  <c r="N955" i="9" s="1"/>
  <c r="O942" i="6"/>
  <c r="O954" i="9" s="1"/>
  <c r="N942" i="6"/>
  <c r="N954" i="9" s="1"/>
  <c r="O941" i="6"/>
  <c r="O953" i="9" s="1"/>
  <c r="N941" i="6"/>
  <c r="N953" i="9" s="1"/>
  <c r="O940" i="6"/>
  <c r="O952" i="9" s="1"/>
  <c r="N940" i="6"/>
  <c r="N952" i="9" s="1"/>
  <c r="O939" i="6"/>
  <c r="O951" i="9" s="1"/>
  <c r="N939" i="6"/>
  <c r="N951" i="9" s="1"/>
  <c r="O938" i="6"/>
  <c r="O950" i="9" s="1"/>
  <c r="N938" i="6"/>
  <c r="N950" i="9" s="1"/>
  <c r="O937" i="6"/>
  <c r="O949" i="9" s="1"/>
  <c r="N937" i="6"/>
  <c r="N949" i="9" s="1"/>
  <c r="O936" i="6"/>
  <c r="O948" i="9" s="1"/>
  <c r="N936" i="6"/>
  <c r="N948" i="9" s="1"/>
  <c r="O935" i="6"/>
  <c r="O947" i="9" s="1"/>
  <c r="N935" i="6"/>
  <c r="N947" i="9" s="1"/>
  <c r="O934" i="6"/>
  <c r="O946" i="9" s="1"/>
  <c r="N934" i="6"/>
  <c r="N946" i="9" s="1"/>
  <c r="O933" i="6"/>
  <c r="O945" i="9" s="1"/>
  <c r="N933" i="6"/>
  <c r="N945" i="9" s="1"/>
  <c r="O932" i="6"/>
  <c r="O944" i="9" s="1"/>
  <c r="N932" i="6"/>
  <c r="N944" i="9" s="1"/>
  <c r="O931" i="6"/>
  <c r="O943" i="9" s="1"/>
  <c r="N931" i="6"/>
  <c r="N943" i="9" s="1"/>
  <c r="O930" i="6"/>
  <c r="O942" i="9" s="1"/>
  <c r="N930" i="6"/>
  <c r="N942" i="9" s="1"/>
  <c r="O929" i="6"/>
  <c r="O941" i="9" s="1"/>
  <c r="N929" i="6"/>
  <c r="N941" i="9" s="1"/>
  <c r="O928" i="6"/>
  <c r="O940" i="9" s="1"/>
  <c r="N928" i="6"/>
  <c r="N940" i="9" s="1"/>
  <c r="O927" i="6"/>
  <c r="O939" i="9" s="1"/>
  <c r="N927" i="6"/>
  <c r="N939" i="9" s="1"/>
  <c r="O926" i="6"/>
  <c r="O938" i="9" s="1"/>
  <c r="N926" i="6"/>
  <c r="N938" i="9" s="1"/>
  <c r="O925" i="6"/>
  <c r="O937" i="9" s="1"/>
  <c r="N925" i="6"/>
  <c r="N937" i="9" s="1"/>
  <c r="O924" i="6"/>
  <c r="O936" i="9" s="1"/>
  <c r="N924" i="6"/>
  <c r="N936" i="9" s="1"/>
  <c r="O923" i="6"/>
  <c r="O935" i="9" s="1"/>
  <c r="N923" i="6"/>
  <c r="N935" i="9" s="1"/>
  <c r="O922" i="6"/>
  <c r="O934" i="9" s="1"/>
  <c r="N922" i="6"/>
  <c r="N934" i="9" s="1"/>
  <c r="O921" i="6"/>
  <c r="O933" i="9" s="1"/>
  <c r="N921" i="6"/>
  <c r="N933" i="9" s="1"/>
  <c r="O920" i="6"/>
  <c r="O932" i="9" s="1"/>
  <c r="N920" i="6"/>
  <c r="N932" i="9" s="1"/>
  <c r="O919" i="6"/>
  <c r="O931" i="9" s="1"/>
  <c r="N919" i="6"/>
  <c r="N931" i="9" s="1"/>
  <c r="O918" i="6"/>
  <c r="O930" i="9" s="1"/>
  <c r="N918" i="6"/>
  <c r="N930" i="9" s="1"/>
  <c r="O917" i="6"/>
  <c r="O929" i="9" s="1"/>
  <c r="N917" i="6"/>
  <c r="N929" i="9" s="1"/>
  <c r="O916" i="6"/>
  <c r="O928" i="9" s="1"/>
  <c r="N916" i="6"/>
  <c r="N928" i="9" s="1"/>
  <c r="O915" i="6"/>
  <c r="O927" i="9" s="1"/>
  <c r="N915" i="6"/>
  <c r="N927" i="9" s="1"/>
  <c r="O914" i="6"/>
  <c r="O926" i="9" s="1"/>
  <c r="N914" i="6"/>
  <c r="N926" i="9" s="1"/>
  <c r="O913" i="6"/>
  <c r="O925" i="9" s="1"/>
  <c r="N913" i="6"/>
  <c r="N925" i="9" s="1"/>
  <c r="O912" i="6"/>
  <c r="O924" i="9" s="1"/>
  <c r="N912" i="6"/>
  <c r="N924" i="9" s="1"/>
  <c r="O911" i="6"/>
  <c r="O923" i="9" s="1"/>
  <c r="N911" i="6"/>
  <c r="N923" i="9" s="1"/>
  <c r="O910" i="6"/>
  <c r="O922" i="9" s="1"/>
  <c r="N910" i="6"/>
  <c r="N922" i="9" s="1"/>
  <c r="O909" i="6"/>
  <c r="O921" i="9" s="1"/>
  <c r="N909" i="6"/>
  <c r="N921" i="9" s="1"/>
  <c r="O908" i="6"/>
  <c r="O920" i="9" s="1"/>
  <c r="N908" i="6"/>
  <c r="N920" i="9" s="1"/>
  <c r="O907" i="6"/>
  <c r="O919" i="9" s="1"/>
  <c r="N907" i="6"/>
  <c r="N919" i="9" s="1"/>
  <c r="O906" i="6"/>
  <c r="O918" i="9" s="1"/>
  <c r="N906" i="6"/>
  <c r="N918" i="9" s="1"/>
  <c r="O905" i="6"/>
  <c r="O917" i="9" s="1"/>
  <c r="N905" i="6"/>
  <c r="N917" i="9" s="1"/>
  <c r="O904" i="6"/>
  <c r="O916" i="9" s="1"/>
  <c r="N904" i="6"/>
  <c r="N916" i="9" s="1"/>
  <c r="O903" i="6"/>
  <c r="O915" i="9" s="1"/>
  <c r="N903" i="6"/>
  <c r="N915" i="9" s="1"/>
  <c r="O902" i="6"/>
  <c r="O914" i="9" s="1"/>
  <c r="N902" i="6"/>
  <c r="N914" i="9" s="1"/>
  <c r="O901" i="6"/>
  <c r="O913" i="9" s="1"/>
  <c r="N901" i="6"/>
  <c r="N913" i="9" s="1"/>
  <c r="O900" i="6"/>
  <c r="O912" i="9" s="1"/>
  <c r="N900" i="6"/>
  <c r="N912" i="9" s="1"/>
  <c r="O899" i="6"/>
  <c r="O911" i="9" s="1"/>
  <c r="N899" i="6"/>
  <c r="N911" i="9" s="1"/>
  <c r="O898" i="6"/>
  <c r="O910" i="9" s="1"/>
  <c r="N898" i="6"/>
  <c r="N910" i="9" s="1"/>
  <c r="O897" i="6"/>
  <c r="O909" i="9" s="1"/>
  <c r="N897" i="6"/>
  <c r="N909" i="9" s="1"/>
  <c r="O896" i="6"/>
  <c r="O908" i="9" s="1"/>
  <c r="N896" i="6"/>
  <c r="N908" i="9" s="1"/>
  <c r="O895" i="6"/>
  <c r="O907" i="9" s="1"/>
  <c r="N895" i="6"/>
  <c r="N907" i="9" s="1"/>
  <c r="O894" i="6"/>
  <c r="O906" i="9" s="1"/>
  <c r="N894" i="6"/>
  <c r="N906" i="9" s="1"/>
  <c r="O893" i="6"/>
  <c r="O905" i="9" s="1"/>
  <c r="N893" i="6"/>
  <c r="N905" i="9" s="1"/>
  <c r="O892" i="6"/>
  <c r="O904" i="9" s="1"/>
  <c r="N892" i="6"/>
  <c r="N904" i="9" s="1"/>
  <c r="O891" i="6"/>
  <c r="O903" i="9" s="1"/>
  <c r="N891" i="6"/>
  <c r="N903" i="9" s="1"/>
  <c r="O890" i="6"/>
  <c r="O902" i="9" s="1"/>
  <c r="N890" i="6"/>
  <c r="N902" i="9" s="1"/>
  <c r="O889" i="6"/>
  <c r="O901" i="9" s="1"/>
  <c r="N889" i="6"/>
  <c r="N901" i="9" s="1"/>
  <c r="O888" i="6"/>
  <c r="O900" i="9" s="1"/>
  <c r="N888" i="6"/>
  <c r="N900" i="9" s="1"/>
  <c r="O887" i="6"/>
  <c r="O899" i="9" s="1"/>
  <c r="N887" i="6"/>
  <c r="N899" i="9" s="1"/>
  <c r="O886" i="6"/>
  <c r="O898" i="9" s="1"/>
  <c r="N886" i="6"/>
  <c r="N898" i="9" s="1"/>
  <c r="O885" i="6"/>
  <c r="O897" i="9" s="1"/>
  <c r="N885" i="6"/>
  <c r="N897" i="9" s="1"/>
  <c r="O884" i="6"/>
  <c r="O896" i="9" s="1"/>
  <c r="N884" i="6"/>
  <c r="N896" i="9" s="1"/>
  <c r="O883" i="6"/>
  <c r="O895" i="9" s="1"/>
  <c r="N883" i="6"/>
  <c r="N895" i="9" s="1"/>
  <c r="O882" i="6"/>
  <c r="O894" i="9" s="1"/>
  <c r="N882" i="6"/>
  <c r="N894" i="9" s="1"/>
  <c r="O881" i="6"/>
  <c r="O893" i="9" s="1"/>
  <c r="N881" i="6"/>
  <c r="N893" i="9" s="1"/>
  <c r="O880" i="6"/>
  <c r="O892" i="9" s="1"/>
  <c r="N880" i="6"/>
  <c r="N892" i="9" s="1"/>
  <c r="O879" i="6"/>
  <c r="O891" i="9" s="1"/>
  <c r="N879" i="6"/>
  <c r="N891" i="9" s="1"/>
  <c r="O878" i="6"/>
  <c r="O890" i="9" s="1"/>
  <c r="N878" i="6"/>
  <c r="N890" i="9" s="1"/>
  <c r="O877" i="6"/>
  <c r="O889" i="9" s="1"/>
  <c r="N877" i="6"/>
  <c r="N889" i="9" s="1"/>
  <c r="O876" i="6"/>
  <c r="O888" i="9" s="1"/>
  <c r="N876" i="6"/>
  <c r="N888" i="9" s="1"/>
  <c r="O875" i="6"/>
  <c r="O887" i="9" s="1"/>
  <c r="N875" i="6"/>
  <c r="N887" i="9" s="1"/>
  <c r="O874" i="6"/>
  <c r="O886" i="9" s="1"/>
  <c r="N874" i="6"/>
  <c r="N886" i="9" s="1"/>
  <c r="O873" i="6"/>
  <c r="O885" i="9" s="1"/>
  <c r="N873" i="6"/>
  <c r="N885" i="9" s="1"/>
  <c r="O872" i="6"/>
  <c r="O884" i="9" s="1"/>
  <c r="N872" i="6"/>
  <c r="N884" i="9" s="1"/>
  <c r="O871" i="6"/>
  <c r="O883" i="9" s="1"/>
  <c r="N871" i="6"/>
  <c r="N883" i="9" s="1"/>
  <c r="O870" i="6"/>
  <c r="O882" i="9" s="1"/>
  <c r="N870" i="6"/>
  <c r="N882" i="9" s="1"/>
  <c r="O869" i="6"/>
  <c r="O881" i="9" s="1"/>
  <c r="N869" i="6"/>
  <c r="N881" i="9" s="1"/>
  <c r="O868" i="6"/>
  <c r="O880" i="9" s="1"/>
  <c r="N868" i="6"/>
  <c r="N880" i="9" s="1"/>
  <c r="O867" i="6"/>
  <c r="O879" i="9" s="1"/>
  <c r="N867" i="6"/>
  <c r="N879" i="9" s="1"/>
  <c r="O866" i="6"/>
  <c r="O878" i="9" s="1"/>
  <c r="N866" i="6"/>
  <c r="N878" i="9" s="1"/>
  <c r="O865" i="6"/>
  <c r="O877" i="9" s="1"/>
  <c r="N865" i="6"/>
  <c r="N877" i="9" s="1"/>
  <c r="O864" i="6"/>
  <c r="O876" i="9" s="1"/>
  <c r="N864" i="6"/>
  <c r="N876" i="9" s="1"/>
  <c r="O863" i="6"/>
  <c r="O875" i="9" s="1"/>
  <c r="N863" i="6"/>
  <c r="N875" i="9" s="1"/>
  <c r="O862" i="6"/>
  <c r="O874" i="9" s="1"/>
  <c r="N862" i="6"/>
  <c r="N874" i="9" s="1"/>
  <c r="O861" i="6"/>
  <c r="O873" i="9" s="1"/>
  <c r="N861" i="6"/>
  <c r="N873" i="9" s="1"/>
  <c r="O860" i="6"/>
  <c r="O872" i="9" s="1"/>
  <c r="N860" i="6"/>
  <c r="N872" i="9" s="1"/>
  <c r="O859" i="6"/>
  <c r="O871" i="9" s="1"/>
  <c r="N859" i="6"/>
  <c r="N871" i="9" s="1"/>
  <c r="O858" i="6"/>
  <c r="O870" i="9" s="1"/>
  <c r="N858" i="6"/>
  <c r="N870" i="9" s="1"/>
  <c r="O857" i="6"/>
  <c r="O869" i="9" s="1"/>
  <c r="N857" i="6"/>
  <c r="N869" i="9" s="1"/>
  <c r="O856" i="6"/>
  <c r="O868" i="9" s="1"/>
  <c r="N856" i="6"/>
  <c r="N868" i="9" s="1"/>
  <c r="O855" i="6"/>
  <c r="O867" i="9" s="1"/>
  <c r="N855" i="6"/>
  <c r="N867" i="9" s="1"/>
  <c r="O854" i="6"/>
  <c r="O866" i="9" s="1"/>
  <c r="N854" i="6"/>
  <c r="N866" i="9" s="1"/>
  <c r="O853" i="6"/>
  <c r="O865" i="9" s="1"/>
  <c r="N853" i="6"/>
  <c r="N865" i="9" s="1"/>
  <c r="O852" i="6"/>
  <c r="O864" i="9" s="1"/>
  <c r="N852" i="6"/>
  <c r="N864" i="9" s="1"/>
  <c r="O851" i="6"/>
  <c r="O863" i="9" s="1"/>
  <c r="N851" i="6"/>
  <c r="N863" i="9" s="1"/>
  <c r="O850" i="6"/>
  <c r="O862" i="9" s="1"/>
  <c r="N850" i="6"/>
  <c r="N862" i="9" s="1"/>
  <c r="O849" i="6"/>
  <c r="O861" i="9" s="1"/>
  <c r="N849" i="6"/>
  <c r="N861" i="9" s="1"/>
  <c r="O848" i="6"/>
  <c r="O860" i="9" s="1"/>
  <c r="N848" i="6"/>
  <c r="N860" i="9" s="1"/>
  <c r="O847" i="6"/>
  <c r="O859" i="9" s="1"/>
  <c r="N847" i="6"/>
  <c r="N859" i="9" s="1"/>
  <c r="O846" i="6"/>
  <c r="O858" i="9" s="1"/>
  <c r="N846" i="6"/>
  <c r="N858" i="9" s="1"/>
  <c r="O845" i="6"/>
  <c r="O857" i="9" s="1"/>
  <c r="N845" i="6"/>
  <c r="N857" i="9" s="1"/>
  <c r="O844" i="6"/>
  <c r="O856" i="9" s="1"/>
  <c r="N844" i="6"/>
  <c r="N856" i="9" s="1"/>
  <c r="O843" i="6"/>
  <c r="O855" i="9" s="1"/>
  <c r="N843" i="6"/>
  <c r="N855" i="9" s="1"/>
  <c r="O842" i="6"/>
  <c r="O854" i="9" s="1"/>
  <c r="N842" i="6"/>
  <c r="N854" i="9" s="1"/>
  <c r="O841" i="6"/>
  <c r="O853" i="9" s="1"/>
  <c r="N841" i="6"/>
  <c r="N853" i="9" s="1"/>
  <c r="O840" i="6"/>
  <c r="O852" i="9" s="1"/>
  <c r="N840" i="6"/>
  <c r="N852" i="9" s="1"/>
  <c r="O839" i="6"/>
  <c r="O851" i="9" s="1"/>
  <c r="N839" i="6"/>
  <c r="N851" i="9" s="1"/>
  <c r="O838" i="6"/>
  <c r="O850" i="9" s="1"/>
  <c r="N838" i="6"/>
  <c r="N850" i="9" s="1"/>
  <c r="O837" i="6"/>
  <c r="O849" i="9" s="1"/>
  <c r="N837" i="6"/>
  <c r="N849" i="9" s="1"/>
  <c r="O836" i="6"/>
  <c r="O848" i="9" s="1"/>
  <c r="N836" i="6"/>
  <c r="N848" i="9" s="1"/>
  <c r="O835" i="6"/>
  <c r="O847" i="9" s="1"/>
  <c r="N835" i="6"/>
  <c r="N847" i="9" s="1"/>
  <c r="O834" i="6"/>
  <c r="O846" i="9" s="1"/>
  <c r="N834" i="6"/>
  <c r="N846" i="9" s="1"/>
  <c r="O833" i="6"/>
  <c r="O845" i="9" s="1"/>
  <c r="N833" i="6"/>
  <c r="N845" i="9" s="1"/>
  <c r="O832" i="6"/>
  <c r="O844" i="9" s="1"/>
  <c r="N832" i="6"/>
  <c r="N844" i="9" s="1"/>
  <c r="O831" i="6"/>
  <c r="O843" i="9" s="1"/>
  <c r="N831" i="6"/>
  <c r="N843" i="9" s="1"/>
  <c r="O830" i="6"/>
  <c r="O842" i="9" s="1"/>
  <c r="N830" i="6"/>
  <c r="N842" i="9" s="1"/>
  <c r="O829" i="6"/>
  <c r="O841" i="9" s="1"/>
  <c r="N829" i="6"/>
  <c r="N841" i="9" s="1"/>
  <c r="O828" i="6"/>
  <c r="O840" i="9" s="1"/>
  <c r="N828" i="6"/>
  <c r="N840" i="9" s="1"/>
  <c r="O827" i="6"/>
  <c r="O839" i="9" s="1"/>
  <c r="N827" i="6"/>
  <c r="N839" i="9" s="1"/>
  <c r="O826" i="6"/>
  <c r="O838" i="9" s="1"/>
  <c r="N826" i="6"/>
  <c r="N838" i="9" s="1"/>
  <c r="O825" i="6"/>
  <c r="O837" i="9" s="1"/>
  <c r="N825" i="6"/>
  <c r="N837" i="9" s="1"/>
  <c r="O824" i="6"/>
  <c r="O836" i="9" s="1"/>
  <c r="N824" i="6"/>
  <c r="N836" i="9" s="1"/>
  <c r="O823" i="6"/>
  <c r="O835" i="9" s="1"/>
  <c r="N823" i="6"/>
  <c r="N835" i="9" s="1"/>
  <c r="O822" i="6"/>
  <c r="O834" i="9" s="1"/>
  <c r="N822" i="6"/>
  <c r="N834" i="9" s="1"/>
  <c r="O821" i="6"/>
  <c r="O833" i="9" s="1"/>
  <c r="N821" i="6"/>
  <c r="N833" i="9" s="1"/>
  <c r="O820" i="6"/>
  <c r="O832" i="9" s="1"/>
  <c r="N820" i="6"/>
  <c r="N832" i="9" s="1"/>
  <c r="O819" i="6"/>
  <c r="O831" i="9" s="1"/>
  <c r="N819" i="6"/>
  <c r="N831" i="9" s="1"/>
  <c r="O818" i="6"/>
  <c r="O830" i="9" s="1"/>
  <c r="N818" i="6"/>
  <c r="N830" i="9" s="1"/>
  <c r="O817" i="6"/>
  <c r="O829" i="9" s="1"/>
  <c r="N817" i="6"/>
  <c r="N829" i="9" s="1"/>
  <c r="O816" i="6"/>
  <c r="O828" i="9" s="1"/>
  <c r="N816" i="6"/>
  <c r="N828" i="9" s="1"/>
  <c r="O815" i="6"/>
  <c r="O827" i="9" s="1"/>
  <c r="N815" i="6"/>
  <c r="N827" i="9" s="1"/>
  <c r="O814" i="6"/>
  <c r="O826" i="9" s="1"/>
  <c r="N814" i="6"/>
  <c r="N826" i="9" s="1"/>
  <c r="O813" i="6"/>
  <c r="O825" i="9" s="1"/>
  <c r="N813" i="6"/>
  <c r="N825" i="9" s="1"/>
  <c r="O812" i="6"/>
  <c r="O824" i="9" s="1"/>
  <c r="N812" i="6"/>
  <c r="N824" i="9" s="1"/>
  <c r="O811" i="6"/>
  <c r="O823" i="9" s="1"/>
  <c r="N811" i="6"/>
  <c r="N823" i="9" s="1"/>
  <c r="O810" i="6"/>
  <c r="O822" i="9" s="1"/>
  <c r="N810" i="6"/>
  <c r="N822" i="9" s="1"/>
  <c r="O809" i="6"/>
  <c r="O821" i="9" s="1"/>
  <c r="N809" i="6"/>
  <c r="N821" i="9" s="1"/>
  <c r="O808" i="6"/>
  <c r="O820" i="9" s="1"/>
  <c r="N808" i="6"/>
  <c r="N820" i="9" s="1"/>
  <c r="O807" i="6"/>
  <c r="O819" i="9" s="1"/>
  <c r="N807" i="6"/>
  <c r="N819" i="9" s="1"/>
  <c r="O806" i="6"/>
  <c r="O818" i="9" s="1"/>
  <c r="N806" i="6"/>
  <c r="N818" i="9" s="1"/>
  <c r="O805" i="6"/>
  <c r="O817" i="9" s="1"/>
  <c r="N805" i="6"/>
  <c r="N817" i="9" s="1"/>
  <c r="O804" i="6"/>
  <c r="O816" i="9" s="1"/>
  <c r="N804" i="6"/>
  <c r="N816" i="9" s="1"/>
  <c r="O803" i="6"/>
  <c r="O815" i="9" s="1"/>
  <c r="N803" i="6"/>
  <c r="N815" i="9" s="1"/>
  <c r="O802" i="6"/>
  <c r="O814" i="9" s="1"/>
  <c r="N802" i="6"/>
  <c r="N814" i="9" s="1"/>
  <c r="O801" i="6"/>
  <c r="O813" i="9" s="1"/>
  <c r="N801" i="6"/>
  <c r="N813" i="9" s="1"/>
  <c r="O800" i="6"/>
  <c r="O812" i="9" s="1"/>
  <c r="N800" i="6"/>
  <c r="N812" i="9" s="1"/>
  <c r="O799" i="6"/>
  <c r="O811" i="9" s="1"/>
  <c r="N799" i="6"/>
  <c r="N811" i="9" s="1"/>
  <c r="O798" i="6"/>
  <c r="O810" i="9" s="1"/>
  <c r="N798" i="6"/>
  <c r="N810" i="9" s="1"/>
  <c r="O797" i="6"/>
  <c r="O809" i="9" s="1"/>
  <c r="N797" i="6"/>
  <c r="N809" i="9" s="1"/>
  <c r="O796" i="6"/>
  <c r="O808" i="9" s="1"/>
  <c r="N796" i="6"/>
  <c r="N808" i="9" s="1"/>
  <c r="O795" i="6"/>
  <c r="O807" i="9" s="1"/>
  <c r="N795" i="6"/>
  <c r="N807" i="9" s="1"/>
  <c r="O794" i="6"/>
  <c r="O806" i="9" s="1"/>
  <c r="N794" i="6"/>
  <c r="N806" i="9" s="1"/>
  <c r="O793" i="6"/>
  <c r="O805" i="9" s="1"/>
  <c r="N793" i="6"/>
  <c r="N805" i="9" s="1"/>
  <c r="O792" i="6"/>
  <c r="O804" i="9" s="1"/>
  <c r="N792" i="6"/>
  <c r="N804" i="9" s="1"/>
  <c r="O791" i="6"/>
  <c r="O803" i="9" s="1"/>
  <c r="N791" i="6"/>
  <c r="N803" i="9" s="1"/>
  <c r="O790" i="6"/>
  <c r="O802" i="9" s="1"/>
  <c r="N790" i="6"/>
  <c r="N802" i="9" s="1"/>
  <c r="O789" i="6"/>
  <c r="O801" i="9" s="1"/>
  <c r="N789" i="6"/>
  <c r="N801" i="9" s="1"/>
  <c r="O788" i="6"/>
  <c r="O800" i="9" s="1"/>
  <c r="N788" i="6"/>
  <c r="N800" i="9" s="1"/>
  <c r="O787" i="6"/>
  <c r="O799" i="9" s="1"/>
  <c r="N787" i="6"/>
  <c r="N799" i="9" s="1"/>
  <c r="O786" i="6"/>
  <c r="O798" i="9" s="1"/>
  <c r="N786" i="6"/>
  <c r="N798" i="9" s="1"/>
  <c r="O785" i="6"/>
  <c r="O797" i="9" s="1"/>
  <c r="N785" i="6"/>
  <c r="N797" i="9" s="1"/>
  <c r="O784" i="6"/>
  <c r="O796" i="9" s="1"/>
  <c r="N784" i="6"/>
  <c r="N796" i="9" s="1"/>
  <c r="O783" i="6"/>
  <c r="O795" i="9" s="1"/>
  <c r="N783" i="6"/>
  <c r="N795" i="9" s="1"/>
  <c r="O782" i="6"/>
  <c r="O794" i="9" s="1"/>
  <c r="N782" i="6"/>
  <c r="N794" i="9" s="1"/>
  <c r="O781" i="6"/>
  <c r="O793" i="9" s="1"/>
  <c r="N781" i="6"/>
  <c r="N793" i="9" s="1"/>
  <c r="O780" i="6"/>
  <c r="O792" i="9" s="1"/>
  <c r="N780" i="6"/>
  <c r="N792" i="9" s="1"/>
  <c r="O779" i="6"/>
  <c r="O791" i="9" s="1"/>
  <c r="N779" i="6"/>
  <c r="N791" i="9" s="1"/>
  <c r="O778" i="6"/>
  <c r="O790" i="9" s="1"/>
  <c r="N778" i="6"/>
  <c r="N790" i="9" s="1"/>
  <c r="O777" i="6"/>
  <c r="O789" i="9" s="1"/>
  <c r="N777" i="6"/>
  <c r="N789" i="9" s="1"/>
  <c r="O776" i="6"/>
  <c r="O788" i="9" s="1"/>
  <c r="N776" i="6"/>
  <c r="N788" i="9" s="1"/>
  <c r="O775" i="6"/>
  <c r="O787" i="9" s="1"/>
  <c r="N775" i="6"/>
  <c r="N787" i="9" s="1"/>
  <c r="O774" i="6"/>
  <c r="O786" i="9" s="1"/>
  <c r="N774" i="6"/>
  <c r="N786" i="9" s="1"/>
  <c r="O773" i="6"/>
  <c r="O785" i="9" s="1"/>
  <c r="N773" i="6"/>
  <c r="N785" i="9" s="1"/>
  <c r="O772" i="6"/>
  <c r="O784" i="9" s="1"/>
  <c r="N772" i="6"/>
  <c r="N784" i="9" s="1"/>
  <c r="O771" i="6"/>
  <c r="O783" i="9" s="1"/>
  <c r="N771" i="6"/>
  <c r="N783" i="9" s="1"/>
  <c r="O770" i="6"/>
  <c r="O782" i="9" s="1"/>
  <c r="N770" i="6"/>
  <c r="N782" i="9" s="1"/>
  <c r="O769" i="6"/>
  <c r="O781" i="9" s="1"/>
  <c r="N769" i="6"/>
  <c r="N781" i="9" s="1"/>
  <c r="O768" i="6"/>
  <c r="O780" i="9" s="1"/>
  <c r="N768" i="6"/>
  <c r="N780" i="9" s="1"/>
  <c r="O767" i="6"/>
  <c r="O779" i="9" s="1"/>
  <c r="N767" i="6"/>
  <c r="N779" i="9" s="1"/>
  <c r="O766" i="6"/>
  <c r="O778" i="9" s="1"/>
  <c r="N766" i="6"/>
  <c r="N778" i="9" s="1"/>
  <c r="O765" i="6"/>
  <c r="O777" i="9" s="1"/>
  <c r="N765" i="6"/>
  <c r="N777" i="9" s="1"/>
  <c r="O764" i="6"/>
  <c r="O776" i="9" s="1"/>
  <c r="N764" i="6"/>
  <c r="N776" i="9" s="1"/>
  <c r="O763" i="6"/>
  <c r="O775" i="9" s="1"/>
  <c r="N763" i="6"/>
  <c r="N775" i="9" s="1"/>
  <c r="O762" i="6"/>
  <c r="O774" i="9" s="1"/>
  <c r="N762" i="6"/>
  <c r="N774" i="9" s="1"/>
  <c r="O761" i="6"/>
  <c r="O773" i="9" s="1"/>
  <c r="N761" i="6"/>
  <c r="N773" i="9" s="1"/>
  <c r="O760" i="6"/>
  <c r="O772" i="9" s="1"/>
  <c r="N760" i="6"/>
  <c r="N772" i="9" s="1"/>
  <c r="O759" i="6"/>
  <c r="O771" i="9" s="1"/>
  <c r="N759" i="6"/>
  <c r="N771" i="9" s="1"/>
  <c r="O758" i="6"/>
  <c r="O770" i="9" s="1"/>
  <c r="N758" i="6"/>
  <c r="N770" i="9" s="1"/>
  <c r="O757" i="6"/>
  <c r="O769" i="9" s="1"/>
  <c r="N757" i="6"/>
  <c r="N769" i="9" s="1"/>
  <c r="O756" i="6"/>
  <c r="O768" i="9" s="1"/>
  <c r="N756" i="6"/>
  <c r="N768" i="9" s="1"/>
  <c r="O755" i="6"/>
  <c r="O767" i="9" s="1"/>
  <c r="N755" i="6"/>
  <c r="N767" i="9" s="1"/>
  <c r="O754" i="6"/>
  <c r="O766" i="9" s="1"/>
  <c r="N754" i="6"/>
  <c r="N766" i="9" s="1"/>
  <c r="O753" i="6"/>
  <c r="O765" i="9" s="1"/>
  <c r="N753" i="6"/>
  <c r="N765" i="9" s="1"/>
  <c r="O752" i="6"/>
  <c r="O764" i="9" s="1"/>
  <c r="N752" i="6"/>
  <c r="N764" i="9" s="1"/>
  <c r="O751" i="6"/>
  <c r="O763" i="9" s="1"/>
  <c r="N751" i="6"/>
  <c r="N763" i="9" s="1"/>
  <c r="O750" i="6"/>
  <c r="O762" i="9" s="1"/>
  <c r="N750" i="6"/>
  <c r="N762" i="9" s="1"/>
  <c r="O749" i="6"/>
  <c r="O761" i="9" s="1"/>
  <c r="N749" i="6"/>
  <c r="N761" i="9" s="1"/>
  <c r="O748" i="6"/>
  <c r="O760" i="9" s="1"/>
  <c r="N748" i="6"/>
  <c r="N760" i="9" s="1"/>
  <c r="O747" i="6"/>
  <c r="O759" i="9" s="1"/>
  <c r="N747" i="6"/>
  <c r="N759" i="9" s="1"/>
  <c r="O746" i="6"/>
  <c r="O758" i="9" s="1"/>
  <c r="N746" i="6"/>
  <c r="N758" i="9" s="1"/>
  <c r="O745" i="6"/>
  <c r="O757" i="9" s="1"/>
  <c r="N745" i="6"/>
  <c r="N757" i="9" s="1"/>
  <c r="O744" i="6"/>
  <c r="O756" i="9" s="1"/>
  <c r="N744" i="6"/>
  <c r="N756" i="9" s="1"/>
  <c r="O743" i="6"/>
  <c r="O755" i="9" s="1"/>
  <c r="N743" i="6"/>
  <c r="N755" i="9" s="1"/>
  <c r="O742" i="6"/>
  <c r="O754" i="9" s="1"/>
  <c r="N742" i="6"/>
  <c r="N754" i="9" s="1"/>
  <c r="O741" i="6"/>
  <c r="O753" i="9" s="1"/>
  <c r="N741" i="6"/>
  <c r="N753" i="9" s="1"/>
  <c r="O740" i="6"/>
  <c r="O752" i="9" s="1"/>
  <c r="N740" i="6"/>
  <c r="N752" i="9" s="1"/>
  <c r="O739" i="6"/>
  <c r="O751" i="9" s="1"/>
  <c r="N739" i="6"/>
  <c r="N751" i="9" s="1"/>
  <c r="O738" i="6"/>
  <c r="O750" i="9" s="1"/>
  <c r="N738" i="6"/>
  <c r="N750" i="9" s="1"/>
  <c r="O737" i="6"/>
  <c r="O749" i="9" s="1"/>
  <c r="N737" i="6"/>
  <c r="N749" i="9" s="1"/>
  <c r="O736" i="6"/>
  <c r="O748" i="9" s="1"/>
  <c r="N736" i="6"/>
  <c r="N748" i="9" s="1"/>
  <c r="O735" i="6"/>
  <c r="O747" i="9" s="1"/>
  <c r="N735" i="6"/>
  <c r="N747" i="9" s="1"/>
  <c r="O734" i="6"/>
  <c r="O746" i="9" s="1"/>
  <c r="N734" i="6"/>
  <c r="N746" i="9" s="1"/>
  <c r="O733" i="6"/>
  <c r="O745" i="9" s="1"/>
  <c r="N733" i="6"/>
  <c r="N745" i="9" s="1"/>
  <c r="O732" i="6"/>
  <c r="O744" i="9" s="1"/>
  <c r="N732" i="6"/>
  <c r="N744" i="9" s="1"/>
  <c r="O731" i="6"/>
  <c r="O743" i="9" s="1"/>
  <c r="N731" i="6"/>
  <c r="N743" i="9" s="1"/>
  <c r="O730" i="6"/>
  <c r="O742" i="9" s="1"/>
  <c r="N730" i="6"/>
  <c r="N742" i="9" s="1"/>
  <c r="O729" i="6"/>
  <c r="O741" i="9" s="1"/>
  <c r="N729" i="6"/>
  <c r="N741" i="9" s="1"/>
  <c r="O728" i="6"/>
  <c r="O740" i="9" s="1"/>
  <c r="N728" i="6"/>
  <c r="N740" i="9" s="1"/>
  <c r="O727" i="6"/>
  <c r="O739" i="9" s="1"/>
  <c r="N727" i="6"/>
  <c r="N739" i="9" s="1"/>
  <c r="O726" i="6"/>
  <c r="O738" i="9" s="1"/>
  <c r="N726" i="6"/>
  <c r="N738" i="9" s="1"/>
  <c r="O725" i="6"/>
  <c r="O737" i="9" s="1"/>
  <c r="N725" i="6"/>
  <c r="N737" i="9" s="1"/>
  <c r="O724" i="6"/>
  <c r="O736" i="9" s="1"/>
  <c r="N724" i="6"/>
  <c r="N736" i="9" s="1"/>
  <c r="O723" i="6"/>
  <c r="O735" i="9" s="1"/>
  <c r="N723" i="6"/>
  <c r="N735" i="9" s="1"/>
  <c r="O722" i="6"/>
  <c r="O734" i="9" s="1"/>
  <c r="N722" i="6"/>
  <c r="N734" i="9" s="1"/>
  <c r="O721" i="6"/>
  <c r="O733" i="9" s="1"/>
  <c r="N721" i="6"/>
  <c r="N733" i="9" s="1"/>
  <c r="O720" i="6"/>
  <c r="O732" i="9" s="1"/>
  <c r="N720" i="6"/>
  <c r="N732" i="9" s="1"/>
  <c r="O719" i="6"/>
  <c r="O731" i="9" s="1"/>
  <c r="N719" i="6"/>
  <c r="N731" i="9" s="1"/>
  <c r="O718" i="6"/>
  <c r="O730" i="9" s="1"/>
  <c r="N718" i="6"/>
  <c r="N730" i="9" s="1"/>
  <c r="O717" i="6"/>
  <c r="O729" i="9" s="1"/>
  <c r="N717" i="6"/>
  <c r="N729" i="9" s="1"/>
  <c r="O716" i="6"/>
  <c r="O728" i="9" s="1"/>
  <c r="N716" i="6"/>
  <c r="N728" i="9" s="1"/>
  <c r="O715" i="6"/>
  <c r="O727" i="9" s="1"/>
  <c r="N715" i="6"/>
  <c r="N727" i="9" s="1"/>
  <c r="O714" i="6"/>
  <c r="O726" i="9" s="1"/>
  <c r="N714" i="6"/>
  <c r="N726" i="9" s="1"/>
  <c r="O713" i="6"/>
  <c r="O725" i="9" s="1"/>
  <c r="N713" i="6"/>
  <c r="N725" i="9" s="1"/>
  <c r="O712" i="6"/>
  <c r="O724" i="9" s="1"/>
  <c r="N712" i="6"/>
  <c r="N724" i="9" s="1"/>
  <c r="O711" i="6"/>
  <c r="O723" i="9" s="1"/>
  <c r="N711" i="6"/>
  <c r="N723" i="9" s="1"/>
  <c r="O710" i="6"/>
  <c r="O722" i="9" s="1"/>
  <c r="N710" i="6"/>
  <c r="N722" i="9" s="1"/>
  <c r="O709" i="6"/>
  <c r="O721" i="9" s="1"/>
  <c r="N709" i="6"/>
  <c r="N721" i="9" s="1"/>
  <c r="O708" i="6"/>
  <c r="O720" i="9" s="1"/>
  <c r="N708" i="6"/>
  <c r="N720" i="9" s="1"/>
  <c r="O707" i="6"/>
  <c r="O719" i="9" s="1"/>
  <c r="N707" i="6"/>
  <c r="N719" i="9" s="1"/>
  <c r="O706" i="6"/>
  <c r="O718" i="9" s="1"/>
  <c r="N706" i="6"/>
  <c r="N718" i="9" s="1"/>
  <c r="O705" i="6"/>
  <c r="O717" i="9" s="1"/>
  <c r="N705" i="6"/>
  <c r="N717" i="9" s="1"/>
  <c r="O704" i="6"/>
  <c r="O716" i="9" s="1"/>
  <c r="N704" i="6"/>
  <c r="N716" i="9" s="1"/>
  <c r="O703" i="6"/>
  <c r="O715" i="9" s="1"/>
  <c r="N703" i="6"/>
  <c r="N715" i="9" s="1"/>
  <c r="O702" i="6"/>
  <c r="O714" i="9" s="1"/>
  <c r="N702" i="6"/>
  <c r="N714" i="9" s="1"/>
  <c r="O701" i="6"/>
  <c r="O713" i="9" s="1"/>
  <c r="N701" i="6"/>
  <c r="N713" i="9" s="1"/>
  <c r="O700" i="6"/>
  <c r="O712" i="9" s="1"/>
  <c r="N700" i="6"/>
  <c r="N712" i="9" s="1"/>
  <c r="O699" i="6"/>
  <c r="O711" i="9" s="1"/>
  <c r="N699" i="6"/>
  <c r="N711" i="9" s="1"/>
  <c r="O698" i="6"/>
  <c r="O710" i="9" s="1"/>
  <c r="N698" i="6"/>
  <c r="N710" i="9" s="1"/>
  <c r="O697" i="6"/>
  <c r="O709" i="9" s="1"/>
  <c r="N697" i="6"/>
  <c r="N709" i="9" s="1"/>
  <c r="O696" i="6"/>
  <c r="O708" i="9" s="1"/>
  <c r="N696" i="6"/>
  <c r="N708" i="9" s="1"/>
  <c r="O695" i="6"/>
  <c r="O707" i="9" s="1"/>
  <c r="N695" i="6"/>
  <c r="N707" i="9" s="1"/>
  <c r="O694" i="6"/>
  <c r="O706" i="9" s="1"/>
  <c r="N694" i="6"/>
  <c r="N706" i="9" s="1"/>
  <c r="O693" i="6"/>
  <c r="O705" i="9" s="1"/>
  <c r="N693" i="6"/>
  <c r="N705" i="9" s="1"/>
  <c r="O692" i="6"/>
  <c r="O704" i="9" s="1"/>
  <c r="N692" i="6"/>
  <c r="N704" i="9" s="1"/>
  <c r="O691" i="6"/>
  <c r="O703" i="9" s="1"/>
  <c r="N691" i="6"/>
  <c r="N703" i="9" s="1"/>
  <c r="O690" i="6"/>
  <c r="O702" i="9" s="1"/>
  <c r="N690" i="6"/>
  <c r="N702" i="9" s="1"/>
  <c r="O689" i="6"/>
  <c r="O701" i="9" s="1"/>
  <c r="N689" i="6"/>
  <c r="N701" i="9" s="1"/>
  <c r="O688" i="6"/>
  <c r="O700" i="9" s="1"/>
  <c r="N688" i="6"/>
  <c r="N700" i="9" s="1"/>
  <c r="O687" i="6"/>
  <c r="O699" i="9" s="1"/>
  <c r="N687" i="6"/>
  <c r="N699" i="9" s="1"/>
  <c r="O686" i="6"/>
  <c r="O698" i="9" s="1"/>
  <c r="N686" i="6"/>
  <c r="N698" i="9" s="1"/>
  <c r="O685" i="6"/>
  <c r="O697" i="9" s="1"/>
  <c r="N685" i="6"/>
  <c r="N697" i="9" s="1"/>
  <c r="O684" i="6"/>
  <c r="O696" i="9" s="1"/>
  <c r="N684" i="6"/>
  <c r="N696" i="9" s="1"/>
  <c r="O683" i="6"/>
  <c r="O695" i="9" s="1"/>
  <c r="N683" i="6"/>
  <c r="N695" i="9" s="1"/>
  <c r="O682" i="6"/>
  <c r="O694" i="9" s="1"/>
  <c r="N682" i="6"/>
  <c r="N694" i="9" s="1"/>
  <c r="O681" i="6"/>
  <c r="O693" i="9" s="1"/>
  <c r="N681" i="6"/>
  <c r="N693" i="9" s="1"/>
  <c r="O680" i="6"/>
  <c r="O692" i="9" s="1"/>
  <c r="N680" i="6"/>
  <c r="N692" i="9" s="1"/>
  <c r="O679" i="6"/>
  <c r="O691" i="9" s="1"/>
  <c r="N679" i="6"/>
  <c r="N691" i="9" s="1"/>
  <c r="O678" i="6"/>
  <c r="O690" i="9" s="1"/>
  <c r="N678" i="6"/>
  <c r="N690" i="9" s="1"/>
  <c r="O677" i="6"/>
  <c r="O689" i="9" s="1"/>
  <c r="N677" i="6"/>
  <c r="N689" i="9" s="1"/>
  <c r="O676" i="6"/>
  <c r="O688" i="9" s="1"/>
  <c r="N676" i="6"/>
  <c r="N688" i="9" s="1"/>
  <c r="O675" i="6"/>
  <c r="O687" i="9" s="1"/>
  <c r="N675" i="6"/>
  <c r="N687" i="9" s="1"/>
  <c r="O674" i="6"/>
  <c r="O686" i="9" s="1"/>
  <c r="N674" i="6"/>
  <c r="N686" i="9" s="1"/>
  <c r="O673" i="6"/>
  <c r="O685" i="9" s="1"/>
  <c r="N673" i="6"/>
  <c r="N685" i="9" s="1"/>
  <c r="O672" i="6"/>
  <c r="O684" i="9" s="1"/>
  <c r="N672" i="6"/>
  <c r="N684" i="9" s="1"/>
  <c r="O671" i="6"/>
  <c r="O683" i="9" s="1"/>
  <c r="N671" i="6"/>
  <c r="N683" i="9" s="1"/>
  <c r="O670" i="6"/>
  <c r="O682" i="9" s="1"/>
  <c r="N670" i="6"/>
  <c r="N682" i="9" s="1"/>
  <c r="O669" i="6"/>
  <c r="O681" i="9" s="1"/>
  <c r="N669" i="6"/>
  <c r="N681" i="9" s="1"/>
  <c r="O668" i="6"/>
  <c r="O680" i="9" s="1"/>
  <c r="N668" i="6"/>
  <c r="N680" i="9" s="1"/>
  <c r="O667" i="6"/>
  <c r="O679" i="9" s="1"/>
  <c r="N667" i="6"/>
  <c r="N679" i="9" s="1"/>
  <c r="O666" i="6"/>
  <c r="O678" i="9" s="1"/>
  <c r="N666" i="6"/>
  <c r="N678" i="9" s="1"/>
  <c r="O665" i="6"/>
  <c r="O677" i="9" s="1"/>
  <c r="N665" i="6"/>
  <c r="N677" i="9" s="1"/>
  <c r="O664" i="6"/>
  <c r="O676" i="9" s="1"/>
  <c r="N664" i="6"/>
  <c r="N676" i="9" s="1"/>
  <c r="O663" i="6"/>
  <c r="O675" i="9" s="1"/>
  <c r="N663" i="6"/>
  <c r="N675" i="9" s="1"/>
  <c r="O662" i="6"/>
  <c r="O674" i="9" s="1"/>
  <c r="N662" i="6"/>
  <c r="N674" i="9" s="1"/>
  <c r="O661" i="6"/>
  <c r="O673" i="9" s="1"/>
  <c r="N661" i="6"/>
  <c r="N673" i="9" s="1"/>
  <c r="O660" i="6"/>
  <c r="O672" i="9" s="1"/>
  <c r="N660" i="6"/>
  <c r="N672" i="9" s="1"/>
  <c r="O659" i="6"/>
  <c r="O671" i="9" s="1"/>
  <c r="N659" i="6"/>
  <c r="N671" i="9" s="1"/>
  <c r="O658" i="6"/>
  <c r="O670" i="9" s="1"/>
  <c r="N658" i="6"/>
  <c r="N670" i="9" s="1"/>
  <c r="O657" i="6"/>
  <c r="O669" i="9" s="1"/>
  <c r="N657" i="6"/>
  <c r="N669" i="9" s="1"/>
  <c r="O656" i="6"/>
  <c r="O668" i="9" s="1"/>
  <c r="N656" i="6"/>
  <c r="N668" i="9" s="1"/>
  <c r="O655" i="6"/>
  <c r="O667" i="9" s="1"/>
  <c r="N655" i="6"/>
  <c r="N667" i="9" s="1"/>
  <c r="O654" i="6"/>
  <c r="O666" i="9" s="1"/>
  <c r="N654" i="6"/>
  <c r="N666" i="9" s="1"/>
  <c r="O653" i="6"/>
  <c r="O665" i="9" s="1"/>
  <c r="N653" i="6"/>
  <c r="N665" i="9" s="1"/>
  <c r="O652" i="6"/>
  <c r="O664" i="9" s="1"/>
  <c r="N652" i="6"/>
  <c r="N664" i="9" s="1"/>
  <c r="O651" i="6"/>
  <c r="O663" i="9" s="1"/>
  <c r="N651" i="6"/>
  <c r="N663" i="9" s="1"/>
  <c r="O650" i="6"/>
  <c r="O662" i="9" s="1"/>
  <c r="N650" i="6"/>
  <c r="N662" i="9" s="1"/>
  <c r="O649" i="6"/>
  <c r="O661" i="9" s="1"/>
  <c r="N649" i="6"/>
  <c r="N661" i="9" s="1"/>
  <c r="O648" i="6"/>
  <c r="O660" i="9" s="1"/>
  <c r="N648" i="6"/>
  <c r="N660" i="9" s="1"/>
  <c r="O647" i="6"/>
  <c r="O659" i="9" s="1"/>
  <c r="N647" i="6"/>
  <c r="N659" i="9" s="1"/>
  <c r="O646" i="6"/>
  <c r="O658" i="9" s="1"/>
  <c r="N646" i="6"/>
  <c r="N658" i="9" s="1"/>
  <c r="O645" i="6"/>
  <c r="O657" i="9" s="1"/>
  <c r="N645" i="6"/>
  <c r="N657" i="9" s="1"/>
  <c r="O644" i="6"/>
  <c r="O656" i="9" s="1"/>
  <c r="N644" i="6"/>
  <c r="N656" i="9" s="1"/>
  <c r="O643" i="6"/>
  <c r="O655" i="9" s="1"/>
  <c r="N643" i="6"/>
  <c r="N655" i="9" s="1"/>
  <c r="O642" i="6"/>
  <c r="O654" i="9" s="1"/>
  <c r="N642" i="6"/>
  <c r="N654" i="9" s="1"/>
  <c r="O641" i="6"/>
  <c r="O653" i="9" s="1"/>
  <c r="N641" i="6"/>
  <c r="N653" i="9" s="1"/>
  <c r="O640" i="6"/>
  <c r="O652" i="9" s="1"/>
  <c r="N640" i="6"/>
  <c r="N652" i="9" s="1"/>
  <c r="O639" i="6"/>
  <c r="O651" i="9" s="1"/>
  <c r="N639" i="6"/>
  <c r="N651" i="9" s="1"/>
  <c r="O638" i="6"/>
  <c r="O650" i="9" s="1"/>
  <c r="N638" i="6"/>
  <c r="N650" i="9" s="1"/>
  <c r="O637" i="6"/>
  <c r="O649" i="9" s="1"/>
  <c r="N637" i="6"/>
  <c r="N649" i="9" s="1"/>
  <c r="O636" i="6"/>
  <c r="O648" i="9" s="1"/>
  <c r="N636" i="6"/>
  <c r="N648" i="9" s="1"/>
  <c r="O635" i="6"/>
  <c r="O647" i="9" s="1"/>
  <c r="N635" i="6"/>
  <c r="N647" i="9" s="1"/>
  <c r="O634" i="6"/>
  <c r="O646" i="9" s="1"/>
  <c r="N634" i="6"/>
  <c r="N646" i="9" s="1"/>
  <c r="O633" i="6"/>
  <c r="O645" i="9" s="1"/>
  <c r="N633" i="6"/>
  <c r="N645" i="9" s="1"/>
  <c r="O632" i="6"/>
  <c r="O644" i="9" s="1"/>
  <c r="N632" i="6"/>
  <c r="N644" i="9" s="1"/>
  <c r="O631" i="6"/>
  <c r="O643" i="9" s="1"/>
  <c r="N631" i="6"/>
  <c r="N643" i="9" s="1"/>
  <c r="O630" i="6"/>
  <c r="O642" i="9" s="1"/>
  <c r="N630" i="6"/>
  <c r="N642" i="9" s="1"/>
  <c r="O629" i="6"/>
  <c r="O641" i="9" s="1"/>
  <c r="N629" i="6"/>
  <c r="N641" i="9" s="1"/>
  <c r="O628" i="6"/>
  <c r="O640" i="9" s="1"/>
  <c r="N628" i="6"/>
  <c r="N640" i="9" s="1"/>
  <c r="O627" i="6"/>
  <c r="O639" i="9" s="1"/>
  <c r="N627" i="6"/>
  <c r="N639" i="9" s="1"/>
  <c r="O626" i="6"/>
  <c r="O638" i="9" s="1"/>
  <c r="N626" i="6"/>
  <c r="N638" i="9" s="1"/>
  <c r="O625" i="6"/>
  <c r="O637" i="9" s="1"/>
  <c r="N625" i="6"/>
  <c r="N637" i="9" s="1"/>
  <c r="O624" i="6"/>
  <c r="O636" i="9" s="1"/>
  <c r="N624" i="6"/>
  <c r="N636" i="9" s="1"/>
  <c r="O623" i="6"/>
  <c r="O635" i="9" s="1"/>
  <c r="N623" i="6"/>
  <c r="N635" i="9" s="1"/>
  <c r="O622" i="6"/>
  <c r="O634" i="9" s="1"/>
  <c r="N622" i="6"/>
  <c r="N634" i="9" s="1"/>
  <c r="O621" i="6"/>
  <c r="O633" i="9" s="1"/>
  <c r="N621" i="6"/>
  <c r="N633" i="9" s="1"/>
  <c r="O620" i="6"/>
  <c r="O632" i="9" s="1"/>
  <c r="N620" i="6"/>
  <c r="N632" i="9" s="1"/>
  <c r="O619" i="6"/>
  <c r="O631" i="9" s="1"/>
  <c r="N619" i="6"/>
  <c r="N631" i="9" s="1"/>
  <c r="O618" i="6"/>
  <c r="O630" i="9" s="1"/>
  <c r="N618" i="6"/>
  <c r="N630" i="9" s="1"/>
  <c r="O617" i="6"/>
  <c r="O629" i="9" s="1"/>
  <c r="N617" i="6"/>
  <c r="N629" i="9" s="1"/>
  <c r="O616" i="6"/>
  <c r="O628" i="9" s="1"/>
  <c r="N616" i="6"/>
  <c r="N628" i="9" s="1"/>
  <c r="O615" i="6"/>
  <c r="O627" i="9" s="1"/>
  <c r="N615" i="6"/>
  <c r="N627" i="9" s="1"/>
  <c r="O614" i="6"/>
  <c r="O626" i="9" s="1"/>
  <c r="N614" i="6"/>
  <c r="N626" i="9" s="1"/>
  <c r="O613" i="6"/>
  <c r="O625" i="9" s="1"/>
  <c r="N613" i="6"/>
  <c r="N625" i="9" s="1"/>
  <c r="O612" i="6"/>
  <c r="O624" i="9" s="1"/>
  <c r="N612" i="6"/>
  <c r="N624" i="9" s="1"/>
  <c r="O611" i="6"/>
  <c r="O623" i="9" s="1"/>
  <c r="N611" i="6"/>
  <c r="N623" i="9" s="1"/>
  <c r="O610" i="6"/>
  <c r="O622" i="9" s="1"/>
  <c r="N610" i="6"/>
  <c r="N622" i="9" s="1"/>
  <c r="O609" i="6"/>
  <c r="O621" i="9" s="1"/>
  <c r="N609" i="6"/>
  <c r="N621" i="9" s="1"/>
  <c r="O608" i="6"/>
  <c r="O620" i="9" s="1"/>
  <c r="N608" i="6"/>
  <c r="N620" i="9" s="1"/>
  <c r="O607" i="6"/>
  <c r="O619" i="9" s="1"/>
  <c r="N607" i="6"/>
  <c r="N619" i="9" s="1"/>
  <c r="O606" i="6"/>
  <c r="O618" i="9" s="1"/>
  <c r="N606" i="6"/>
  <c r="N618" i="9" s="1"/>
  <c r="O605" i="6"/>
  <c r="O617" i="9" s="1"/>
  <c r="N605" i="6"/>
  <c r="N617" i="9" s="1"/>
  <c r="O604" i="6"/>
  <c r="O616" i="9" s="1"/>
  <c r="N604" i="6"/>
  <c r="N616" i="9" s="1"/>
  <c r="O603" i="6"/>
  <c r="O615" i="9" s="1"/>
  <c r="N603" i="6"/>
  <c r="N615" i="9" s="1"/>
  <c r="O602" i="6"/>
  <c r="O614" i="9" s="1"/>
  <c r="N602" i="6"/>
  <c r="N614" i="9" s="1"/>
  <c r="O601" i="6"/>
  <c r="O613" i="9" s="1"/>
  <c r="N601" i="6"/>
  <c r="N613" i="9" s="1"/>
  <c r="O600" i="6"/>
  <c r="O612" i="9" s="1"/>
  <c r="N600" i="6"/>
  <c r="N612" i="9" s="1"/>
  <c r="O599" i="6"/>
  <c r="O611" i="9" s="1"/>
  <c r="N599" i="6"/>
  <c r="N611" i="9" s="1"/>
  <c r="O598" i="6"/>
  <c r="O610" i="9" s="1"/>
  <c r="N598" i="6"/>
  <c r="N610" i="9" s="1"/>
  <c r="O597" i="6"/>
  <c r="O609" i="9" s="1"/>
  <c r="N597" i="6"/>
  <c r="N609" i="9" s="1"/>
  <c r="O596" i="6"/>
  <c r="O608" i="9" s="1"/>
  <c r="N596" i="6"/>
  <c r="N608" i="9" s="1"/>
  <c r="O595" i="6"/>
  <c r="O607" i="9" s="1"/>
  <c r="N595" i="6"/>
  <c r="N607" i="9" s="1"/>
  <c r="O594" i="6"/>
  <c r="O606" i="9" s="1"/>
  <c r="N594" i="6"/>
  <c r="N606" i="9" s="1"/>
  <c r="O593" i="6"/>
  <c r="O605" i="9" s="1"/>
  <c r="N593" i="6"/>
  <c r="N605" i="9" s="1"/>
  <c r="O592" i="6"/>
  <c r="O604" i="9" s="1"/>
  <c r="N592" i="6"/>
  <c r="N604" i="9" s="1"/>
  <c r="O591" i="6"/>
  <c r="O603" i="9" s="1"/>
  <c r="N591" i="6"/>
  <c r="N603" i="9" s="1"/>
  <c r="O590" i="6"/>
  <c r="O602" i="9" s="1"/>
  <c r="N590" i="6"/>
  <c r="N602" i="9" s="1"/>
  <c r="O589" i="6"/>
  <c r="O601" i="9" s="1"/>
  <c r="N589" i="6"/>
  <c r="N601" i="9" s="1"/>
  <c r="O588" i="6"/>
  <c r="O600" i="9" s="1"/>
  <c r="N588" i="6"/>
  <c r="N600" i="9" s="1"/>
  <c r="O587" i="6"/>
  <c r="O599" i="9" s="1"/>
  <c r="N587" i="6"/>
  <c r="N599" i="9" s="1"/>
  <c r="O586" i="6"/>
  <c r="O598" i="9" s="1"/>
  <c r="N586" i="6"/>
  <c r="N598" i="9" s="1"/>
  <c r="O585" i="6"/>
  <c r="O597" i="9" s="1"/>
  <c r="N585" i="6"/>
  <c r="N597" i="9" s="1"/>
  <c r="O584" i="6"/>
  <c r="O596" i="9" s="1"/>
  <c r="N584" i="6"/>
  <c r="N596" i="9" s="1"/>
  <c r="O583" i="6"/>
  <c r="O595" i="9" s="1"/>
  <c r="N583" i="6"/>
  <c r="N595" i="9" s="1"/>
  <c r="O582" i="6"/>
  <c r="O594" i="9" s="1"/>
  <c r="N582" i="6"/>
  <c r="N594" i="9" s="1"/>
  <c r="O581" i="6"/>
  <c r="O593" i="9" s="1"/>
  <c r="N581" i="6"/>
  <c r="N593" i="9" s="1"/>
  <c r="O580" i="6"/>
  <c r="O592" i="9" s="1"/>
  <c r="N580" i="6"/>
  <c r="N592" i="9" s="1"/>
  <c r="O579" i="6"/>
  <c r="O591" i="9" s="1"/>
  <c r="N579" i="6"/>
  <c r="N591" i="9" s="1"/>
  <c r="O578" i="6"/>
  <c r="O590" i="9" s="1"/>
  <c r="N578" i="6"/>
  <c r="N590" i="9" s="1"/>
  <c r="O577" i="6"/>
  <c r="O589" i="9" s="1"/>
  <c r="N577" i="6"/>
  <c r="N589" i="9" s="1"/>
  <c r="O576" i="6"/>
  <c r="O588" i="9" s="1"/>
  <c r="N576" i="6"/>
  <c r="N588" i="9" s="1"/>
  <c r="O575" i="6"/>
  <c r="O587" i="9" s="1"/>
  <c r="N575" i="6"/>
  <c r="N587" i="9" s="1"/>
  <c r="O574" i="6"/>
  <c r="O586" i="9" s="1"/>
  <c r="N574" i="6"/>
  <c r="N586" i="9" s="1"/>
  <c r="O573" i="6"/>
  <c r="O585" i="9" s="1"/>
  <c r="N573" i="6"/>
  <c r="N585" i="9" s="1"/>
  <c r="O572" i="6"/>
  <c r="O584" i="9" s="1"/>
  <c r="N572" i="6"/>
  <c r="N584" i="9" s="1"/>
  <c r="O571" i="6"/>
  <c r="O583" i="9" s="1"/>
  <c r="N571" i="6"/>
  <c r="N583" i="9" s="1"/>
  <c r="O570" i="6"/>
  <c r="O582" i="9" s="1"/>
  <c r="N570" i="6"/>
  <c r="N582" i="9" s="1"/>
  <c r="O569" i="6"/>
  <c r="O581" i="9" s="1"/>
  <c r="N569" i="6"/>
  <c r="N581" i="9" s="1"/>
  <c r="O568" i="6"/>
  <c r="O580" i="9" s="1"/>
  <c r="N568" i="6"/>
  <c r="N580" i="9" s="1"/>
  <c r="O567" i="6"/>
  <c r="O579" i="9" s="1"/>
  <c r="N567" i="6"/>
  <c r="N579" i="9" s="1"/>
  <c r="O566" i="6"/>
  <c r="O578" i="9" s="1"/>
  <c r="N566" i="6"/>
  <c r="N578" i="9" s="1"/>
  <c r="O565" i="6"/>
  <c r="O577" i="9" s="1"/>
  <c r="N565" i="6"/>
  <c r="N577" i="9" s="1"/>
  <c r="O564" i="6"/>
  <c r="O576" i="9" s="1"/>
  <c r="N564" i="6"/>
  <c r="N576" i="9" s="1"/>
  <c r="O563" i="6"/>
  <c r="O575" i="9" s="1"/>
  <c r="N563" i="6"/>
  <c r="N575" i="9" s="1"/>
  <c r="O562" i="6"/>
  <c r="O574" i="9" s="1"/>
  <c r="N562" i="6"/>
  <c r="N574" i="9" s="1"/>
  <c r="O561" i="6"/>
  <c r="O573" i="9" s="1"/>
  <c r="N561" i="6"/>
  <c r="N573" i="9" s="1"/>
  <c r="O560" i="6"/>
  <c r="O572" i="9" s="1"/>
  <c r="N560" i="6"/>
  <c r="N572" i="9" s="1"/>
  <c r="O559" i="6"/>
  <c r="O571" i="9" s="1"/>
  <c r="N559" i="6"/>
  <c r="N571" i="9" s="1"/>
  <c r="O558" i="6"/>
  <c r="O570" i="9" s="1"/>
  <c r="N558" i="6"/>
  <c r="N570" i="9" s="1"/>
  <c r="O557" i="6"/>
  <c r="O569" i="9" s="1"/>
  <c r="N557" i="6"/>
  <c r="N569" i="9" s="1"/>
  <c r="O556" i="6"/>
  <c r="O568" i="9" s="1"/>
  <c r="N556" i="6"/>
  <c r="N568" i="9" s="1"/>
  <c r="O555" i="6"/>
  <c r="O567" i="9" s="1"/>
  <c r="N555" i="6"/>
  <c r="N567" i="9" s="1"/>
  <c r="O554" i="6"/>
  <c r="O566" i="9" s="1"/>
  <c r="N554" i="6"/>
  <c r="N566" i="9" s="1"/>
  <c r="O553" i="6"/>
  <c r="O565" i="9" s="1"/>
  <c r="N553" i="6"/>
  <c r="N565" i="9" s="1"/>
  <c r="O552" i="6"/>
  <c r="O564" i="9" s="1"/>
  <c r="N552" i="6"/>
  <c r="N564" i="9" s="1"/>
  <c r="O551" i="6"/>
  <c r="O563" i="9" s="1"/>
  <c r="N551" i="6"/>
  <c r="N563" i="9" s="1"/>
  <c r="O550" i="6"/>
  <c r="O562" i="9" s="1"/>
  <c r="N550" i="6"/>
  <c r="N562" i="9" s="1"/>
  <c r="O549" i="6"/>
  <c r="O561" i="9" s="1"/>
  <c r="N549" i="6"/>
  <c r="N561" i="9" s="1"/>
  <c r="O548" i="6"/>
  <c r="O560" i="9" s="1"/>
  <c r="N548" i="6"/>
  <c r="N560" i="9" s="1"/>
  <c r="O547" i="6"/>
  <c r="O559" i="9" s="1"/>
  <c r="N547" i="6"/>
  <c r="N559" i="9" s="1"/>
  <c r="O546" i="6"/>
  <c r="O558" i="9" s="1"/>
  <c r="N546" i="6"/>
  <c r="N558" i="9" s="1"/>
  <c r="O545" i="6"/>
  <c r="O557" i="9" s="1"/>
  <c r="N545" i="6"/>
  <c r="N557" i="9" s="1"/>
  <c r="O544" i="6"/>
  <c r="O556" i="9" s="1"/>
  <c r="N544" i="6"/>
  <c r="N556" i="9" s="1"/>
  <c r="O543" i="6"/>
  <c r="O555" i="9" s="1"/>
  <c r="N543" i="6"/>
  <c r="N555" i="9" s="1"/>
  <c r="O542" i="6"/>
  <c r="O554" i="9" s="1"/>
  <c r="N542" i="6"/>
  <c r="N554" i="9" s="1"/>
  <c r="O541" i="6"/>
  <c r="O553" i="9" s="1"/>
  <c r="N541" i="6"/>
  <c r="N553" i="9" s="1"/>
  <c r="O540" i="6"/>
  <c r="O552" i="9" s="1"/>
  <c r="N540" i="6"/>
  <c r="N552" i="9" s="1"/>
  <c r="O539" i="6"/>
  <c r="O551" i="9" s="1"/>
  <c r="N539" i="6"/>
  <c r="N551" i="9" s="1"/>
  <c r="O538" i="6"/>
  <c r="O550" i="9" s="1"/>
  <c r="N538" i="6"/>
  <c r="N550" i="9" s="1"/>
  <c r="O537" i="6"/>
  <c r="O549" i="9" s="1"/>
  <c r="N537" i="6"/>
  <c r="N549" i="9" s="1"/>
  <c r="O536" i="6"/>
  <c r="O548" i="9" s="1"/>
  <c r="N536" i="6"/>
  <c r="N548" i="9" s="1"/>
  <c r="O535" i="6"/>
  <c r="O547" i="9" s="1"/>
  <c r="N535" i="6"/>
  <c r="N547" i="9" s="1"/>
  <c r="O534" i="6"/>
  <c r="O546" i="9" s="1"/>
  <c r="N534" i="6"/>
  <c r="N546" i="9" s="1"/>
  <c r="O533" i="6"/>
  <c r="O545" i="9" s="1"/>
  <c r="N533" i="6"/>
  <c r="N545" i="9" s="1"/>
  <c r="O532" i="6"/>
  <c r="O544" i="9" s="1"/>
  <c r="N532" i="6"/>
  <c r="N544" i="9" s="1"/>
  <c r="O531" i="6"/>
  <c r="O543" i="9" s="1"/>
  <c r="N531" i="6"/>
  <c r="N543" i="9" s="1"/>
  <c r="O530" i="6"/>
  <c r="O542" i="9" s="1"/>
  <c r="N530" i="6"/>
  <c r="N542" i="9" s="1"/>
  <c r="O529" i="6"/>
  <c r="O541" i="9" s="1"/>
  <c r="N529" i="6"/>
  <c r="N541" i="9" s="1"/>
  <c r="O528" i="6"/>
  <c r="O540" i="9" s="1"/>
  <c r="N528" i="6"/>
  <c r="N540" i="9" s="1"/>
  <c r="O527" i="6"/>
  <c r="O539" i="9" s="1"/>
  <c r="N527" i="6"/>
  <c r="N539" i="9" s="1"/>
  <c r="O526" i="6"/>
  <c r="O538" i="9" s="1"/>
  <c r="N526" i="6"/>
  <c r="N538" i="9" s="1"/>
  <c r="O525" i="6"/>
  <c r="O537" i="9" s="1"/>
  <c r="N525" i="6"/>
  <c r="N537" i="9" s="1"/>
  <c r="O524" i="6"/>
  <c r="O536" i="9" s="1"/>
  <c r="N524" i="6"/>
  <c r="N536" i="9" s="1"/>
  <c r="O523" i="6"/>
  <c r="O535" i="9" s="1"/>
  <c r="N523" i="6"/>
  <c r="N535" i="9" s="1"/>
  <c r="O522" i="6"/>
  <c r="O534" i="9" s="1"/>
  <c r="N522" i="6"/>
  <c r="N534" i="9" s="1"/>
  <c r="O521" i="6"/>
  <c r="O533" i="9" s="1"/>
  <c r="N521" i="6"/>
  <c r="N533" i="9" s="1"/>
  <c r="O520" i="6"/>
  <c r="O532" i="9" s="1"/>
  <c r="N520" i="6"/>
  <c r="N532" i="9" s="1"/>
  <c r="O519" i="6"/>
  <c r="O531" i="9" s="1"/>
  <c r="N519" i="6"/>
  <c r="N531" i="9" s="1"/>
  <c r="O518" i="6"/>
  <c r="O530" i="9" s="1"/>
  <c r="N518" i="6"/>
  <c r="N530" i="9" s="1"/>
  <c r="O517" i="6"/>
  <c r="O529" i="9" s="1"/>
  <c r="N517" i="6"/>
  <c r="N529" i="9" s="1"/>
  <c r="O516" i="6"/>
  <c r="O528" i="9" s="1"/>
  <c r="N516" i="6"/>
  <c r="N528" i="9" s="1"/>
  <c r="O515" i="6"/>
  <c r="O527" i="9" s="1"/>
  <c r="N515" i="6"/>
  <c r="N527" i="9" s="1"/>
  <c r="O514" i="6"/>
  <c r="O526" i="9" s="1"/>
  <c r="N514" i="6"/>
  <c r="N526" i="9" s="1"/>
  <c r="O513" i="6"/>
  <c r="O525" i="9" s="1"/>
  <c r="N513" i="6"/>
  <c r="N525" i="9" s="1"/>
  <c r="O512" i="6"/>
  <c r="O524" i="9" s="1"/>
  <c r="N512" i="6"/>
  <c r="N524" i="9" s="1"/>
  <c r="O511" i="6"/>
  <c r="O523" i="9" s="1"/>
  <c r="N511" i="6"/>
  <c r="N523" i="9" s="1"/>
  <c r="O510" i="6"/>
  <c r="O522" i="9" s="1"/>
  <c r="N510" i="6"/>
  <c r="N522" i="9" s="1"/>
  <c r="O509" i="6"/>
  <c r="O521" i="9" s="1"/>
  <c r="N509" i="6"/>
  <c r="N521" i="9" s="1"/>
  <c r="O508" i="6"/>
  <c r="O520" i="9" s="1"/>
  <c r="N508" i="6"/>
  <c r="N520" i="9" s="1"/>
  <c r="O507" i="6"/>
  <c r="O519" i="9" s="1"/>
  <c r="N507" i="6"/>
  <c r="N519" i="9" s="1"/>
  <c r="O506" i="6"/>
  <c r="O518" i="9" s="1"/>
  <c r="N506" i="6"/>
  <c r="N518" i="9" s="1"/>
  <c r="O505" i="6"/>
  <c r="O517" i="9" s="1"/>
  <c r="N505" i="6"/>
  <c r="N517" i="9" s="1"/>
  <c r="O504" i="6"/>
  <c r="O516" i="9" s="1"/>
  <c r="N504" i="6"/>
  <c r="N516" i="9" s="1"/>
  <c r="O503" i="6"/>
  <c r="O515" i="9" s="1"/>
  <c r="N503" i="6"/>
  <c r="N515" i="9" s="1"/>
  <c r="O502" i="6"/>
  <c r="O514" i="9" s="1"/>
  <c r="N502" i="6"/>
  <c r="N514" i="9" s="1"/>
  <c r="O501" i="6"/>
  <c r="O513" i="9" s="1"/>
  <c r="N501" i="6"/>
  <c r="N513" i="9" s="1"/>
  <c r="O500" i="6"/>
  <c r="O512" i="9" s="1"/>
  <c r="N500" i="6"/>
  <c r="N512" i="9" s="1"/>
  <c r="O499" i="6"/>
  <c r="O511" i="9" s="1"/>
  <c r="N499" i="6"/>
  <c r="N511" i="9" s="1"/>
  <c r="O498" i="6"/>
  <c r="O510" i="9" s="1"/>
  <c r="N498" i="6"/>
  <c r="N510" i="9" s="1"/>
  <c r="O497" i="6"/>
  <c r="O509" i="9" s="1"/>
  <c r="N497" i="6"/>
  <c r="N509" i="9" s="1"/>
  <c r="O496" i="6"/>
  <c r="O508" i="9" s="1"/>
  <c r="N496" i="6"/>
  <c r="N508" i="9" s="1"/>
  <c r="O495" i="6"/>
  <c r="O507" i="9" s="1"/>
  <c r="N495" i="6"/>
  <c r="N507" i="9" s="1"/>
  <c r="O494" i="6"/>
  <c r="O506" i="9" s="1"/>
  <c r="N494" i="6"/>
  <c r="N506" i="9" s="1"/>
  <c r="O493" i="6"/>
  <c r="O505" i="9" s="1"/>
  <c r="N493" i="6"/>
  <c r="N505" i="9" s="1"/>
  <c r="O492" i="6"/>
  <c r="O504" i="9" s="1"/>
  <c r="N492" i="6"/>
  <c r="N504" i="9" s="1"/>
  <c r="O491" i="6"/>
  <c r="O503" i="9" s="1"/>
  <c r="N491" i="6"/>
  <c r="N503" i="9" s="1"/>
  <c r="O490" i="6"/>
  <c r="O502" i="9" s="1"/>
  <c r="N490" i="6"/>
  <c r="N502" i="9" s="1"/>
  <c r="O489" i="6"/>
  <c r="O501" i="9" s="1"/>
  <c r="N489" i="6"/>
  <c r="N501" i="9" s="1"/>
  <c r="O488" i="6"/>
  <c r="O500" i="9" s="1"/>
  <c r="N488" i="6"/>
  <c r="N500" i="9" s="1"/>
  <c r="O487" i="6"/>
  <c r="O499" i="9" s="1"/>
  <c r="N487" i="6"/>
  <c r="N499" i="9" s="1"/>
  <c r="O486" i="6"/>
  <c r="O498" i="9" s="1"/>
  <c r="N486" i="6"/>
  <c r="N498" i="9" s="1"/>
  <c r="O485" i="6"/>
  <c r="O497" i="9" s="1"/>
  <c r="N485" i="6"/>
  <c r="N497" i="9" s="1"/>
  <c r="O484" i="6"/>
  <c r="O496" i="9" s="1"/>
  <c r="N484" i="6"/>
  <c r="N496" i="9" s="1"/>
  <c r="O483" i="6"/>
  <c r="O495" i="9" s="1"/>
  <c r="N483" i="6"/>
  <c r="N495" i="9" s="1"/>
  <c r="O482" i="6"/>
  <c r="O494" i="9" s="1"/>
  <c r="N482" i="6"/>
  <c r="N494" i="9" s="1"/>
  <c r="O481" i="6"/>
  <c r="O493" i="9" s="1"/>
  <c r="N481" i="6"/>
  <c r="N493" i="9" s="1"/>
  <c r="O480" i="6"/>
  <c r="O492" i="9" s="1"/>
  <c r="N480" i="6"/>
  <c r="N492" i="9" s="1"/>
  <c r="O479" i="6"/>
  <c r="O491" i="9" s="1"/>
  <c r="N479" i="6"/>
  <c r="N491" i="9" s="1"/>
  <c r="O478" i="6"/>
  <c r="O490" i="9" s="1"/>
  <c r="N478" i="6"/>
  <c r="N490" i="9" s="1"/>
  <c r="O477" i="6"/>
  <c r="O489" i="9" s="1"/>
  <c r="N477" i="6"/>
  <c r="N489" i="9" s="1"/>
  <c r="O476" i="6"/>
  <c r="O488" i="9" s="1"/>
  <c r="N476" i="6"/>
  <c r="N488" i="9" s="1"/>
  <c r="O475" i="6"/>
  <c r="O487" i="9" s="1"/>
  <c r="N475" i="6"/>
  <c r="N487" i="9" s="1"/>
  <c r="O474" i="6"/>
  <c r="O486" i="9" s="1"/>
  <c r="N474" i="6"/>
  <c r="N486" i="9" s="1"/>
  <c r="O473" i="6"/>
  <c r="O485" i="9" s="1"/>
  <c r="N473" i="6"/>
  <c r="N485" i="9" s="1"/>
  <c r="O472" i="6"/>
  <c r="O484" i="9" s="1"/>
  <c r="N472" i="6"/>
  <c r="N484" i="9" s="1"/>
  <c r="O471" i="6"/>
  <c r="O483" i="9" s="1"/>
  <c r="N471" i="6"/>
  <c r="N483" i="9" s="1"/>
  <c r="O470" i="6"/>
  <c r="O482" i="9" s="1"/>
  <c r="N470" i="6"/>
  <c r="N482" i="9" s="1"/>
  <c r="O469" i="6"/>
  <c r="O481" i="9" s="1"/>
  <c r="N469" i="6"/>
  <c r="N481" i="9" s="1"/>
  <c r="O468" i="6"/>
  <c r="O480" i="9" s="1"/>
  <c r="N468" i="6"/>
  <c r="N480" i="9" s="1"/>
  <c r="O467" i="6"/>
  <c r="O479" i="9" s="1"/>
  <c r="N467" i="6"/>
  <c r="N479" i="9" s="1"/>
  <c r="O466" i="6"/>
  <c r="O478" i="9" s="1"/>
  <c r="N466" i="6"/>
  <c r="N478" i="9" s="1"/>
  <c r="O465" i="6"/>
  <c r="O477" i="9" s="1"/>
  <c r="N465" i="6"/>
  <c r="N477" i="9" s="1"/>
  <c r="O464" i="6"/>
  <c r="O476" i="9" s="1"/>
  <c r="N464" i="6"/>
  <c r="N476" i="9" s="1"/>
  <c r="O463" i="6"/>
  <c r="O475" i="9" s="1"/>
  <c r="N463" i="6"/>
  <c r="N475" i="9" s="1"/>
  <c r="O462" i="6"/>
  <c r="O474" i="9" s="1"/>
  <c r="N462" i="6"/>
  <c r="N474" i="9" s="1"/>
  <c r="O461" i="6"/>
  <c r="O473" i="9" s="1"/>
  <c r="N461" i="6"/>
  <c r="N473" i="9" s="1"/>
  <c r="O460" i="6"/>
  <c r="O472" i="9" s="1"/>
  <c r="N460" i="6"/>
  <c r="N472" i="9" s="1"/>
  <c r="O459" i="6"/>
  <c r="O471" i="9" s="1"/>
  <c r="N459" i="6"/>
  <c r="N471" i="9" s="1"/>
  <c r="O458" i="6"/>
  <c r="O470" i="9" s="1"/>
  <c r="N458" i="6"/>
  <c r="N470" i="9" s="1"/>
  <c r="O457" i="6"/>
  <c r="O469" i="9" s="1"/>
  <c r="N457" i="6"/>
  <c r="N469" i="9" s="1"/>
  <c r="O456" i="6"/>
  <c r="O468" i="9" s="1"/>
  <c r="N456" i="6"/>
  <c r="N468" i="9" s="1"/>
  <c r="O455" i="6"/>
  <c r="O467" i="9" s="1"/>
  <c r="N455" i="6"/>
  <c r="N467" i="9" s="1"/>
  <c r="O454" i="6"/>
  <c r="O466" i="9" s="1"/>
  <c r="N454" i="6"/>
  <c r="N466" i="9" s="1"/>
  <c r="O453" i="6"/>
  <c r="O465" i="9" s="1"/>
  <c r="N453" i="6"/>
  <c r="N465" i="9" s="1"/>
  <c r="O452" i="6"/>
  <c r="O464" i="9" s="1"/>
  <c r="N452" i="6"/>
  <c r="N464" i="9" s="1"/>
  <c r="O451" i="6"/>
  <c r="O463" i="9" s="1"/>
  <c r="N451" i="6"/>
  <c r="N463" i="9" s="1"/>
  <c r="O450" i="6"/>
  <c r="O462" i="9" s="1"/>
  <c r="N450" i="6"/>
  <c r="N462" i="9" s="1"/>
  <c r="O449" i="6"/>
  <c r="O461" i="9" s="1"/>
  <c r="N449" i="6"/>
  <c r="N461" i="9" s="1"/>
  <c r="O448" i="6"/>
  <c r="O460" i="9" s="1"/>
  <c r="N448" i="6"/>
  <c r="N460" i="9" s="1"/>
  <c r="O447" i="6"/>
  <c r="O459" i="9" s="1"/>
  <c r="N447" i="6"/>
  <c r="N459" i="9" s="1"/>
  <c r="O446" i="6"/>
  <c r="O458" i="9" s="1"/>
  <c r="N446" i="6"/>
  <c r="N458" i="9" s="1"/>
  <c r="O445" i="6"/>
  <c r="O457" i="9" s="1"/>
  <c r="N445" i="6"/>
  <c r="N457" i="9" s="1"/>
  <c r="O444" i="6"/>
  <c r="O456" i="9" s="1"/>
  <c r="N444" i="6"/>
  <c r="N456" i="9" s="1"/>
  <c r="O443" i="6"/>
  <c r="O455" i="9" s="1"/>
  <c r="N443" i="6"/>
  <c r="N455" i="9" s="1"/>
  <c r="O442" i="6"/>
  <c r="O454" i="9" s="1"/>
  <c r="N442" i="6"/>
  <c r="N454" i="9" s="1"/>
  <c r="O441" i="6"/>
  <c r="O453" i="9" s="1"/>
  <c r="N441" i="6"/>
  <c r="N453" i="9" s="1"/>
  <c r="O440" i="6"/>
  <c r="O452" i="9" s="1"/>
  <c r="N440" i="6"/>
  <c r="N452" i="9" s="1"/>
  <c r="O439" i="6"/>
  <c r="O451" i="9" s="1"/>
  <c r="N439" i="6"/>
  <c r="N451" i="9" s="1"/>
  <c r="O438" i="6"/>
  <c r="O450" i="9" s="1"/>
  <c r="N438" i="6"/>
  <c r="N450" i="9" s="1"/>
  <c r="O437" i="6"/>
  <c r="O449" i="9" s="1"/>
  <c r="N437" i="6"/>
  <c r="N449" i="9" s="1"/>
  <c r="O436" i="6"/>
  <c r="O448" i="9" s="1"/>
  <c r="N436" i="6"/>
  <c r="N448" i="9" s="1"/>
  <c r="O435" i="6"/>
  <c r="O447" i="9" s="1"/>
  <c r="N435" i="6"/>
  <c r="N447" i="9" s="1"/>
  <c r="O434" i="6"/>
  <c r="O446" i="9" s="1"/>
  <c r="N434" i="6"/>
  <c r="N446" i="9" s="1"/>
  <c r="O433" i="6"/>
  <c r="O445" i="9" s="1"/>
  <c r="N433" i="6"/>
  <c r="N445" i="9" s="1"/>
  <c r="O432" i="6"/>
  <c r="O444" i="9" s="1"/>
  <c r="N432" i="6"/>
  <c r="N444" i="9" s="1"/>
  <c r="O431" i="6"/>
  <c r="O443" i="9" s="1"/>
  <c r="N431" i="6"/>
  <c r="N443" i="9" s="1"/>
  <c r="O430" i="6"/>
  <c r="O442" i="9" s="1"/>
  <c r="N430" i="6"/>
  <c r="N442" i="9" s="1"/>
  <c r="O429" i="6"/>
  <c r="O441" i="9" s="1"/>
  <c r="N429" i="6"/>
  <c r="N441" i="9" s="1"/>
  <c r="O428" i="6"/>
  <c r="O440" i="9" s="1"/>
  <c r="N428" i="6"/>
  <c r="N440" i="9" s="1"/>
  <c r="O427" i="6"/>
  <c r="O439" i="9" s="1"/>
  <c r="N427" i="6"/>
  <c r="N439" i="9" s="1"/>
  <c r="O426" i="6"/>
  <c r="O438" i="9" s="1"/>
  <c r="N426" i="6"/>
  <c r="N438" i="9" s="1"/>
  <c r="O425" i="6"/>
  <c r="O437" i="9" s="1"/>
  <c r="N425" i="6"/>
  <c r="N437" i="9" s="1"/>
  <c r="O424" i="6"/>
  <c r="O436" i="9" s="1"/>
  <c r="N424" i="6"/>
  <c r="N436" i="9" s="1"/>
  <c r="O423" i="6"/>
  <c r="O435" i="9" s="1"/>
  <c r="N423" i="6"/>
  <c r="N435" i="9" s="1"/>
  <c r="O422" i="6"/>
  <c r="O434" i="9" s="1"/>
  <c r="N422" i="6"/>
  <c r="N434" i="9" s="1"/>
  <c r="O421" i="6"/>
  <c r="O433" i="9" s="1"/>
  <c r="N421" i="6"/>
  <c r="N433" i="9" s="1"/>
  <c r="O420" i="6"/>
  <c r="O432" i="9" s="1"/>
  <c r="N420" i="6"/>
  <c r="N432" i="9" s="1"/>
  <c r="O419" i="6"/>
  <c r="O431" i="9" s="1"/>
  <c r="N419" i="6"/>
  <c r="N431" i="9" s="1"/>
  <c r="O418" i="6"/>
  <c r="O430" i="9" s="1"/>
  <c r="N418" i="6"/>
  <c r="N430" i="9" s="1"/>
  <c r="O417" i="6"/>
  <c r="O429" i="9" s="1"/>
  <c r="N417" i="6"/>
  <c r="N429" i="9" s="1"/>
  <c r="O416" i="6"/>
  <c r="O428" i="9" s="1"/>
  <c r="N416" i="6"/>
  <c r="N428" i="9" s="1"/>
  <c r="O415" i="6"/>
  <c r="O427" i="9" s="1"/>
  <c r="N415" i="6"/>
  <c r="N427" i="9" s="1"/>
  <c r="O414" i="6"/>
  <c r="O426" i="9" s="1"/>
  <c r="N414" i="6"/>
  <c r="N426" i="9" s="1"/>
  <c r="O413" i="6"/>
  <c r="O425" i="9" s="1"/>
  <c r="N413" i="6"/>
  <c r="N425" i="9" s="1"/>
  <c r="O412" i="6"/>
  <c r="O424" i="9" s="1"/>
  <c r="N412" i="6"/>
  <c r="N424" i="9" s="1"/>
  <c r="O411" i="6"/>
  <c r="O423" i="9" s="1"/>
  <c r="N411" i="6"/>
  <c r="N423" i="9" s="1"/>
  <c r="O410" i="6"/>
  <c r="O422" i="9" s="1"/>
  <c r="N410" i="6"/>
  <c r="N422" i="9" s="1"/>
  <c r="O409" i="6"/>
  <c r="O421" i="9" s="1"/>
  <c r="N409" i="6"/>
  <c r="N421" i="9" s="1"/>
  <c r="O408" i="6"/>
  <c r="O420" i="9" s="1"/>
  <c r="N408" i="6"/>
  <c r="N420" i="9" s="1"/>
  <c r="O407" i="6"/>
  <c r="O419" i="9" s="1"/>
  <c r="N407" i="6"/>
  <c r="N419" i="9" s="1"/>
  <c r="O406" i="6"/>
  <c r="O418" i="9" s="1"/>
  <c r="N406" i="6"/>
  <c r="N418" i="9" s="1"/>
  <c r="O405" i="6"/>
  <c r="O417" i="9" s="1"/>
  <c r="N405" i="6"/>
  <c r="N417" i="9" s="1"/>
  <c r="O404" i="6"/>
  <c r="O416" i="9" s="1"/>
  <c r="N404" i="6"/>
  <c r="N416" i="9" s="1"/>
  <c r="O403" i="6"/>
  <c r="O415" i="9" s="1"/>
  <c r="N403" i="6"/>
  <c r="N415" i="9" s="1"/>
  <c r="O402" i="6"/>
  <c r="O414" i="9" s="1"/>
  <c r="N402" i="6"/>
  <c r="N414" i="9" s="1"/>
  <c r="O401" i="6"/>
  <c r="O413" i="9" s="1"/>
  <c r="N401" i="6"/>
  <c r="N413" i="9" s="1"/>
  <c r="O400" i="6"/>
  <c r="O412" i="9" s="1"/>
  <c r="N400" i="6"/>
  <c r="N412" i="9" s="1"/>
  <c r="O399" i="6"/>
  <c r="O411" i="9" s="1"/>
  <c r="N399" i="6"/>
  <c r="N411" i="9" s="1"/>
  <c r="O398" i="6"/>
  <c r="O410" i="9" s="1"/>
  <c r="N398" i="6"/>
  <c r="N410" i="9" s="1"/>
  <c r="O397" i="6"/>
  <c r="O409" i="9" s="1"/>
  <c r="N397" i="6"/>
  <c r="N409" i="9" s="1"/>
  <c r="O396" i="6"/>
  <c r="O408" i="9" s="1"/>
  <c r="N396" i="6"/>
  <c r="N408" i="9" s="1"/>
  <c r="O395" i="6"/>
  <c r="O407" i="9" s="1"/>
  <c r="N395" i="6"/>
  <c r="N407" i="9" s="1"/>
  <c r="O394" i="6"/>
  <c r="O406" i="9" s="1"/>
  <c r="N394" i="6"/>
  <c r="N406" i="9" s="1"/>
  <c r="O393" i="6"/>
  <c r="O405" i="9" s="1"/>
  <c r="N393" i="6"/>
  <c r="N405" i="9" s="1"/>
  <c r="O392" i="6"/>
  <c r="O404" i="9" s="1"/>
  <c r="N392" i="6"/>
  <c r="N404" i="9" s="1"/>
  <c r="O391" i="6"/>
  <c r="O403" i="9" s="1"/>
  <c r="N391" i="6"/>
  <c r="N403" i="9" s="1"/>
  <c r="O390" i="6"/>
  <c r="O402" i="9" s="1"/>
  <c r="N390" i="6"/>
  <c r="N402" i="9" s="1"/>
  <c r="O389" i="6"/>
  <c r="O401" i="9" s="1"/>
  <c r="N389" i="6"/>
  <c r="N401" i="9" s="1"/>
  <c r="O388" i="6"/>
  <c r="O400" i="9" s="1"/>
  <c r="N388" i="6"/>
  <c r="N400" i="9" s="1"/>
  <c r="O387" i="6"/>
  <c r="O399" i="9" s="1"/>
  <c r="N387" i="6"/>
  <c r="N399" i="9" s="1"/>
  <c r="O386" i="6"/>
  <c r="O398" i="9" s="1"/>
  <c r="N386" i="6"/>
  <c r="N398" i="9" s="1"/>
  <c r="O385" i="6"/>
  <c r="O397" i="9" s="1"/>
  <c r="N385" i="6"/>
  <c r="N397" i="9" s="1"/>
  <c r="O384" i="6"/>
  <c r="O396" i="9" s="1"/>
  <c r="N384" i="6"/>
  <c r="N396" i="9" s="1"/>
  <c r="O383" i="6"/>
  <c r="O395" i="9" s="1"/>
  <c r="N383" i="6"/>
  <c r="N395" i="9" s="1"/>
  <c r="O382" i="6"/>
  <c r="O394" i="9" s="1"/>
  <c r="N382" i="6"/>
  <c r="N394" i="9" s="1"/>
  <c r="O381" i="6"/>
  <c r="O393" i="9" s="1"/>
  <c r="N381" i="6"/>
  <c r="N393" i="9" s="1"/>
  <c r="O380" i="6"/>
  <c r="O392" i="9" s="1"/>
  <c r="N380" i="6"/>
  <c r="N392" i="9" s="1"/>
  <c r="O379" i="6"/>
  <c r="O391" i="9" s="1"/>
  <c r="N379" i="6"/>
  <c r="N391" i="9" s="1"/>
  <c r="O378" i="6"/>
  <c r="O390" i="9" s="1"/>
  <c r="N378" i="6"/>
  <c r="N390" i="9" s="1"/>
  <c r="O377" i="6"/>
  <c r="O389" i="9" s="1"/>
  <c r="N377" i="6"/>
  <c r="N389" i="9" s="1"/>
  <c r="O376" i="6"/>
  <c r="O388" i="9" s="1"/>
  <c r="N376" i="6"/>
  <c r="N388" i="9" s="1"/>
  <c r="O375" i="6"/>
  <c r="O387" i="9" s="1"/>
  <c r="N375" i="6"/>
  <c r="N387" i="9" s="1"/>
  <c r="O374" i="6"/>
  <c r="O386" i="9" s="1"/>
  <c r="N374" i="6"/>
  <c r="N386" i="9" s="1"/>
  <c r="O373" i="6"/>
  <c r="O385" i="9" s="1"/>
  <c r="N373" i="6"/>
  <c r="N385" i="9" s="1"/>
  <c r="O372" i="6"/>
  <c r="O384" i="9" s="1"/>
  <c r="N372" i="6"/>
  <c r="N384" i="9" s="1"/>
  <c r="O371" i="6"/>
  <c r="O383" i="9" s="1"/>
  <c r="N371" i="6"/>
  <c r="N383" i="9" s="1"/>
  <c r="O370" i="6"/>
  <c r="O382" i="9" s="1"/>
  <c r="N370" i="6"/>
  <c r="N382" i="9" s="1"/>
  <c r="O369" i="6"/>
  <c r="O381" i="9" s="1"/>
  <c r="N369" i="6"/>
  <c r="N381" i="9" s="1"/>
  <c r="O368" i="6"/>
  <c r="O380" i="9" s="1"/>
  <c r="N368" i="6"/>
  <c r="N380" i="9" s="1"/>
  <c r="O367" i="6"/>
  <c r="O379" i="9" s="1"/>
  <c r="N367" i="6"/>
  <c r="N379" i="9" s="1"/>
  <c r="O366" i="6"/>
  <c r="O378" i="9" s="1"/>
  <c r="N366" i="6"/>
  <c r="N378" i="9" s="1"/>
  <c r="O365" i="6"/>
  <c r="O377" i="9" s="1"/>
  <c r="N365" i="6"/>
  <c r="N377" i="9" s="1"/>
  <c r="O364" i="6"/>
  <c r="O376" i="9" s="1"/>
  <c r="N364" i="6"/>
  <c r="N376" i="9" s="1"/>
  <c r="O363" i="6"/>
  <c r="O375" i="9" s="1"/>
  <c r="N363" i="6"/>
  <c r="N375" i="9" s="1"/>
  <c r="O362" i="6"/>
  <c r="O374" i="9" s="1"/>
  <c r="N362" i="6"/>
  <c r="N374" i="9" s="1"/>
  <c r="O361" i="6"/>
  <c r="O373" i="9" s="1"/>
  <c r="N361" i="6"/>
  <c r="N373" i="9" s="1"/>
  <c r="O360" i="6"/>
  <c r="O372" i="9" s="1"/>
  <c r="N360" i="6"/>
  <c r="N372" i="9" s="1"/>
  <c r="O359" i="6"/>
  <c r="O371" i="9" s="1"/>
  <c r="N359" i="6"/>
  <c r="N371" i="9" s="1"/>
  <c r="O358" i="6"/>
  <c r="O370" i="9" s="1"/>
  <c r="N358" i="6"/>
  <c r="N370" i="9" s="1"/>
  <c r="O357" i="6"/>
  <c r="O369" i="9" s="1"/>
  <c r="N357" i="6"/>
  <c r="N369" i="9" s="1"/>
  <c r="O356" i="6"/>
  <c r="O368" i="9" s="1"/>
  <c r="N356" i="6"/>
  <c r="N368" i="9" s="1"/>
  <c r="O355" i="6"/>
  <c r="O367" i="9" s="1"/>
  <c r="N355" i="6"/>
  <c r="N367" i="9" s="1"/>
  <c r="O354" i="6"/>
  <c r="O366" i="9" s="1"/>
  <c r="N354" i="6"/>
  <c r="N366" i="9" s="1"/>
  <c r="O353" i="6"/>
  <c r="O365" i="9" s="1"/>
  <c r="N353" i="6"/>
  <c r="N365" i="9" s="1"/>
  <c r="O352" i="6"/>
  <c r="O364" i="9" s="1"/>
  <c r="N352" i="6"/>
  <c r="N364" i="9" s="1"/>
  <c r="O351" i="6"/>
  <c r="O363" i="9" s="1"/>
  <c r="N351" i="6"/>
  <c r="N363" i="9" s="1"/>
  <c r="O350" i="6"/>
  <c r="O362" i="9" s="1"/>
  <c r="N350" i="6"/>
  <c r="N362" i="9" s="1"/>
  <c r="O349" i="6"/>
  <c r="O361" i="9" s="1"/>
  <c r="N349" i="6"/>
  <c r="N361" i="9" s="1"/>
  <c r="O348" i="6"/>
  <c r="O360" i="9" s="1"/>
  <c r="N348" i="6"/>
  <c r="N360" i="9" s="1"/>
  <c r="O347" i="6"/>
  <c r="O359" i="9" s="1"/>
  <c r="N347" i="6"/>
  <c r="N359" i="9" s="1"/>
  <c r="O346" i="6"/>
  <c r="O358" i="9" s="1"/>
  <c r="N346" i="6"/>
  <c r="N358" i="9" s="1"/>
  <c r="O345" i="6"/>
  <c r="O357" i="9" s="1"/>
  <c r="N345" i="6"/>
  <c r="N357" i="9" s="1"/>
  <c r="O344" i="6"/>
  <c r="O356" i="9" s="1"/>
  <c r="N344" i="6"/>
  <c r="N356" i="9" s="1"/>
  <c r="O343" i="6"/>
  <c r="O355" i="9" s="1"/>
  <c r="N343" i="6"/>
  <c r="N355" i="9" s="1"/>
  <c r="O342" i="6"/>
  <c r="O354" i="9" s="1"/>
  <c r="N342" i="6"/>
  <c r="N354" i="9" s="1"/>
  <c r="O341" i="6"/>
  <c r="O353" i="9" s="1"/>
  <c r="N341" i="6"/>
  <c r="N353" i="9" s="1"/>
  <c r="O340" i="6"/>
  <c r="O352" i="9" s="1"/>
  <c r="N340" i="6"/>
  <c r="N352" i="9" s="1"/>
  <c r="O339" i="6"/>
  <c r="O351" i="9" s="1"/>
  <c r="N339" i="6"/>
  <c r="N351" i="9" s="1"/>
  <c r="O338" i="6"/>
  <c r="O350" i="9" s="1"/>
  <c r="N338" i="6"/>
  <c r="N350" i="9" s="1"/>
  <c r="O337" i="6"/>
  <c r="O349" i="9" s="1"/>
  <c r="N337" i="6"/>
  <c r="N349" i="9" s="1"/>
  <c r="O336" i="6"/>
  <c r="O348" i="9" s="1"/>
  <c r="N336" i="6"/>
  <c r="N348" i="9" s="1"/>
  <c r="O335" i="6"/>
  <c r="O347" i="9" s="1"/>
  <c r="N335" i="6"/>
  <c r="N347" i="9" s="1"/>
  <c r="O334" i="6"/>
  <c r="O346" i="9" s="1"/>
  <c r="N334" i="6"/>
  <c r="N346" i="9" s="1"/>
  <c r="O333" i="6"/>
  <c r="O345" i="9" s="1"/>
  <c r="N333" i="6"/>
  <c r="N345" i="9" s="1"/>
  <c r="O332" i="6"/>
  <c r="O344" i="9" s="1"/>
  <c r="N332" i="6"/>
  <c r="N344" i="9" s="1"/>
  <c r="O331" i="6"/>
  <c r="O343" i="9" s="1"/>
  <c r="N331" i="6"/>
  <c r="N343" i="9" s="1"/>
  <c r="O330" i="6"/>
  <c r="O342" i="9" s="1"/>
  <c r="N330" i="6"/>
  <c r="N342" i="9" s="1"/>
  <c r="O329" i="6"/>
  <c r="O341" i="9" s="1"/>
  <c r="N329" i="6"/>
  <c r="N341" i="9" s="1"/>
  <c r="O328" i="6"/>
  <c r="O340" i="9" s="1"/>
  <c r="N328" i="6"/>
  <c r="N340" i="9" s="1"/>
  <c r="O327" i="6"/>
  <c r="O339" i="9" s="1"/>
  <c r="N327" i="6"/>
  <c r="N339" i="9" s="1"/>
  <c r="O326" i="6"/>
  <c r="O338" i="9" s="1"/>
  <c r="N326" i="6"/>
  <c r="N338" i="9" s="1"/>
  <c r="O325" i="6"/>
  <c r="O337" i="9" s="1"/>
  <c r="N325" i="6"/>
  <c r="N337" i="9" s="1"/>
  <c r="O324" i="6"/>
  <c r="O336" i="9" s="1"/>
  <c r="N324" i="6"/>
  <c r="N336" i="9" s="1"/>
  <c r="O323" i="6"/>
  <c r="O335" i="9" s="1"/>
  <c r="N323" i="6"/>
  <c r="N335" i="9" s="1"/>
  <c r="O322" i="6"/>
  <c r="O334" i="9" s="1"/>
  <c r="N322" i="6"/>
  <c r="N334" i="9" s="1"/>
  <c r="O321" i="6"/>
  <c r="O333" i="9" s="1"/>
  <c r="N321" i="6"/>
  <c r="N333" i="9" s="1"/>
  <c r="O320" i="6"/>
  <c r="O332" i="9" s="1"/>
  <c r="N320" i="6"/>
  <c r="N332" i="9" s="1"/>
  <c r="O319" i="6"/>
  <c r="O331" i="9" s="1"/>
  <c r="N319" i="6"/>
  <c r="N331" i="9" s="1"/>
  <c r="O318" i="6"/>
  <c r="O330" i="9" s="1"/>
  <c r="N318" i="6"/>
  <c r="N330" i="9" s="1"/>
  <c r="O317" i="6"/>
  <c r="O329" i="9" s="1"/>
  <c r="N317" i="6"/>
  <c r="N329" i="9" s="1"/>
  <c r="O316" i="6"/>
  <c r="O328" i="9" s="1"/>
  <c r="N316" i="6"/>
  <c r="N328" i="9" s="1"/>
  <c r="O315" i="6"/>
  <c r="O327" i="9" s="1"/>
  <c r="N315" i="6"/>
  <c r="N327" i="9" s="1"/>
  <c r="O314" i="6"/>
  <c r="O326" i="9" s="1"/>
  <c r="N314" i="6"/>
  <c r="N326" i="9" s="1"/>
  <c r="O313" i="6"/>
  <c r="O325" i="9" s="1"/>
  <c r="N313" i="6"/>
  <c r="N325" i="9" s="1"/>
  <c r="O312" i="6"/>
  <c r="O324" i="9" s="1"/>
  <c r="N312" i="6"/>
  <c r="N324" i="9" s="1"/>
  <c r="O311" i="6"/>
  <c r="O323" i="9" s="1"/>
  <c r="N311" i="6"/>
  <c r="N323" i="9" s="1"/>
  <c r="O310" i="6"/>
  <c r="O322" i="9" s="1"/>
  <c r="N310" i="6"/>
  <c r="N322" i="9" s="1"/>
  <c r="O309" i="6"/>
  <c r="O321" i="9" s="1"/>
  <c r="N309" i="6"/>
  <c r="N321" i="9" s="1"/>
  <c r="O308" i="6"/>
  <c r="O320" i="9" s="1"/>
  <c r="N308" i="6"/>
  <c r="N320" i="9" s="1"/>
  <c r="O307" i="6"/>
  <c r="O319" i="9" s="1"/>
  <c r="N307" i="6"/>
  <c r="N319" i="9" s="1"/>
  <c r="O306" i="6"/>
  <c r="O318" i="9" s="1"/>
  <c r="N306" i="6"/>
  <c r="N318" i="9" s="1"/>
  <c r="O305" i="6"/>
  <c r="O317" i="9" s="1"/>
  <c r="N305" i="6"/>
  <c r="N317" i="9" s="1"/>
  <c r="O304" i="6"/>
  <c r="O316" i="9" s="1"/>
  <c r="N304" i="6"/>
  <c r="N316" i="9" s="1"/>
  <c r="O303" i="6"/>
  <c r="O315" i="9" s="1"/>
  <c r="N303" i="6"/>
  <c r="N315" i="9" s="1"/>
  <c r="O302" i="6"/>
  <c r="O314" i="9" s="1"/>
  <c r="N302" i="6"/>
  <c r="N314" i="9" s="1"/>
  <c r="O301" i="6"/>
  <c r="O313" i="9" s="1"/>
  <c r="N301" i="6"/>
  <c r="N313" i="9" s="1"/>
  <c r="O300" i="6"/>
  <c r="O312" i="9" s="1"/>
  <c r="N300" i="6"/>
  <c r="N312" i="9" s="1"/>
  <c r="O299" i="6"/>
  <c r="O311" i="9" s="1"/>
  <c r="N299" i="6"/>
  <c r="N311" i="9" s="1"/>
  <c r="O298" i="6"/>
  <c r="O310" i="9" s="1"/>
  <c r="N298" i="6"/>
  <c r="N310" i="9" s="1"/>
  <c r="O297" i="6"/>
  <c r="O309" i="9" s="1"/>
  <c r="N297" i="6"/>
  <c r="N309" i="9" s="1"/>
  <c r="O296" i="6"/>
  <c r="O308" i="9" s="1"/>
  <c r="N296" i="6"/>
  <c r="N308" i="9" s="1"/>
  <c r="O295" i="6"/>
  <c r="O307" i="9" s="1"/>
  <c r="N295" i="6"/>
  <c r="N307" i="9" s="1"/>
  <c r="O294" i="6"/>
  <c r="O306" i="9" s="1"/>
  <c r="N294" i="6"/>
  <c r="N306" i="9" s="1"/>
  <c r="O293" i="6"/>
  <c r="O305" i="9" s="1"/>
  <c r="N293" i="6"/>
  <c r="N305" i="9" s="1"/>
  <c r="O292" i="6"/>
  <c r="O304" i="9" s="1"/>
  <c r="N292" i="6"/>
  <c r="N304" i="9" s="1"/>
  <c r="O291" i="6"/>
  <c r="O303" i="9" s="1"/>
  <c r="N291" i="6"/>
  <c r="N303" i="9" s="1"/>
  <c r="O290" i="6"/>
  <c r="O302" i="9" s="1"/>
  <c r="N290" i="6"/>
  <c r="N302" i="9" s="1"/>
  <c r="O289" i="6"/>
  <c r="O301" i="9" s="1"/>
  <c r="N289" i="6"/>
  <c r="N301" i="9" s="1"/>
  <c r="O288" i="6"/>
  <c r="O300" i="9" s="1"/>
  <c r="N288" i="6"/>
  <c r="N300" i="9" s="1"/>
  <c r="O287" i="6"/>
  <c r="O299" i="9" s="1"/>
  <c r="N287" i="6"/>
  <c r="N299" i="9" s="1"/>
  <c r="O286" i="6"/>
  <c r="O298" i="9" s="1"/>
  <c r="N286" i="6"/>
  <c r="N298" i="9" s="1"/>
  <c r="O285" i="6"/>
  <c r="O297" i="9" s="1"/>
  <c r="N285" i="6"/>
  <c r="N297" i="9" s="1"/>
  <c r="O284" i="6"/>
  <c r="O296" i="9" s="1"/>
  <c r="N284" i="6"/>
  <c r="N296" i="9" s="1"/>
  <c r="O283" i="6"/>
  <c r="O295" i="9" s="1"/>
  <c r="N283" i="6"/>
  <c r="N295" i="9" s="1"/>
  <c r="O282" i="6"/>
  <c r="O294" i="9" s="1"/>
  <c r="N282" i="6"/>
  <c r="N294" i="9" s="1"/>
  <c r="O281" i="6"/>
  <c r="O293" i="9" s="1"/>
  <c r="N281" i="6"/>
  <c r="N293" i="9" s="1"/>
  <c r="O280" i="6"/>
  <c r="O292" i="9" s="1"/>
  <c r="N280" i="6"/>
  <c r="N292" i="9" s="1"/>
  <c r="O279" i="6"/>
  <c r="O291" i="9" s="1"/>
  <c r="N279" i="6"/>
  <c r="N291" i="9" s="1"/>
  <c r="O278" i="6"/>
  <c r="O290" i="9" s="1"/>
  <c r="N278" i="6"/>
  <c r="N290" i="9" s="1"/>
  <c r="O277" i="6"/>
  <c r="O289" i="9" s="1"/>
  <c r="N277" i="6"/>
  <c r="N289" i="9" s="1"/>
  <c r="O276" i="6"/>
  <c r="O288" i="9" s="1"/>
  <c r="N276" i="6"/>
  <c r="N288" i="9" s="1"/>
  <c r="O275" i="6"/>
  <c r="O287" i="9" s="1"/>
  <c r="N275" i="6"/>
  <c r="N287" i="9" s="1"/>
  <c r="O274" i="6"/>
  <c r="O286" i="9" s="1"/>
  <c r="N274" i="6"/>
  <c r="N286" i="9" s="1"/>
  <c r="O273" i="6"/>
  <c r="O285" i="9" s="1"/>
  <c r="N273" i="6"/>
  <c r="N285" i="9" s="1"/>
  <c r="O272" i="6"/>
  <c r="O284" i="9" s="1"/>
  <c r="N272" i="6"/>
  <c r="N284" i="9" s="1"/>
  <c r="O271" i="6"/>
  <c r="O283" i="9" s="1"/>
  <c r="N271" i="6"/>
  <c r="N283" i="9" s="1"/>
  <c r="O270" i="6"/>
  <c r="O282" i="9" s="1"/>
  <c r="N270" i="6"/>
  <c r="N282" i="9" s="1"/>
  <c r="O269" i="6"/>
  <c r="O281" i="9" s="1"/>
  <c r="N269" i="6"/>
  <c r="N281" i="9" s="1"/>
  <c r="O268" i="6"/>
  <c r="O280" i="9" s="1"/>
  <c r="N268" i="6"/>
  <c r="N280" i="9" s="1"/>
  <c r="O267" i="6"/>
  <c r="O279" i="9" s="1"/>
  <c r="N267" i="6"/>
  <c r="N279" i="9" s="1"/>
  <c r="O266" i="6"/>
  <c r="O278" i="9" s="1"/>
  <c r="N266" i="6"/>
  <c r="N278" i="9" s="1"/>
  <c r="O265" i="6"/>
  <c r="O277" i="9" s="1"/>
  <c r="N265" i="6"/>
  <c r="N277" i="9" s="1"/>
  <c r="O264" i="6"/>
  <c r="O276" i="9" s="1"/>
  <c r="N264" i="6"/>
  <c r="N276" i="9" s="1"/>
  <c r="O263" i="6"/>
  <c r="O275" i="9" s="1"/>
  <c r="N263" i="6"/>
  <c r="N275" i="9" s="1"/>
  <c r="O262" i="6"/>
  <c r="O274" i="9" s="1"/>
  <c r="N262" i="6"/>
  <c r="N274" i="9" s="1"/>
  <c r="O261" i="6"/>
  <c r="O273" i="9" s="1"/>
  <c r="N261" i="6"/>
  <c r="N273" i="9" s="1"/>
  <c r="O260" i="6"/>
  <c r="O272" i="9" s="1"/>
  <c r="N260" i="6"/>
  <c r="N272" i="9" s="1"/>
  <c r="O259" i="6"/>
  <c r="O271" i="9" s="1"/>
  <c r="N259" i="6"/>
  <c r="N271" i="9" s="1"/>
  <c r="O258" i="6"/>
  <c r="O270" i="9" s="1"/>
  <c r="N258" i="6"/>
  <c r="N270" i="9" s="1"/>
  <c r="O257" i="6"/>
  <c r="O269" i="9" s="1"/>
  <c r="N257" i="6"/>
  <c r="N269" i="9" s="1"/>
  <c r="O256" i="6"/>
  <c r="O268" i="9" s="1"/>
  <c r="N256" i="6"/>
  <c r="N268" i="9" s="1"/>
  <c r="O255" i="6"/>
  <c r="O267" i="9" s="1"/>
  <c r="N255" i="6"/>
  <c r="N267" i="9" s="1"/>
  <c r="O254" i="6"/>
  <c r="O266" i="9" s="1"/>
  <c r="N254" i="6"/>
  <c r="N266" i="9" s="1"/>
  <c r="O253" i="6"/>
  <c r="O265" i="9" s="1"/>
  <c r="N253" i="6"/>
  <c r="N265" i="9" s="1"/>
  <c r="O252" i="6"/>
  <c r="O264" i="9" s="1"/>
  <c r="N252" i="6"/>
  <c r="N264" i="9" s="1"/>
  <c r="O251" i="6"/>
  <c r="O263" i="9" s="1"/>
  <c r="N251" i="6"/>
  <c r="N263" i="9" s="1"/>
  <c r="O250" i="6"/>
  <c r="O262" i="9" s="1"/>
  <c r="N250" i="6"/>
  <c r="N262" i="9" s="1"/>
  <c r="O249" i="6"/>
  <c r="O261" i="9" s="1"/>
  <c r="N249" i="6"/>
  <c r="N261" i="9" s="1"/>
  <c r="O248" i="6"/>
  <c r="O260" i="9" s="1"/>
  <c r="N248" i="6"/>
  <c r="N260" i="9" s="1"/>
  <c r="O247" i="6"/>
  <c r="O259" i="9" s="1"/>
  <c r="N247" i="6"/>
  <c r="N259" i="9" s="1"/>
  <c r="O246" i="6"/>
  <c r="O258" i="9" s="1"/>
  <c r="N246" i="6"/>
  <c r="N258" i="9" s="1"/>
  <c r="O245" i="6"/>
  <c r="O257" i="9" s="1"/>
  <c r="N245" i="6"/>
  <c r="N257" i="9" s="1"/>
  <c r="O244" i="6"/>
  <c r="O256" i="9" s="1"/>
  <c r="N244" i="6"/>
  <c r="N256" i="9" s="1"/>
  <c r="O243" i="6"/>
  <c r="O255" i="9" s="1"/>
  <c r="N243" i="6"/>
  <c r="N255" i="9" s="1"/>
  <c r="O242" i="6"/>
  <c r="O254" i="9" s="1"/>
  <c r="N242" i="6"/>
  <c r="N254" i="9" s="1"/>
  <c r="O241" i="6"/>
  <c r="O253" i="9" s="1"/>
  <c r="N241" i="6"/>
  <c r="N253" i="9" s="1"/>
  <c r="O240" i="6"/>
  <c r="O252" i="9" s="1"/>
  <c r="N240" i="6"/>
  <c r="N252" i="9" s="1"/>
  <c r="O239" i="6"/>
  <c r="O251" i="9" s="1"/>
  <c r="N239" i="6"/>
  <c r="N251" i="9" s="1"/>
  <c r="O238" i="6"/>
  <c r="O250" i="9" s="1"/>
  <c r="N238" i="6"/>
  <c r="N250" i="9" s="1"/>
  <c r="O237" i="6"/>
  <c r="O249" i="9" s="1"/>
  <c r="N237" i="6"/>
  <c r="N249" i="9" s="1"/>
  <c r="O236" i="6"/>
  <c r="O248" i="9" s="1"/>
  <c r="N236" i="6"/>
  <c r="N248" i="9" s="1"/>
  <c r="O235" i="6"/>
  <c r="O247" i="9" s="1"/>
  <c r="N235" i="6"/>
  <c r="N247" i="9" s="1"/>
  <c r="O234" i="6"/>
  <c r="O246" i="9" s="1"/>
  <c r="N234" i="6"/>
  <c r="N246" i="9" s="1"/>
  <c r="O233" i="6"/>
  <c r="O245" i="9" s="1"/>
  <c r="N233" i="6"/>
  <c r="N245" i="9" s="1"/>
  <c r="O232" i="6"/>
  <c r="O244" i="9" s="1"/>
  <c r="N232" i="6"/>
  <c r="N244" i="9" s="1"/>
  <c r="O231" i="6"/>
  <c r="O243" i="9" s="1"/>
  <c r="N231" i="6"/>
  <c r="N243" i="9" s="1"/>
  <c r="O230" i="6"/>
  <c r="O242" i="9" s="1"/>
  <c r="N230" i="6"/>
  <c r="N242" i="9" s="1"/>
  <c r="O229" i="6"/>
  <c r="O241" i="9" s="1"/>
  <c r="N229" i="6"/>
  <c r="N241" i="9" s="1"/>
  <c r="O228" i="6"/>
  <c r="O240" i="9" s="1"/>
  <c r="N228" i="6"/>
  <c r="N240" i="9" s="1"/>
  <c r="O227" i="6"/>
  <c r="O239" i="9" s="1"/>
  <c r="N227" i="6"/>
  <c r="N239" i="9" s="1"/>
  <c r="O226" i="6"/>
  <c r="O238" i="9" s="1"/>
  <c r="N226" i="6"/>
  <c r="N238" i="9" s="1"/>
  <c r="O225" i="6"/>
  <c r="O237" i="9" s="1"/>
  <c r="N225" i="6"/>
  <c r="N237" i="9" s="1"/>
  <c r="O224" i="6"/>
  <c r="O236" i="9" s="1"/>
  <c r="N224" i="6"/>
  <c r="N236" i="9" s="1"/>
  <c r="O223" i="6"/>
  <c r="O235" i="9" s="1"/>
  <c r="N223" i="6"/>
  <c r="N235" i="9" s="1"/>
  <c r="O222" i="6"/>
  <c r="O234" i="9" s="1"/>
  <c r="N222" i="6"/>
  <c r="N234" i="9" s="1"/>
  <c r="O221" i="6"/>
  <c r="O233" i="9" s="1"/>
  <c r="N221" i="6"/>
  <c r="N233" i="9" s="1"/>
  <c r="O220" i="6"/>
  <c r="O232" i="9" s="1"/>
  <c r="N220" i="6"/>
  <c r="N232" i="9" s="1"/>
  <c r="O219" i="6"/>
  <c r="O231" i="9" s="1"/>
  <c r="N219" i="6"/>
  <c r="N231" i="9" s="1"/>
  <c r="O218" i="6"/>
  <c r="O230" i="9" s="1"/>
  <c r="N218" i="6"/>
  <c r="N230" i="9" s="1"/>
  <c r="O217" i="6"/>
  <c r="O229" i="9" s="1"/>
  <c r="N217" i="6"/>
  <c r="N229" i="9" s="1"/>
  <c r="O216" i="6"/>
  <c r="O228" i="9" s="1"/>
  <c r="N216" i="6"/>
  <c r="N228" i="9" s="1"/>
  <c r="O215" i="6"/>
  <c r="O227" i="9" s="1"/>
  <c r="N215" i="6"/>
  <c r="N227" i="9" s="1"/>
  <c r="O214" i="6"/>
  <c r="O226" i="9" s="1"/>
  <c r="N214" i="6"/>
  <c r="N226" i="9" s="1"/>
  <c r="O213" i="6"/>
  <c r="O225" i="9" s="1"/>
  <c r="N213" i="6"/>
  <c r="N225" i="9" s="1"/>
  <c r="O212" i="6"/>
  <c r="O224" i="9" s="1"/>
  <c r="N212" i="6"/>
  <c r="N224" i="9" s="1"/>
  <c r="O211" i="6"/>
  <c r="O223" i="9" s="1"/>
  <c r="N211" i="6"/>
  <c r="N223" i="9" s="1"/>
  <c r="O210" i="6"/>
  <c r="O222" i="9" s="1"/>
  <c r="N210" i="6"/>
  <c r="N222" i="9" s="1"/>
  <c r="O209" i="6"/>
  <c r="O221" i="9" s="1"/>
  <c r="N209" i="6"/>
  <c r="N221" i="9" s="1"/>
  <c r="O208" i="6"/>
  <c r="O220" i="9" s="1"/>
  <c r="N208" i="6"/>
  <c r="N220" i="9" s="1"/>
  <c r="O207" i="6"/>
  <c r="O219" i="9" s="1"/>
  <c r="N207" i="6"/>
  <c r="N219" i="9" s="1"/>
  <c r="O206" i="6"/>
  <c r="O218" i="9" s="1"/>
  <c r="N206" i="6"/>
  <c r="N218" i="9" s="1"/>
  <c r="O205" i="6"/>
  <c r="O217" i="9" s="1"/>
  <c r="N205" i="6"/>
  <c r="N217" i="9" s="1"/>
  <c r="O204" i="6"/>
  <c r="O216" i="9" s="1"/>
  <c r="N204" i="6"/>
  <c r="N216" i="9" s="1"/>
  <c r="O203" i="6"/>
  <c r="O215" i="9" s="1"/>
  <c r="N203" i="6"/>
  <c r="N215" i="9" s="1"/>
  <c r="O202" i="6"/>
  <c r="O214" i="9" s="1"/>
  <c r="N202" i="6"/>
  <c r="N214" i="9" s="1"/>
  <c r="O201" i="6"/>
  <c r="O213" i="9" s="1"/>
  <c r="N201" i="6"/>
  <c r="N213" i="9" s="1"/>
  <c r="O200" i="6"/>
  <c r="O212" i="9" s="1"/>
  <c r="N200" i="6"/>
  <c r="N212" i="9" s="1"/>
  <c r="O199" i="6"/>
  <c r="O211" i="9" s="1"/>
  <c r="N199" i="6"/>
  <c r="N211" i="9" s="1"/>
  <c r="O198" i="6"/>
  <c r="O210" i="9" s="1"/>
  <c r="N198" i="6"/>
  <c r="N210" i="9" s="1"/>
  <c r="O197" i="6"/>
  <c r="O209" i="9" s="1"/>
  <c r="N197" i="6"/>
  <c r="N209" i="9" s="1"/>
  <c r="O196" i="6"/>
  <c r="O208" i="9" s="1"/>
  <c r="N196" i="6"/>
  <c r="N208" i="9" s="1"/>
  <c r="O195" i="6"/>
  <c r="O207" i="9" s="1"/>
  <c r="N195" i="6"/>
  <c r="N207" i="9" s="1"/>
  <c r="O194" i="6"/>
  <c r="O206" i="9" s="1"/>
  <c r="N194" i="6"/>
  <c r="N206" i="9" s="1"/>
  <c r="O193" i="6"/>
  <c r="O205" i="9" s="1"/>
  <c r="N193" i="6"/>
  <c r="N205" i="9" s="1"/>
  <c r="O192" i="6"/>
  <c r="O204" i="9" s="1"/>
  <c r="N192" i="6"/>
  <c r="N204" i="9" s="1"/>
  <c r="O191" i="6"/>
  <c r="O203" i="9" s="1"/>
  <c r="N191" i="6"/>
  <c r="N203" i="9" s="1"/>
  <c r="O190" i="6"/>
  <c r="O202" i="9" s="1"/>
  <c r="N190" i="6"/>
  <c r="N202" i="9" s="1"/>
  <c r="O189" i="6"/>
  <c r="O201" i="9" s="1"/>
  <c r="N189" i="6"/>
  <c r="N201" i="9" s="1"/>
  <c r="O188" i="6"/>
  <c r="O200" i="9" s="1"/>
  <c r="N188" i="6"/>
  <c r="N200" i="9" s="1"/>
  <c r="O187" i="6"/>
  <c r="O199" i="9" s="1"/>
  <c r="N187" i="6"/>
  <c r="N199" i="9" s="1"/>
  <c r="O186" i="6"/>
  <c r="O198" i="9" s="1"/>
  <c r="N186" i="6"/>
  <c r="N198" i="9" s="1"/>
  <c r="O185" i="6"/>
  <c r="O197" i="9" s="1"/>
  <c r="N185" i="6"/>
  <c r="N197" i="9" s="1"/>
  <c r="O184" i="6"/>
  <c r="O196" i="9" s="1"/>
  <c r="N184" i="6"/>
  <c r="N196" i="9" s="1"/>
  <c r="O183" i="6"/>
  <c r="O195" i="9" s="1"/>
  <c r="N183" i="6"/>
  <c r="N195" i="9" s="1"/>
  <c r="O182" i="6"/>
  <c r="O194" i="9" s="1"/>
  <c r="N182" i="6"/>
  <c r="N194" i="9" s="1"/>
  <c r="O181" i="6"/>
  <c r="O193" i="9" s="1"/>
  <c r="N181" i="6"/>
  <c r="N193" i="9" s="1"/>
  <c r="O180" i="6"/>
  <c r="O192" i="9" s="1"/>
  <c r="N180" i="6"/>
  <c r="N192" i="9" s="1"/>
  <c r="O179" i="6"/>
  <c r="O191" i="9" s="1"/>
  <c r="N179" i="6"/>
  <c r="N191" i="9" s="1"/>
  <c r="O178" i="6"/>
  <c r="O190" i="9" s="1"/>
  <c r="N178" i="6"/>
  <c r="N190" i="9" s="1"/>
  <c r="O177" i="6"/>
  <c r="O189" i="9" s="1"/>
  <c r="N177" i="6"/>
  <c r="N189" i="9" s="1"/>
  <c r="O176" i="6"/>
  <c r="O188" i="9" s="1"/>
  <c r="N176" i="6"/>
  <c r="N188" i="9" s="1"/>
  <c r="O175" i="6"/>
  <c r="O187" i="9" s="1"/>
  <c r="N175" i="6"/>
  <c r="N187" i="9" s="1"/>
  <c r="O174" i="6"/>
  <c r="O186" i="9" s="1"/>
  <c r="N174" i="6"/>
  <c r="N186" i="9" s="1"/>
  <c r="O173" i="6"/>
  <c r="O185" i="9" s="1"/>
  <c r="N173" i="6"/>
  <c r="N185" i="9" s="1"/>
  <c r="O172" i="6"/>
  <c r="O184" i="9" s="1"/>
  <c r="N172" i="6"/>
  <c r="N184" i="9" s="1"/>
  <c r="O171" i="6"/>
  <c r="O183" i="9" s="1"/>
  <c r="N171" i="6"/>
  <c r="N183" i="9" s="1"/>
  <c r="O170" i="6"/>
  <c r="O182" i="9" s="1"/>
  <c r="N170" i="6"/>
  <c r="N182" i="9" s="1"/>
  <c r="O169" i="6"/>
  <c r="O181" i="9" s="1"/>
  <c r="N169" i="6"/>
  <c r="N181" i="9" s="1"/>
  <c r="O168" i="6"/>
  <c r="O180" i="9" s="1"/>
  <c r="N168" i="6"/>
  <c r="N180" i="9" s="1"/>
  <c r="O167" i="6"/>
  <c r="O179" i="9" s="1"/>
  <c r="N167" i="6"/>
  <c r="N179" i="9" s="1"/>
  <c r="O166" i="6"/>
  <c r="O178" i="9" s="1"/>
  <c r="N166" i="6"/>
  <c r="N178" i="9" s="1"/>
  <c r="O165" i="6"/>
  <c r="O177" i="9" s="1"/>
  <c r="N165" i="6"/>
  <c r="N177" i="9" s="1"/>
  <c r="O164" i="6"/>
  <c r="O176" i="9" s="1"/>
  <c r="N164" i="6"/>
  <c r="N176" i="9" s="1"/>
  <c r="O163" i="6"/>
  <c r="O175" i="9" s="1"/>
  <c r="N163" i="6"/>
  <c r="N175" i="9" s="1"/>
  <c r="O162" i="6"/>
  <c r="O174" i="9" s="1"/>
  <c r="N162" i="6"/>
  <c r="N174" i="9" s="1"/>
  <c r="O161" i="6"/>
  <c r="O173" i="9" s="1"/>
  <c r="N161" i="6"/>
  <c r="N173" i="9" s="1"/>
  <c r="O160" i="6"/>
  <c r="O172" i="9" s="1"/>
  <c r="N160" i="6"/>
  <c r="N172" i="9" s="1"/>
  <c r="O159" i="6"/>
  <c r="O171" i="9" s="1"/>
  <c r="N159" i="6"/>
  <c r="N171" i="9" s="1"/>
  <c r="O158" i="6"/>
  <c r="O170" i="9" s="1"/>
  <c r="N158" i="6"/>
  <c r="N170" i="9" s="1"/>
  <c r="O157" i="6"/>
  <c r="O169" i="9" s="1"/>
  <c r="N157" i="6"/>
  <c r="N169" i="9" s="1"/>
  <c r="O156" i="6"/>
  <c r="O168" i="9" s="1"/>
  <c r="N156" i="6"/>
  <c r="N168" i="9" s="1"/>
  <c r="O155" i="6"/>
  <c r="O167" i="9" s="1"/>
  <c r="N155" i="6"/>
  <c r="N167" i="9" s="1"/>
  <c r="O154" i="6"/>
  <c r="O166" i="9" s="1"/>
  <c r="N154" i="6"/>
  <c r="N166" i="9" s="1"/>
  <c r="O153" i="6"/>
  <c r="O165" i="9" s="1"/>
  <c r="N153" i="6"/>
  <c r="N165" i="9" s="1"/>
  <c r="O152" i="6"/>
  <c r="O164" i="9" s="1"/>
  <c r="N152" i="6"/>
  <c r="N164" i="9" s="1"/>
  <c r="O151" i="6"/>
  <c r="O163" i="9" s="1"/>
  <c r="N151" i="6"/>
  <c r="N163" i="9" s="1"/>
  <c r="O150" i="6"/>
  <c r="O162" i="9" s="1"/>
  <c r="N150" i="6"/>
  <c r="N162" i="9" s="1"/>
  <c r="O149" i="6"/>
  <c r="O161" i="9" s="1"/>
  <c r="N149" i="6"/>
  <c r="N161" i="9" s="1"/>
  <c r="O148" i="6"/>
  <c r="O160" i="9" s="1"/>
  <c r="N148" i="6"/>
  <c r="N160" i="9" s="1"/>
  <c r="O147" i="6"/>
  <c r="O159" i="9" s="1"/>
  <c r="N147" i="6"/>
  <c r="N159" i="9" s="1"/>
  <c r="O146" i="6"/>
  <c r="O158" i="9" s="1"/>
  <c r="N146" i="6"/>
  <c r="N158" i="9" s="1"/>
  <c r="O145" i="6"/>
  <c r="O157" i="9" s="1"/>
  <c r="N145" i="6"/>
  <c r="N157" i="9" s="1"/>
  <c r="O144" i="6"/>
  <c r="O156" i="9" s="1"/>
  <c r="N144" i="6"/>
  <c r="N156" i="9" s="1"/>
  <c r="O143" i="6"/>
  <c r="O155" i="9" s="1"/>
  <c r="N143" i="6"/>
  <c r="N155" i="9" s="1"/>
  <c r="O142" i="6"/>
  <c r="O154" i="9" s="1"/>
  <c r="N142" i="6"/>
  <c r="N154" i="9" s="1"/>
  <c r="O141" i="6"/>
  <c r="O153" i="9" s="1"/>
  <c r="N141" i="6"/>
  <c r="N153" i="9" s="1"/>
  <c r="O140" i="6"/>
  <c r="O152" i="9" s="1"/>
  <c r="N140" i="6"/>
  <c r="N152" i="9" s="1"/>
  <c r="O139" i="6"/>
  <c r="O151" i="9" s="1"/>
  <c r="N139" i="6"/>
  <c r="N151" i="9" s="1"/>
  <c r="O138" i="6"/>
  <c r="O150" i="9" s="1"/>
  <c r="N138" i="6"/>
  <c r="N150" i="9" s="1"/>
  <c r="O137" i="6"/>
  <c r="O149" i="9" s="1"/>
  <c r="N137" i="6"/>
  <c r="N149" i="9" s="1"/>
  <c r="O136" i="6"/>
  <c r="O148" i="9" s="1"/>
  <c r="N136" i="6"/>
  <c r="N148" i="9" s="1"/>
  <c r="O135" i="6"/>
  <c r="O147" i="9" s="1"/>
  <c r="N135" i="6"/>
  <c r="N147" i="9" s="1"/>
  <c r="O134" i="6"/>
  <c r="O146" i="9" s="1"/>
  <c r="N134" i="6"/>
  <c r="N146" i="9" s="1"/>
  <c r="O133" i="6"/>
  <c r="O145" i="9" s="1"/>
  <c r="N133" i="6"/>
  <c r="N145" i="9" s="1"/>
  <c r="O132" i="6"/>
  <c r="O144" i="9" s="1"/>
  <c r="N132" i="6"/>
  <c r="N144" i="9" s="1"/>
  <c r="O131" i="6"/>
  <c r="O143" i="9" s="1"/>
  <c r="N131" i="6"/>
  <c r="N143" i="9" s="1"/>
  <c r="O130" i="6"/>
  <c r="O142" i="9" s="1"/>
  <c r="N130" i="6"/>
  <c r="N142" i="9" s="1"/>
  <c r="O129" i="6"/>
  <c r="O141" i="9" s="1"/>
  <c r="N129" i="6"/>
  <c r="N141" i="9" s="1"/>
  <c r="O128" i="6"/>
  <c r="O140" i="9" s="1"/>
  <c r="N128" i="6"/>
  <c r="N140" i="9" s="1"/>
  <c r="O127" i="6"/>
  <c r="O139" i="9" s="1"/>
  <c r="N127" i="6"/>
  <c r="N139" i="9" s="1"/>
  <c r="O126" i="6"/>
  <c r="O138" i="9" s="1"/>
  <c r="N126" i="6"/>
  <c r="N138" i="9" s="1"/>
  <c r="O125" i="6"/>
  <c r="O137" i="9" s="1"/>
  <c r="N125" i="6"/>
  <c r="N137" i="9" s="1"/>
  <c r="O124" i="6"/>
  <c r="O136" i="9" s="1"/>
  <c r="N124" i="6"/>
  <c r="N136" i="9" s="1"/>
  <c r="O123" i="6"/>
  <c r="O135" i="9" s="1"/>
  <c r="N123" i="6"/>
  <c r="N135" i="9" s="1"/>
  <c r="O122" i="6"/>
  <c r="O134" i="9" s="1"/>
  <c r="N122" i="6"/>
  <c r="N134" i="9" s="1"/>
  <c r="O121" i="6"/>
  <c r="O133" i="9" s="1"/>
  <c r="N121" i="6"/>
  <c r="N133" i="9" s="1"/>
  <c r="O120" i="6"/>
  <c r="O132" i="9" s="1"/>
  <c r="N120" i="6"/>
  <c r="N132" i="9" s="1"/>
  <c r="O119" i="6"/>
  <c r="O131" i="9" s="1"/>
  <c r="N119" i="6"/>
  <c r="N131" i="9" s="1"/>
  <c r="O118" i="6"/>
  <c r="O130" i="9" s="1"/>
  <c r="N118" i="6"/>
  <c r="N130" i="9" s="1"/>
  <c r="O117" i="6"/>
  <c r="O129" i="9" s="1"/>
  <c r="N117" i="6"/>
  <c r="N129" i="9" s="1"/>
  <c r="O116" i="6"/>
  <c r="O128" i="9" s="1"/>
  <c r="N116" i="6"/>
  <c r="N128" i="9" s="1"/>
  <c r="O115" i="6"/>
  <c r="O127" i="9" s="1"/>
  <c r="N115" i="6"/>
  <c r="N127" i="9" s="1"/>
  <c r="O114" i="6"/>
  <c r="O126" i="9" s="1"/>
  <c r="N114" i="6"/>
  <c r="N126" i="9" s="1"/>
  <c r="O113" i="6"/>
  <c r="O125" i="9" s="1"/>
  <c r="N113" i="6"/>
  <c r="N125" i="9" s="1"/>
  <c r="O112" i="6"/>
  <c r="O124" i="9" s="1"/>
  <c r="N112" i="6"/>
  <c r="N124" i="9" s="1"/>
  <c r="O111" i="6"/>
  <c r="O123" i="9" s="1"/>
  <c r="N111" i="6"/>
  <c r="N123" i="9" s="1"/>
  <c r="O110" i="6"/>
  <c r="O122" i="9" s="1"/>
  <c r="N110" i="6"/>
  <c r="N122" i="9" s="1"/>
  <c r="O109" i="6"/>
  <c r="O121" i="9" s="1"/>
  <c r="N109" i="6"/>
  <c r="N121" i="9" s="1"/>
  <c r="O108" i="6"/>
  <c r="O120" i="9" s="1"/>
  <c r="N108" i="6"/>
  <c r="N120" i="9" s="1"/>
  <c r="O107" i="6"/>
  <c r="O119" i="9" s="1"/>
  <c r="N107" i="6"/>
  <c r="N119" i="9" s="1"/>
  <c r="O106" i="6"/>
  <c r="O118" i="9" s="1"/>
  <c r="N106" i="6"/>
  <c r="N118" i="9" s="1"/>
  <c r="O105" i="6"/>
  <c r="O117" i="9" s="1"/>
  <c r="N105" i="6"/>
  <c r="N117" i="9" s="1"/>
  <c r="O104" i="6"/>
  <c r="O116" i="9" s="1"/>
  <c r="N104" i="6"/>
  <c r="N116" i="9" s="1"/>
  <c r="O103" i="6"/>
  <c r="O115" i="9" s="1"/>
  <c r="N103" i="6"/>
  <c r="N115" i="9" s="1"/>
  <c r="O102" i="6"/>
  <c r="O114" i="9" s="1"/>
  <c r="N102" i="6"/>
  <c r="N114" i="9" s="1"/>
  <c r="O101" i="6"/>
  <c r="O113" i="9" s="1"/>
  <c r="N101" i="6"/>
  <c r="N113" i="9" s="1"/>
  <c r="O100" i="6"/>
  <c r="O112" i="9" s="1"/>
  <c r="N100" i="6"/>
  <c r="N112" i="9" s="1"/>
  <c r="O99" i="6"/>
  <c r="O111" i="9" s="1"/>
  <c r="N99" i="6"/>
  <c r="N111" i="9" s="1"/>
  <c r="O98" i="6"/>
  <c r="O110" i="9" s="1"/>
  <c r="N98" i="6"/>
  <c r="N110" i="9" s="1"/>
  <c r="O97" i="6"/>
  <c r="O109" i="9" s="1"/>
  <c r="N97" i="6"/>
  <c r="N109" i="9" s="1"/>
  <c r="O96" i="6"/>
  <c r="O108" i="9" s="1"/>
  <c r="N96" i="6"/>
  <c r="N108" i="9" s="1"/>
  <c r="O95" i="6"/>
  <c r="O107" i="9" s="1"/>
  <c r="N95" i="6"/>
  <c r="N107" i="9" s="1"/>
  <c r="O94" i="6"/>
  <c r="O106" i="9" s="1"/>
  <c r="N94" i="6"/>
  <c r="N106" i="9" s="1"/>
  <c r="O93" i="6"/>
  <c r="O105" i="9" s="1"/>
  <c r="N93" i="6"/>
  <c r="N105" i="9" s="1"/>
  <c r="O92" i="6"/>
  <c r="O104" i="9" s="1"/>
  <c r="N92" i="6"/>
  <c r="N104" i="9" s="1"/>
  <c r="O91" i="6"/>
  <c r="O103" i="9" s="1"/>
  <c r="N91" i="6"/>
  <c r="N103" i="9" s="1"/>
  <c r="O90" i="6"/>
  <c r="O102" i="9" s="1"/>
  <c r="N90" i="6"/>
  <c r="N102" i="9" s="1"/>
  <c r="O89" i="6"/>
  <c r="O101" i="9" s="1"/>
  <c r="N89" i="6"/>
  <c r="N101" i="9" s="1"/>
  <c r="O88" i="6"/>
  <c r="O100" i="9" s="1"/>
  <c r="N88" i="6"/>
  <c r="N100" i="9" s="1"/>
  <c r="O87" i="6"/>
  <c r="O99" i="9" s="1"/>
  <c r="N87" i="6"/>
  <c r="N99" i="9" s="1"/>
  <c r="O86" i="6"/>
  <c r="O98" i="9" s="1"/>
  <c r="N86" i="6"/>
  <c r="N98" i="9" s="1"/>
  <c r="O85" i="6"/>
  <c r="O97" i="9" s="1"/>
  <c r="N85" i="6"/>
  <c r="N97" i="9" s="1"/>
  <c r="O84" i="6"/>
  <c r="O96" i="9" s="1"/>
  <c r="N84" i="6"/>
  <c r="N96" i="9" s="1"/>
  <c r="O83" i="6"/>
  <c r="O95" i="9" s="1"/>
  <c r="N83" i="6"/>
  <c r="N95" i="9" s="1"/>
  <c r="O82" i="6"/>
  <c r="O94" i="9" s="1"/>
  <c r="N82" i="6"/>
  <c r="N94" i="9" s="1"/>
  <c r="O81" i="6"/>
  <c r="O93" i="9" s="1"/>
  <c r="N81" i="6"/>
  <c r="N93" i="9" s="1"/>
  <c r="O80" i="6"/>
  <c r="O92" i="9" s="1"/>
  <c r="N80" i="6"/>
  <c r="N92" i="9" s="1"/>
  <c r="O79" i="6"/>
  <c r="O91" i="9" s="1"/>
  <c r="N79" i="6"/>
  <c r="N91" i="9" s="1"/>
  <c r="O78" i="6"/>
  <c r="O90" i="9" s="1"/>
  <c r="N78" i="6"/>
  <c r="N90" i="9" s="1"/>
  <c r="O77" i="6"/>
  <c r="O89" i="9" s="1"/>
  <c r="N77" i="6"/>
  <c r="N89" i="9" s="1"/>
  <c r="O76" i="6"/>
  <c r="O88" i="9" s="1"/>
  <c r="N76" i="6"/>
  <c r="N88" i="9" s="1"/>
  <c r="O75" i="6"/>
  <c r="O87" i="9" s="1"/>
  <c r="N75" i="6"/>
  <c r="N87" i="9" s="1"/>
  <c r="O74" i="6"/>
  <c r="O86" i="9" s="1"/>
  <c r="N74" i="6"/>
  <c r="N86" i="9" s="1"/>
  <c r="O73" i="6"/>
  <c r="O85" i="9" s="1"/>
  <c r="N73" i="6"/>
  <c r="N85" i="9" s="1"/>
  <c r="O72" i="6"/>
  <c r="O84" i="9" s="1"/>
  <c r="N72" i="6"/>
  <c r="N84" i="9" s="1"/>
  <c r="O71" i="6"/>
  <c r="O83" i="9" s="1"/>
  <c r="N71" i="6"/>
  <c r="N83" i="9" s="1"/>
  <c r="O70" i="6"/>
  <c r="O82" i="9" s="1"/>
  <c r="N70" i="6"/>
  <c r="N82" i="9" s="1"/>
  <c r="O69" i="6"/>
  <c r="O81" i="9" s="1"/>
  <c r="N69" i="6"/>
  <c r="N81" i="9" s="1"/>
  <c r="O68" i="6"/>
  <c r="O80" i="9" s="1"/>
  <c r="N68" i="6"/>
  <c r="N80" i="9" s="1"/>
  <c r="O67" i="6"/>
  <c r="O79" i="9" s="1"/>
  <c r="N67" i="6"/>
  <c r="N79" i="9" s="1"/>
  <c r="O66" i="6"/>
  <c r="O78" i="9" s="1"/>
  <c r="N66" i="6"/>
  <c r="N78" i="9" s="1"/>
  <c r="O65" i="6"/>
  <c r="O77" i="9" s="1"/>
  <c r="N65" i="6"/>
  <c r="N77" i="9" s="1"/>
  <c r="O64" i="6"/>
  <c r="O76" i="9" s="1"/>
  <c r="N64" i="6"/>
  <c r="N76" i="9" s="1"/>
  <c r="O63" i="6"/>
  <c r="O75" i="9" s="1"/>
  <c r="N63" i="6"/>
  <c r="N75" i="9" s="1"/>
  <c r="O62" i="6"/>
  <c r="O74" i="9" s="1"/>
  <c r="N62" i="6"/>
  <c r="N74" i="9" s="1"/>
  <c r="O61" i="6"/>
  <c r="O73" i="9" s="1"/>
  <c r="N61" i="6"/>
  <c r="N73" i="9" s="1"/>
  <c r="O60" i="6"/>
  <c r="O72" i="9" s="1"/>
  <c r="N60" i="6"/>
  <c r="N72" i="9" s="1"/>
  <c r="O59" i="6"/>
  <c r="O71" i="9" s="1"/>
  <c r="N59" i="6"/>
  <c r="N71" i="9" s="1"/>
  <c r="O58" i="6"/>
  <c r="O70" i="9" s="1"/>
  <c r="N58" i="6"/>
  <c r="N70" i="9" s="1"/>
  <c r="O57" i="6"/>
  <c r="O69" i="9" s="1"/>
  <c r="N57" i="6"/>
  <c r="N69" i="9" s="1"/>
  <c r="O56" i="6"/>
  <c r="O68" i="9" s="1"/>
  <c r="N56" i="6"/>
  <c r="N68" i="9" s="1"/>
  <c r="O55" i="6"/>
  <c r="O67" i="9" s="1"/>
  <c r="N55" i="6"/>
  <c r="N67" i="9" s="1"/>
  <c r="O54" i="6"/>
  <c r="O66" i="9" s="1"/>
  <c r="N54" i="6"/>
  <c r="N66" i="9" s="1"/>
  <c r="O53" i="6"/>
  <c r="O65" i="9" s="1"/>
  <c r="N53" i="6"/>
  <c r="N65" i="9" s="1"/>
  <c r="O52" i="6"/>
  <c r="O64" i="9" s="1"/>
  <c r="N52" i="6"/>
  <c r="N64" i="9" s="1"/>
  <c r="O51" i="6"/>
  <c r="O63" i="9" s="1"/>
  <c r="N51" i="6"/>
  <c r="N63" i="9" s="1"/>
  <c r="O50" i="6"/>
  <c r="O62" i="9" s="1"/>
  <c r="N50" i="6"/>
  <c r="N62" i="9" s="1"/>
  <c r="O49" i="6"/>
  <c r="O61" i="9" s="1"/>
  <c r="N49" i="6"/>
  <c r="N61" i="9" s="1"/>
  <c r="O48" i="6"/>
  <c r="O60" i="9" s="1"/>
  <c r="N48" i="6"/>
  <c r="N60" i="9" s="1"/>
  <c r="O47" i="6"/>
  <c r="O59" i="9" s="1"/>
  <c r="N47" i="6"/>
  <c r="N59" i="9" s="1"/>
  <c r="O46" i="6"/>
  <c r="O58" i="9" s="1"/>
  <c r="N46" i="6"/>
  <c r="N58" i="9" s="1"/>
  <c r="O45" i="6"/>
  <c r="O57" i="9" s="1"/>
  <c r="N45" i="6"/>
  <c r="N57" i="9" s="1"/>
  <c r="O44" i="6"/>
  <c r="O56" i="9" s="1"/>
  <c r="N44" i="6"/>
  <c r="N56" i="9" s="1"/>
  <c r="O43" i="6"/>
  <c r="O55" i="9" s="1"/>
  <c r="N43" i="6"/>
  <c r="N55" i="9" s="1"/>
  <c r="O42" i="6"/>
  <c r="O54" i="9" s="1"/>
  <c r="N42" i="6"/>
  <c r="N54" i="9" s="1"/>
  <c r="O41" i="6"/>
  <c r="O53" i="9" s="1"/>
  <c r="N41" i="6"/>
  <c r="N53" i="9" s="1"/>
  <c r="O40" i="6"/>
  <c r="O52" i="9" s="1"/>
  <c r="N40" i="6"/>
  <c r="N52" i="9" s="1"/>
  <c r="O39" i="6"/>
  <c r="O51" i="9" s="1"/>
  <c r="N39" i="6"/>
  <c r="N51" i="9" s="1"/>
  <c r="O38" i="6"/>
  <c r="O50" i="9" s="1"/>
  <c r="N38" i="6"/>
  <c r="N50" i="9" s="1"/>
  <c r="O37" i="6"/>
  <c r="O49" i="9" s="1"/>
  <c r="N37" i="6"/>
  <c r="N49" i="9" s="1"/>
  <c r="O36" i="6"/>
  <c r="O48" i="9" s="1"/>
  <c r="N36" i="6"/>
  <c r="N48" i="9" s="1"/>
  <c r="O35" i="6"/>
  <c r="O47" i="9" s="1"/>
  <c r="N35" i="6"/>
  <c r="N47" i="9" s="1"/>
  <c r="O34" i="6"/>
  <c r="O46" i="9" s="1"/>
  <c r="N34" i="6"/>
  <c r="N46" i="9" s="1"/>
  <c r="O33" i="6"/>
  <c r="O45" i="9" s="1"/>
  <c r="N33" i="6"/>
  <c r="N45" i="9" s="1"/>
  <c r="O32" i="6"/>
  <c r="O44" i="9" s="1"/>
  <c r="N32" i="6"/>
  <c r="N44" i="9" s="1"/>
  <c r="O31" i="6"/>
  <c r="O43" i="9" s="1"/>
  <c r="N31" i="6"/>
  <c r="N43" i="9" s="1"/>
  <c r="O30" i="6"/>
  <c r="O42" i="9" s="1"/>
  <c r="N30" i="6"/>
  <c r="N42" i="9" s="1"/>
  <c r="O29" i="6"/>
  <c r="O41" i="9" s="1"/>
  <c r="N29" i="6"/>
  <c r="N41" i="9" s="1"/>
  <c r="O28" i="6"/>
  <c r="O40" i="9" s="1"/>
  <c r="N28" i="6"/>
  <c r="N40" i="9" s="1"/>
  <c r="O27" i="6"/>
  <c r="O39" i="9" s="1"/>
  <c r="N27" i="6"/>
  <c r="N39" i="9" s="1"/>
  <c r="O26" i="6"/>
  <c r="O38" i="9" s="1"/>
  <c r="N26" i="6"/>
  <c r="N38" i="9" s="1"/>
  <c r="O25" i="6"/>
  <c r="O37" i="9" s="1"/>
  <c r="N25" i="6"/>
  <c r="N37" i="9" s="1"/>
  <c r="O24" i="6"/>
  <c r="O36" i="9" s="1"/>
  <c r="N24" i="6"/>
  <c r="N36" i="9" s="1"/>
  <c r="O23" i="6"/>
  <c r="O35" i="9" s="1"/>
  <c r="N23" i="6"/>
  <c r="N35" i="9" s="1"/>
  <c r="O22" i="6"/>
  <c r="O34" i="9" s="1"/>
  <c r="N22" i="6"/>
  <c r="N34" i="9" s="1"/>
  <c r="O21" i="6"/>
  <c r="O33" i="9" s="1"/>
  <c r="N21" i="6"/>
  <c r="N33" i="9" s="1"/>
  <c r="O20" i="6"/>
  <c r="O32" i="9" s="1"/>
  <c r="N20" i="6"/>
  <c r="N32" i="9" s="1"/>
  <c r="O19" i="6"/>
  <c r="O31" i="9" s="1"/>
  <c r="N19" i="6"/>
  <c r="N31" i="9" s="1"/>
  <c r="O18" i="6"/>
  <c r="O30" i="9" s="1"/>
  <c r="N18" i="6"/>
  <c r="N30" i="9" s="1"/>
  <c r="O17" i="6"/>
  <c r="O29" i="9" s="1"/>
  <c r="N17" i="6"/>
  <c r="N29" i="9" s="1"/>
  <c r="O16" i="6"/>
  <c r="O28" i="9" s="1"/>
  <c r="N16" i="6"/>
  <c r="N28" i="9" s="1"/>
  <c r="O15" i="6"/>
  <c r="O27" i="9" s="1"/>
  <c r="N15" i="6"/>
  <c r="N27" i="9" s="1"/>
  <c r="O14" i="6"/>
  <c r="O26" i="9" s="1"/>
  <c r="N14" i="6"/>
  <c r="N26" i="9" s="1"/>
  <c r="O13" i="6"/>
  <c r="O25" i="9" s="1"/>
  <c r="N13" i="6"/>
  <c r="N25" i="9" s="1"/>
  <c r="O12" i="6"/>
  <c r="O24" i="9" s="1"/>
  <c r="N12" i="6"/>
  <c r="N24" i="9" s="1"/>
  <c r="O11" i="6"/>
  <c r="O23" i="9" s="1"/>
  <c r="N11" i="6"/>
  <c r="N23" i="9" s="1"/>
  <c r="O10" i="6"/>
  <c r="O22" i="9" s="1"/>
  <c r="N10" i="6"/>
  <c r="N22" i="9" s="1"/>
  <c r="O9" i="6"/>
  <c r="O21" i="9" s="1"/>
  <c r="N9" i="6"/>
  <c r="N21" i="9" s="1"/>
  <c r="O8" i="6"/>
  <c r="O20" i="9" s="1"/>
  <c r="N8" i="6"/>
  <c r="N20" i="9" s="1"/>
  <c r="O7" i="6"/>
  <c r="O19" i="9" s="1"/>
  <c r="N7" i="6"/>
  <c r="N19" i="9" s="1"/>
  <c r="O6" i="6"/>
  <c r="O18" i="9" s="1"/>
  <c r="N6" i="6"/>
  <c r="N18" i="9" s="1"/>
  <c r="O5" i="6"/>
  <c r="O17" i="9" s="1"/>
  <c r="N5" i="6"/>
  <c r="N17" i="9" s="1"/>
  <c r="O4" i="6"/>
  <c r="O16" i="9" s="1"/>
  <c r="N4" i="6"/>
  <c r="N16" i="9" s="1"/>
  <c r="O3" i="6"/>
  <c r="O15" i="9" s="1"/>
  <c r="N3" i="6"/>
  <c r="N15" i="9" s="1"/>
  <c r="O2" i="6"/>
  <c r="N2" i="6"/>
  <c r="N14" i="9" s="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O1007" i="1"/>
  <c r="M5" i="13" l="1"/>
  <c r="O1002" i="6"/>
  <c r="O14" i="9"/>
  <c r="O1014" i="9" s="1"/>
  <c r="B1014" i="9"/>
  <c r="D1" i="9" s="1"/>
  <c r="D9" i="9"/>
  <c r="D4" i="9" a="1"/>
  <c r="D4" i="9" s="1"/>
  <c r="D8" i="9"/>
  <c r="D2" i="9" a="1"/>
  <c r="D2" i="9" s="1"/>
  <c r="D5" i="9" a="1"/>
  <c r="D5" i="9" s="1"/>
  <c r="D3" i="9" a="1"/>
  <c r="D3" i="9" s="1"/>
  <c r="D10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tc={993D09B2-BD96-4640-BF1B-A357209996FB}</author>
    <author>tc={FD05077B-FAE2-4A02-8670-5F1DF02A2BE7}</author>
    <author>tc={F254EF2F-D783-48D5-8ED7-0B7266A1EBC7}</author>
  </authors>
  <commentList>
    <comment ref="J1" authorId="0" shapeId="0" xr:uid="{993D09B2-BD96-4640-BF1B-A357209996FB}">
      <text>
        <t xml:space="preserve">[Threaded comment]
Your version of Excel allows you to read this threaded comment; however, any edits to it will get removed if the file is opened in a newer version of Excel. Learn more: https://go.microsoft.com/fwlink/?linkid=870924
Comment:
    Data validation used
</t>
      </text>
    </comment>
    <comment ref="K1" authorId="1" shapeId="0" xr:uid="{FD05077B-FAE2-4A02-8670-5F1DF02A2BE7}">
      <text>
        <t xml:space="preserve">[Threaded comment]
Your version of Excel allows you to read this threaded comment; however, any edits to it will get removed if the file is opened in a newer version of Excel. Learn more: https://go.microsoft.com/fwlink/?linkid=870924
Comment:
    Data validation used 
</t>
      </text>
    </comment>
    <comment ref="M1" authorId="2" shapeId="0" xr:uid="{F254EF2F-D783-48D5-8ED7-0B7266A1EBC7}">
      <text>
        <t xml:space="preserve">[Threaded comment]
Your version of Excel allows you to read this threaded comment; however, any edits to it will get removed if the file is opened in a newer version of Excel. Learn more: https://go.microsoft.com/fwlink/?linkid=870924
Comment:
    Data Validation used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<sst xmlns="http://schemas.openxmlformats.org/spreadsheetml/2006/main" count="26160" uniqueCount="1543">
  <si>
    <t>ID</t>
  </si>
  <si>
    <t>Last Name</t>
  </si>
  <si>
    <t>email</t>
  </si>
  <si>
    <t>Department</t>
  </si>
  <si>
    <t>Start Date</t>
  </si>
  <si>
    <t>Current</t>
  </si>
  <si>
    <t>Experience</t>
  </si>
  <si>
    <t>Salary</t>
  </si>
  <si>
    <t>Job title</t>
  </si>
  <si>
    <t>Region</t>
  </si>
  <si>
    <t>Country</t>
  </si>
  <si>
    <t>Divisons</t>
  </si>
  <si>
    <t>Kelley</t>
  </si>
  <si>
    <t>rkelley0@soundcloud.com</t>
  </si>
  <si>
    <t>Computers</t>
  </si>
  <si>
    <t>Structural Engineer</t>
  </si>
  <si>
    <t>Southeast</t>
  </si>
  <si>
    <t>USA</t>
  </si>
  <si>
    <t>Electronic Equipment</t>
  </si>
  <si>
    <t>Armstrong</t>
  </si>
  <si>
    <t>sarmstrong1@infoseek.co.jp</t>
  </si>
  <si>
    <t>Sports</t>
  </si>
  <si>
    <t>Financial Advisor</t>
  </si>
  <si>
    <t>Games &amp; Sports</t>
  </si>
  <si>
    <t>Carr</t>
  </si>
  <si>
    <t>fcarr2@woothemes.com</t>
  </si>
  <si>
    <t>Automotive</t>
  </si>
  <si>
    <t>Recruiting Manager</t>
  </si>
  <si>
    <t>Northwest</t>
  </si>
  <si>
    <t>Auto &amp; Hardware</t>
  </si>
  <si>
    <t>Murray</t>
  </si>
  <si>
    <t>jmurray3@gov.uk</t>
  </si>
  <si>
    <t>Jewelery</t>
  </si>
  <si>
    <t>Desktop Support Technician</t>
  </si>
  <si>
    <t>Fashion</t>
  </si>
  <si>
    <t>Ellis</t>
  </si>
  <si>
    <t>jellis4@sciencedirect.com</t>
  </si>
  <si>
    <t>Grocery</t>
  </si>
  <si>
    <t>Software Engineer III</t>
  </si>
  <si>
    <t>Nova Scotia</t>
  </si>
  <si>
    <t>Canada</t>
  </si>
  <si>
    <t>Domestic</t>
  </si>
  <si>
    <t>Phillips</t>
  </si>
  <si>
    <t>bphillips5@time.com</t>
  </si>
  <si>
    <t>Tools</t>
  </si>
  <si>
    <t>Executive Secretary</t>
  </si>
  <si>
    <t>Northeast</t>
  </si>
  <si>
    <t>Williamson</t>
  </si>
  <si>
    <t>rwilliamson6@ted.com</t>
  </si>
  <si>
    <t>Dental Hygienist</t>
  </si>
  <si>
    <t>Quebec</t>
  </si>
  <si>
    <t>Harris</t>
  </si>
  <si>
    <t>aharris7@ucoz.com</t>
  </si>
  <si>
    <t>Toys</t>
  </si>
  <si>
    <t>Safety Technician I</t>
  </si>
  <si>
    <t>Southwest</t>
  </si>
  <si>
    <t>James</t>
  </si>
  <si>
    <t>rjames8@prnewswire.com</t>
  </si>
  <si>
    <t>Sales Associate</t>
  </si>
  <si>
    <t>Sanchez</t>
  </si>
  <si>
    <t>rsanchez9@cloudflare.com</t>
  </si>
  <si>
    <t>Movies</t>
  </si>
  <si>
    <t>Sales Representative</t>
  </si>
  <si>
    <t>Entertainment</t>
  </si>
  <si>
    <t>Jacobs</t>
  </si>
  <si>
    <t>jjacobsa@sbwire.com</t>
  </si>
  <si>
    <t>Community Outreach Specialist</t>
  </si>
  <si>
    <t>Black</t>
  </si>
  <si>
    <t>mblackb@edublogs.org</t>
  </si>
  <si>
    <t>Clothing</t>
  </si>
  <si>
    <t>Data Coordiator</t>
  </si>
  <si>
    <t>Schmidt</t>
  </si>
  <si>
    <t>sschmidtc@state.gov</t>
  </si>
  <si>
    <t>Baby</t>
  </si>
  <si>
    <t>Compensation Analyst</t>
  </si>
  <si>
    <t>Webb</t>
  </si>
  <si>
    <t>awebbd@baidu.com</t>
  </si>
  <si>
    <t>Software Test Engineer III</t>
  </si>
  <si>
    <t>ajacobse@google.it</t>
  </si>
  <si>
    <t>Games</t>
  </si>
  <si>
    <t>Medina</t>
  </si>
  <si>
    <t>smedinaf@amazonaws.com</t>
  </si>
  <si>
    <t>Web Developer III</t>
  </si>
  <si>
    <t>Morgan</t>
  </si>
  <si>
    <t>dmorgang@123-reg.co.uk</t>
  </si>
  <si>
    <t>Kids</t>
  </si>
  <si>
    <t>Programmer IV</t>
  </si>
  <si>
    <t>Nguyen</t>
  </si>
  <si>
    <t>jnguyenh@google.com</t>
  </si>
  <si>
    <t>Home</t>
  </si>
  <si>
    <t>Geologist II</t>
  </si>
  <si>
    <t>British Columbia</t>
  </si>
  <si>
    <t>Day</t>
  </si>
  <si>
    <t>rdayi@chronoengine.com</t>
  </si>
  <si>
    <t>Electronics</t>
  </si>
  <si>
    <t>VP Sales</t>
  </si>
  <si>
    <t>dcarrj@ocn.ne.jp</t>
  </si>
  <si>
    <t>VP Quality Control</t>
  </si>
  <si>
    <t>Bryant</t>
  </si>
  <si>
    <t>sbryantk@wunderground.com</t>
  </si>
  <si>
    <t>Industrial</t>
  </si>
  <si>
    <t>Software Consultant</t>
  </si>
  <si>
    <t>Alexander</t>
  </si>
  <si>
    <t>kalexanderl@marketwatch.com</t>
  </si>
  <si>
    <t>Marketing Assistant</t>
  </si>
  <si>
    <t>Chapman</t>
  </si>
  <si>
    <t>jchapmanm@archive.org</t>
  </si>
  <si>
    <t>Senior Developer</t>
  </si>
  <si>
    <t>Kelly</t>
  </si>
  <si>
    <t>ekellyn@weibo.com</t>
  </si>
  <si>
    <t>Garden</t>
  </si>
  <si>
    <t>Nurse Practicioner</t>
  </si>
  <si>
    <t>Outdoors &amp; Garden</t>
  </si>
  <si>
    <t>Stephens</t>
  </si>
  <si>
    <t>jstephenso@ow.ly</t>
  </si>
  <si>
    <t>Business Systems Development Analyst</t>
  </si>
  <si>
    <t>Porter</t>
  </si>
  <si>
    <t>vporterp@yelp.com</t>
  </si>
  <si>
    <t>Owens</t>
  </si>
  <si>
    <t>cowensq@shareasale.com</t>
  </si>
  <si>
    <t>Scott</t>
  </si>
  <si>
    <t>cscottr@sphinn.com</t>
  </si>
  <si>
    <t>Books</t>
  </si>
  <si>
    <t>Library</t>
  </si>
  <si>
    <t>Price</t>
  </si>
  <si>
    <t>cprices@usa.gov</t>
  </si>
  <si>
    <t>Quality Engineer</t>
  </si>
  <si>
    <t>Weaver</t>
  </si>
  <si>
    <t>dweavert@shinystat.com</t>
  </si>
  <si>
    <t>Beauty</t>
  </si>
  <si>
    <t>Account Representative III</t>
  </si>
  <si>
    <t>Willis</t>
  </si>
  <si>
    <t>hwillisu@army.mil</t>
  </si>
  <si>
    <t>Accountant I</t>
  </si>
  <si>
    <t>Torres</t>
  </si>
  <si>
    <t>ltorresv@amazon.de</t>
  </si>
  <si>
    <t>Nuclear Power Engineer</t>
  </si>
  <si>
    <t>Greene</t>
  </si>
  <si>
    <t>wgreenew@blogspot.com</t>
  </si>
  <si>
    <t>Assistant Manager</t>
  </si>
  <si>
    <t>Reed</t>
  </si>
  <si>
    <t>areedx@cisco.com</t>
  </si>
  <si>
    <t>Assistant Media Planner</t>
  </si>
  <si>
    <t>Smith</t>
  </si>
  <si>
    <t>bsmithy@statcounter.com</t>
  </si>
  <si>
    <t>Librarian</t>
  </si>
  <si>
    <t>Bradley</t>
  </si>
  <si>
    <t>nbradleyz@goodreads.com</t>
  </si>
  <si>
    <t>Outdoors</t>
  </si>
  <si>
    <t>Payment Adjustment Coordinator</t>
  </si>
  <si>
    <t>Cruz</t>
  </si>
  <si>
    <t>rcruz10@blinklist.com</t>
  </si>
  <si>
    <t>dwilliamson11@rediff.com</t>
  </si>
  <si>
    <t>Nurse</t>
  </si>
  <si>
    <t>Kennedy</t>
  </si>
  <si>
    <t>skennedy12@rediff.com</t>
  </si>
  <si>
    <t>Civil Engineer</t>
  </si>
  <si>
    <t>Hawkins</t>
  </si>
  <si>
    <t>phawkins13@twitpic.com</t>
  </si>
  <si>
    <t>Allen</t>
  </si>
  <si>
    <t>jallen14@ustream.tv</t>
  </si>
  <si>
    <t>Watkins</t>
  </si>
  <si>
    <t>mwatkins15@wiley.com</t>
  </si>
  <si>
    <t>Ferguson</t>
  </si>
  <si>
    <t>mferguson16@qq.com</t>
  </si>
  <si>
    <t>Simmons</t>
  </si>
  <si>
    <t>asimmons17@csmonitor.com</t>
  </si>
  <si>
    <t>Developer III</t>
  </si>
  <si>
    <t>mnguyen18@biblegateway.com</t>
  </si>
  <si>
    <t>Electrical Engineer</t>
  </si>
  <si>
    <t>Lawrence</t>
  </si>
  <si>
    <t>jlawrence19@linkedin.com</t>
  </si>
  <si>
    <t>Junior Executive</t>
  </si>
  <si>
    <t>Oliver</t>
  </si>
  <si>
    <t>joliver1a@cnbc.com</t>
  </si>
  <si>
    <t>Johnson</t>
  </si>
  <si>
    <t>jjohnson1b@usgs.gov</t>
  </si>
  <si>
    <t>Crawford</t>
  </si>
  <si>
    <t>hcrawford1c@dell.com</t>
  </si>
  <si>
    <t>Editor</t>
  </si>
  <si>
    <t>parmstrong1d@hc360.com</t>
  </si>
  <si>
    <t>Senior Editor</t>
  </si>
  <si>
    <t>Dixon</t>
  </si>
  <si>
    <t>jdixon1e@dot.gov</t>
  </si>
  <si>
    <t>Snyder</t>
  </si>
  <si>
    <t>ssnyder1f@ca.gov</t>
  </si>
  <si>
    <t>Design Engineer</t>
  </si>
  <si>
    <t>Coleman</t>
  </si>
  <si>
    <t>dcoleman1g@dedecms.com</t>
  </si>
  <si>
    <t>Automation Specialist I</t>
  </si>
  <si>
    <t>sreed1h@intel.com</t>
  </si>
  <si>
    <t>VP Marketing</t>
  </si>
  <si>
    <t>Ross</t>
  </si>
  <si>
    <t>jross1i@infoseek.co.jp</t>
  </si>
  <si>
    <t>Environmental Tech</t>
  </si>
  <si>
    <t>kwatkins1j@youtu.be</t>
  </si>
  <si>
    <t>VP Accounting</t>
  </si>
  <si>
    <t>jallen1k@google.cn</t>
  </si>
  <si>
    <t>Baker</t>
  </si>
  <si>
    <t>jbaker1l@usnews.com</t>
  </si>
  <si>
    <t>Information Systems Manager</t>
  </si>
  <si>
    <t>Garcia</t>
  </si>
  <si>
    <t>vgarcia1m@deviantart.com</t>
  </si>
  <si>
    <t>Health</t>
  </si>
  <si>
    <t>Registered Nurse</t>
  </si>
  <si>
    <t>Lane</t>
  </si>
  <si>
    <t>elane1n@un.org</t>
  </si>
  <si>
    <t>Watson</t>
  </si>
  <si>
    <t>cwatson1o@paypal.com</t>
  </si>
  <si>
    <t>Occupational Therapist</t>
  </si>
  <si>
    <t>Boyd</t>
  </si>
  <si>
    <t>aboyd1p@artisteer.com</t>
  </si>
  <si>
    <t>Young</t>
  </si>
  <si>
    <t>hyoung1q@cisco.com</t>
  </si>
  <si>
    <t>Mechanical Systems Engineer</t>
  </si>
  <si>
    <t>Cooper</t>
  </si>
  <si>
    <t>tcooper1r@umich.edu</t>
  </si>
  <si>
    <t>Office Assistant IV</t>
  </si>
  <si>
    <t>Jordan</t>
  </si>
  <si>
    <t>jjordan1s@about.me</t>
  </si>
  <si>
    <t>Tax Accountant</t>
  </si>
  <si>
    <t>Rodriguez</t>
  </si>
  <si>
    <t>lrodriguez1t@narod.ru</t>
  </si>
  <si>
    <t>Product Engineer</t>
  </si>
  <si>
    <t>Mills</t>
  </si>
  <si>
    <t>jmills1u@printfriendly.com</t>
  </si>
  <si>
    <t>Senior Sales Associate</t>
  </si>
  <si>
    <t>kcoleman1v@360.cn</t>
  </si>
  <si>
    <t>Web Developer I</t>
  </si>
  <si>
    <t>Stewart</t>
  </si>
  <si>
    <t>dstewart1w@usnews.com</t>
  </si>
  <si>
    <t>ajordan1x@moonfruit.com</t>
  </si>
  <si>
    <t>Database Administrator III</t>
  </si>
  <si>
    <t>Vasquez</t>
  </si>
  <si>
    <t>evasquez1y@behance.net</t>
  </si>
  <si>
    <t>Operator</t>
  </si>
  <si>
    <t>Knight</t>
  </si>
  <si>
    <t>tknight1z@weibo.com</t>
  </si>
  <si>
    <t>Music</t>
  </si>
  <si>
    <t>Statistician I</t>
  </si>
  <si>
    <t>Palmer</t>
  </si>
  <si>
    <t>ipalmer20@newsvine.com</t>
  </si>
  <si>
    <t>Director of Sales</t>
  </si>
  <si>
    <t>Washington</t>
  </si>
  <si>
    <t>jwashington21@squidoo.com</t>
  </si>
  <si>
    <t>Programmer III</t>
  </si>
  <si>
    <t>dsanchez22@blog.com</t>
  </si>
  <si>
    <t>Senior Financial Analyst</t>
  </si>
  <si>
    <t>Grant</t>
  </si>
  <si>
    <t>egrant23@prlog.org</t>
  </si>
  <si>
    <t>Software Test Engineer II</t>
  </si>
  <si>
    <t>Daniels</t>
  </si>
  <si>
    <t>ndaniels24@google.ca</t>
  </si>
  <si>
    <t>Environmental Specialist</t>
  </si>
  <si>
    <t>jmedina25@dot.gov</t>
  </si>
  <si>
    <t>Cunningham</t>
  </si>
  <si>
    <t>acunningham26@simplemachines.org</t>
  </si>
  <si>
    <t>Little</t>
  </si>
  <si>
    <t>klittle27@un.org</t>
  </si>
  <si>
    <t>Welch</t>
  </si>
  <si>
    <t>jwelch28@1und1.de</t>
  </si>
  <si>
    <t>Accounting Assistant III</t>
  </si>
  <si>
    <t>Gilbert</t>
  </si>
  <si>
    <t>hgilbert29@xrea.com</t>
  </si>
  <si>
    <t>George</t>
  </si>
  <si>
    <t>ageorge2a@gmpg.org</t>
  </si>
  <si>
    <t>Hughes</t>
  </si>
  <si>
    <t>mhughes2b@youtube.com</t>
  </si>
  <si>
    <t>Williams</t>
  </si>
  <si>
    <t>jwilliams2c@businesswire.com</t>
  </si>
  <si>
    <t>Martinez</t>
  </si>
  <si>
    <t>wmartinez2d@barnesandnoble.com</t>
  </si>
  <si>
    <t>Systems Administrator II</t>
  </si>
  <si>
    <t>Hamilton</t>
  </si>
  <si>
    <t>hhamilton2e@google.de</t>
  </si>
  <si>
    <t>Gomez</t>
  </si>
  <si>
    <t>jgomez2f@mtv.com</t>
  </si>
  <si>
    <t>Accounting Assistant I</t>
  </si>
  <si>
    <t>awebb2g@springer.com</t>
  </si>
  <si>
    <t>Thomas</t>
  </si>
  <si>
    <t>tthomas2h@webnode.com</t>
  </si>
  <si>
    <t>Research Assistant IV</t>
  </si>
  <si>
    <t>Wallace</t>
  </si>
  <si>
    <t>swallace2i@state.tx.us</t>
  </si>
  <si>
    <t>Ortiz</t>
  </si>
  <si>
    <t>aortiz2j@jigsy.com</t>
  </si>
  <si>
    <t>nknight2k@cafepress.com</t>
  </si>
  <si>
    <t>Chemical Engineer</t>
  </si>
  <si>
    <t>Hunt</t>
  </si>
  <si>
    <t>thunt2l@twitpic.com</t>
  </si>
  <si>
    <t>Senior Cost Accountant</t>
  </si>
  <si>
    <t>Franklin</t>
  </si>
  <si>
    <t>sfranklin2m@wordpress.com</t>
  </si>
  <si>
    <t>Mason</t>
  </si>
  <si>
    <t>wmason2n@xrea.com</t>
  </si>
  <si>
    <t>wwilliams2o@berkeley.edu</t>
  </si>
  <si>
    <t>Freeman</t>
  </si>
  <si>
    <t>lfreeman2p@tiny.cc</t>
  </si>
  <si>
    <t>ipalmer2q@youku.com</t>
  </si>
  <si>
    <t>Physical Therapy Assistant</t>
  </si>
  <si>
    <t>Bell</t>
  </si>
  <si>
    <t>rbell2r@utexas.edu</t>
  </si>
  <si>
    <t>Rivera</t>
  </si>
  <si>
    <t>jrivera2s@oakley.com</t>
  </si>
  <si>
    <t>Matthews</t>
  </si>
  <si>
    <t>kmatthews2t@oaic.gov.au</t>
  </si>
  <si>
    <t>Statistician IV</t>
  </si>
  <si>
    <t>dreed2u@arstechnica.com</t>
  </si>
  <si>
    <t>Adams</t>
  </si>
  <si>
    <t>eadams2v@yandex.ru</t>
  </si>
  <si>
    <t>Financial Analyst</t>
  </si>
  <si>
    <t>syoung2w@cmu.edu</t>
  </si>
  <si>
    <t>Shoes</t>
  </si>
  <si>
    <t>Quality Control Specialist</t>
  </si>
  <si>
    <t>Gardner</t>
  </si>
  <si>
    <t>rgardner2x@theguardian.com</t>
  </si>
  <si>
    <t>Castillo</t>
  </si>
  <si>
    <t>bcastillo2y@cornell.edu</t>
  </si>
  <si>
    <t>Perkins</t>
  </si>
  <si>
    <t>jperkins2z@prlog.org</t>
  </si>
  <si>
    <t>bfreeman30@fda.gov</t>
  </si>
  <si>
    <t>General Manager</t>
  </si>
  <si>
    <t>Howell</t>
  </si>
  <si>
    <t>whowell31@free.fr</t>
  </si>
  <si>
    <t>Geologist III</t>
  </si>
  <si>
    <t>Austin</t>
  </si>
  <si>
    <t>naustin32@discuz.net</t>
  </si>
  <si>
    <t>Help Desk Operator</t>
  </si>
  <si>
    <t>Morris</t>
  </si>
  <si>
    <t>amorris33@irs.gov</t>
  </si>
  <si>
    <t>Legal Assistant</t>
  </si>
  <si>
    <t>Moore</t>
  </si>
  <si>
    <t>kmoore34@shareasale.com</t>
  </si>
  <si>
    <t>Sims</t>
  </si>
  <si>
    <t>msims35@i2i.jp</t>
  </si>
  <si>
    <t>rnguyen36@bandcamp.com</t>
  </si>
  <si>
    <t>Graphic Designer</t>
  </si>
  <si>
    <t>Wells</t>
  </si>
  <si>
    <t>awells37@theatlantic.com</t>
  </si>
  <si>
    <t>Martin</t>
  </si>
  <si>
    <t>jmartin38@chron.com</t>
  </si>
  <si>
    <t>Fox</t>
  </si>
  <si>
    <t>pfox39@discovery.com</t>
  </si>
  <si>
    <t>wwashington3a@dot.gov</t>
  </si>
  <si>
    <t>Speech Pathologist</t>
  </si>
  <si>
    <t>Evans</t>
  </si>
  <si>
    <t>wevans3b@scientificamerican.com</t>
  </si>
  <si>
    <t>Elliott</t>
  </si>
  <si>
    <t>belliott3c@jiathis.com</t>
  </si>
  <si>
    <t>Technical Writer</t>
  </si>
  <si>
    <t>Wagner</t>
  </si>
  <si>
    <t>jwagner3d@fotki.com</t>
  </si>
  <si>
    <t>Griffin</t>
  </si>
  <si>
    <t>agriffin3e@mtv.com</t>
  </si>
  <si>
    <t>Chavez</t>
  </si>
  <si>
    <t>mchavez3f@sohu.com</t>
  </si>
  <si>
    <t>Dean</t>
  </si>
  <si>
    <t>ldean3g@blogspot.com</t>
  </si>
  <si>
    <t>Burton</t>
  </si>
  <si>
    <t>bburton3h@360.cn</t>
  </si>
  <si>
    <t>Associate Professor</t>
  </si>
  <si>
    <t>Harper</t>
  </si>
  <si>
    <t>sharper3i@slideshare.net</t>
  </si>
  <si>
    <t>Gibson</t>
  </si>
  <si>
    <t>tgibson3j@ucoz.com</t>
  </si>
  <si>
    <t>Engineer II</t>
  </si>
  <si>
    <t>lgrant3k@live.com</t>
  </si>
  <si>
    <t>Nichols</t>
  </si>
  <si>
    <t>bnichols3l@dropbox.com</t>
  </si>
  <si>
    <t>wkelley3m@domainmarket.com</t>
  </si>
  <si>
    <t>Research Nurse</t>
  </si>
  <si>
    <t>Montgomery</t>
  </si>
  <si>
    <t>rmontgomery3n@chicagotribune.com</t>
  </si>
  <si>
    <t>dmartinez3o@deviantart.com</t>
  </si>
  <si>
    <t>Systems Administrator III</t>
  </si>
  <si>
    <t>Harvey</t>
  </si>
  <si>
    <t>jharvey3p@angelfire.com</t>
  </si>
  <si>
    <t>Hicks</t>
  </si>
  <si>
    <t>ahicks3q@pcworld.com</t>
  </si>
  <si>
    <t>Rose</t>
  </si>
  <si>
    <t>lrose3r@slideshare.net</t>
  </si>
  <si>
    <t>Accountant IV</t>
  </si>
  <si>
    <t>jsimmons3s@imageshack.us</t>
  </si>
  <si>
    <t>wmontgomery3t@taobao.com</t>
  </si>
  <si>
    <t>Hart</t>
  </si>
  <si>
    <t>rhart3u@wsj.com</t>
  </si>
  <si>
    <t>Pharmacist</t>
  </si>
  <si>
    <t>Wheeler</t>
  </si>
  <si>
    <t>bwheeler3v@google.co.uk</t>
  </si>
  <si>
    <t>rwilliamson3w@amazon.co.jp</t>
  </si>
  <si>
    <t>gburton3x@umich.edu</t>
  </si>
  <si>
    <t>Recruiter</t>
  </si>
  <si>
    <t>Gutierrez</t>
  </si>
  <si>
    <t>jgutierrez3y@tuttocitta.it</t>
  </si>
  <si>
    <t>Database Administrator I</t>
  </si>
  <si>
    <t>Barnes</t>
  </si>
  <si>
    <t>lbarnes3z@indiegogo.com</t>
  </si>
  <si>
    <t>Clinical Specialist</t>
  </si>
  <si>
    <t>lday40@upenn.edu</t>
  </si>
  <si>
    <t>Thompson</t>
  </si>
  <si>
    <t>athompson41@booking.com</t>
  </si>
  <si>
    <t>Account Executive</t>
  </si>
  <si>
    <t>Hernandez</t>
  </si>
  <si>
    <t>ahernandez42@pagesperso-orange.fr</t>
  </si>
  <si>
    <t>Sanders</t>
  </si>
  <si>
    <t>lsanders43@linkedin.com</t>
  </si>
  <si>
    <t>Staff Accountant III</t>
  </si>
  <si>
    <t>Meyer</t>
  </si>
  <si>
    <t>jmeyer44@facebook.com</t>
  </si>
  <si>
    <t>Human Resources Assistant IV</t>
  </si>
  <si>
    <t>Diaz</t>
  </si>
  <si>
    <t>pdiaz45@who.int</t>
  </si>
  <si>
    <t>Larson</t>
  </si>
  <si>
    <t>blarson46@newsvine.com</t>
  </si>
  <si>
    <t>Roberts</t>
  </si>
  <si>
    <t>droberts47@jimdo.com</t>
  </si>
  <si>
    <t>Carroll</t>
  </si>
  <si>
    <t>jcarroll48@cisco.com</t>
  </si>
  <si>
    <t>Safety Technician IV</t>
  </si>
  <si>
    <t>Russell</t>
  </si>
  <si>
    <t>mrussell49@exblog.jp</t>
  </si>
  <si>
    <t>Robinson</t>
  </si>
  <si>
    <t>trobinson4a@amazon.com</t>
  </si>
  <si>
    <t>Hayes</t>
  </si>
  <si>
    <t>ahayes4b@guardian.co.uk</t>
  </si>
  <si>
    <t>Analyst Programmer</t>
  </si>
  <si>
    <t>Henry</t>
  </si>
  <si>
    <t>dhenry4c@yelp.com</t>
  </si>
  <si>
    <t>mchavez4d@baidu.com</t>
  </si>
  <si>
    <t>eharvey4e@opera.com</t>
  </si>
  <si>
    <t>Analog Circuit Design manager</t>
  </si>
  <si>
    <t>cgutierrez4f@usnews.com</t>
  </si>
  <si>
    <t>mcruz4g@dedecms.com</t>
  </si>
  <si>
    <t>Sullivan</t>
  </si>
  <si>
    <t>jsullivan4h@cloudflare.com</t>
  </si>
  <si>
    <t>Robertson</t>
  </si>
  <si>
    <t>jrobertson4i@live.com</t>
  </si>
  <si>
    <t>Software Test Engineer I</t>
  </si>
  <si>
    <t>trobertson4j@youtu.be</t>
  </si>
  <si>
    <t>Lawson</t>
  </si>
  <si>
    <t>jlawson4k@prnewswire.com</t>
  </si>
  <si>
    <t>Administrative Officer</t>
  </si>
  <si>
    <t>kmeyer4l@bloglovin.com</t>
  </si>
  <si>
    <t>Lopez</t>
  </si>
  <si>
    <t>rlopez4m@foxnews.com</t>
  </si>
  <si>
    <t>Burns</t>
  </si>
  <si>
    <t>pburns4n@networksolutions.com</t>
  </si>
  <si>
    <t>rsanders4o@salon.com</t>
  </si>
  <si>
    <t>cmartinez4p@facebook.com</t>
  </si>
  <si>
    <t>Human Resources Assistant I</t>
  </si>
  <si>
    <t>mharris4q@squarespace.com</t>
  </si>
  <si>
    <t>Geologist I</t>
  </si>
  <si>
    <t>Fields</t>
  </si>
  <si>
    <t>rfields4r@amazon.co.uk</t>
  </si>
  <si>
    <t>Project Manager</t>
  </si>
  <si>
    <t>ffox4s@geocities.com</t>
  </si>
  <si>
    <t>Systems Administrator IV</t>
  </si>
  <si>
    <t>Reynolds</t>
  </si>
  <si>
    <t>dreynolds4t@biglobe.ne.jp</t>
  </si>
  <si>
    <t>VP Product Management</t>
  </si>
  <si>
    <t>cdaniels4u@rambler.ru</t>
  </si>
  <si>
    <t>Biostatistician IV</t>
  </si>
  <si>
    <t>Fisher</t>
  </si>
  <si>
    <t>rfisher4v@jigsy.com</t>
  </si>
  <si>
    <t>nferguson4w@networksolutions.com</t>
  </si>
  <si>
    <t>Butler</t>
  </si>
  <si>
    <t>cbutler4x@amazon.de</t>
  </si>
  <si>
    <t>rreynolds4y@miitbeian.gov.cn</t>
  </si>
  <si>
    <t>nwilliamson4z@dropbox.com</t>
  </si>
  <si>
    <t>Administrative Assistant II</t>
  </si>
  <si>
    <t>Shaw</t>
  </si>
  <si>
    <t>sshaw50@instagram.com</t>
  </si>
  <si>
    <t>Social Worker</t>
  </si>
  <si>
    <t>rgomez51@baidu.com</t>
  </si>
  <si>
    <t>Harrison</t>
  </si>
  <si>
    <t>jharrison52@scientificamerican.com</t>
  </si>
  <si>
    <t>ewatson53@latimes.com</t>
  </si>
  <si>
    <t>rwatson54@webeden.co.uk</t>
  </si>
  <si>
    <t>Health Coach III</t>
  </si>
  <si>
    <t>dlarson55@technorati.com</t>
  </si>
  <si>
    <t>Gordon</t>
  </si>
  <si>
    <t>kgordon56@techcrunch.com</t>
  </si>
  <si>
    <t>erose57@guardian.co.uk</t>
  </si>
  <si>
    <t>Anderson</t>
  </si>
  <si>
    <t>banderson58@wsj.com</t>
  </si>
  <si>
    <t>Powell</t>
  </si>
  <si>
    <t>hpowell59@geocities.com</t>
  </si>
  <si>
    <t>Web Designer III</t>
  </si>
  <si>
    <t>Woods</t>
  </si>
  <si>
    <t>dwoods5a@businesswire.com</t>
  </si>
  <si>
    <t>Structural Analysis Engineer</t>
  </si>
  <si>
    <t>Morales</t>
  </si>
  <si>
    <t>jmorales5b@joomla.org</t>
  </si>
  <si>
    <t>Engineer IV</t>
  </si>
  <si>
    <t>Stanley</t>
  </si>
  <si>
    <t>dstanley5c@is.gd</t>
  </si>
  <si>
    <t>ewagner5d@cornell.edu</t>
  </si>
  <si>
    <t>Professor</t>
  </si>
  <si>
    <t>nmeyer5e@about.me</t>
  </si>
  <si>
    <t>rjacobs5f@oracle.com</t>
  </si>
  <si>
    <t>Geological Engineer</t>
  </si>
  <si>
    <t>jhayes5g@jiathis.com</t>
  </si>
  <si>
    <t>esanders5h@ihg.com</t>
  </si>
  <si>
    <t>sreed5i@bloglovin.com</t>
  </si>
  <si>
    <t>mgeorge5j@cdc.gov</t>
  </si>
  <si>
    <t>Andrews</t>
  </si>
  <si>
    <t>jandrews5k@free.fr</t>
  </si>
  <si>
    <t>lmorris5l@patch.com</t>
  </si>
  <si>
    <t>Moreno</t>
  </si>
  <si>
    <t>jmoreno5m@xing.com</t>
  </si>
  <si>
    <t>Internal Auditor</t>
  </si>
  <si>
    <t>cpowell5n@cocolog-nifty.com</t>
  </si>
  <si>
    <t>Graham</t>
  </si>
  <si>
    <t>jgraham5o@printfriendly.com</t>
  </si>
  <si>
    <t>Riley</t>
  </si>
  <si>
    <t>hriley5p@dailymotion.com</t>
  </si>
  <si>
    <t>mharris5q@utexas.edu</t>
  </si>
  <si>
    <t>Statistician II</t>
  </si>
  <si>
    <t>rgilbert5r@domainmarket.com</t>
  </si>
  <si>
    <t>Peterson</t>
  </si>
  <si>
    <t>jpeterson5s@t-online.de</t>
  </si>
  <si>
    <t>Foster</t>
  </si>
  <si>
    <t>jfoster5t@icq.com</t>
  </si>
  <si>
    <t>Fowler</t>
  </si>
  <si>
    <t>afowler5u@parallels.com</t>
  </si>
  <si>
    <t>fmatthews5v@theatlantic.com</t>
  </si>
  <si>
    <t>gthomas5w@slate.com</t>
  </si>
  <si>
    <t>Teacher</t>
  </si>
  <si>
    <t>West</t>
  </si>
  <si>
    <t>gwest5x@hao123.com</t>
  </si>
  <si>
    <t>Stevens</t>
  </si>
  <si>
    <t>estevens5y@salon.com</t>
  </si>
  <si>
    <t>Howard</t>
  </si>
  <si>
    <t>dhoward5z@soundcloud.com</t>
  </si>
  <si>
    <t>mboyd60@jimdo.com</t>
  </si>
  <si>
    <t>iross61@jimdo.com</t>
  </si>
  <si>
    <t>vharrison62@networkadvertising.org</t>
  </si>
  <si>
    <t>Assistant Professor</t>
  </si>
  <si>
    <t>lellis63@ucla.edu</t>
  </si>
  <si>
    <t>Paralegal</t>
  </si>
  <si>
    <t>sdiaz64@disqus.com</t>
  </si>
  <si>
    <t>asnyder65@soundcloud.com</t>
  </si>
  <si>
    <t>bgibson66@lulu.com</t>
  </si>
  <si>
    <t>Human Resources Assistant II</t>
  </si>
  <si>
    <t>Hanson</t>
  </si>
  <si>
    <t>dhanson67@cmu.edu</t>
  </si>
  <si>
    <t>Staff Accountant I</t>
  </si>
  <si>
    <t>mpeterson68@home.pl</t>
  </si>
  <si>
    <t>Gonzalez</t>
  </si>
  <si>
    <t>tgonzalez69@umich.edu</t>
  </si>
  <si>
    <t>crivera6a@amazon.co.jp</t>
  </si>
  <si>
    <t>Accounting Assistant IV</t>
  </si>
  <si>
    <t>cwashington6b@cargocollective.com</t>
  </si>
  <si>
    <t>Ruiz</t>
  </si>
  <si>
    <t>lruiz6c@thetimes.co.uk</t>
  </si>
  <si>
    <t>Ford</t>
  </si>
  <si>
    <t>sford6d@flavors.me</t>
  </si>
  <si>
    <t>lday6e@usgs.gov</t>
  </si>
  <si>
    <t>apeterson6f@sina.com.cn</t>
  </si>
  <si>
    <t>rgonzalez6g@europa.eu</t>
  </si>
  <si>
    <t>Walker</t>
  </si>
  <si>
    <t>jwalker6h@google.es</t>
  </si>
  <si>
    <t>Accountant II</t>
  </si>
  <si>
    <t>sgriffin6i@123-reg.co.uk</t>
  </si>
  <si>
    <t>Tucker</t>
  </si>
  <si>
    <t>jtucker6j@dailymail.co.uk</t>
  </si>
  <si>
    <t>Programmer II</t>
  </si>
  <si>
    <t>aarmstrong6k@redcross.org</t>
  </si>
  <si>
    <t>Budget/Accounting Analyst II</t>
  </si>
  <si>
    <t>Gonzales</t>
  </si>
  <si>
    <t>cgonzales6l@berkeley.edu</t>
  </si>
  <si>
    <t>jwilliamson6m@arizona.edu</t>
  </si>
  <si>
    <t>Spencer</t>
  </si>
  <si>
    <t>wspencer6n@marriott.com</t>
  </si>
  <si>
    <t>Staff Accountant IV</t>
  </si>
  <si>
    <t>jrose6o@dion.ne.jp</t>
  </si>
  <si>
    <t>Web Developer II</t>
  </si>
  <si>
    <t>probinson6p@ucla.edu</t>
  </si>
  <si>
    <t>kgutierrez6q@bravesites.com</t>
  </si>
  <si>
    <t>Alvarez</t>
  </si>
  <si>
    <t>jalvarez6r@geocities.com</t>
  </si>
  <si>
    <t>Help Desk Technician</t>
  </si>
  <si>
    <t>swebb6s@people.com.cn</t>
  </si>
  <si>
    <t>Marketing Manager</t>
  </si>
  <si>
    <t>tellis6t@squarespace.com</t>
  </si>
  <si>
    <t>Romero</t>
  </si>
  <si>
    <t>jromero6u@cafepress.com</t>
  </si>
  <si>
    <t>White</t>
  </si>
  <si>
    <t>jwhite6v@tripadvisor.com</t>
  </si>
  <si>
    <t>Miller</t>
  </si>
  <si>
    <t>jmiller6w@businesswire.com</t>
  </si>
  <si>
    <t>mfowler6x@geocities.jp</t>
  </si>
  <si>
    <t>Duncan</t>
  </si>
  <si>
    <t>pduncan6y@sina.com.cn</t>
  </si>
  <si>
    <t>Johnston</t>
  </si>
  <si>
    <t>jjohnston6z@irs.gov</t>
  </si>
  <si>
    <t>Marshall</t>
  </si>
  <si>
    <t>mmarshall70@hibu.com</t>
  </si>
  <si>
    <t>Computer Systems Analyst I</t>
  </si>
  <si>
    <t>alawrence71@unicef.org</t>
  </si>
  <si>
    <t>Lynch</t>
  </si>
  <si>
    <t>rlynch72@sitemeter.com</t>
  </si>
  <si>
    <t>Stone</t>
  </si>
  <si>
    <t>gstone73@google.es</t>
  </si>
  <si>
    <t>Administrative Assistant I</t>
  </si>
  <si>
    <t>gfreeman74@bloomberg.com</t>
  </si>
  <si>
    <t>dschmidt75@sitemeter.com</t>
  </si>
  <si>
    <t>gwallace76@technorati.com</t>
  </si>
  <si>
    <t>Fuller</t>
  </si>
  <si>
    <t>ffuller77@ustream.tv</t>
  </si>
  <si>
    <t>GIS Technical Architect</t>
  </si>
  <si>
    <t>Bennett</t>
  </si>
  <si>
    <t>jbennett78@surveymonkey.com</t>
  </si>
  <si>
    <t>Food Chemist</t>
  </si>
  <si>
    <t>Lewis</t>
  </si>
  <si>
    <t>dlewis79@parallels.com</t>
  </si>
  <si>
    <t>dsnyder7a@digg.com</t>
  </si>
  <si>
    <t>Account Coordinator</t>
  </si>
  <si>
    <t>ksanders7b@pinterest.com</t>
  </si>
  <si>
    <t>wfox7c@yelp.com</t>
  </si>
  <si>
    <t>Burke</t>
  </si>
  <si>
    <t>cburke7d@ameblo.jp</t>
  </si>
  <si>
    <t>Murphy</t>
  </si>
  <si>
    <t>dmurphy7e@patch.com</t>
  </si>
  <si>
    <t>Bowman</t>
  </si>
  <si>
    <t>hbowman7f@reddit.com</t>
  </si>
  <si>
    <t>Biostatistician III</t>
  </si>
  <si>
    <t>kcunningham7g@squidoo.com</t>
  </si>
  <si>
    <t>ttorres7h@telegraph.co.uk</t>
  </si>
  <si>
    <t>pjordan7i@squidoo.com</t>
  </si>
  <si>
    <t>Banks</t>
  </si>
  <si>
    <t>jbanks7j@dion.ne.jp</t>
  </si>
  <si>
    <t>Health Coach I</t>
  </si>
  <si>
    <t>egordon7k@yellowbook.com</t>
  </si>
  <si>
    <t>abennett7l@guardian.co.uk</t>
  </si>
  <si>
    <t>arivera7m@comcast.net</t>
  </si>
  <si>
    <t>Engineer I</t>
  </si>
  <si>
    <t>dellis7n@seesaa.net</t>
  </si>
  <si>
    <t>Richardson</t>
  </si>
  <si>
    <t>lrichardson7o@fc2.com</t>
  </si>
  <si>
    <t>Engineer III</t>
  </si>
  <si>
    <t>wortiz7p@reddit.com</t>
  </si>
  <si>
    <t>Clark</t>
  </si>
  <si>
    <t>mclark7q@privacy.gov.au</t>
  </si>
  <si>
    <t>rchavez7r@youtu.be</t>
  </si>
  <si>
    <t>Holmes</t>
  </si>
  <si>
    <t>aholmes7s@last.fm</t>
  </si>
  <si>
    <t>rfowler7t@ameblo.jp</t>
  </si>
  <si>
    <t>ageorge7u@1und1.de</t>
  </si>
  <si>
    <t>kmurray7v@ca.gov</t>
  </si>
  <si>
    <t>Hunter</t>
  </si>
  <si>
    <t>rhunter7w@buzzfeed.com</t>
  </si>
  <si>
    <t>Long</t>
  </si>
  <si>
    <t>elong7x@nymag.com</t>
  </si>
  <si>
    <t>tandrews7y@ycombinator.com</t>
  </si>
  <si>
    <t>bmoore7z@twitpic.com</t>
  </si>
  <si>
    <t>csanders80@blog.com</t>
  </si>
  <si>
    <t>Carter</t>
  </si>
  <si>
    <t>scarter81@cargocollective.com</t>
  </si>
  <si>
    <t>Accountant III</t>
  </si>
  <si>
    <t>rmoreno82@alibaba.com</t>
  </si>
  <si>
    <t>dortiz83@themeforest.net</t>
  </si>
  <si>
    <t>pcastillo84@1688.com</t>
  </si>
  <si>
    <t>icooper85@w3.org</t>
  </si>
  <si>
    <t>Human Resources Assistant III</t>
  </si>
  <si>
    <t>lharris86@ibm.com</t>
  </si>
  <si>
    <t>Developer IV</t>
  </si>
  <si>
    <t>Edwards</t>
  </si>
  <si>
    <t>aedwards87@webeden.co.uk</t>
  </si>
  <si>
    <t>Staff Scientist</t>
  </si>
  <si>
    <t>nharrison88@imageshack.us</t>
  </si>
  <si>
    <t>Berry</t>
  </si>
  <si>
    <t>lberry89@gov.uk</t>
  </si>
  <si>
    <t>Research Assistant I</t>
  </si>
  <si>
    <t>cstephens8a@imdb.com</t>
  </si>
  <si>
    <t>Arnold</t>
  </si>
  <si>
    <t>barnold8b@thetimes.co.uk</t>
  </si>
  <si>
    <t>Myers</t>
  </si>
  <si>
    <t>amyers8c@ibm.com</t>
  </si>
  <si>
    <t>Jenkins</t>
  </si>
  <si>
    <t>rjenkins8d@wufoo.com</t>
  </si>
  <si>
    <t>jwest8e@berkeley.edu</t>
  </si>
  <si>
    <t>Mccoy</t>
  </si>
  <si>
    <t>mmccoy8f@wisc.edu</t>
  </si>
  <si>
    <t>fjohnson8g@wikipedia.org</t>
  </si>
  <si>
    <t>ssanders8h@mtv.com</t>
  </si>
  <si>
    <t>acunningham8i@wikimedia.org</t>
  </si>
  <si>
    <t>slynch8j@123-reg.co.uk</t>
  </si>
  <si>
    <t>driley8k@dell.com</t>
  </si>
  <si>
    <t>Ray</t>
  </si>
  <si>
    <t>aray8l@cbc.ca</t>
  </si>
  <si>
    <t>Cost Accountant</t>
  </si>
  <si>
    <t>plane8m@pbs.org</t>
  </si>
  <si>
    <t>pjordan8n@adobe.com</t>
  </si>
  <si>
    <t>bgibson8o@pen.io</t>
  </si>
  <si>
    <t>Health Coach II</t>
  </si>
  <si>
    <t>telliott8p@mozilla.org</t>
  </si>
  <si>
    <t>bsmith8q@mysql.com</t>
  </si>
  <si>
    <t>Peters</t>
  </si>
  <si>
    <t>cpeters8r@epa.gov</t>
  </si>
  <si>
    <t>htucker8s@photobucket.com</t>
  </si>
  <si>
    <t>jmoore8t@umich.edu</t>
  </si>
  <si>
    <t>mcrawford8u@parallels.com</t>
  </si>
  <si>
    <t>Software Engineer IV</t>
  </si>
  <si>
    <t>egilbert8v@nydailynews.com</t>
  </si>
  <si>
    <t>jwheeler8w@whitehouse.gov</t>
  </si>
  <si>
    <t>jmarshall8x@va.gov</t>
  </si>
  <si>
    <t>rrobinson8y@businessinsider.com</t>
  </si>
  <si>
    <t>astevens8z@si.edu</t>
  </si>
  <si>
    <t>Research Associate</t>
  </si>
  <si>
    <t>Wright</t>
  </si>
  <si>
    <t>kwright90@buzzfeed.com</t>
  </si>
  <si>
    <t>bcastillo91@hc360.com</t>
  </si>
  <si>
    <t>medwards92@mail.ru</t>
  </si>
  <si>
    <t>bhanson93@blinklist.com</t>
  </si>
  <si>
    <t>Media Manager I</t>
  </si>
  <si>
    <t>hmccoy94@miitbeian.gov.cn</t>
  </si>
  <si>
    <t>Administrative Assistant III</t>
  </si>
  <si>
    <t>Dunn</t>
  </si>
  <si>
    <t>cdunn95@ft.com</t>
  </si>
  <si>
    <t>Hudson</t>
  </si>
  <si>
    <t>jhudson96@thetimes.co.uk</t>
  </si>
  <si>
    <t>Garza</t>
  </si>
  <si>
    <t>lgarza97@bing.com</t>
  </si>
  <si>
    <t>Office Assistant II</t>
  </si>
  <si>
    <t>pgarza98@go.com</t>
  </si>
  <si>
    <t>fmills99@ameblo.jp</t>
  </si>
  <si>
    <t>pgilbert9a@wiley.com</t>
  </si>
  <si>
    <t>Campbell</t>
  </si>
  <si>
    <t>pcampbell9b@istockphoto.com</t>
  </si>
  <si>
    <t>dspencer9c@ed.gov</t>
  </si>
  <si>
    <t>Garrett</t>
  </si>
  <si>
    <t>kgarrett9d@wordpress.com</t>
  </si>
  <si>
    <t>Programmer Analyst III</t>
  </si>
  <si>
    <t>rhudson9e@geocities.com</t>
  </si>
  <si>
    <t>jwilliams9f@canalblog.com</t>
  </si>
  <si>
    <t>Biostatistician I</t>
  </si>
  <si>
    <t>cellis9g@ibm.com</t>
  </si>
  <si>
    <t>scarroll9h@yellowbook.com</t>
  </si>
  <si>
    <t>along9i@ocn.ne.jp</t>
  </si>
  <si>
    <t>eowens9j@skyrock.com</t>
  </si>
  <si>
    <t>Perez</t>
  </si>
  <si>
    <t>jperez9k@bloglines.com</t>
  </si>
  <si>
    <t>Programmer Analyst I</t>
  </si>
  <si>
    <t>lfreeman9l@cpanel.net</t>
  </si>
  <si>
    <t>Frazier</t>
  </si>
  <si>
    <t>dfrazier9m@amazon.co.uk</t>
  </si>
  <si>
    <t>athomas9n@answers.com</t>
  </si>
  <si>
    <t>acrawford9o@cpanel.net</t>
  </si>
  <si>
    <t>ahawkins9p@hud.gov</t>
  </si>
  <si>
    <t>Programmer I</t>
  </si>
  <si>
    <t>jfuller9q@merriam-webster.com</t>
  </si>
  <si>
    <t>Programmer Analyst II</t>
  </si>
  <si>
    <t>smoreno9r@slate.com</t>
  </si>
  <si>
    <t>jgonzales9s@sourceforge.net</t>
  </si>
  <si>
    <t>shudson9t@shareasale.com</t>
  </si>
  <si>
    <t>cmurray9u@reverbnation.com</t>
  </si>
  <si>
    <t>estephens9v@bbc.co.uk</t>
  </si>
  <si>
    <t>dreynolds9w@angelfire.com</t>
  </si>
  <si>
    <t>jgutierrez9x@telegraph.co.uk</t>
  </si>
  <si>
    <t>gtucker9y@instagram.com</t>
  </si>
  <si>
    <t>jjenkins9z@w3.org</t>
  </si>
  <si>
    <t>Rice</t>
  </si>
  <si>
    <t>dricea0@hubpages.com</t>
  </si>
  <si>
    <t>Senior Quality Engineer</t>
  </si>
  <si>
    <t>jburkea1@mayoclinic.com</t>
  </si>
  <si>
    <t>Hall</t>
  </si>
  <si>
    <t>jhalla2@prweb.com</t>
  </si>
  <si>
    <t>Ryan</t>
  </si>
  <si>
    <t>rryana3@twitter.com</t>
  </si>
  <si>
    <t>jgonzalesa4@cpanel.net</t>
  </si>
  <si>
    <t>bjacobsa5@domainmarket.com</t>
  </si>
  <si>
    <t>Ramos</t>
  </si>
  <si>
    <t>jramosa6@cdbaby.com</t>
  </si>
  <si>
    <t>Computer Systems Analyst III</t>
  </si>
  <si>
    <t>driveraa7@typepad.com</t>
  </si>
  <si>
    <t>llawrencea8@mozilla.com</t>
  </si>
  <si>
    <t>eaustina9@answers.com</t>
  </si>
  <si>
    <t>bsimsaa@privacy.gov.au</t>
  </si>
  <si>
    <t>rharperab@china.com.cn</t>
  </si>
  <si>
    <t>jsimsac@a8.net</t>
  </si>
  <si>
    <t>Mcdonald</t>
  </si>
  <si>
    <t>jmcdonaldad@sbwire.com</t>
  </si>
  <si>
    <t>mhudsonae@ihg.com</t>
  </si>
  <si>
    <t>charperaf@google.pl</t>
  </si>
  <si>
    <t>valexanderag@amazon.co.uk</t>
  </si>
  <si>
    <t>bnicholsah@networkadvertising.org</t>
  </si>
  <si>
    <t>ghicksai@weibo.com</t>
  </si>
  <si>
    <t>Turner</t>
  </si>
  <si>
    <t>bturneraj@samsung.com</t>
  </si>
  <si>
    <t>dwelchak@printfriendly.com</t>
  </si>
  <si>
    <t>Payne</t>
  </si>
  <si>
    <t>jpayneal@comsenz.com</t>
  </si>
  <si>
    <t>pyoungam@theguardian.com</t>
  </si>
  <si>
    <t>dbutleran@eventbrite.com</t>
  </si>
  <si>
    <t>ecarrollao@newsvine.com</t>
  </si>
  <si>
    <t>Office Assistant III</t>
  </si>
  <si>
    <t>tgriffinap@reddit.com</t>
  </si>
  <si>
    <t>mburkeaq@360.cn</t>
  </si>
  <si>
    <t>akelleyar@list-manage.com</t>
  </si>
  <si>
    <t>gortizas@w3.org</t>
  </si>
  <si>
    <t>Olson</t>
  </si>
  <si>
    <t>aolsonat@cpanel.net</t>
  </si>
  <si>
    <t>Web Designer II</t>
  </si>
  <si>
    <t>cwhiteau@amazon.de</t>
  </si>
  <si>
    <t>apetersav@loc.gov</t>
  </si>
  <si>
    <t>Database Administrator II</t>
  </si>
  <si>
    <t>ksullivanaw@slideshare.net</t>
  </si>
  <si>
    <t>rwashingtonax@gmpg.org</t>
  </si>
  <si>
    <t>Ward</t>
  </si>
  <si>
    <t>jwarday@quantcast.com</t>
  </si>
  <si>
    <t>bkellyaz@bandcamp.com</t>
  </si>
  <si>
    <t>hmartinb0@homestead.com</t>
  </si>
  <si>
    <t>scooperb1@cmu.edu</t>
  </si>
  <si>
    <t>jholmesb2@uol.com.br</t>
  </si>
  <si>
    <t>jharrisonb3@google.de</t>
  </si>
  <si>
    <t>Parker</t>
  </si>
  <si>
    <t>jparkerb4@mit.edu</t>
  </si>
  <si>
    <t>emarshallb5@yahoo.co.jp</t>
  </si>
  <si>
    <t>schapmanb6@nhs.uk</t>
  </si>
  <si>
    <t>aharveyb7@who.int</t>
  </si>
  <si>
    <t>Administrative Assistant IV</t>
  </si>
  <si>
    <t>dmorganb8@moonfruit.com</t>
  </si>
  <si>
    <t>pfosterb9@intel.com</t>
  </si>
  <si>
    <t>jvasquezba@dion.ne.jp</t>
  </si>
  <si>
    <t>jmoorebb@liveinternet.ru</t>
  </si>
  <si>
    <t>swilliamsbc@bing.com</t>
  </si>
  <si>
    <t>lharrisbd@ow.ly</t>
  </si>
  <si>
    <t>chayesbe@usnews.com</t>
  </si>
  <si>
    <t>jvasquezbf@dailymail.co.uk</t>
  </si>
  <si>
    <t>Brooks</t>
  </si>
  <si>
    <t>lbrooksbg@storify.com</t>
  </si>
  <si>
    <t>epetersonbh@reverbnation.com</t>
  </si>
  <si>
    <t>dholmesbi@jugem.jp</t>
  </si>
  <si>
    <t>dbutlerbj@wix.com</t>
  </si>
  <si>
    <t>shansonbk@ted.com</t>
  </si>
  <si>
    <t>Systems Administrator I</t>
  </si>
  <si>
    <t>dmoralesbl@mit.edu</t>
  </si>
  <si>
    <t>jdixonbm@indiatimes.com</t>
  </si>
  <si>
    <t>hhenrybn@privacy.gov.au</t>
  </si>
  <si>
    <t>rharperbo@webeden.co.uk</t>
  </si>
  <si>
    <t>ctorresbp@yahoo.com</t>
  </si>
  <si>
    <t>Staff Accountant II</t>
  </si>
  <si>
    <t>awalkerbq@wsj.com</t>
  </si>
  <si>
    <t>jberrybr@discuz.net</t>
  </si>
  <si>
    <t>Carpenter</t>
  </si>
  <si>
    <t>lcarpenterbs@xrea.com</t>
  </si>
  <si>
    <t>tgrahambt@mediafire.com</t>
  </si>
  <si>
    <t>aclarkbu@npr.org</t>
  </si>
  <si>
    <t>rschmidtbv@tumblr.com</t>
  </si>
  <si>
    <t>jortizbw@t.co</t>
  </si>
  <si>
    <t>ehallbx@google.com.br</t>
  </si>
  <si>
    <t>Bishop</t>
  </si>
  <si>
    <t>kbishopby@loc.gov</t>
  </si>
  <si>
    <t>nmurphybz@jiathis.com</t>
  </si>
  <si>
    <t>dparkerc0@webeden.co.uk</t>
  </si>
  <si>
    <t>Lee</t>
  </si>
  <si>
    <t>rleec1@ibm.com</t>
  </si>
  <si>
    <t>kellisc2@cafepress.com</t>
  </si>
  <si>
    <t>abishopc3@e-recht24.de</t>
  </si>
  <si>
    <t>arobertsc4@businessweek.com</t>
  </si>
  <si>
    <t>bmorenoc5@addtoany.com</t>
  </si>
  <si>
    <t>eboydc6@unc.edu</t>
  </si>
  <si>
    <t>amurphyc7@wikia.com</t>
  </si>
  <si>
    <t>Bailey</t>
  </si>
  <si>
    <t>jbaileyc8@newsvine.com</t>
  </si>
  <si>
    <t>jbryantc9@zdnet.com</t>
  </si>
  <si>
    <t>cpowellca@samsung.com</t>
  </si>
  <si>
    <t>jfergusoncb@sphinn.com</t>
  </si>
  <si>
    <t>dgreenecc@reuters.com</t>
  </si>
  <si>
    <t>pkennedycd@google.cn</t>
  </si>
  <si>
    <t>cbrooksce@washingtonpost.com</t>
  </si>
  <si>
    <t>jbrookscf@ucla.edu</t>
  </si>
  <si>
    <t>Gray</t>
  </si>
  <si>
    <t>tgraycg@fotki.com</t>
  </si>
  <si>
    <t>kmorganch@reddit.com</t>
  </si>
  <si>
    <t>arobinsonci@mapy.cz</t>
  </si>
  <si>
    <t>ckennedycj@boston.com</t>
  </si>
  <si>
    <t>aandersonck@whitehouse.gov</t>
  </si>
  <si>
    <t>jpricecl@liveinternet.ru</t>
  </si>
  <si>
    <t>jhawkinscm@furl.net</t>
  </si>
  <si>
    <t>swatsoncn@wufoo.com</t>
  </si>
  <si>
    <t>Cole</t>
  </si>
  <si>
    <t>bcoleco@parallels.com</t>
  </si>
  <si>
    <t>dlittlecp@usatoday.com</t>
  </si>
  <si>
    <t>erobertsoncq@prweb.com</t>
  </si>
  <si>
    <t>lsanchezcr@rediff.com</t>
  </si>
  <si>
    <t>llanecs@free.fr</t>
  </si>
  <si>
    <t>Media Manager III</t>
  </si>
  <si>
    <t>Perry</t>
  </si>
  <si>
    <t>rperryct@answers.com</t>
  </si>
  <si>
    <t>dmasoncu@about.com</t>
  </si>
  <si>
    <t>dbrookscv@biblegateway.com</t>
  </si>
  <si>
    <t>dwhitecw@exblog.jp</t>
  </si>
  <si>
    <t>fcarrollcx@ucoz.ru</t>
  </si>
  <si>
    <t>efordcy@elpais.com</t>
  </si>
  <si>
    <t>Software Engineer I</t>
  </si>
  <si>
    <t>grosscz@blogtalkradio.com</t>
  </si>
  <si>
    <t>rhicksd0@histats.com</t>
  </si>
  <si>
    <t>triced1@examiner.com</t>
  </si>
  <si>
    <t>plewisd2@businessinsider.com</t>
  </si>
  <si>
    <t>larnoldd3@webeden.co.uk</t>
  </si>
  <si>
    <t>Office Assistant I</t>
  </si>
  <si>
    <t>djordand4@trellian.com</t>
  </si>
  <si>
    <t>Research Assistant II</t>
  </si>
  <si>
    <t>creedd5@bloglines.com</t>
  </si>
  <si>
    <t>sjenkinsd6@bloglovin.com</t>
  </si>
  <si>
    <t>jmatthewsd7@economist.com</t>
  </si>
  <si>
    <t>Actuary</t>
  </si>
  <si>
    <t>lgonzalezd8@fastcompany.com</t>
  </si>
  <si>
    <t>jmasond9@networkadvertising.org</t>
  </si>
  <si>
    <t>Nelson</t>
  </si>
  <si>
    <t>lnelsonda@example.com</t>
  </si>
  <si>
    <t>amillerdb@reddit.com</t>
  </si>
  <si>
    <t>kmooredc@simplemachines.org</t>
  </si>
  <si>
    <t>rharrisdd@paypal.com</t>
  </si>
  <si>
    <t>Budget/Accounting Analyst III</t>
  </si>
  <si>
    <t>Brown</t>
  </si>
  <si>
    <t>mbrownde@bizjournals.com</t>
  </si>
  <si>
    <t>glittledf@xrea.com</t>
  </si>
  <si>
    <t>caustindg@pen.io</t>
  </si>
  <si>
    <t>fyoungdh@npr.org</t>
  </si>
  <si>
    <t>hfoxdi@acquirethisname.com</t>
  </si>
  <si>
    <t>ebrooksdj@berkeley.edu</t>
  </si>
  <si>
    <t>lparkerdk@salon.com</t>
  </si>
  <si>
    <t>bgriffindl@pbs.org</t>
  </si>
  <si>
    <t>bstevensdm@aol.com</t>
  </si>
  <si>
    <t>levansdn@house.gov</t>
  </si>
  <si>
    <t>bbanksdo@bravesites.com</t>
  </si>
  <si>
    <t>ksullivandp@ucoz.com</t>
  </si>
  <si>
    <t>eblackdq@ihg.com</t>
  </si>
  <si>
    <t>dandrewsdr@patch.com</t>
  </si>
  <si>
    <t>bjenkinsds@kickstarter.com</t>
  </si>
  <si>
    <t>jgutierrezdt@woothemes.com</t>
  </si>
  <si>
    <t>Hansen</t>
  </si>
  <si>
    <t>jhansendu@timesonline.co.uk</t>
  </si>
  <si>
    <t>drodriguezdv@histats.com</t>
  </si>
  <si>
    <t>hbaileydw@networksolutions.com</t>
  </si>
  <si>
    <t>Geologist IV</t>
  </si>
  <si>
    <t>gbanksdx@berkeley.edu</t>
  </si>
  <si>
    <t>jrosedy@squarespace.com</t>
  </si>
  <si>
    <t>mweaverdz@ft.com</t>
  </si>
  <si>
    <t>jwalkere0@oakley.com</t>
  </si>
  <si>
    <t>Cox</t>
  </si>
  <si>
    <t>ncoxe1@1und1.de</t>
  </si>
  <si>
    <t>preede2@who.int</t>
  </si>
  <si>
    <t>dmarshalle3@about.me</t>
  </si>
  <si>
    <t>rgonzaleze4@furl.net</t>
  </si>
  <si>
    <t>rlawrencee5@hhs.gov</t>
  </si>
  <si>
    <t>tmedinae6@g.co</t>
  </si>
  <si>
    <t>rcarpentere7@blog.com</t>
  </si>
  <si>
    <t>mcartere8@twitpic.com</t>
  </si>
  <si>
    <t>Account Representative I</t>
  </si>
  <si>
    <t>gpeterse9@people.com.cn</t>
  </si>
  <si>
    <t>Web Developer IV</t>
  </si>
  <si>
    <t>kgomezea@bloglovin.com</t>
  </si>
  <si>
    <t>rstanleyeb@alibaba.com</t>
  </si>
  <si>
    <t>lcarpenterec@technorati.com</t>
  </si>
  <si>
    <t>Chief Design Engineer</t>
  </si>
  <si>
    <t>cpetersed@goo.ne.jp</t>
  </si>
  <si>
    <t>chamiltonee@google.es</t>
  </si>
  <si>
    <t>sowensef@ted.com</t>
  </si>
  <si>
    <t>dwilliamsoneg@creativecommons.org</t>
  </si>
  <si>
    <t>Flores</t>
  </si>
  <si>
    <t>lfloreseh@tinyurl.com</t>
  </si>
  <si>
    <t>ajohnstonei@php.net</t>
  </si>
  <si>
    <t>pedwardsej@businessinsider.com</t>
  </si>
  <si>
    <t>tpayneek@newyorker.com</t>
  </si>
  <si>
    <t>lallenel@nyu.edu</t>
  </si>
  <si>
    <t>Richards</t>
  </si>
  <si>
    <t>jrichardsem@1688.com</t>
  </si>
  <si>
    <t>fcoleen@msn.com</t>
  </si>
  <si>
    <t>lmeyereo@storify.com</t>
  </si>
  <si>
    <t>Reyes</t>
  </si>
  <si>
    <t>lreyesep@foxnews.com</t>
  </si>
  <si>
    <t>rhudsoneq@fotki.com</t>
  </si>
  <si>
    <t>rriceer@wired.com</t>
  </si>
  <si>
    <t>dcastilloes@cocolog-nifty.com</t>
  </si>
  <si>
    <t>Automation Specialist IV</t>
  </si>
  <si>
    <t>jharrisonet@mapquest.com</t>
  </si>
  <si>
    <t>rmorriseu@yahoo.com</t>
  </si>
  <si>
    <t>acastilloev@cnet.com</t>
  </si>
  <si>
    <t>rwebbew@twitter.com</t>
  </si>
  <si>
    <t>gfreemanex@nps.gov</t>
  </si>
  <si>
    <t>rkelleyey@feedburner.com</t>
  </si>
  <si>
    <t>lmatthewsez@edublogs.org</t>
  </si>
  <si>
    <t>Mendoza</t>
  </si>
  <si>
    <t>tmendozaf0@google.nl</t>
  </si>
  <si>
    <t>ericef1@cpanel.net</t>
  </si>
  <si>
    <t>kwalkerf2@vinaora.com</t>
  </si>
  <si>
    <t>mmooref3@oakley.com</t>
  </si>
  <si>
    <t>jlynchf4@jimdo.com</t>
  </si>
  <si>
    <t>Health Coach IV</t>
  </si>
  <si>
    <t>mfoxf5@jimdo.com</t>
  </si>
  <si>
    <t>bmorenof6@vkontakte.ru</t>
  </si>
  <si>
    <t>Simpson</t>
  </si>
  <si>
    <t>dsimpsonf7@engadget.com</t>
  </si>
  <si>
    <t>kreynoldsf8@vistaprint.com</t>
  </si>
  <si>
    <t>lwatsonf9@alexa.com</t>
  </si>
  <si>
    <t>bcruzfa@nbcnews.com</t>
  </si>
  <si>
    <t>cgomezfb@reddit.com</t>
  </si>
  <si>
    <t>rgeorgefc@youtube.com</t>
  </si>
  <si>
    <t>mfrazierfd@tripod.com</t>
  </si>
  <si>
    <t>cbryantfe@phpbb.com</t>
  </si>
  <si>
    <t>mfergusonff@trellian.com</t>
  </si>
  <si>
    <t>dfrazierfg@twitter.com</t>
  </si>
  <si>
    <t>jhudsonfh@soundcloud.com</t>
  </si>
  <si>
    <t>jmurphyfi@naver.com</t>
  </si>
  <si>
    <t>Kim</t>
  </si>
  <si>
    <t>jkimfj@dropbox.com</t>
  </si>
  <si>
    <t>jrodriguezfk@cafepress.com</t>
  </si>
  <si>
    <t>jperezfl@seesaa.net</t>
  </si>
  <si>
    <t>bgrahamfm@usatoday.com</t>
  </si>
  <si>
    <t>amartinezfn@people.com.cn</t>
  </si>
  <si>
    <t>Pierce</t>
  </si>
  <si>
    <t>jpiercefo@cnet.com</t>
  </si>
  <si>
    <t>mlynchfp@reverbnation.com</t>
  </si>
  <si>
    <t>dmyersfq@amazon.com</t>
  </si>
  <si>
    <t>kdayfr@wix.com</t>
  </si>
  <si>
    <t>jlittlefs@bravesites.com</t>
  </si>
  <si>
    <t>rjamesft@jiathis.com</t>
  </si>
  <si>
    <t>eortizfu@java.com</t>
  </si>
  <si>
    <t>jduncanfv@etsy.com</t>
  </si>
  <si>
    <t>jkennedyfw@nasa.gov</t>
  </si>
  <si>
    <t>dpiercefx@marketwatch.com</t>
  </si>
  <si>
    <t>abowmanfy@devhub.com</t>
  </si>
  <si>
    <t>Taylor</t>
  </si>
  <si>
    <t>staylorfz@issuu.com</t>
  </si>
  <si>
    <t>Jones</t>
  </si>
  <si>
    <t>jjonesg0@g.co</t>
  </si>
  <si>
    <t>hlynchg1@washingtonpost.com</t>
  </si>
  <si>
    <t>jbarnesg2@hubpages.com</t>
  </si>
  <si>
    <t>kweaverg3@wikia.com</t>
  </si>
  <si>
    <t>Accounting Assistant II</t>
  </si>
  <si>
    <t>pcunninghamg4@example.com</t>
  </si>
  <si>
    <t>Ramirez</t>
  </si>
  <si>
    <t>hramirezg5@merriam-webster.com</t>
  </si>
  <si>
    <t>ehunterg6@ucsd.edu</t>
  </si>
  <si>
    <t>Software Engineer II</t>
  </si>
  <si>
    <t>Cook</t>
  </si>
  <si>
    <t>ccookg7@blog.com</t>
  </si>
  <si>
    <t>nlopezg8@fema.gov</t>
  </si>
  <si>
    <t>folsong9@acquirethisname.com</t>
  </si>
  <si>
    <t>pmartinga@webnode.com</t>
  </si>
  <si>
    <t>edaygb@google.nl</t>
  </si>
  <si>
    <t>sarnoldgc@parallels.com</t>
  </si>
  <si>
    <t>rallengd@cnet.com</t>
  </si>
  <si>
    <t>wsimsge@vinaora.com</t>
  </si>
  <si>
    <t>aduncangf@behance.net</t>
  </si>
  <si>
    <t>aevansgg@wordpress.org</t>
  </si>
  <si>
    <t>schapmangh@arstechnica.com</t>
  </si>
  <si>
    <t>rpricegi@flavors.me</t>
  </si>
  <si>
    <t>jfordgj@nyu.edu</t>
  </si>
  <si>
    <t>alynchgk@tumblr.com</t>
  </si>
  <si>
    <t>jdiazgl@hhs.gov</t>
  </si>
  <si>
    <t>rwatkinsgm@independent.co.uk</t>
  </si>
  <si>
    <t>sruizgn@reddit.com</t>
  </si>
  <si>
    <t>blopezgo@sourceforge.net</t>
  </si>
  <si>
    <t>Henderson</t>
  </si>
  <si>
    <t>chendersongp@sina.com.cn</t>
  </si>
  <si>
    <t>lwebbgq@last.fm</t>
  </si>
  <si>
    <t>agreenegr@cmu.edu</t>
  </si>
  <si>
    <t>Research Assistant III</t>
  </si>
  <si>
    <t>estephensgs@phoca.cz</t>
  </si>
  <si>
    <t>rparkergt@1688.com</t>
  </si>
  <si>
    <t>hreyesgu@gnu.org</t>
  </si>
  <si>
    <t>hgarzagv@webmd.com</t>
  </si>
  <si>
    <t>dfishergw@myspace.com</t>
  </si>
  <si>
    <t>hhicksgx@ifeng.com</t>
  </si>
  <si>
    <t>jfordgy@earthlink.net</t>
  </si>
  <si>
    <t>cfowlergz@joomla.org</t>
  </si>
  <si>
    <t>Software Test Engineer IV</t>
  </si>
  <si>
    <t>hcolemanh0@feedburner.com</t>
  </si>
  <si>
    <t>jramirezh1@php.net</t>
  </si>
  <si>
    <t>falexanderh2@irs.gov</t>
  </si>
  <si>
    <t>hmarshallh3@com.com</t>
  </si>
  <si>
    <t>hmillsh4@lulu.com</t>
  </si>
  <si>
    <t>Account Representative II</t>
  </si>
  <si>
    <t>wphillipsh5@economist.com</t>
  </si>
  <si>
    <t>jcoleh6@php.net</t>
  </si>
  <si>
    <t>aolsonh7@psu.edu</t>
  </si>
  <si>
    <t>nreynoldsh8@redcross.org</t>
  </si>
  <si>
    <t>rwrighth9@jimdo.com</t>
  </si>
  <si>
    <t>mfordha@youku.com</t>
  </si>
  <si>
    <t>mgarzahb@elegantthemes.com</t>
  </si>
  <si>
    <t>handrewshc@salon.com</t>
  </si>
  <si>
    <t>sruizhd@slashdot.org</t>
  </si>
  <si>
    <t>swatkinshe@wunderground.com</t>
  </si>
  <si>
    <t>rdiazhf@nih.gov</t>
  </si>
  <si>
    <t>mwatkinshg@bbb.org</t>
  </si>
  <si>
    <t>spiercehh@google.nl</t>
  </si>
  <si>
    <t>wperezhi@yahoo.co.jp</t>
  </si>
  <si>
    <t>clopezhj@mediafire.com</t>
  </si>
  <si>
    <t>mfreemanhk@walmart.com</t>
  </si>
  <si>
    <t>wfowlerhl@people.com.cn</t>
  </si>
  <si>
    <t>mrodriguezhm@wiley.com</t>
  </si>
  <si>
    <t>lwheelerhn@skyrock.com</t>
  </si>
  <si>
    <t>dknightho@buzzfeed.com</t>
  </si>
  <si>
    <t>bwalkerhp@dropbox.com</t>
  </si>
  <si>
    <t>eporterhq@amazon.com</t>
  </si>
  <si>
    <t>hwashingtonhr@bbc.co.uk</t>
  </si>
  <si>
    <t>rhayeshs@loc.gov</t>
  </si>
  <si>
    <t>Warren</t>
  </si>
  <si>
    <t>awarrenht@addthis.com</t>
  </si>
  <si>
    <t>cjohnstonhu@psu.edu</t>
  </si>
  <si>
    <t>Computer Systems Analyst IV</t>
  </si>
  <si>
    <t>jcarrollhv@over-blog.com</t>
  </si>
  <si>
    <t>twebbhw@google.com.br</t>
  </si>
  <si>
    <t>lharveyhx@plala.or.jp</t>
  </si>
  <si>
    <t>mwashingtonhy@icio.us</t>
  </si>
  <si>
    <t>rlonghz@list-manage.com</t>
  </si>
  <si>
    <t>krusselli0@posterous.com</t>
  </si>
  <si>
    <t>rfrazieri1@github.com</t>
  </si>
  <si>
    <t>tfreemani2@soundcloud.com</t>
  </si>
  <si>
    <t>criverai3@github.io</t>
  </si>
  <si>
    <t>vramirezi4@yellowpages.com</t>
  </si>
  <si>
    <t>hmcdonaldi5@4shared.com</t>
  </si>
  <si>
    <t>emeyeri6@friendfeed.com</t>
  </si>
  <si>
    <t>kcampbelli7@prnewswire.com</t>
  </si>
  <si>
    <t>Reid</t>
  </si>
  <si>
    <t>areidi8@wunderground.com</t>
  </si>
  <si>
    <t>agilberti9@parallels.com</t>
  </si>
  <si>
    <t>kramosia@ed.gov</t>
  </si>
  <si>
    <t>mnelsonib@ibm.com</t>
  </si>
  <si>
    <t>pfosteric@smugmug.com</t>
  </si>
  <si>
    <t>bscottid@mashable.com</t>
  </si>
  <si>
    <t>tlynchie@bloglovin.com</t>
  </si>
  <si>
    <t>ewatkinsif@ask.com</t>
  </si>
  <si>
    <t>pgarciaig@macromedia.com</t>
  </si>
  <si>
    <t>jarnoldih@tripod.com</t>
  </si>
  <si>
    <t>nwillisii@sohu.com</t>
  </si>
  <si>
    <t>Human Resources Manager</t>
  </si>
  <si>
    <t>jburtonij@webmd.com</t>
  </si>
  <si>
    <t>sowensik@prlog.org</t>
  </si>
  <si>
    <t>rmorenoil@gizmodo.com</t>
  </si>
  <si>
    <t>jfullerim@theguardian.com</t>
  </si>
  <si>
    <t>cfowlerin@yelp.com</t>
  </si>
  <si>
    <t>lthomasio@pagesperso-orange.fr</t>
  </si>
  <si>
    <t>jadamsip@cisco.com</t>
  </si>
  <si>
    <t>ssnyderiq@vkontakte.ru</t>
  </si>
  <si>
    <t>rsullivanir@xinhuanet.com</t>
  </si>
  <si>
    <t>lrobertsonis@forbes.com</t>
  </si>
  <si>
    <t>jmillsit@webs.com</t>
  </si>
  <si>
    <t>pstoneiu@narod.ru</t>
  </si>
  <si>
    <t>gsimmonsiv@cocolog-nifty.com</t>
  </si>
  <si>
    <t>dbutleriw@discuz.net</t>
  </si>
  <si>
    <t>kscottix@ycombinator.com</t>
  </si>
  <si>
    <t>jtorresiy@4shared.com</t>
  </si>
  <si>
    <t>lhalliz@smh.com.au</t>
  </si>
  <si>
    <t>jwhitej0@usnews.com</t>
  </si>
  <si>
    <t>mwatkinsj1@myspace.com</t>
  </si>
  <si>
    <t>agardnerj2@blogs.com</t>
  </si>
  <si>
    <t>kcruzj3@shinystat.com</t>
  </si>
  <si>
    <t>aaustinj4@walmart.com</t>
  </si>
  <si>
    <t>rperkinsj5@ehow.com</t>
  </si>
  <si>
    <t>chansenj6@uiuc.edu</t>
  </si>
  <si>
    <t>dowensj7@hibu.com</t>
  </si>
  <si>
    <t>hcarrj8@latimes.com</t>
  </si>
  <si>
    <t>rchavezj9@uiuc.edu</t>
  </si>
  <si>
    <t>rmoralesja@vinaora.com</t>
  </si>
  <si>
    <t>dandersonjb@linkedin.com</t>
  </si>
  <si>
    <t>twoodsjc@ucoz.ru</t>
  </si>
  <si>
    <t>tcookjd@blinklist.com</t>
  </si>
  <si>
    <t>bpriceje@icio.us</t>
  </si>
  <si>
    <t>tstonejf@com.com</t>
  </si>
  <si>
    <t>jwilliamsjg@rediff.com</t>
  </si>
  <si>
    <t>Developer II</t>
  </si>
  <si>
    <t>dwellsjh@is.gd</t>
  </si>
  <si>
    <t>ahernandezji@ucoz.ru</t>
  </si>
  <si>
    <t>eburkejj@godaddy.com</t>
  </si>
  <si>
    <t>pclarkjk@joomla.org</t>
  </si>
  <si>
    <t>rmendozajl@g.co</t>
  </si>
  <si>
    <t>jperryjm@home.pl</t>
  </si>
  <si>
    <t>crosejn@cnbc.com</t>
  </si>
  <si>
    <t>cpaynejo@tinyurl.com</t>
  </si>
  <si>
    <t>jmillsjp@yahoo.com</t>
  </si>
  <si>
    <t>jrobertsjq@ed.gov</t>
  </si>
  <si>
    <t>dtorresjr@state.tx.us</t>
  </si>
  <si>
    <t>ahicksjs@arstechnica.com</t>
  </si>
  <si>
    <t>kcooperjt@salon.com</t>
  </si>
  <si>
    <t>rhenryju@answers.com</t>
  </si>
  <si>
    <t>bjacobsjv@thetimes.co.uk</t>
  </si>
  <si>
    <t>rgreenejw@so-net.ne.jp</t>
  </si>
  <si>
    <t>darmstrongjx@cafepress.com</t>
  </si>
  <si>
    <t>ewagnerjy@jalbum.net</t>
  </si>
  <si>
    <t>hricejz@blinklist.com</t>
  </si>
  <si>
    <t>hsmithk0@4shared.com</t>
  </si>
  <si>
    <t>Hill</t>
  </si>
  <si>
    <t>khillk1@about.me</t>
  </si>
  <si>
    <t>rhowardk2@cnet.com</t>
  </si>
  <si>
    <t>delliottk3@who.int</t>
  </si>
  <si>
    <t>krichardsk4@bloglines.com</t>
  </si>
  <si>
    <t>dwelchk5@mapquest.com</t>
  </si>
  <si>
    <t>mjohnsonk6@sciencedaily.com</t>
  </si>
  <si>
    <t>slarsonk7@sakura.ne.jp</t>
  </si>
  <si>
    <t>hbanksk8@nifty.com</t>
  </si>
  <si>
    <t>ejohnstonk9@liveinternet.ru</t>
  </si>
  <si>
    <t>gfergusonka@geocities.jp</t>
  </si>
  <si>
    <t>amurraykb@blinklist.com</t>
  </si>
  <si>
    <t>jdiazkc@china.com.cn</t>
  </si>
  <si>
    <t>tsimmonskd@chicagotribune.com</t>
  </si>
  <si>
    <t>jrichardske@hatena.ne.jp</t>
  </si>
  <si>
    <t>emorgankf@businessinsider.com</t>
  </si>
  <si>
    <t>bpricekg@xinhuanet.com</t>
  </si>
  <si>
    <t>chudsonkh@google.co.uk</t>
  </si>
  <si>
    <t>lcarrollki@example.com</t>
  </si>
  <si>
    <t>jlongkj@dailymail.co.uk</t>
  </si>
  <si>
    <t>cparkerkk@foxnews.com</t>
  </si>
  <si>
    <t>lnguyenkl@goodreads.com</t>
  </si>
  <si>
    <t>agarzakm@miitbeian.gov.cn</t>
  </si>
  <si>
    <t>pgordonkn@mac.com</t>
  </si>
  <si>
    <t>Developer I</t>
  </si>
  <si>
    <t>lreedko@wikipedia.org</t>
  </si>
  <si>
    <t>bbakerkp@list-manage.com</t>
  </si>
  <si>
    <t>mcarrollkq@whitehouse.gov</t>
  </si>
  <si>
    <t>delliottkr@dot.gov</t>
  </si>
  <si>
    <t>aparkerks@godaddy.com</t>
  </si>
  <si>
    <t>kwardkt@wikipedia.org</t>
  </si>
  <si>
    <t>ckelleyku@gravatar.com</t>
  </si>
  <si>
    <t>rgonzaleskv@meetup.com</t>
  </si>
  <si>
    <t>King</t>
  </si>
  <si>
    <t>bkingkw@friendfeed.com</t>
  </si>
  <si>
    <t>smendozakx@java.com</t>
  </si>
  <si>
    <t>ctuckerky@1688.com</t>
  </si>
  <si>
    <t>dfoxkz@foxnews.com</t>
  </si>
  <si>
    <t>aevansl0@nba.com</t>
  </si>
  <si>
    <t>nrayl1@mail.ru</t>
  </si>
  <si>
    <t>jvasquezl2@edublogs.org</t>
  </si>
  <si>
    <t>sbelll3@goo.gl</t>
  </si>
  <si>
    <t>eburkel4@newsvine.com</t>
  </si>
  <si>
    <t>cstanleyl5@springer.com</t>
  </si>
  <si>
    <t>dbelll6@wisc.edu</t>
  </si>
  <si>
    <t>mjacobsl7@ibm.com</t>
  </si>
  <si>
    <t>dwilliamsl8@google.com.br</t>
  </si>
  <si>
    <t>kelliottl9@hhs.gov</t>
  </si>
  <si>
    <t>jhallla@hao123.com</t>
  </si>
  <si>
    <t>jmeyerlb@yandex.ru</t>
  </si>
  <si>
    <t>jkellylc@linkedin.com</t>
  </si>
  <si>
    <t>jburtonld@delicious.com</t>
  </si>
  <si>
    <t>rclarkle@ted.com</t>
  </si>
  <si>
    <t>delliottlf@fda.gov</t>
  </si>
  <si>
    <t>rdixonlg@parallels.com</t>
  </si>
  <si>
    <t>vrichardslh@forbes.com</t>
  </si>
  <si>
    <t>egonzalezli@naver.com</t>
  </si>
  <si>
    <t>kolsonlj@friendfeed.com</t>
  </si>
  <si>
    <t>jsimslk@angelfire.com</t>
  </si>
  <si>
    <t>ethomasll@aol.com</t>
  </si>
  <si>
    <t>mgonzalezlm@illinois.edu</t>
  </si>
  <si>
    <t>dcoxln@studiopress.com</t>
  </si>
  <si>
    <t>rschmidtlo@harvard.edu</t>
  </si>
  <si>
    <t>jweaverlp@unblog.fr</t>
  </si>
  <si>
    <t>kburnslq@163.com</t>
  </si>
  <si>
    <t>aburnslr@squidoo.com</t>
  </si>
  <si>
    <t>nmillerls@behance.net</t>
  </si>
  <si>
    <t>jwillislt@instagram.com</t>
  </si>
  <si>
    <t>twilliamsonlu@ow.ly</t>
  </si>
  <si>
    <t>dphillipslv@domainmarket.com</t>
  </si>
  <si>
    <t>kjameslw@yellowbook.com</t>
  </si>
  <si>
    <t>cmurraylx@icio.us</t>
  </si>
  <si>
    <t>tphillipsly@globo.com</t>
  </si>
  <si>
    <t>jmccoylz@samsung.com</t>
  </si>
  <si>
    <t>akellym0@unblog.fr</t>
  </si>
  <si>
    <t>mlarsonm1@blinklist.com</t>
  </si>
  <si>
    <t>dhansenm2@thetimes.co.uk</t>
  </si>
  <si>
    <t>jowensm3@mail.ru</t>
  </si>
  <si>
    <t>aramosm4@issuu.com</t>
  </si>
  <si>
    <t>akimm5@vimeo.com</t>
  </si>
  <si>
    <t>asimsm6@lycos.com</t>
  </si>
  <si>
    <t>apetersonm7@eepurl.com</t>
  </si>
  <si>
    <t>tgomezm8@ucoz.ru</t>
  </si>
  <si>
    <t>Biostatistician II</t>
  </si>
  <si>
    <t>dknightm9@quantcast.com</t>
  </si>
  <si>
    <t>ahuntma@g.co</t>
  </si>
  <si>
    <t>hhuntermb@reverbnation.com</t>
  </si>
  <si>
    <t>pgordonmc@creativecommons.org</t>
  </si>
  <si>
    <t>shillmd@ca.gov</t>
  </si>
  <si>
    <t>hgibsonme@ox.ac.uk</t>
  </si>
  <si>
    <t>jmillsmf@seesaa.net</t>
  </si>
  <si>
    <t>rbutlermg@netvibes.com</t>
  </si>
  <si>
    <t>lfostermh@blog.com</t>
  </si>
  <si>
    <t>eharrisonmi@cdbaby.com</t>
  </si>
  <si>
    <t>jharveymj@yandex.ru</t>
  </si>
  <si>
    <t>Collins</t>
  </si>
  <si>
    <t>dcollinsmk@salon.com</t>
  </si>
  <si>
    <t>shayesml@usda.gov</t>
  </si>
  <si>
    <t>rburtonmm@ow.ly</t>
  </si>
  <si>
    <t>Jackson</t>
  </si>
  <si>
    <t>pjacksonmn@dailymotion.com</t>
  </si>
  <si>
    <t>sdixonmo@marriott.com</t>
  </si>
  <si>
    <t>jricemp@columbia.edu</t>
  </si>
  <si>
    <t>jmurraymq@spiegel.de</t>
  </si>
  <si>
    <t>jbakermr@cafepress.com</t>
  </si>
  <si>
    <t>rrileyms@uiuc.edu</t>
  </si>
  <si>
    <t>jgonzalezmt@nsw.gov.au</t>
  </si>
  <si>
    <t>mharrisonmu@guardian.co.uk</t>
  </si>
  <si>
    <t>mmorrismv@tumblr.com</t>
  </si>
  <si>
    <t>jturnermw@mapy.cz</t>
  </si>
  <si>
    <t>cgarciamx@vistaprint.com</t>
  </si>
  <si>
    <t>hfowlermy@nps.gov</t>
  </si>
  <si>
    <t>wallenmz@gnu.org</t>
  </si>
  <si>
    <t>bparkern0@weibo.com</t>
  </si>
  <si>
    <t>cstewartn1@hugedomains.com</t>
  </si>
  <si>
    <t>drodriguezn2@guardian.co.uk</t>
  </si>
  <si>
    <t>hturnern3@tumblr.com</t>
  </si>
  <si>
    <t>rchavezn4@tamu.edu</t>
  </si>
  <si>
    <t>kcoxn5@dyndns.org</t>
  </si>
  <si>
    <t>btuckern6@ovh.net</t>
  </si>
  <si>
    <t>svasquezn7@1und1.de</t>
  </si>
  <si>
    <t>wcolen8@php.net</t>
  </si>
  <si>
    <t>rblackn9@sun.com</t>
  </si>
  <si>
    <t>trichardsonna@cbsnews.com</t>
  </si>
  <si>
    <t>phamiltonnb@earthlink.net</t>
  </si>
  <si>
    <t>ssullivannc@clickbank.net</t>
  </si>
  <si>
    <t>acarpenternd@prlog.org</t>
  </si>
  <si>
    <t>rrossne@salon.com</t>
  </si>
  <si>
    <t>jhallnf@1und1.de</t>
  </si>
  <si>
    <t>Web Designer I</t>
  </si>
  <si>
    <t>iwashingtonng@freewebs.com</t>
  </si>
  <si>
    <t>dmorenonh@webs.com</t>
  </si>
  <si>
    <t>dknightni@unc.edu</t>
  </si>
  <si>
    <t>jaustinnj@gov.uk</t>
  </si>
  <si>
    <t>kricenk@cyberchimps.com</t>
  </si>
  <si>
    <t>pkelleynl@biglobe.ne.jp</t>
  </si>
  <si>
    <t>bgordonnm@imdb.com</t>
  </si>
  <si>
    <t>Media Manager II</t>
  </si>
  <si>
    <t>srosenn@flavors.me</t>
  </si>
  <si>
    <t>emendozano@edublogs.org</t>
  </si>
  <si>
    <t>ghansonnp@free.fr</t>
  </si>
  <si>
    <t>eperrynq@imdb.com</t>
  </si>
  <si>
    <t>trobertsnr@over-blog.com</t>
  </si>
  <si>
    <t>dnicholsns@ifeng.com</t>
  </si>
  <si>
    <t>lwrightnt@house.gov</t>
  </si>
  <si>
    <t>mclarknu@bigcartel.com</t>
  </si>
  <si>
    <t>landersonnv@sakura.ne.jp</t>
  </si>
  <si>
    <t>kfosternw@a8.net</t>
  </si>
  <si>
    <t>bstanleynx@phoca.cz</t>
  </si>
  <si>
    <t>fgonzalesny@squarespace.com</t>
  </si>
  <si>
    <t>sjonesnz@chron.com</t>
  </si>
  <si>
    <t>mdixono0@cbc.ca</t>
  </si>
  <si>
    <t>jkellyo1@ameblo.jp</t>
  </si>
  <si>
    <t>bjohnsono2@toplist.cz</t>
  </si>
  <si>
    <t>jpriceo3@google.it</t>
  </si>
  <si>
    <t>pturnero4@tamu.edu</t>
  </si>
  <si>
    <t>ghowardo5@ow.ly</t>
  </si>
  <si>
    <t>thansono6@paginegialle.it</t>
  </si>
  <si>
    <t>thallo7@hud.gov</t>
  </si>
  <si>
    <t>aalexandero8@histats.com</t>
  </si>
  <si>
    <t>kspencero9@eventbrite.com</t>
  </si>
  <si>
    <t>rjenkinsoa@answers.com</t>
  </si>
  <si>
    <t>amontgomeryob@dmoz.org</t>
  </si>
  <si>
    <t>rwebboc@a8.net</t>
  </si>
  <si>
    <t>pwilliamsonod@utexas.edu</t>
  </si>
  <si>
    <t>shilloe@ft.com</t>
  </si>
  <si>
    <t>kgrantof@phoca.cz</t>
  </si>
  <si>
    <t>cwrightog@trellian.com</t>
  </si>
  <si>
    <t>wgeorgeoh@mail.ru</t>
  </si>
  <si>
    <t>lgeorgeoi@jigsy.com</t>
  </si>
  <si>
    <t>bfordoj@spiegel.de</t>
  </si>
  <si>
    <t>mwallaceok@abc.net.au</t>
  </si>
  <si>
    <t>fmurphyol@tumblr.com</t>
  </si>
  <si>
    <t>jvasquezom@networksolutions.com</t>
  </si>
  <si>
    <t>bcollinson@google.pl</t>
  </si>
  <si>
    <t>ajacksonoo@slate.com</t>
  </si>
  <si>
    <t>ehowellop@dailymotion.com</t>
  </si>
  <si>
    <t>arichardsoq@so-net.ne.jp</t>
  </si>
  <si>
    <t>pcrawfordor@gnu.org</t>
  </si>
  <si>
    <t>Account Representative IV</t>
  </si>
  <si>
    <t>jdixonos@msu.edu</t>
  </si>
  <si>
    <t>jowensot@gmpg.org</t>
  </si>
  <si>
    <t>kmooreou@slate.com</t>
  </si>
  <si>
    <t>rcarpenterov@pagesperso-orange.fr</t>
  </si>
  <si>
    <t>sreidow@smugmug.com</t>
  </si>
  <si>
    <t>kleeox@nature.com</t>
  </si>
  <si>
    <t>kburtonoy@army.mil</t>
  </si>
  <si>
    <t>tjordanoz@instagram.com</t>
  </si>
  <si>
    <t>kperryp0@chron.com</t>
  </si>
  <si>
    <t>bwrightp1@deviantart.com</t>
  </si>
  <si>
    <t>eburnsp2@discuz.net</t>
  </si>
  <si>
    <t>drobertsp3@ed.gov</t>
  </si>
  <si>
    <t>dwebbp4@about.com</t>
  </si>
  <si>
    <t>sspencerp5@mtv.com</t>
  </si>
  <si>
    <t>kfrazierp6@dailymail.co.uk</t>
  </si>
  <si>
    <t>jhansonp7@1688.com</t>
  </si>
  <si>
    <t>hmcdonaldp8@facebook.com</t>
  </si>
  <si>
    <t>freyesp9@ft.com</t>
  </si>
  <si>
    <t>jpetersonpa@unblog.fr</t>
  </si>
  <si>
    <t>sfisherpb@answers.com</t>
  </si>
  <si>
    <t>Database Administrator IV</t>
  </si>
  <si>
    <t>mkelleypc@sourceforge.net</t>
  </si>
  <si>
    <t>carmstrongpd@4shared.com</t>
  </si>
  <si>
    <t>cbellpe@npr.org</t>
  </si>
  <si>
    <t>bpaynepf@cbsnews.com</t>
  </si>
  <si>
    <t>sgutierrezpg@bloglovin.com</t>
  </si>
  <si>
    <t>amillerph@skype.com</t>
  </si>
  <si>
    <t>kbishoppi@ovh.net</t>
  </si>
  <si>
    <t>scolepj@odnoklassniki.ru</t>
  </si>
  <si>
    <t>jmoorepk@home.pl</t>
  </si>
  <si>
    <t>swatkinspl@google.fr</t>
  </si>
  <si>
    <t>jwhitepm@elpais.com</t>
  </si>
  <si>
    <t>Wilson</t>
  </si>
  <si>
    <t>bwilsonpn@chron.com</t>
  </si>
  <si>
    <t>dphillipspo@adobe.com</t>
  </si>
  <si>
    <t>raustinpp@house.gov</t>
  </si>
  <si>
    <t>dhowardpq@ocn.ne.jp</t>
  </si>
  <si>
    <t>lyoungpr@psu.edu</t>
  </si>
  <si>
    <t>ericeps@reference.com</t>
  </si>
  <si>
    <t>jhansenpt@slate.com</t>
  </si>
  <si>
    <t>jburtonpu@wufoo.com</t>
  </si>
  <si>
    <t>lreyespv@tuttocitta.it</t>
  </si>
  <si>
    <t>gwilliamspw@columbia.edu</t>
  </si>
  <si>
    <t>Morrison</t>
  </si>
  <si>
    <t>tmorrisonpx@free.fr</t>
  </si>
  <si>
    <t>mhudsonpy@altervista.org</t>
  </si>
  <si>
    <t>mweaverpz@delicious.com</t>
  </si>
  <si>
    <t>chawkinsq0@bravesites.com</t>
  </si>
  <si>
    <t>djonesq1@tamu.edu</t>
  </si>
  <si>
    <t>kaustinq2@soup.io</t>
  </si>
  <si>
    <t>lturnerq3@ycombinator.com</t>
  </si>
  <si>
    <t>gcunninghamq4@webmd.com</t>
  </si>
  <si>
    <t>llopezq5@usgs.gov</t>
  </si>
  <si>
    <t>kphillipsq6@soup.io</t>
  </si>
  <si>
    <t>jadamsq7@aol.com</t>
  </si>
  <si>
    <t>pleeq8@noaa.gov</t>
  </si>
  <si>
    <t>dphillipsq9@stanford.edu</t>
  </si>
  <si>
    <t>ckellyqa@boston.com</t>
  </si>
  <si>
    <t>bjamesqb@hubpages.com</t>
  </si>
  <si>
    <t>Programmer Analyst IV</t>
  </si>
  <si>
    <t>jwoodsqc@patch.com</t>
  </si>
  <si>
    <t>jkennedyqd@nba.com</t>
  </si>
  <si>
    <t>jlewisqe@etsy.com</t>
  </si>
  <si>
    <t>acoleqf@unblog.fr</t>
  </si>
  <si>
    <t>pedwardsqg@cnbc.com</t>
  </si>
  <si>
    <t>ncooperqh@wp.com</t>
  </si>
  <si>
    <t>Computer Systems Analyst II</t>
  </si>
  <si>
    <t>wmarshallqi@fastcompany.com</t>
  </si>
  <si>
    <t>saustinqj@vimeo.com</t>
  </si>
  <si>
    <t>cfranklinqk@dyndns.org</t>
  </si>
  <si>
    <t>Wood</t>
  </si>
  <si>
    <t>bwoodql@epa.gov</t>
  </si>
  <si>
    <t>jyoungqm@xing.com</t>
  </si>
  <si>
    <t>glaneqn@google.fr</t>
  </si>
  <si>
    <t>rbowmanqo@auda.org.au</t>
  </si>
  <si>
    <t>ahayesqp@npr.org</t>
  </si>
  <si>
    <t>cburtonqq@github.io</t>
  </si>
  <si>
    <t>mramosqr@is.gd</t>
  </si>
  <si>
    <t>sbutlerqs@ow.ly</t>
  </si>
  <si>
    <t>ckellyqt@canalblog.com</t>
  </si>
  <si>
    <t>clawsonqu@cargocollective.com</t>
  </si>
  <si>
    <t>nmorenoqv@chronoengine.com</t>
  </si>
  <si>
    <t>jrichardsqw@blog.com</t>
  </si>
  <si>
    <t>pjamesqx@nymag.com</t>
  </si>
  <si>
    <t>mdunnqy@chronoengine.com</t>
  </si>
  <si>
    <t>mbaileyqz@howstuffworks.com</t>
  </si>
  <si>
    <t>swalkerr0@sina.com.cn</t>
  </si>
  <si>
    <t>rwelchr1@eventbrite.com</t>
  </si>
  <si>
    <t>kfowlerr2@wp.com</t>
  </si>
  <si>
    <t>achapmanr3@list-manage.com</t>
  </si>
  <si>
    <t>acollinsr4@jiathis.com</t>
  </si>
  <si>
    <t>ghuntr5@moonfruit.com</t>
  </si>
  <si>
    <t>bmedinar6@1688.com</t>
  </si>
  <si>
    <t>tsanchezr7@lycos.com</t>
  </si>
  <si>
    <t>dsimmonsr8@craigslist.org</t>
  </si>
  <si>
    <t>bmendozar9@reference.com</t>
  </si>
  <si>
    <t>llopezra@blogger.com</t>
  </si>
  <si>
    <t>hwilliamsrb@webnode.com</t>
  </si>
  <si>
    <t>hstevensrc@hugedomains.com</t>
  </si>
  <si>
    <t>hryanrd@networkadvertising.org</t>
  </si>
  <si>
    <t>slawrencere@cdbaby.com</t>
  </si>
  <si>
    <t>ecolerf@scientificamerican.com</t>
  </si>
  <si>
    <t>dfieldsrg@examiner.com</t>
  </si>
  <si>
    <t>lthomasrh@elegantthemes.com</t>
  </si>
  <si>
    <t>rturnerri@a8.net</t>
  </si>
  <si>
    <t>nedwardsrj@wikimedia.org</t>
  </si>
  <si>
    <t>sandersonrk@businesswire.com</t>
  </si>
  <si>
    <t>rhamiltonrl@skype.com</t>
  </si>
  <si>
    <t>kwoodrm@indiegogo.com</t>
  </si>
  <si>
    <t>tjamesrn@soundcloud.com</t>
  </si>
  <si>
    <t>dreynoldsro@blogtalkradio.com</t>
  </si>
  <si>
    <t>kwalkerrp@unicef.org</t>
  </si>
  <si>
    <t>lkennedyrq@edublogs.org</t>
  </si>
  <si>
    <t>showardrr@addtoany.com</t>
  </si>
  <si>
    <t>Start date2</t>
  </si>
  <si>
    <t>Total</t>
  </si>
  <si>
    <t>Region2</t>
  </si>
  <si>
    <t xml:space="preserve">Comparing salaries and highlighting them if they are greater than the valure that need to be checked </t>
  </si>
  <si>
    <t>M</t>
  </si>
  <si>
    <t>F</t>
  </si>
  <si>
    <t>Sex</t>
  </si>
  <si>
    <t>status</t>
  </si>
  <si>
    <t>Active</t>
  </si>
  <si>
    <t>On Leave</t>
  </si>
  <si>
    <t>Resigned</t>
  </si>
  <si>
    <t>Annual Salary</t>
  </si>
  <si>
    <t>BONUS</t>
  </si>
  <si>
    <t>Male</t>
  </si>
  <si>
    <t>Female</t>
  </si>
  <si>
    <t>Start date</t>
  </si>
  <si>
    <t>Gender</t>
  </si>
  <si>
    <t>Divisions</t>
  </si>
  <si>
    <t>Data Coordinator</t>
  </si>
  <si>
    <t>Nurse Practitioner</t>
  </si>
  <si>
    <t xml:space="preserve">REFERENCE SHEET FOR DATA VALIDATION </t>
  </si>
  <si>
    <t>Total No. of Employees?</t>
  </si>
  <si>
    <t>Which dept. has most employees?</t>
  </si>
  <si>
    <t>Which dept. has highest avg salary?</t>
  </si>
  <si>
    <t>Which region has the most employees?</t>
  </si>
  <si>
    <t>How many emp are active,resign and on leave?</t>
  </si>
  <si>
    <t>what is the average experience?</t>
  </si>
  <si>
    <t>which job titles have the highest salary?</t>
  </si>
  <si>
    <t>Column Labels</t>
  </si>
  <si>
    <t>Grand Total</t>
  </si>
  <si>
    <t>Row Labels</t>
  </si>
  <si>
    <t>Count of ID</t>
  </si>
  <si>
    <t>Average of Salary</t>
  </si>
  <si>
    <t>Maximum salary</t>
  </si>
  <si>
    <t>The highest individual salary is ₹149,929 for the role of Director of Sales.</t>
  </si>
  <si>
    <t>Country employee count</t>
  </si>
  <si>
    <t>USA has the largest employee population, with 594 employees.</t>
  </si>
  <si>
    <t>Regional employee count</t>
  </si>
  <si>
    <t>Southwest is the largest region by employee count, with 168 employees.</t>
  </si>
  <si>
    <t>Employment status</t>
  </si>
  <si>
    <t>Active employees make up 85.2% of the workforce (853 of 1001 employees).</t>
  </si>
  <si>
    <t>Department average salary</t>
  </si>
  <si>
    <t>Outdoors has the highest average salary at ₹112,055.</t>
  </si>
  <si>
    <t>Department employee count</t>
  </si>
  <si>
    <t>Clothing has the highest number of employees, with 53 employees.</t>
  </si>
  <si>
    <t>Supporting Metric</t>
  </si>
  <si>
    <t>Insight</t>
  </si>
  <si>
    <t>No.</t>
  </si>
  <si>
    <t>EMPLOYEE DATA ANALYSIS — KEY INSIGHTS</t>
  </si>
  <si>
    <t>TOTAL EMPLOYEES</t>
  </si>
  <si>
    <t>AVERAGE SALARY</t>
  </si>
  <si>
    <t>AVERAGE EXPERIENCE</t>
  </si>
  <si>
    <t>ACTIVE EMPLOYEES</t>
  </si>
  <si>
    <t>TOTAL BONUS</t>
  </si>
  <si>
    <t xml:space="preserve">              EMPLOYEEE AND HR DASHBOARD</t>
  </si>
  <si>
    <t>• Clothing has the highest employee count with 53 employees.</t>
  </si>
  <si>
    <t>• Outdoors has the highest average salary at ₹112,055.</t>
  </si>
  <si>
    <t>• 853 employees are Active, representing 85.2% of the dataset.</t>
  </si>
  <si>
    <t>• Southwest has the highest employee count among regions with 168 employees.</t>
  </si>
  <si>
    <t>• USA accounts for the largest share of employees with 594 employees.</t>
  </si>
  <si>
    <t>• The highest individual salary is ₹149,929, held by a Director of Sales.</t>
  </si>
  <si>
    <t xml:space="preserve">                                          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</si>
</sst>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164" formatCode="&quot;₹&quot;\ #,##0;[Red]&quot;₹&quot;\ #,##0"/>
    <numFmt numFmtId="165" formatCode="&quot;₹&quot;\ #,##0"/>
    <numFmt numFmtId="166" formatCode="0\ &quot;Years&quot;"/>
    <numFmt numFmtId="167" formatCode="_ [$₹-4009]\ * #,##0_ ;_ [$₹-4009]\ * \-#,##0_ ;_ [$₹-4009]\ * &quot;-&quot;??_ ;_ @_ "/>
    <numFmt numFmtId="168" formatCode="_ &quot;₹&quot;\ * #,##0_ ;_ &quot;₹&quot;\ * \-#,##0_ ;_ &quot;₹&quot;\ * &quot;-&quot;??_ ;_ @_ "/>
    <numFmt numFmtId="169" formatCode="\₹#,##0"/>
    <numFmt numFmtId="170" formatCode="0.0&quot; yrs&quot;"/>
  </numFmts>
  <fonts count="17" x14ac:knownFonts="1">
    <font>
      <sz val="11"/>
      <color theme="1"/>
      <name val="Trebuchet MS"/>
      <family val="2"/>
      <scheme val="minor"/>
    </font>
    <font>
      <b/>
      <sz val="12"/>
      <color theme="1"/>
      <name val="Trebuchet MS"/>
      <family val="2"/>
      <scheme val="minor"/>
    </font>
    <font>
      <b/>
      <sz val="14"/>
      <color theme="1"/>
      <name val="Trebuchet MS"/>
      <family val="2"/>
      <scheme val="minor"/>
    </font>
    <font>
      <i/>
      <sz val="36"/>
      <color theme="1"/>
      <name val="Trebuchet MS"/>
      <family val="2"/>
      <scheme val="minor"/>
    </font>
    <font>
      <b/>
      <sz val="16"/>
      <color theme="1"/>
      <name val="Trebuchet MS"/>
      <family val="2"/>
      <scheme val="minor"/>
    </font>
    <font>
      <sz val="11"/>
      <color theme="1"/>
      <name val="Trebuchet MS"/>
      <family val="2"/>
      <scheme val="minor"/>
    </font>
    <font>
      <sz val="8"/>
      <name val="Trebuchet MS"/>
      <family val="2"/>
      <scheme val="minor"/>
    </font>
    <font>
      <b/>
      <sz val="11"/>
      <color rgb="FFFFFFFF"/>
      <name val="Trebuchet MS"/>
      <family val="2"/>
    </font>
    <font>
      <b/>
      <sz val="18"/>
      <color rgb="FFFFFFFF"/>
      <name val="Trebuchet MS"/>
      <family val="2"/>
    </font>
    <font>
      <b/>
      <sz val="10"/>
      <color rgb="FFFFFFFF"/>
      <name val="Trebuchet MS"/>
      <family val="2"/>
    </font>
    <font>
      <b/>
      <sz val="18"/>
      <color rgb="FF1F4E78"/>
      <name val="Trebuchet MS"/>
      <family val="2"/>
    </font>
    <font>
      <sz val="28"/>
      <color theme="1"/>
      <name val="Trebuchet MS"/>
      <family val="2"/>
      <scheme val="minor"/>
    </font>
    <font>
      <b/>
      <sz val="28"/>
      <color rgb="FF003468"/>
      <name val="Bodoni MT Black"/>
      <family val="1"/>
    </font>
    <font>
      <sz val="11"/>
      <color theme="1"/>
      <name val="Algerian"/>
      <family val="5"/>
    </font>
    <font>
      <b/>
      <i/>
      <sz val="14"/>
      <color rgb="FFFFFFFF"/>
      <name val="Franklin Gothic Medium"/>
      <family val="2"/>
    </font>
    <font>
      <b/>
      <i/>
      <sz val="14"/>
      <color theme="1"/>
      <name val="Franklin Gothic Medium"/>
      <family val="2"/>
    </font>
    <font>
      <b/>
      <i/>
      <sz val="14"/>
      <name val="Franklin Gothic Medium"/>
      <family val="2"/>
    </font>
  </fonts>
  <fills count="13">
    <fill>
      <patternFill patternType="none"/>
    </fill>
    <fill>
      <patternFill patternType="gray125"/>
    </fill>
    <fill>
      <patternFill patternType="solid">
        <fgColor rgb="FF8EE7EE"/>
        <bgColor indexed="64"/>
      </patternFill>
    </fill>
    <fill>
      <patternFill patternType="solid">
        <fgColor theme="9" tint="0.59999389629810485"/>
        <bgColor indexed="64"/>
      </patternFill>
    </fill>
    <fill>
      <patternFill patternType="solid">
        <fgColor rgb="FFFFFF00"/>
        <bgColor indexed="64"/>
      </patternFill>
    </fill>
    <fill>
      <patternFill patternType="solid">
        <fgColor rgb="FFA3DBFF"/>
        <bgColor indexed="64"/>
      </patternFill>
    </fill>
    <fill>
      <patternFill patternType="solid">
        <fgColor rgb="FF5B9BD5"/>
      </patternFill>
    </fill>
    <fill>
      <patternFill patternType="solid">
        <fgColor rgb="FF1F4E78"/>
      </patternFill>
    </fill>
    <fill>
      <patternFill patternType="solid">
        <fgColor rgb="FFEAF2F8"/>
      </patternFill>
    </fill>
    <fill>
      <patternFill patternType="solid">
        <fgColor theme="5" tint="0.59999389629810485"/>
        <bgColor indexed="64"/>
      </patternFill>
    </fill>
    <fill>
      <patternFill patternType="solid">
        <fgColor rgb="FFF7FBFF"/>
      </patternFill>
    </fill>
    <fill>
      <patternFill patternType="solid">
        <fgColor theme="7" tint="0.39997558519241921"/>
        <bgColor indexed="64"/>
      </patternFill>
    </fill>
    <fill>
      <patternFill patternType="solid">
        <fgColor theme="4" tint="0.39997558519241921"/>
        <bgColor indexed="64"/>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top/>
      <bottom/>
      <diagonal/>
    </border>
  </borders>
  <cellStyleXfs count="2">
    <xf numFmtId="0" fontId="0" fillId="0" borderId="0"/>
    <xf numFmtId="44" fontId="5" fillId="0" borderId="0" applyFont="0" applyFill="0" applyBorder="0" applyAlignment="0" applyProtection="0"/>
  </cellStyleXfs>
  <cellXfs count="49">
    <xf numFmtId="0" fontId="0" fillId="0" borderId="0" xfId="0"/>
    <xf numFmtId="14" fontId="0" fillId="0" borderId="0" xfId="0" applyNumberFormat="1"/>
    <xf numFmtId="2" fontId="0" fillId="0" borderId="0" xfId="0" applyNumberFormat="1"/>
    <xf numFmtId="1" fontId="0" fillId="0" borderId="0" xfId="0" applyNumberFormat="1"/>
    <xf numFmtId="0" fontId="1" fillId="2" borderId="0" xfId="0" applyFont="1" applyFill="1"/>
    <xf numFmtId="0" fontId="2" fillId="3" borderId="0" xfId="0" applyFont="1" applyFill="1"/>
    <xf numFmtId="164" fontId="1" fillId="2" borderId="0" xfId="0" applyNumberFormat="1" applyFont="1" applyFill="1"/>
    <xf numFmtId="164" fontId="0" fillId="0" borderId="0" xfId="0" applyNumberFormat="1"/>
    <xf numFmtId="0" fontId="2" fillId="0" borderId="0" xfId="0" applyFont="1"/>
    <xf numFmtId="0" fontId="0" fillId="4" borderId="0" xfId="0" applyFill="1"/>
    <xf numFmtId="0" fontId="0" fillId="0" borderId="0" xfId="0" applyAlignment="1">
      <alignment wrapText="1"/>
    </xf>
    <xf numFmtId="0" fontId="1" fillId="0" borderId="0" xfId="0" applyFont="1"/>
    <xf numFmtId="0" fontId="4" fillId="0" borderId="0" xfId="0" applyFont="1"/>
    <xf numFmtId="0" fontId="0" fillId="0" borderId="0" xfId="0" pivotButton="1"/>
    <xf numFmtId="0" fontId="0" fillId="0" borderId="0" xfId="0" applyAlignment="1">
      <alignment horizontal="left"/>
    </xf>
    <xf numFmtId="14" fontId="2" fillId="0" borderId="0" xfId="0" applyNumberFormat="1" applyFont="1"/>
    <xf numFmtId="165" fontId="2" fillId="0" borderId="0" xfId="0" applyNumberFormat="1" applyFont="1"/>
    <xf numFmtId="167" fontId="2" fillId="0" borderId="0" xfId="0" applyNumberFormat="1" applyFont="1"/>
    <xf numFmtId="168" fontId="2" fillId="0" borderId="0" xfId="0" applyNumberFormat="1" applyFont="1"/>
    <xf numFmtId="168" fontId="2" fillId="0" borderId="0" xfId="1" applyNumberFormat="1" applyFont="1"/>
    <xf numFmtId="0" fontId="2" fillId="0" borderId="0" xfId="0" applyFont="1" applyAlignment="1">
      <alignment horizontal="left"/>
    </xf>
    <xf numFmtId="166" fontId="2" fillId="0" borderId="0" xfId="0" applyNumberFormat="1" applyFont="1"/>
    <xf numFmtId="166" fontId="2" fillId="0" borderId="0" xfId="0" applyNumberFormat="1" applyFont="1" applyAlignment="1">
      <alignment horizontal="left"/>
    </xf>
    <xf numFmtId="0" fontId="0" fillId="0" borderId="1" xfId="0" applyBorder="1" applyAlignment="1">
      <alignment vertical="top" wrapText="1"/>
    </xf>
    <xf numFmtId="0" fontId="7" fillId="6" borderId="1" xfId="0" applyFont="1" applyFill="1" applyBorder="1"/>
    <xf numFmtId="168" fontId="1" fillId="2" borderId="0" xfId="0" applyNumberFormat="1" applyFont="1" applyFill="1"/>
    <xf numFmtId="168" fontId="0" fillId="0" borderId="0" xfId="0" applyNumberFormat="1"/>
    <xf numFmtId="166" fontId="1" fillId="2" borderId="0" xfId="0" applyNumberFormat="1" applyFont="1" applyFill="1"/>
    <xf numFmtId="166" fontId="0" fillId="0" borderId="0" xfId="0" applyNumberFormat="1"/>
    <xf numFmtId="0" fontId="13" fillId="0" borderId="0" xfId="0" applyFont="1"/>
    <xf numFmtId="0" fontId="0" fillId="11" borderId="0" xfId="0" applyFill="1"/>
    <xf numFmtId="0" fontId="0" fillId="12" borderId="0" xfId="0" applyFill="1"/>
    <xf numFmtId="0" fontId="16" fillId="10" borderId="2" xfId="0" applyFont="1" applyFill="1" applyBorder="1" applyAlignment="1">
      <alignment vertical="center" wrapText="1"/>
    </xf>
    <xf numFmtId="0" fontId="16" fillId="10" borderId="0" xfId="0" applyFont="1" applyFill="1" applyAlignment="1">
      <alignment vertical="center" wrapText="1"/>
    </xf>
    <xf numFmtId="0" fontId="14" fillId="7" borderId="0" xfId="0" applyFont="1" applyFill="1" applyAlignment="1">
      <alignment horizontal="left" vertical="center"/>
    </xf>
    <xf numFmtId="0" fontId="15" fillId="0" borderId="0" xfId="0" applyFont="1" applyAlignment="1">
      <alignment horizontal="left" vertical="center"/>
    </xf>
    <xf numFmtId="0" fontId="16" fillId="10" borderId="1" xfId="0" applyFont="1" applyFill="1" applyBorder="1" applyAlignment="1">
      <alignment vertical="center" wrapText="1"/>
    </xf>
    <xf numFmtId="0" fontId="15" fillId="0" borderId="0" xfId="0" applyFont="1"/>
    <xf numFmtId="0" fontId="12" fillId="9" borderId="0" xfId="0" applyFont="1" applyFill="1" applyAlignment="1">
      <alignment horizontal="left" vertical="center"/>
    </xf>
    <xf numFmtId="0" fontId="11" fillId="9" borderId="0" xfId="0" applyFont="1" applyFill="1" applyAlignment="1">
      <alignment horizontal="left" vertical="center"/>
    </xf>
    <xf numFmtId="0" fontId="9" fillId="6" borderId="1" xfId="0" applyFont="1" applyFill="1" applyBorder="1" applyAlignment="1">
      <alignment horizontal="center" vertical="center"/>
    </xf>
    <xf numFmtId="0" fontId="0" fillId="0" borderId="1" xfId="0" applyBorder="1"/>
    <xf numFmtId="3" fontId="10" fillId="8" borderId="1" xfId="0" applyNumberFormat="1" applyFont="1" applyFill="1" applyBorder="1" applyAlignment="1">
      <alignment horizontal="center" vertical="center"/>
    </xf>
    <xf numFmtId="169" fontId="10" fillId="8" borderId="1" xfId="0" applyNumberFormat="1" applyFont="1" applyFill="1" applyBorder="1" applyAlignment="1">
      <alignment horizontal="center" vertical="center"/>
    </xf>
    <xf numFmtId="170" fontId="10" fillId="8" borderId="1" xfId="0" applyNumberFormat="1" applyFont="1" applyFill="1" applyBorder="1" applyAlignment="1">
      <alignment horizontal="center" vertical="center"/>
    </xf>
    <xf numFmtId="0" fontId="2" fillId="0" borderId="0" xfId="0" applyFont="1" applyAlignment="1">
      <alignment horizontal="center"/>
    </xf>
    <xf numFmtId="0" fontId="8" fillId="7" borderId="0" xfId="0" applyFont="1" applyFill="1" applyAlignment="1">
      <alignment horizontal="center" vertical="center"/>
    </xf>
    <xf numFmtId="0" fontId="0" fillId="0" borderId="0" xfId="0"/>
    <xf numFmtId="0" fontId="3" fillId="5" borderId="0" xfId="0" applyFont="1" applyFill="1" applyAlignment="1">
      <alignment horizontal="center"/>
    </xf>
  </cellXfs>
  <cellStyles count="2">
    <cellStyle name="Currency" xfId="1" builtinId="4"/>
    <cellStyle name="Normal" xfId="0" builtinId="0"/>
  </cellStyles>
  <dxfs count="58">
    <dxf>
      <font>
        <b/>
        <i val="0"/>
      </font>
      <fill>
        <patternFill>
          <bgColor theme="6" tint="0.39994506668294322"/>
        </patternFill>
      </fill>
    </dxf>
    <dxf>
      <fill>
        <patternFill>
          <bgColor theme="4" tint="0.59996337778862885"/>
        </patternFill>
      </fill>
    </dxf>
    <dxf>
      <fill>
        <patternFill>
          <bgColor theme="7" tint="0.39994506668294322"/>
        </patternFill>
      </fill>
    </dxf>
    <dxf>
      <fill>
        <patternFill>
          <bgColor theme="7" tint="0.39994506668294322"/>
        </patternFill>
      </fill>
    </dxf>
    <dxf>
      <fill>
        <patternFill>
          <bgColor theme="4" tint="0.59996337778862885"/>
        </patternFill>
      </fill>
    </dxf>
    <dxf>
      <font>
        <b/>
        <i val="0"/>
        <strike val="0"/>
        <condense val="0"/>
        <extend val="0"/>
        <outline val="0"/>
        <shadow val="0"/>
        <u val="none"/>
        <vertAlign val="baseline"/>
        <sz val="12"/>
        <color theme="1"/>
        <name val="Trebuchet MS"/>
        <family val="2"/>
        <scheme val="minor"/>
      </font>
      <fill>
        <patternFill patternType="solid">
          <fgColor indexed="64"/>
          <bgColor rgb="FF8EE7EE"/>
        </patternFill>
      </fill>
    </dxf>
    <dxf>
      <font>
        <b/>
        <i val="0"/>
        <strike val="0"/>
        <condense val="0"/>
        <extend val="0"/>
        <outline val="0"/>
        <shadow val="0"/>
        <u val="none"/>
        <vertAlign val="baseline"/>
        <sz val="14"/>
        <color theme="1"/>
        <name val="Trebuchet MS"/>
        <family val="2"/>
        <scheme val="minor"/>
      </font>
      <numFmt numFmtId="168" formatCode="_ &quot;₹&quot;\ * #,##0_ ;_ &quot;₹&quot;\ * \-#,##0_ ;_ &quot;₹&quot;\ * &quot;-&quot;??_ ;_ @_ "/>
    </dxf>
    <dxf>
      <font>
        <b/>
        <i val="0"/>
        <strike val="0"/>
        <condense val="0"/>
        <extend val="0"/>
        <outline val="0"/>
        <shadow val="0"/>
        <u val="none"/>
        <vertAlign val="baseline"/>
        <sz val="14"/>
        <color theme="1"/>
        <name val="Trebuchet MS"/>
        <family val="2"/>
        <scheme val="minor"/>
      </font>
      <numFmt numFmtId="168" formatCode="_ &quot;₹&quot;\ * #,##0_ ;_ &quot;₹&quot;\ * \-#,##0_ ;_ &quot;₹&quot;\ * &quot;-&quot;??_ ;_ @_ "/>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numFmt numFmtId="167" formatCode="_ [$₹-4009]\ * #,##0_ ;_ [$₹-4009]\ * \-#,##0_ ;_ [$₹-4009]\ * &quot;-&quot;??_ ;_ @_ "/>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numFmt numFmtId="168" formatCode="_ &quot;₹&quot;\ * #,##0_ ;_ &quot;₹&quot;\ * \-#,##0_ ;_ &quot;₹&quot;\ * &quot;-&quot;??_ ;_ @_ "/>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numFmt numFmtId="19" formatCode="dd/mm/yyyy"/>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numFmt numFmtId="0" formatCode="General"/>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font>
        <b/>
        <i val="0"/>
        <strike val="0"/>
        <condense val="0"/>
        <extend val="0"/>
        <outline val="0"/>
        <shadow val="0"/>
        <u val="none"/>
        <vertAlign val="baseline"/>
        <sz val="14"/>
        <color theme="1"/>
        <name val="Trebuchet MS"/>
        <family val="2"/>
        <scheme val="minor"/>
      </font>
    </dxf>
    <dxf>
      <numFmt numFmtId="164" formatCode="&quot;₹&quot;\ #,##0;[Red]&quot;₹&quot;\ #,##0"/>
    </dxf>
    <dxf>
      <numFmt numFmtId="164" formatCode="&quot;₹&quot;\ #,##0;[Red]&quot;₹&quot;\ #,##0"/>
    </dxf>
    <dxf>
      <numFmt numFmtId="164" formatCode="&quot;₹&quot;\ #,##0;[Red]&quot;₹&quot;\ #,##0"/>
    </dxf>
    <dxf>
      <numFmt numFmtId="168" formatCode="_ &quot;₹&quot;\ * #,##0_ ;_ &quot;₹&quot;\ * \-#,##0_ ;_ &quot;₹&quot;\ * &quot;-&quot;??_ ;_ @_ "/>
    </dxf>
    <dxf>
      <numFmt numFmtId="168" formatCode="_ &quot;₹&quot;\ * #,##0_ ;_ &quot;₹&quot;\ * \-#,##0_ ;_ &quot;₹&quot;\ * &quot;-&quot;??_ ;_ @_ "/>
    </dxf>
    <dxf>
      <numFmt numFmtId="166" formatCode="0\ &quot;Years&quot;"/>
    </dxf>
    <dxf>
      <numFmt numFmtId="166" formatCode="0\ &quot;Years&quot;"/>
    </dxf>
    <dxf>
      <numFmt numFmtId="19" formatCode="dd/mm/yyyy"/>
    </dxf>
    <dxf>
      <font>
        <b/>
        <i val="0"/>
        <strike val="0"/>
        <condense val="0"/>
        <extend val="0"/>
        <outline val="0"/>
        <shadow val="0"/>
        <u val="none"/>
        <vertAlign val="baseline"/>
        <sz val="14"/>
        <color theme="1"/>
        <name val="Trebuchet MS"/>
        <family val="2"/>
        <scheme val="minor"/>
      </font>
      <fill>
        <patternFill patternType="solid">
          <fgColor indexed="64"/>
          <bgColor theme="9" tint="0.59999389629810485"/>
        </patternFill>
      </fill>
    </dxf>
    <dxf>
      <font>
        <b/>
        <i val="0"/>
        <strike val="0"/>
        <condense val="0"/>
        <extend val="0"/>
        <outline val="0"/>
        <shadow val="0"/>
        <u val="none"/>
        <vertAlign val="baseline"/>
        <sz val="14"/>
        <color theme="1"/>
        <name val="Trebuchet MS"/>
        <family val="2"/>
        <scheme val="minor"/>
      </font>
      <fill>
        <patternFill patternType="solid">
          <fgColor indexed="64"/>
          <bgColor theme="9" tint="0.59999389629810485"/>
        </patternFill>
      </fill>
    </dxf>
    <dxf>
      <font>
        <b/>
        <i val="0"/>
        <strike val="0"/>
        <condense val="0"/>
        <extend val="0"/>
        <outline val="0"/>
        <shadow val="0"/>
        <u val="none"/>
        <vertAlign val="baseline"/>
        <sz val="12"/>
        <color theme="1"/>
        <name val="Trebuchet MS"/>
        <family val="2"/>
        <scheme val="minor"/>
      </font>
      <fill>
        <patternFill patternType="solid">
          <fgColor indexed="64"/>
          <bgColor rgb="FF8EE7EE"/>
        </patternFill>
      </fill>
    </dxf>
    <dxf>
      <numFmt numFmtId="164" formatCode="&quot;₹&quot;\ #,##0;[Red]&quot;₹&quot;\ #,##0"/>
    </dxf>
    <dxf>
      <numFmt numFmtId="164" formatCode="&quot;₹&quot;\ #,##0;[Red]&quot;₹&quot;\ #,##0"/>
    </dxf>
    <dxf>
      <numFmt numFmtId="164" formatCode="&quot;₹&quot;\ #,##0;[Red]&quot;₹&quot;\ #,##0"/>
    </dxf>
    <dxf>
      <numFmt numFmtId="2" formatCode="0.00"/>
    </dxf>
    <dxf>
      <numFmt numFmtId="2" formatCode="0.00"/>
    </dxf>
    <dxf>
      <numFmt numFmtId="19" formatCode="dd/mm/yyyy"/>
    </dxf>
    <dxf>
      <font>
        <b/>
        <i val="0"/>
        <strike val="0"/>
        <condense val="0"/>
        <extend val="0"/>
        <outline val="0"/>
        <shadow val="0"/>
        <u val="none"/>
        <vertAlign val="baseline"/>
        <sz val="14"/>
        <color theme="1"/>
        <name val="Trebuchet MS"/>
        <family val="2"/>
        <scheme val="minor"/>
      </font>
      <fill>
        <patternFill patternType="solid">
          <fgColor indexed="64"/>
          <bgColor theme="9" tint="0.59999389629810485"/>
        </patternFill>
      </fill>
    </dxf>
    <dxf>
      <font>
        <b/>
        <i val="0"/>
        <strike val="0"/>
        <condense val="0"/>
        <extend val="0"/>
        <outline val="0"/>
        <shadow val="0"/>
        <u val="none"/>
        <vertAlign val="baseline"/>
        <sz val="14"/>
        <color theme="1"/>
        <name val="Trebuchet MS"/>
        <family val="2"/>
        <scheme val="minor"/>
      </font>
      <fill>
        <patternFill patternType="solid">
          <fgColor indexed="64"/>
          <bgColor theme="9" tint="0.59999389629810485"/>
        </patternFill>
      </fill>
    </dxf>
    <dxf>
      <font>
        <b/>
        <i val="0"/>
        <strike val="0"/>
        <condense val="0"/>
        <extend val="0"/>
        <outline val="0"/>
        <shadow val="0"/>
        <u val="none"/>
        <vertAlign val="baseline"/>
        <sz val="12"/>
        <color theme="1"/>
        <name val="Trebuchet MS"/>
        <family val="2"/>
        <scheme val="minor"/>
      </font>
      <fill>
        <patternFill patternType="solid">
          <fgColor indexed="64"/>
          <bgColor rgb="FF8EE7EE"/>
        </patternFill>
      </fill>
    </dxf>
  </dxfs>
  <tableStyles count="0" defaultTableStyle="TableStyleMedium2" defaultPivotStyle="PivotStyleLight16"/>
  <colors>
    <mruColors>
      <color rgb="FF8EE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DATASET.xlsx]Pivot Tables(5) !employees by department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Employees</a:t>
            </a:r>
            <a:r>
              <a:rPr lang="en-US" baseline="0">
                <a:solidFill>
                  <a:srgbClr val="FF0000"/>
                </a:solidFill>
              </a:rPr>
              <a:t> By Department</a:t>
            </a:r>
          </a:p>
          <a:p>
            <a:pPr>
              <a:defRPr/>
            </a:pPr>
            <a:endParaRPr lang="en-US"/>
          </a:p>
        </c:rich>
      </c:tx>
      <c:layout>
        <c:manualLayout>
          <c:xMode val="edge"/>
          <c:yMode val="edge"/>
          <c:x val="0.31265266841644795"/>
          <c:y val="6.7403032954214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31346578366449E-2"/>
          <c:y val="0.22305555555555556"/>
          <c:w val="0.88519740082158604"/>
          <c:h val="0.6066688538932633"/>
        </c:manualLayout>
      </c:layout>
      <c:barChart>
        <c:barDir val="col"/>
        <c:grouping val="clustered"/>
        <c:varyColors val="0"/>
        <c:ser>
          <c:idx val="0"/>
          <c:order val="0"/>
          <c:tx>
            <c:strRef>
              <c:f>'Pivot Tables(5) '!$B$3</c:f>
              <c:strCache>
                <c:ptCount val="1"/>
                <c:pt idx="0">
                  <c:v>Average of Salary</c:v>
                </c:pt>
              </c:strCache>
            </c:strRef>
          </c:tx>
          <c:spPr>
            <a:solidFill>
              <a:schemeClr val="accent1"/>
            </a:solidFill>
            <a:ln>
              <a:noFill/>
            </a:ln>
            <a:effectLst/>
          </c:spPr>
          <c:invertIfNegative val="0"/>
          <c:cat>
            <c:strRef>
              <c:f>'Pivot Tables(5) '!$A$4:$A$25</c:f>
              <c:strCache>
                <c:ptCount val="22"/>
                <c:pt idx="0">
                  <c:v>Automotive</c:v>
                </c:pt>
                <c:pt idx="1">
                  <c:v>Baby</c:v>
                </c:pt>
                <c:pt idx="2">
                  <c:v>Beauty</c:v>
                </c:pt>
                <c:pt idx="3">
                  <c:v>Books</c:v>
                </c:pt>
                <c:pt idx="4">
                  <c:v>Clothing</c:v>
                </c:pt>
                <c:pt idx="5">
                  <c:v>Computers</c:v>
                </c:pt>
                <c:pt idx="6">
                  <c:v>Electronics</c:v>
                </c:pt>
                <c:pt idx="7">
                  <c:v>Games</c:v>
                </c:pt>
                <c:pt idx="8">
                  <c:v>Garden</c:v>
                </c:pt>
                <c:pt idx="9">
                  <c:v>Grocery</c:v>
                </c:pt>
                <c:pt idx="10">
                  <c:v>Health</c:v>
                </c:pt>
                <c:pt idx="11">
                  <c:v>Home</c:v>
                </c:pt>
                <c:pt idx="12">
                  <c:v>Industrial</c:v>
                </c:pt>
                <c:pt idx="13">
                  <c:v>Jewelery</c:v>
                </c:pt>
                <c:pt idx="14">
                  <c:v>Kids</c:v>
                </c:pt>
                <c:pt idx="15">
                  <c:v>Movies</c:v>
                </c:pt>
                <c:pt idx="16">
                  <c:v>Music</c:v>
                </c:pt>
                <c:pt idx="17">
                  <c:v>Outdoors</c:v>
                </c:pt>
                <c:pt idx="18">
                  <c:v>Shoes</c:v>
                </c:pt>
                <c:pt idx="19">
                  <c:v>Sports</c:v>
                </c:pt>
                <c:pt idx="20">
                  <c:v>Tools</c:v>
                </c:pt>
                <c:pt idx="21">
                  <c:v>Toys</c:v>
                </c:pt>
              </c:strCache>
            </c:strRef>
          </c:cat>
          <c:val>
            <c:numRef>
              <c:f>'Pivot Tables(5) '!$B$4:$B$25</c:f>
              <c:numCache>
                <c:formatCode>"₹"\ #,##0;[Red]"₹"\ #,##0</c:formatCode>
                <c:ptCount val="22"/>
                <c:pt idx="0">
                  <c:v>99658</c:v>
                </c:pt>
                <c:pt idx="1">
                  <c:v>93749.422222222216</c:v>
                </c:pt>
                <c:pt idx="2">
                  <c:v>103416.28301886792</c:v>
                </c:pt>
                <c:pt idx="3">
                  <c:v>94890.148936170212</c:v>
                </c:pt>
                <c:pt idx="4">
                  <c:v>95054.528301886792</c:v>
                </c:pt>
                <c:pt idx="5">
                  <c:v>99095.442307692312</c:v>
                </c:pt>
                <c:pt idx="6">
                  <c:v>91615.122448979586</c:v>
                </c:pt>
                <c:pt idx="7">
                  <c:v>103883.75510204081</c:v>
                </c:pt>
                <c:pt idx="8">
                  <c:v>101959.25531914894</c:v>
                </c:pt>
                <c:pt idx="9">
                  <c:v>101113.93478260869</c:v>
                </c:pt>
                <c:pt idx="10">
                  <c:v>98975.65217391304</c:v>
                </c:pt>
                <c:pt idx="11">
                  <c:v>92734.711538461532</c:v>
                </c:pt>
                <c:pt idx="12">
                  <c:v>92900.851063829788</c:v>
                </c:pt>
                <c:pt idx="13">
                  <c:v>87812.217391304352</c:v>
                </c:pt>
                <c:pt idx="14">
                  <c:v>93237.552631578947</c:v>
                </c:pt>
                <c:pt idx="15">
                  <c:v>100911.80555555556</c:v>
                </c:pt>
                <c:pt idx="16">
                  <c:v>88507.216216216213</c:v>
                </c:pt>
                <c:pt idx="17">
                  <c:v>112055.41666666667</c:v>
                </c:pt>
                <c:pt idx="18">
                  <c:v>92281.813953488367</c:v>
                </c:pt>
                <c:pt idx="19">
                  <c:v>93901.024999999994</c:v>
                </c:pt>
                <c:pt idx="20">
                  <c:v>105020.71794871795</c:v>
                </c:pt>
                <c:pt idx="21">
                  <c:v>96187.170731707316</c:v>
                </c:pt>
              </c:numCache>
            </c:numRef>
          </c:val>
          <c:extLst>
            <c:ext xmlns:c16="http://schemas.microsoft.com/office/drawing/2014/chart" uri="{C3380CC4-5D6E-409C-BE32-E72D297353CC}">
              <c16:uniqueId val="{00000000-CF75-423E-BEC7-F2A9D66C6CD3}"/>
            </c:ext>
          </c:extLst>
        </c:ser>
        <c:ser>
          <c:idx val="1"/>
          <c:order val="1"/>
          <c:tx>
            <c:strRef>
              <c:f>'Pivot Tables(5) '!$C$3</c:f>
              <c:strCache>
                <c:ptCount val="1"/>
                <c:pt idx="0">
                  <c:v>Count of ID</c:v>
                </c:pt>
              </c:strCache>
            </c:strRef>
          </c:tx>
          <c:spPr>
            <a:solidFill>
              <a:schemeClr val="accent2"/>
            </a:solidFill>
            <a:ln>
              <a:noFill/>
            </a:ln>
            <a:effectLst/>
          </c:spPr>
          <c:invertIfNegative val="0"/>
          <c:cat>
            <c:strRef>
              <c:f>'Pivot Tables(5) '!$A$4:$A$25</c:f>
              <c:strCache>
                <c:ptCount val="22"/>
                <c:pt idx="0">
                  <c:v>Automotive</c:v>
                </c:pt>
                <c:pt idx="1">
                  <c:v>Baby</c:v>
                </c:pt>
                <c:pt idx="2">
                  <c:v>Beauty</c:v>
                </c:pt>
                <c:pt idx="3">
                  <c:v>Books</c:v>
                </c:pt>
                <c:pt idx="4">
                  <c:v>Clothing</c:v>
                </c:pt>
                <c:pt idx="5">
                  <c:v>Computers</c:v>
                </c:pt>
                <c:pt idx="6">
                  <c:v>Electronics</c:v>
                </c:pt>
                <c:pt idx="7">
                  <c:v>Games</c:v>
                </c:pt>
                <c:pt idx="8">
                  <c:v>Garden</c:v>
                </c:pt>
                <c:pt idx="9">
                  <c:v>Grocery</c:v>
                </c:pt>
                <c:pt idx="10">
                  <c:v>Health</c:v>
                </c:pt>
                <c:pt idx="11">
                  <c:v>Home</c:v>
                </c:pt>
                <c:pt idx="12">
                  <c:v>Industrial</c:v>
                </c:pt>
                <c:pt idx="13">
                  <c:v>Jewelery</c:v>
                </c:pt>
                <c:pt idx="14">
                  <c:v>Kids</c:v>
                </c:pt>
                <c:pt idx="15">
                  <c:v>Movies</c:v>
                </c:pt>
                <c:pt idx="16">
                  <c:v>Music</c:v>
                </c:pt>
                <c:pt idx="17">
                  <c:v>Outdoors</c:v>
                </c:pt>
                <c:pt idx="18">
                  <c:v>Shoes</c:v>
                </c:pt>
                <c:pt idx="19">
                  <c:v>Sports</c:v>
                </c:pt>
                <c:pt idx="20">
                  <c:v>Tools</c:v>
                </c:pt>
                <c:pt idx="21">
                  <c:v>Toys</c:v>
                </c:pt>
              </c:strCache>
            </c:strRef>
          </c:cat>
          <c:val>
            <c:numRef>
              <c:f>'Pivot Tables(5) '!$C$4:$C$25</c:f>
              <c:numCache>
                <c:formatCode>General</c:formatCode>
                <c:ptCount val="22"/>
                <c:pt idx="0">
                  <c:v>46</c:v>
                </c:pt>
                <c:pt idx="1">
                  <c:v>45</c:v>
                </c:pt>
                <c:pt idx="2">
                  <c:v>53</c:v>
                </c:pt>
                <c:pt idx="3">
                  <c:v>47</c:v>
                </c:pt>
                <c:pt idx="4">
                  <c:v>53</c:v>
                </c:pt>
                <c:pt idx="5">
                  <c:v>52</c:v>
                </c:pt>
                <c:pt idx="6">
                  <c:v>49</c:v>
                </c:pt>
                <c:pt idx="7">
                  <c:v>49</c:v>
                </c:pt>
                <c:pt idx="8">
                  <c:v>47</c:v>
                </c:pt>
                <c:pt idx="9">
                  <c:v>46</c:v>
                </c:pt>
                <c:pt idx="10">
                  <c:v>46</c:v>
                </c:pt>
                <c:pt idx="11">
                  <c:v>52</c:v>
                </c:pt>
                <c:pt idx="12">
                  <c:v>47</c:v>
                </c:pt>
                <c:pt idx="13">
                  <c:v>46</c:v>
                </c:pt>
                <c:pt idx="14">
                  <c:v>38</c:v>
                </c:pt>
                <c:pt idx="15">
                  <c:v>36</c:v>
                </c:pt>
                <c:pt idx="16">
                  <c:v>37</c:v>
                </c:pt>
                <c:pt idx="17">
                  <c:v>48</c:v>
                </c:pt>
                <c:pt idx="18">
                  <c:v>43</c:v>
                </c:pt>
                <c:pt idx="19">
                  <c:v>40</c:v>
                </c:pt>
                <c:pt idx="20">
                  <c:v>39</c:v>
                </c:pt>
                <c:pt idx="21">
                  <c:v>41</c:v>
                </c:pt>
              </c:numCache>
            </c:numRef>
          </c:val>
          <c:extLst>
            <c:ext xmlns:c16="http://schemas.microsoft.com/office/drawing/2014/chart" uri="{C3380CC4-5D6E-409C-BE32-E72D297353CC}">
              <c16:uniqueId val="{00000001-CF75-423E-BEC7-F2A9D66C6CD3}"/>
            </c:ext>
          </c:extLst>
        </c:ser>
        <c:dLbls>
          <c:showLegendKey val="0"/>
          <c:showVal val="0"/>
          <c:showCatName val="0"/>
          <c:showSerName val="0"/>
          <c:showPercent val="0"/>
          <c:showBubbleSize val="0"/>
        </c:dLbls>
        <c:gapWidth val="219"/>
        <c:axId val="1407745136"/>
        <c:axId val="1407733136"/>
      </c:barChart>
      <c:catAx>
        <c:axId val="140774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33136"/>
        <c:crosses val="autoZero"/>
        <c:auto val="1"/>
        <c:lblAlgn val="ctr"/>
        <c:lblOffset val="100"/>
        <c:noMultiLvlLbl val="0"/>
      </c:catAx>
      <c:valAx>
        <c:axId val="140773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Red]&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45136"/>
        <c:crosses val="autoZero"/>
        <c:crossBetween val="between"/>
      </c:valAx>
      <c:spPr>
        <a:noFill/>
        <a:ln>
          <a:noFill/>
        </a:ln>
        <a:effectLst/>
      </c:spPr>
    </c:plotArea>
    <c:legend>
      <c:legendPos val="r"/>
      <c:layout>
        <c:manualLayout>
          <c:xMode val="edge"/>
          <c:yMode val="edge"/>
          <c:x val="0.81244659734728486"/>
          <c:y val="8.2875309600384445E-2"/>
          <c:w val="0.18755337059759211"/>
          <c:h val="0.1345355446243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DATASET.xlsx]Pivot Tables(5) !PivotTable5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Experience</a:t>
            </a:r>
            <a:r>
              <a:rPr lang="en-US" sz="1800" b="1" baseline="0">
                <a:solidFill>
                  <a:srgbClr val="002060"/>
                </a:solidFill>
              </a:rPr>
              <a:t>Distribution</a:t>
            </a:r>
            <a:endParaRPr lang="en-US" sz="1800" b="1">
              <a:solidFill>
                <a:srgbClr val="002060"/>
              </a:solidFill>
            </a:endParaRPr>
          </a:p>
        </c:rich>
      </c:tx>
      <c:layout>
        <c:manualLayout>
          <c:xMode val="edge"/>
          <c:yMode val="edge"/>
          <c:x val="0.23831858644465764"/>
          <c:y val="6.77160882937909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5.6282152230971126E-2"/>
          <c:y val="0.22784498426781841"/>
          <c:w val="0.82609295713035868"/>
          <c:h val="0.68487287224686821"/>
        </c:manualLayout>
      </c:layout>
      <c:barChart>
        <c:barDir val="col"/>
        <c:grouping val="clustered"/>
        <c:varyColors val="0"/>
        <c:ser>
          <c:idx val="0"/>
          <c:order val="0"/>
          <c:tx>
            <c:strRef>
              <c:f>'Pivot Tables(5) '!$F$15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7C5-480B-BB0D-89A2279C8094}"/>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67C5-480B-BB0D-89A2279C809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67C5-480B-BB0D-89A2279C809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67C5-480B-BB0D-89A2279C809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67C5-480B-BB0D-89A2279C8094}"/>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67C5-480B-BB0D-89A2279C8094}"/>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67C5-480B-BB0D-89A2279C8094}"/>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67C5-480B-BB0D-89A2279C8094}"/>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67C5-480B-BB0D-89A2279C8094}"/>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67C5-480B-BB0D-89A2279C8094}"/>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67C5-480B-BB0D-89A2279C8094}"/>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67C5-480B-BB0D-89A2279C8094}"/>
              </c:ext>
            </c:extLst>
          </c:dPt>
          <c:dPt>
            <c:idx val="1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9-67C5-480B-BB0D-89A2279C8094}"/>
              </c:ext>
            </c:extLst>
          </c:dPt>
          <c:dPt>
            <c:idx val="1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B-67C5-480B-BB0D-89A2279C8094}"/>
              </c:ext>
            </c:extLst>
          </c:dPt>
          <c:dPt>
            <c:idx val="1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D-67C5-480B-BB0D-89A2279C80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Tables(5) '!$E$16:$E$31</c:f>
              <c:strCache>
                <c:ptCount val="15"/>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strCache>
            </c:strRef>
          </c:cat>
          <c:val>
            <c:numRef>
              <c:f>'Pivot Tables(5) '!$F$16:$F$31</c:f>
              <c:numCache>
                <c:formatCode>General</c:formatCode>
                <c:ptCount val="15"/>
                <c:pt idx="0">
                  <c:v>44</c:v>
                </c:pt>
                <c:pt idx="1">
                  <c:v>60</c:v>
                </c:pt>
                <c:pt idx="2">
                  <c:v>48</c:v>
                </c:pt>
                <c:pt idx="3">
                  <c:v>45</c:v>
                </c:pt>
                <c:pt idx="4">
                  <c:v>45</c:v>
                </c:pt>
                <c:pt idx="5">
                  <c:v>51</c:v>
                </c:pt>
                <c:pt idx="6">
                  <c:v>51</c:v>
                </c:pt>
                <c:pt idx="7">
                  <c:v>49</c:v>
                </c:pt>
                <c:pt idx="8">
                  <c:v>48</c:v>
                </c:pt>
                <c:pt idx="9">
                  <c:v>52</c:v>
                </c:pt>
                <c:pt idx="10">
                  <c:v>42</c:v>
                </c:pt>
                <c:pt idx="11">
                  <c:v>40</c:v>
                </c:pt>
                <c:pt idx="12">
                  <c:v>48</c:v>
                </c:pt>
                <c:pt idx="13">
                  <c:v>43</c:v>
                </c:pt>
                <c:pt idx="14">
                  <c:v>37</c:v>
                </c:pt>
              </c:numCache>
            </c:numRef>
          </c:val>
          <c:extLst>
            <c:ext xmlns:c16="http://schemas.microsoft.com/office/drawing/2014/chart" uri="{C3380CC4-5D6E-409C-BE32-E72D297353CC}">
              <c16:uniqueId val="{0000001E-67C5-480B-BB0D-89A2279C8094}"/>
            </c:ext>
          </c:extLst>
        </c:ser>
        <c:dLbls>
          <c:dLblPos val="outEnd"/>
          <c:showLegendKey val="0"/>
          <c:showVal val="1"/>
          <c:showCatName val="0"/>
          <c:showSerName val="0"/>
          <c:showPercent val="0"/>
          <c:showBubbleSize val="0"/>
        </c:dLbls>
        <c:gapWidth val="100"/>
        <c:axId val="1644341263"/>
        <c:axId val="1644342223"/>
      </c:barChart>
      <c:catAx>
        <c:axId val="164434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42223"/>
        <c:crosses val="autoZero"/>
        <c:auto val="1"/>
        <c:lblAlgn val="ctr"/>
        <c:lblOffset val="100"/>
        <c:noMultiLvlLbl val="0"/>
      </c:catAx>
      <c:valAx>
        <c:axId val="164434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DATASET.xlsx]Pivot Tables(5) !PivotTable3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Employee</a:t>
            </a:r>
            <a:r>
              <a:rPr lang="en-US" baseline="0"/>
              <a:t> </a:t>
            </a:r>
            <a:r>
              <a:rPr lang="en-US" b="1" baseline="0">
                <a:solidFill>
                  <a:srgbClr val="002060"/>
                </a:solidFill>
              </a:rPr>
              <a:t>by</a:t>
            </a:r>
            <a:r>
              <a:rPr lang="en-US" baseline="0"/>
              <a:t> </a:t>
            </a:r>
            <a:r>
              <a:rPr lang="en-US" b="1" baseline="0">
                <a:solidFill>
                  <a:srgbClr val="002060"/>
                </a:solidFill>
              </a:rPr>
              <a:t>Status AND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5673811635676"/>
          <c:y val="0.14016137532338943"/>
          <c:w val="0.81428728481064283"/>
          <c:h val="0.70830994960256632"/>
        </c:manualLayout>
      </c:layout>
      <c:barChart>
        <c:barDir val="col"/>
        <c:grouping val="clustered"/>
        <c:varyColors val="0"/>
        <c:ser>
          <c:idx val="0"/>
          <c:order val="0"/>
          <c:tx>
            <c:strRef>
              <c:f>'Pivot Tables(5) '!$F$3:$F$4</c:f>
              <c:strCache>
                <c:ptCount val="1"/>
                <c:pt idx="0">
                  <c:v>Active</c:v>
                </c:pt>
              </c:strCache>
            </c:strRef>
          </c:tx>
          <c:spPr>
            <a:solidFill>
              <a:schemeClr val="accent6"/>
            </a:solidFill>
            <a:ln>
              <a:noFill/>
            </a:ln>
            <a:effectLst/>
          </c:spPr>
          <c:invertIfNegative val="0"/>
          <c:cat>
            <c:strRef>
              <c:f>'Pivot Tables(5) '!$E$5:$E$10</c:f>
              <c:strCache>
                <c:ptCount val="5"/>
                <c:pt idx="0">
                  <c:v>Northeast</c:v>
                </c:pt>
                <c:pt idx="1">
                  <c:v>Northwest</c:v>
                </c:pt>
                <c:pt idx="2">
                  <c:v>Nova Scotia</c:v>
                </c:pt>
                <c:pt idx="3">
                  <c:v>Quebec</c:v>
                </c:pt>
                <c:pt idx="4">
                  <c:v>Southeast</c:v>
                </c:pt>
              </c:strCache>
            </c:strRef>
          </c:cat>
          <c:val>
            <c:numRef>
              <c:f>'Pivot Tables(5) '!$F$5:$F$10</c:f>
              <c:numCache>
                <c:formatCode>General</c:formatCode>
                <c:ptCount val="5"/>
                <c:pt idx="0">
                  <c:v>121</c:v>
                </c:pt>
                <c:pt idx="1">
                  <c:v>107</c:v>
                </c:pt>
                <c:pt idx="2">
                  <c:v>136</c:v>
                </c:pt>
                <c:pt idx="3">
                  <c:v>105</c:v>
                </c:pt>
                <c:pt idx="4">
                  <c:v>130</c:v>
                </c:pt>
              </c:numCache>
            </c:numRef>
          </c:val>
          <c:extLst>
            <c:ext xmlns:c16="http://schemas.microsoft.com/office/drawing/2014/chart" uri="{C3380CC4-5D6E-409C-BE32-E72D297353CC}">
              <c16:uniqueId val="{00000000-3D43-4DEF-8325-30E6438E37FF}"/>
            </c:ext>
          </c:extLst>
        </c:ser>
        <c:ser>
          <c:idx val="1"/>
          <c:order val="1"/>
          <c:tx>
            <c:strRef>
              <c:f>'Pivot Tables(5) '!$G$3:$G$4</c:f>
              <c:strCache>
                <c:ptCount val="1"/>
                <c:pt idx="0">
                  <c:v>On Leave</c:v>
                </c:pt>
              </c:strCache>
            </c:strRef>
          </c:tx>
          <c:spPr>
            <a:solidFill>
              <a:schemeClr val="accent5"/>
            </a:solidFill>
            <a:ln>
              <a:noFill/>
            </a:ln>
            <a:effectLst/>
          </c:spPr>
          <c:invertIfNegative val="0"/>
          <c:cat>
            <c:strRef>
              <c:f>'Pivot Tables(5) '!$E$5:$E$10</c:f>
              <c:strCache>
                <c:ptCount val="5"/>
                <c:pt idx="0">
                  <c:v>Northeast</c:v>
                </c:pt>
                <c:pt idx="1">
                  <c:v>Northwest</c:v>
                </c:pt>
                <c:pt idx="2">
                  <c:v>Nova Scotia</c:v>
                </c:pt>
                <c:pt idx="3">
                  <c:v>Quebec</c:v>
                </c:pt>
                <c:pt idx="4">
                  <c:v>Southeast</c:v>
                </c:pt>
              </c:strCache>
            </c:strRef>
          </c:cat>
          <c:val>
            <c:numRef>
              <c:f>'Pivot Tables(5) '!$G$5:$G$10</c:f>
              <c:numCache>
                <c:formatCode>General</c:formatCode>
                <c:ptCount val="5"/>
                <c:pt idx="0">
                  <c:v>18</c:v>
                </c:pt>
                <c:pt idx="1">
                  <c:v>14</c:v>
                </c:pt>
                <c:pt idx="2">
                  <c:v>17</c:v>
                </c:pt>
                <c:pt idx="3">
                  <c:v>9</c:v>
                </c:pt>
                <c:pt idx="4">
                  <c:v>16</c:v>
                </c:pt>
              </c:numCache>
            </c:numRef>
          </c:val>
          <c:extLst>
            <c:ext xmlns:c16="http://schemas.microsoft.com/office/drawing/2014/chart" uri="{C3380CC4-5D6E-409C-BE32-E72D297353CC}">
              <c16:uniqueId val="{00000001-DFA9-434A-AB99-B390896F0167}"/>
            </c:ext>
          </c:extLst>
        </c:ser>
        <c:ser>
          <c:idx val="2"/>
          <c:order val="2"/>
          <c:tx>
            <c:strRef>
              <c:f>'Pivot Tables(5) '!$H$3:$H$4</c:f>
              <c:strCache>
                <c:ptCount val="1"/>
                <c:pt idx="0">
                  <c:v>Resigned</c:v>
                </c:pt>
              </c:strCache>
            </c:strRef>
          </c:tx>
          <c:spPr>
            <a:solidFill>
              <a:schemeClr val="accent4"/>
            </a:solidFill>
            <a:ln>
              <a:noFill/>
            </a:ln>
            <a:effectLst/>
          </c:spPr>
          <c:invertIfNegative val="0"/>
          <c:cat>
            <c:strRef>
              <c:f>'Pivot Tables(5) '!$E$5:$E$10</c:f>
              <c:strCache>
                <c:ptCount val="5"/>
                <c:pt idx="0">
                  <c:v>Northeast</c:v>
                </c:pt>
                <c:pt idx="1">
                  <c:v>Northwest</c:v>
                </c:pt>
                <c:pt idx="2">
                  <c:v>Nova Scotia</c:v>
                </c:pt>
                <c:pt idx="3">
                  <c:v>Quebec</c:v>
                </c:pt>
                <c:pt idx="4">
                  <c:v>Southeast</c:v>
                </c:pt>
              </c:strCache>
            </c:strRef>
          </c:cat>
          <c:val>
            <c:numRef>
              <c:f>'Pivot Tables(5) '!$H$5:$H$10</c:f>
              <c:numCache>
                <c:formatCode>General</c:formatCode>
                <c:ptCount val="5"/>
                <c:pt idx="0">
                  <c:v>5</c:v>
                </c:pt>
                <c:pt idx="1">
                  <c:v>8</c:v>
                </c:pt>
                <c:pt idx="2">
                  <c:v>6</c:v>
                </c:pt>
                <c:pt idx="3">
                  <c:v>3</c:v>
                </c:pt>
                <c:pt idx="4">
                  <c:v>8</c:v>
                </c:pt>
              </c:numCache>
            </c:numRef>
          </c:val>
          <c:extLst>
            <c:ext xmlns:c16="http://schemas.microsoft.com/office/drawing/2014/chart" uri="{C3380CC4-5D6E-409C-BE32-E72D297353CC}">
              <c16:uniqueId val="{00000002-DFA9-434A-AB99-B390896F0167}"/>
            </c:ext>
          </c:extLst>
        </c:ser>
        <c:dLbls>
          <c:showLegendKey val="0"/>
          <c:showVal val="0"/>
          <c:showCatName val="0"/>
          <c:showSerName val="0"/>
          <c:showPercent val="0"/>
          <c:showBubbleSize val="0"/>
        </c:dLbls>
        <c:gapWidth val="150"/>
        <c:axId val="1536109279"/>
        <c:axId val="1536111679"/>
      </c:barChart>
      <c:catAx>
        <c:axId val="15361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11679"/>
        <c:crosses val="autoZero"/>
        <c:auto val="1"/>
        <c:lblAlgn val="ctr"/>
        <c:lblOffset val="100"/>
        <c:noMultiLvlLbl val="0"/>
      </c:catAx>
      <c:valAx>
        <c:axId val="15361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0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205740</xdr:colOff>
      <xdr:row>20</xdr:row>
      <xdr:rowOff>0</xdr:rowOff>
    </xdr:from>
    <xdr:to>
      <xdr:col>13</xdr:col>
      <xdr:colOff>0</xdr:colOff>
      <xdr:row>35</xdr:row>
      <xdr:rowOff>175259</xdr:rowOff>
    </xdr:to>
    <xdr:graphicFrame macro="">
      <xdr:nvGraphicFramePr>
        <xdr:cNvPr id="2" name="Chart 1">
          <a:extLst>
            <a:ext uri="{FF2B5EF4-FFF2-40B4-BE49-F238E27FC236}">
              <a16:creationId xmlns:a16="http://schemas.microsoft.com/office/drawing/2014/main" id="{AB17F268-B9F1-4CDE-BA96-5EAF3C931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138118</xdr:colOff>
      <xdr:row>6</xdr:row>
      <xdr:rowOff>150884</xdr:rowOff>
    </xdr:from>
    <xdr:to>
      <xdr:col>8</xdr:col>
      <xdr:colOff>0</xdr:colOff>
      <xdr:row>18</xdr:row>
      <xdr:rowOff>0</xdr:rowOff>
    </xdr:to>
    <xdr:graphicFrame macro="">
      <xdr:nvGraphicFramePr>
        <xdr:cNvPr id="6" name="Chart 5">
          <a:extLst>
            <a:ext uri="{FF2B5EF4-FFF2-40B4-BE49-F238E27FC236}">
              <a16:creationId xmlns:a16="http://schemas.microsoft.com/office/drawing/2014/main" id="{9614356D-8265-4DEF-8391-9AA2199BA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xdr:row>
      <xdr:rowOff>162443</xdr:rowOff>
    </xdr:from>
    <xdr:to>
      <xdr:col>2</xdr:col>
      <xdr:colOff>358140</xdr:colOff>
      <xdr:row>21</xdr:row>
      <xdr:rowOff>13336</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12486405-116A-B4F7-B3DB-99516157ADC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859923"/>
              <a:ext cx="1653540" cy="132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21</xdr:row>
      <xdr:rowOff>82462</xdr:rowOff>
    </xdr:from>
    <xdr:to>
      <xdr:col>2</xdr:col>
      <xdr:colOff>352213</xdr:colOff>
      <xdr:row>27</xdr:row>
      <xdr:rowOff>153247</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42D8E3A-528F-C245-D9B9-0055C3A9BCA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0480" y="4242982"/>
              <a:ext cx="1617133" cy="1168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28</xdr:row>
      <xdr:rowOff>30479</xdr:rowOff>
    </xdr:from>
    <xdr:to>
      <xdr:col>2</xdr:col>
      <xdr:colOff>358140</xdr:colOff>
      <xdr:row>35</xdr:row>
      <xdr:rowOff>175260</xdr:rowOff>
    </xdr:to>
    <mc:AlternateContent xmlns:mc="http://schemas.openxmlformats.org/markup-compatibility/2006" xmlns:a14="http://schemas.microsoft.com/office/drawing/2010/main">
      <mc:Choice Requires="a14">
        <xdr:graphicFrame macro="">
          <xdr:nvGraphicFramePr>
            <xdr:cNvPr id="9" name="Experience">
              <a:extLst>
                <a:ext uri="{FF2B5EF4-FFF2-40B4-BE49-F238E27FC236}">
                  <a16:creationId xmlns:a16="http://schemas.microsoft.com/office/drawing/2014/main" id="{21A60B0D-5CF6-07A6-4B3C-7AB501326327}"/>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22860" y="5471159"/>
              <a:ext cx="1630680" cy="142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27095</xdr:rowOff>
    </xdr:from>
    <xdr:to>
      <xdr:col>2</xdr:col>
      <xdr:colOff>312420</xdr:colOff>
      <xdr:row>12</xdr:row>
      <xdr:rowOff>177165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D77F2B3-BE8E-0275-59F0-AA50C1858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27295"/>
              <a:ext cx="1607820" cy="123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45721</xdr:colOff>
      <xdr:row>6</xdr:row>
      <xdr:rowOff>82128</xdr:rowOff>
    </xdr:from>
    <xdr:to>
      <xdr:col>12</xdr:col>
      <xdr:colOff>1714500</xdr:colOff>
      <xdr:row>17</xdr:row>
      <xdr:rowOff>167639</xdr:rowOff>
    </xdr:to>
    <xdr:graphicFrame macro="">
      <xdr:nvGraphicFramePr>
        <xdr:cNvPr id="13" name="Chart 12">
          <a:extLst>
            <a:ext uri="{FF2B5EF4-FFF2-40B4-BE49-F238E27FC236}">
              <a16:creationId xmlns:a16="http://schemas.microsoft.com/office/drawing/2014/main" id="{807583EE-A554-40AE-BCEF-8E6552DE6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397932</xdr:colOff>
      <xdr:row>2</xdr:row>
      <xdr:rowOff>59267</xdr:rowOff>
    </xdr:from>
    <xdr:to>
      <xdr:col>1</xdr:col>
      <xdr:colOff>880532</xdr:colOff>
      <xdr:row>2</xdr:row>
      <xdr:rowOff>499533</xdr:rowOff>
    </xdr:to>
    <xdr:pic>
      <xdr:nvPicPr>
        <xdr:cNvPr id="6" name="Graphic 5" descr="Man with solid fill">
          <a:extLst>
            <a:ext uri="{FF2B5EF4-FFF2-40B4-BE49-F238E27FC236}">
              <a16:creationId xmlns:a16="http://schemas.microsoft.com/office/drawing/2014/main" id="{06B48961-AFA2-D46A-48F7-84FF7C1E1C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7932" y="516467"/>
          <a:ext cx="914400" cy="440266"/>
        </a:xfrm>
        <a:prstGeom prst="rect">
          <a:avLst/>
        </a:prstGeom>
      </xdr:spPr>
    </xdr:pic>
    <xdr:clientData/>
  </xdr:twoCellAnchor>
  <xdr:twoCellAnchor editAs="oneCell">
    <xdr:from>
      <xdr:col>4</xdr:col>
      <xdr:colOff>0</xdr:colOff>
      <xdr:row>2</xdr:row>
      <xdr:rowOff>33867</xdr:rowOff>
    </xdr:from>
    <xdr:to>
      <xdr:col>4</xdr:col>
      <xdr:colOff>914400</xdr:colOff>
      <xdr:row>2</xdr:row>
      <xdr:rowOff>516466</xdr:rowOff>
    </xdr:to>
    <xdr:pic>
      <xdr:nvPicPr>
        <xdr:cNvPr id="8" name="Graphic 7" descr="Woman with solid fill">
          <a:extLst>
            <a:ext uri="{FF2B5EF4-FFF2-40B4-BE49-F238E27FC236}">
              <a16:creationId xmlns:a16="http://schemas.microsoft.com/office/drawing/2014/main" id="{0EA568B2-373A-FE94-2267-CF15778A2E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2333" y="491067"/>
          <a:ext cx="914400" cy="4825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mployee_HR_Analytics_Completed.xlsx" TargetMode="External"/><Relationship Id="rId2" Type="http://schemas.openxmlformats.org/officeDocument/2006/relationships/externalLinkPath" Target="file:///C:\Users\vaibhav%20lakshmi\Downloads\Employee_HR_Analytics_Completed.xlsx" TargetMode="External"/><Relationship Id="rId1" Type="http://schemas.openxmlformats.org/officeDocument/2006/relationships/externalLinkPath" Target="/Users/vaibhav%20lakshmi/Downloads/Employee_HR_Analytics_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RawData(1)"/>
      <sheetName val="Formatted Data(2)"/>
      <sheetName val="Data cleaning and validation(3)"/>
      <sheetName val="Analysis(4)"/>
      <sheetName val="Pivot Tables(5) "/>
      <sheetName val="Reference sheet "/>
      <sheetName val="Insights"/>
    </sheetNames>
    <sheetDataSet>
      <sheetData sheetId="0"/>
      <sheetData sheetId="1"/>
      <sheetData sheetId="2"/>
      <sheetData sheetId="3">
        <row r="1">
          <cell r="O1" t="str">
            <v>status</v>
          </cell>
        </row>
        <row r="2">
          <cell r="A2">
            <v>1</v>
          </cell>
          <cell r="I2">
            <v>12</v>
          </cell>
          <cell r="J2">
            <v>67470</v>
          </cell>
          <cell r="O2" t="str">
            <v>Active</v>
          </cell>
          <cell r="Q2"/>
        </row>
        <row r="3">
          <cell r="A3">
            <v>2</v>
          </cell>
          <cell r="I3">
            <v>13</v>
          </cell>
          <cell r="J3">
            <v>71869</v>
          </cell>
          <cell r="O3" t="str">
            <v>On Leave</v>
          </cell>
          <cell r="Q3"/>
        </row>
        <row r="4">
          <cell r="A4">
            <v>3</v>
          </cell>
          <cell r="I4">
            <v>12</v>
          </cell>
          <cell r="J4">
            <v>101768</v>
          </cell>
          <cell r="O4" t="str">
            <v>Resigned</v>
          </cell>
          <cell r="Q4"/>
        </row>
        <row r="5">
          <cell r="A5">
            <v>4</v>
          </cell>
          <cell r="I5">
            <v>7</v>
          </cell>
          <cell r="J5">
            <v>96897</v>
          </cell>
          <cell r="O5" t="str">
            <v>On Leave</v>
          </cell>
          <cell r="Q5"/>
        </row>
        <row r="6">
          <cell r="A6">
            <v>5</v>
          </cell>
          <cell r="I6">
            <v>19</v>
          </cell>
          <cell r="J6">
            <v>63702</v>
          </cell>
          <cell r="O6" t="str">
            <v>Active</v>
          </cell>
          <cell r="Q6"/>
        </row>
        <row r="7">
          <cell r="A7">
            <v>6</v>
          </cell>
          <cell r="I7">
            <v>8</v>
          </cell>
          <cell r="J7">
            <v>118497</v>
          </cell>
          <cell r="O7" t="str">
            <v>Active</v>
          </cell>
          <cell r="Q7"/>
        </row>
        <row r="8">
          <cell r="A8">
            <v>7</v>
          </cell>
          <cell r="I8">
            <v>15</v>
          </cell>
          <cell r="J8">
            <v>65889</v>
          </cell>
          <cell r="O8" t="str">
            <v>Active</v>
          </cell>
          <cell r="Q8"/>
        </row>
        <row r="9">
          <cell r="A9">
            <v>8</v>
          </cell>
          <cell r="I9">
            <v>18</v>
          </cell>
          <cell r="J9">
            <v>84427</v>
          </cell>
          <cell r="O9" t="str">
            <v>Active</v>
          </cell>
          <cell r="Q9"/>
        </row>
        <row r="10">
          <cell r="A10">
            <v>9</v>
          </cell>
          <cell r="I10">
            <v>16</v>
          </cell>
          <cell r="J10">
            <v>108657</v>
          </cell>
          <cell r="O10" t="str">
            <v>Active</v>
          </cell>
          <cell r="Q10"/>
        </row>
        <row r="11">
          <cell r="A11">
            <v>10</v>
          </cell>
          <cell r="I11">
            <v>8</v>
          </cell>
          <cell r="J11">
            <v>108093</v>
          </cell>
          <cell r="O11" t="str">
            <v>On Leave</v>
          </cell>
          <cell r="Q11"/>
        </row>
        <row r="12">
          <cell r="A12">
            <v>11</v>
          </cell>
          <cell r="I12">
            <v>18</v>
          </cell>
          <cell r="J12">
            <v>121966</v>
          </cell>
          <cell r="O12" t="str">
            <v>On Leave</v>
          </cell>
          <cell r="Q12"/>
        </row>
        <row r="13">
          <cell r="A13">
            <v>12</v>
          </cell>
          <cell r="I13">
            <v>18</v>
          </cell>
          <cell r="J13">
            <v>44179</v>
          </cell>
          <cell r="O13" t="str">
            <v>On Leave</v>
          </cell>
          <cell r="Q13"/>
        </row>
        <row r="14">
          <cell r="A14">
            <v>13</v>
          </cell>
          <cell r="I14">
            <v>19</v>
          </cell>
          <cell r="J14">
            <v>85227</v>
          </cell>
          <cell r="O14" t="str">
            <v>On Leave</v>
          </cell>
          <cell r="Q14"/>
        </row>
        <row r="15">
          <cell r="A15">
            <v>14</v>
          </cell>
          <cell r="I15">
            <v>15</v>
          </cell>
          <cell r="J15">
            <v>59763</v>
          </cell>
          <cell r="O15" t="str">
            <v>On Leave</v>
          </cell>
          <cell r="Q15"/>
        </row>
        <row r="16">
          <cell r="A16">
            <v>15</v>
          </cell>
          <cell r="I16">
            <v>14</v>
          </cell>
          <cell r="J16">
            <v>141139</v>
          </cell>
          <cell r="O16" t="str">
            <v>Active</v>
          </cell>
          <cell r="Q16"/>
        </row>
        <row r="17">
          <cell r="A17">
            <v>16</v>
          </cell>
          <cell r="I17">
            <v>13</v>
          </cell>
          <cell r="J17">
            <v>106659</v>
          </cell>
          <cell r="O17" t="str">
            <v>Active</v>
          </cell>
          <cell r="Q17"/>
        </row>
        <row r="18">
          <cell r="A18">
            <v>17</v>
          </cell>
          <cell r="I18">
            <v>10</v>
          </cell>
          <cell r="J18">
            <v>148952</v>
          </cell>
          <cell r="O18" t="str">
            <v>Active</v>
          </cell>
          <cell r="Q18"/>
        </row>
        <row r="19">
          <cell r="A19">
            <v>18</v>
          </cell>
          <cell r="I19">
            <v>7</v>
          </cell>
          <cell r="J19">
            <v>93804</v>
          </cell>
          <cell r="O19" t="str">
            <v>Active</v>
          </cell>
          <cell r="Q19"/>
        </row>
        <row r="20">
          <cell r="A20">
            <v>19</v>
          </cell>
          <cell r="I20">
            <v>17</v>
          </cell>
          <cell r="J20">
            <v>109890</v>
          </cell>
          <cell r="O20" t="str">
            <v>On Leave</v>
          </cell>
          <cell r="Q20"/>
        </row>
        <row r="21">
          <cell r="A21">
            <v>20</v>
          </cell>
          <cell r="I21">
            <v>14</v>
          </cell>
          <cell r="J21">
            <v>115274</v>
          </cell>
          <cell r="O21" t="str">
            <v>Active</v>
          </cell>
          <cell r="Q21"/>
        </row>
        <row r="22">
          <cell r="A22">
            <v>21</v>
          </cell>
          <cell r="I22">
            <v>16</v>
          </cell>
          <cell r="J22">
            <v>78052</v>
          </cell>
          <cell r="O22" t="str">
            <v>Active</v>
          </cell>
          <cell r="Q22"/>
        </row>
        <row r="23">
          <cell r="A23">
            <v>22</v>
          </cell>
          <cell r="I23">
            <v>10</v>
          </cell>
          <cell r="J23">
            <v>144724</v>
          </cell>
          <cell r="O23" t="str">
            <v>Active</v>
          </cell>
          <cell r="Q23"/>
        </row>
        <row r="24">
          <cell r="A24">
            <v>23</v>
          </cell>
          <cell r="I24">
            <v>20</v>
          </cell>
          <cell r="J24">
            <v>126103</v>
          </cell>
          <cell r="O24" t="str">
            <v>Active</v>
          </cell>
          <cell r="Q24"/>
        </row>
        <row r="25">
          <cell r="A25">
            <v>24</v>
          </cell>
          <cell r="I25">
            <v>15</v>
          </cell>
          <cell r="J25">
            <v>144965</v>
          </cell>
          <cell r="O25" t="str">
            <v>Active</v>
          </cell>
          <cell r="Q25"/>
        </row>
        <row r="26">
          <cell r="A26">
            <v>25</v>
          </cell>
          <cell r="I26">
            <v>17</v>
          </cell>
          <cell r="J26">
            <v>70613</v>
          </cell>
          <cell r="O26" t="str">
            <v>Active</v>
          </cell>
          <cell r="Q26"/>
        </row>
        <row r="27">
          <cell r="A27">
            <v>26</v>
          </cell>
          <cell r="I27">
            <v>10</v>
          </cell>
          <cell r="J27">
            <v>90746</v>
          </cell>
          <cell r="O27" t="str">
            <v>Active</v>
          </cell>
          <cell r="Q27"/>
        </row>
        <row r="28">
          <cell r="A28">
            <v>27</v>
          </cell>
          <cell r="I28">
            <v>16</v>
          </cell>
          <cell r="J28">
            <v>78698</v>
          </cell>
          <cell r="O28" t="str">
            <v>Resigned</v>
          </cell>
          <cell r="Q28"/>
        </row>
        <row r="29">
          <cell r="A29">
            <v>28</v>
          </cell>
          <cell r="I29">
            <v>13</v>
          </cell>
          <cell r="J29">
            <v>63336</v>
          </cell>
          <cell r="O29" t="str">
            <v>Active</v>
          </cell>
          <cell r="Q29"/>
        </row>
        <row r="30">
          <cell r="A30">
            <v>29</v>
          </cell>
          <cell r="I30">
            <v>8</v>
          </cell>
          <cell r="J30">
            <v>95436</v>
          </cell>
          <cell r="O30" t="str">
            <v>Active</v>
          </cell>
          <cell r="Q30"/>
        </row>
        <row r="31">
          <cell r="A31">
            <v>30</v>
          </cell>
          <cell r="I31">
            <v>9</v>
          </cell>
          <cell r="J31">
            <v>83144</v>
          </cell>
          <cell r="O31" t="str">
            <v>Active</v>
          </cell>
          <cell r="Q31"/>
        </row>
        <row r="32">
          <cell r="A32">
            <v>31</v>
          </cell>
          <cell r="I32">
            <v>9</v>
          </cell>
          <cell r="J32">
            <v>113507</v>
          </cell>
          <cell r="O32" t="str">
            <v>Active</v>
          </cell>
          <cell r="Q32"/>
        </row>
        <row r="33">
          <cell r="A33">
            <v>32</v>
          </cell>
          <cell r="I33">
            <v>7</v>
          </cell>
          <cell r="J33">
            <v>78245</v>
          </cell>
          <cell r="O33" t="str">
            <v>Active</v>
          </cell>
          <cell r="Q33"/>
        </row>
        <row r="34">
          <cell r="A34">
            <v>33</v>
          </cell>
          <cell r="I34">
            <v>21</v>
          </cell>
          <cell r="J34">
            <v>87057</v>
          </cell>
          <cell r="O34" t="str">
            <v>Active</v>
          </cell>
          <cell r="Q34"/>
        </row>
        <row r="35">
          <cell r="A35">
            <v>34</v>
          </cell>
          <cell r="I35">
            <v>19</v>
          </cell>
          <cell r="J35">
            <v>120579</v>
          </cell>
          <cell r="O35" t="str">
            <v>Active</v>
          </cell>
          <cell r="Q35"/>
        </row>
        <row r="36">
          <cell r="A36">
            <v>35</v>
          </cell>
          <cell r="I36">
            <v>8</v>
          </cell>
          <cell r="J36">
            <v>94884</v>
          </cell>
          <cell r="O36" t="str">
            <v>Active</v>
          </cell>
          <cell r="Q36"/>
        </row>
        <row r="37">
          <cell r="A37">
            <v>36</v>
          </cell>
          <cell r="I37">
            <v>13</v>
          </cell>
          <cell r="J37">
            <v>107222</v>
          </cell>
          <cell r="O37" t="str">
            <v>Active</v>
          </cell>
          <cell r="Q37"/>
        </row>
        <row r="38">
          <cell r="A38">
            <v>37</v>
          </cell>
          <cell r="I38">
            <v>21</v>
          </cell>
          <cell r="J38">
            <v>61739</v>
          </cell>
          <cell r="O38" t="str">
            <v>On Leave</v>
          </cell>
          <cell r="Q38"/>
        </row>
        <row r="39">
          <cell r="A39">
            <v>38</v>
          </cell>
          <cell r="I39">
            <v>9</v>
          </cell>
          <cell r="J39">
            <v>82026</v>
          </cell>
          <cell r="O39" t="str">
            <v>Resigned</v>
          </cell>
          <cell r="Q39"/>
        </row>
        <row r="40">
          <cell r="A40">
            <v>39</v>
          </cell>
          <cell r="I40">
            <v>10</v>
          </cell>
          <cell r="J40">
            <v>79339</v>
          </cell>
          <cell r="O40" t="str">
            <v>Active</v>
          </cell>
          <cell r="Q40"/>
        </row>
        <row r="41">
          <cell r="A41">
            <v>40</v>
          </cell>
          <cell r="I41">
            <v>10</v>
          </cell>
          <cell r="J41">
            <v>76809</v>
          </cell>
          <cell r="O41" t="str">
            <v>Active</v>
          </cell>
          <cell r="Q41"/>
        </row>
        <row r="42">
          <cell r="A42">
            <v>41</v>
          </cell>
          <cell r="I42">
            <v>20</v>
          </cell>
          <cell r="J42">
            <v>89680</v>
          </cell>
          <cell r="O42" t="str">
            <v>Active</v>
          </cell>
          <cell r="Q42"/>
        </row>
        <row r="43">
          <cell r="A43">
            <v>42</v>
          </cell>
          <cell r="I43">
            <v>13</v>
          </cell>
          <cell r="J43">
            <v>125668</v>
          </cell>
          <cell r="O43" t="str">
            <v>Active</v>
          </cell>
          <cell r="Q43"/>
        </row>
        <row r="44">
          <cell r="A44">
            <v>43</v>
          </cell>
          <cell r="I44">
            <v>12</v>
          </cell>
          <cell r="J44">
            <v>82960</v>
          </cell>
          <cell r="O44" t="str">
            <v>Active</v>
          </cell>
          <cell r="Q44"/>
        </row>
        <row r="45">
          <cell r="A45">
            <v>44</v>
          </cell>
          <cell r="I45">
            <v>8</v>
          </cell>
          <cell r="J45">
            <v>113857</v>
          </cell>
          <cell r="O45" t="str">
            <v>Active</v>
          </cell>
          <cell r="Q45"/>
        </row>
        <row r="46">
          <cell r="A46">
            <v>45</v>
          </cell>
          <cell r="I46">
            <v>19</v>
          </cell>
          <cell r="J46">
            <v>108378</v>
          </cell>
          <cell r="O46" t="str">
            <v>Active</v>
          </cell>
          <cell r="Q46"/>
        </row>
        <row r="47">
          <cell r="A47">
            <v>46</v>
          </cell>
          <cell r="I47">
            <v>10</v>
          </cell>
          <cell r="J47">
            <v>133424</v>
          </cell>
          <cell r="O47" t="str">
            <v>Active</v>
          </cell>
          <cell r="Q47"/>
        </row>
        <row r="48">
          <cell r="A48">
            <v>47</v>
          </cell>
          <cell r="I48">
            <v>8</v>
          </cell>
          <cell r="J48">
            <v>42797</v>
          </cell>
          <cell r="O48" t="str">
            <v>Active</v>
          </cell>
          <cell r="Q48"/>
        </row>
        <row r="49">
          <cell r="A49">
            <v>48</v>
          </cell>
          <cell r="I49">
            <v>17</v>
          </cell>
          <cell r="J49">
            <v>134940</v>
          </cell>
          <cell r="O49" t="str">
            <v>On Leave</v>
          </cell>
          <cell r="Q49"/>
        </row>
        <row r="50">
          <cell r="A50">
            <v>49</v>
          </cell>
          <cell r="I50">
            <v>13</v>
          </cell>
          <cell r="J50">
            <v>119471</v>
          </cell>
          <cell r="O50" t="str">
            <v>On Leave</v>
          </cell>
          <cell r="Q50"/>
        </row>
        <row r="51">
          <cell r="A51">
            <v>50</v>
          </cell>
          <cell r="I51">
            <v>11</v>
          </cell>
          <cell r="J51">
            <v>89969</v>
          </cell>
          <cell r="O51" t="str">
            <v>Active</v>
          </cell>
          <cell r="Q51"/>
        </row>
        <row r="52">
          <cell r="A52">
            <v>51</v>
          </cell>
          <cell r="I52">
            <v>15</v>
          </cell>
          <cell r="J52">
            <v>106281</v>
          </cell>
          <cell r="O52" t="str">
            <v>Active</v>
          </cell>
          <cell r="Q52"/>
        </row>
        <row r="53">
          <cell r="A53">
            <v>52</v>
          </cell>
          <cell r="I53">
            <v>19</v>
          </cell>
          <cell r="J53">
            <v>141678</v>
          </cell>
          <cell r="O53" t="str">
            <v>Active</v>
          </cell>
          <cell r="Q53"/>
        </row>
        <row r="54">
          <cell r="A54">
            <v>53</v>
          </cell>
          <cell r="I54">
            <v>13</v>
          </cell>
          <cell r="J54">
            <v>110839</v>
          </cell>
          <cell r="O54" t="str">
            <v>Active</v>
          </cell>
          <cell r="Q54"/>
        </row>
        <row r="55">
          <cell r="A55">
            <v>54</v>
          </cell>
          <cell r="I55">
            <v>20</v>
          </cell>
          <cell r="J55">
            <v>84275</v>
          </cell>
          <cell r="O55" t="str">
            <v>Active</v>
          </cell>
          <cell r="Q55"/>
        </row>
        <row r="56">
          <cell r="A56">
            <v>55</v>
          </cell>
          <cell r="I56">
            <v>17</v>
          </cell>
          <cell r="J56">
            <v>71363</v>
          </cell>
          <cell r="O56" t="str">
            <v>Active</v>
          </cell>
          <cell r="Q56"/>
        </row>
        <row r="57">
          <cell r="A57">
            <v>56</v>
          </cell>
          <cell r="I57">
            <v>19</v>
          </cell>
          <cell r="J57">
            <v>93680</v>
          </cell>
          <cell r="O57" t="str">
            <v>On Leave</v>
          </cell>
          <cell r="Q57"/>
        </row>
        <row r="58">
          <cell r="A58">
            <v>57</v>
          </cell>
          <cell r="I58">
            <v>21</v>
          </cell>
          <cell r="J58">
            <v>73755</v>
          </cell>
          <cell r="O58" t="str">
            <v>On Leave</v>
          </cell>
          <cell r="Q58"/>
        </row>
        <row r="59">
          <cell r="A59">
            <v>58</v>
          </cell>
          <cell r="I59">
            <v>14</v>
          </cell>
          <cell r="J59">
            <v>68857</v>
          </cell>
          <cell r="O59" t="str">
            <v>On Leave</v>
          </cell>
          <cell r="Q59"/>
        </row>
        <row r="60">
          <cell r="A60">
            <v>59</v>
          </cell>
          <cell r="I60">
            <v>19</v>
          </cell>
          <cell r="J60">
            <v>48360</v>
          </cell>
          <cell r="O60" t="str">
            <v>On Leave</v>
          </cell>
          <cell r="Q60"/>
        </row>
        <row r="61">
          <cell r="A61">
            <v>60</v>
          </cell>
          <cell r="I61">
            <v>17</v>
          </cell>
          <cell r="J61">
            <v>104896</v>
          </cell>
          <cell r="O61" t="str">
            <v>On Leave</v>
          </cell>
          <cell r="Q61"/>
        </row>
        <row r="62">
          <cell r="A62">
            <v>61</v>
          </cell>
          <cell r="I62">
            <v>12</v>
          </cell>
          <cell r="J62">
            <v>81870</v>
          </cell>
          <cell r="O62" t="str">
            <v>Active</v>
          </cell>
          <cell r="Q62"/>
        </row>
        <row r="63">
          <cell r="A63">
            <v>62</v>
          </cell>
          <cell r="I63">
            <v>14</v>
          </cell>
          <cell r="J63">
            <v>69936</v>
          </cell>
          <cell r="O63" t="str">
            <v>Active</v>
          </cell>
          <cell r="Q63"/>
        </row>
        <row r="64">
          <cell r="A64">
            <v>63</v>
          </cell>
          <cell r="I64">
            <v>14</v>
          </cell>
          <cell r="J64">
            <v>138844</v>
          </cell>
          <cell r="O64" t="str">
            <v>Active</v>
          </cell>
          <cell r="Q64"/>
        </row>
        <row r="65">
          <cell r="A65">
            <v>64</v>
          </cell>
          <cell r="I65">
            <v>10</v>
          </cell>
          <cell r="J65">
            <v>139796</v>
          </cell>
          <cell r="O65" t="str">
            <v>Active</v>
          </cell>
          <cell r="Q65"/>
        </row>
        <row r="66">
          <cell r="A66">
            <v>65</v>
          </cell>
          <cell r="I66">
            <v>21</v>
          </cell>
          <cell r="J66">
            <v>86939</v>
          </cell>
          <cell r="O66" t="str">
            <v>Resigned</v>
          </cell>
          <cell r="Q66"/>
        </row>
        <row r="67">
          <cell r="A67">
            <v>66</v>
          </cell>
          <cell r="I67">
            <v>18</v>
          </cell>
          <cell r="J67">
            <v>141949</v>
          </cell>
          <cell r="O67" t="str">
            <v>Active</v>
          </cell>
          <cell r="Q67"/>
        </row>
        <row r="68">
          <cell r="A68">
            <v>67</v>
          </cell>
          <cell r="I68">
            <v>17</v>
          </cell>
          <cell r="J68">
            <v>114200</v>
          </cell>
          <cell r="O68" t="str">
            <v>Active</v>
          </cell>
          <cell r="Q68"/>
        </row>
        <row r="69">
          <cell r="A69">
            <v>68</v>
          </cell>
          <cell r="I69">
            <v>9</v>
          </cell>
          <cell r="J69">
            <v>121378</v>
          </cell>
          <cell r="O69" t="str">
            <v>Active</v>
          </cell>
          <cell r="Q69"/>
        </row>
        <row r="70">
          <cell r="A70">
            <v>69</v>
          </cell>
          <cell r="I70">
            <v>21</v>
          </cell>
          <cell r="J70">
            <v>148144</v>
          </cell>
          <cell r="O70" t="str">
            <v>On Leave</v>
          </cell>
          <cell r="Q70"/>
        </row>
        <row r="71">
          <cell r="A71">
            <v>70</v>
          </cell>
          <cell r="I71">
            <v>17</v>
          </cell>
          <cell r="J71">
            <v>93839</v>
          </cell>
          <cell r="O71" t="str">
            <v>On Leave</v>
          </cell>
          <cell r="Q71"/>
        </row>
        <row r="72">
          <cell r="A72">
            <v>71</v>
          </cell>
          <cell r="I72">
            <v>19</v>
          </cell>
          <cell r="J72">
            <v>77285</v>
          </cell>
          <cell r="O72" t="str">
            <v>On Leave</v>
          </cell>
          <cell r="Q72"/>
        </row>
        <row r="73">
          <cell r="A73">
            <v>72</v>
          </cell>
          <cell r="I73">
            <v>19</v>
          </cell>
          <cell r="J73">
            <v>135688</v>
          </cell>
          <cell r="O73" t="str">
            <v>On Leave</v>
          </cell>
          <cell r="Q73"/>
        </row>
        <row r="74">
          <cell r="A74">
            <v>73</v>
          </cell>
          <cell r="I74">
            <v>19</v>
          </cell>
          <cell r="J74">
            <v>78828</v>
          </cell>
          <cell r="O74" t="str">
            <v>On Leave</v>
          </cell>
          <cell r="Q74"/>
        </row>
        <row r="75">
          <cell r="A75">
            <v>74</v>
          </cell>
          <cell r="I75">
            <v>21</v>
          </cell>
          <cell r="J75">
            <v>47206</v>
          </cell>
          <cell r="O75" t="str">
            <v>Active</v>
          </cell>
          <cell r="Q75"/>
        </row>
        <row r="76">
          <cell r="A76">
            <v>75</v>
          </cell>
          <cell r="I76">
            <v>8</v>
          </cell>
          <cell r="J76">
            <v>78157</v>
          </cell>
          <cell r="O76" t="str">
            <v>Active</v>
          </cell>
          <cell r="Q76"/>
        </row>
        <row r="77">
          <cell r="A77">
            <v>76</v>
          </cell>
          <cell r="I77">
            <v>21</v>
          </cell>
          <cell r="J77">
            <v>49296</v>
          </cell>
          <cell r="O77" t="str">
            <v>Active</v>
          </cell>
          <cell r="Q77"/>
        </row>
        <row r="78">
          <cell r="A78">
            <v>77</v>
          </cell>
          <cell r="I78">
            <v>8</v>
          </cell>
          <cell r="J78">
            <v>139061</v>
          </cell>
          <cell r="O78" t="str">
            <v>On Leave</v>
          </cell>
          <cell r="Q78"/>
        </row>
        <row r="79">
          <cell r="A79">
            <v>78</v>
          </cell>
          <cell r="I79">
            <v>16</v>
          </cell>
          <cell r="J79">
            <v>114989</v>
          </cell>
          <cell r="O79" t="str">
            <v>Active</v>
          </cell>
          <cell r="Q79"/>
        </row>
        <row r="80">
          <cell r="A80">
            <v>79</v>
          </cell>
          <cell r="I80">
            <v>19</v>
          </cell>
          <cell r="J80">
            <v>88345</v>
          </cell>
          <cell r="O80" t="str">
            <v>Active</v>
          </cell>
          <cell r="Q80"/>
        </row>
        <row r="81">
          <cell r="A81">
            <v>80</v>
          </cell>
          <cell r="I81">
            <v>20</v>
          </cell>
          <cell r="J81">
            <v>114647</v>
          </cell>
          <cell r="O81" t="str">
            <v>Active</v>
          </cell>
          <cell r="Q81"/>
        </row>
        <row r="82">
          <cell r="A82">
            <v>81</v>
          </cell>
          <cell r="I82">
            <v>17</v>
          </cell>
          <cell r="J82">
            <v>118514</v>
          </cell>
          <cell r="O82" t="str">
            <v>Active</v>
          </cell>
          <cell r="Q82"/>
        </row>
        <row r="83">
          <cell r="A83">
            <v>82</v>
          </cell>
          <cell r="I83">
            <v>18</v>
          </cell>
          <cell r="J83">
            <v>93712</v>
          </cell>
          <cell r="O83" t="str">
            <v>Active</v>
          </cell>
          <cell r="Q83"/>
        </row>
        <row r="84">
          <cell r="A84">
            <v>83</v>
          </cell>
          <cell r="I84">
            <v>12</v>
          </cell>
          <cell r="J84">
            <v>86373</v>
          </cell>
          <cell r="O84" t="str">
            <v>Active</v>
          </cell>
          <cell r="Q84"/>
        </row>
        <row r="85">
          <cell r="A85">
            <v>84</v>
          </cell>
          <cell r="I85">
            <v>8</v>
          </cell>
          <cell r="J85">
            <v>122110</v>
          </cell>
          <cell r="O85" t="str">
            <v>Resigned</v>
          </cell>
          <cell r="Q85"/>
        </row>
        <row r="86">
          <cell r="A86">
            <v>85</v>
          </cell>
          <cell r="I86">
            <v>15</v>
          </cell>
          <cell r="J86">
            <v>95542</v>
          </cell>
          <cell r="O86" t="str">
            <v>Active</v>
          </cell>
          <cell r="Q86"/>
        </row>
        <row r="87">
          <cell r="A87">
            <v>86</v>
          </cell>
          <cell r="I87">
            <v>8</v>
          </cell>
          <cell r="J87">
            <v>131392</v>
          </cell>
          <cell r="O87" t="str">
            <v>Active</v>
          </cell>
          <cell r="Q87"/>
        </row>
        <row r="88">
          <cell r="A88">
            <v>87</v>
          </cell>
          <cell r="I88">
            <v>11</v>
          </cell>
          <cell r="J88">
            <v>98401</v>
          </cell>
          <cell r="O88" t="str">
            <v>Active</v>
          </cell>
          <cell r="Q88"/>
        </row>
        <row r="89">
          <cell r="A89">
            <v>88</v>
          </cell>
          <cell r="I89">
            <v>17</v>
          </cell>
          <cell r="J89">
            <v>103806</v>
          </cell>
          <cell r="O89" t="str">
            <v>Active</v>
          </cell>
          <cell r="Q89"/>
        </row>
        <row r="90">
          <cell r="A90">
            <v>89</v>
          </cell>
          <cell r="I90">
            <v>7</v>
          </cell>
          <cell r="J90">
            <v>73686</v>
          </cell>
          <cell r="O90" t="str">
            <v>Resigned</v>
          </cell>
          <cell r="Q90"/>
        </row>
        <row r="91">
          <cell r="A91">
            <v>90</v>
          </cell>
          <cell r="I91">
            <v>10</v>
          </cell>
          <cell r="J91">
            <v>55002</v>
          </cell>
          <cell r="O91" t="str">
            <v>Active</v>
          </cell>
          <cell r="Q91"/>
        </row>
        <row r="92">
          <cell r="A92">
            <v>91</v>
          </cell>
          <cell r="I92">
            <v>16</v>
          </cell>
          <cell r="J92">
            <v>65216</v>
          </cell>
          <cell r="O92" t="str">
            <v>Active</v>
          </cell>
          <cell r="Q92"/>
        </row>
        <row r="93">
          <cell r="A93">
            <v>92</v>
          </cell>
          <cell r="I93">
            <v>11</v>
          </cell>
          <cell r="J93">
            <v>113231</v>
          </cell>
          <cell r="O93" t="str">
            <v>Active</v>
          </cell>
          <cell r="Q93"/>
        </row>
        <row r="94">
          <cell r="A94">
            <v>93</v>
          </cell>
          <cell r="I94">
            <v>7</v>
          </cell>
          <cell r="J94">
            <v>125847</v>
          </cell>
          <cell r="O94" t="str">
            <v>Active</v>
          </cell>
          <cell r="Q94"/>
        </row>
        <row r="95">
          <cell r="A95">
            <v>94</v>
          </cell>
          <cell r="I95">
            <v>21</v>
          </cell>
          <cell r="J95">
            <v>140430</v>
          </cell>
          <cell r="O95" t="str">
            <v>Active</v>
          </cell>
          <cell r="Q95"/>
        </row>
        <row r="96">
          <cell r="A96">
            <v>95</v>
          </cell>
          <cell r="I96">
            <v>8</v>
          </cell>
          <cell r="J96">
            <v>117105</v>
          </cell>
          <cell r="O96" t="str">
            <v>Active</v>
          </cell>
          <cell r="Q96"/>
        </row>
        <row r="97">
          <cell r="A97">
            <v>96</v>
          </cell>
          <cell r="I97">
            <v>17</v>
          </cell>
          <cell r="J97">
            <v>96673</v>
          </cell>
          <cell r="O97" t="str">
            <v>Active</v>
          </cell>
          <cell r="Q97"/>
        </row>
        <row r="98">
          <cell r="A98">
            <v>97</v>
          </cell>
          <cell r="I98">
            <v>8</v>
          </cell>
          <cell r="J98">
            <v>79267</v>
          </cell>
          <cell r="O98" t="str">
            <v>Active</v>
          </cell>
          <cell r="Q98"/>
        </row>
        <row r="99">
          <cell r="A99">
            <v>98</v>
          </cell>
          <cell r="I99">
            <v>14</v>
          </cell>
          <cell r="J99">
            <v>109154</v>
          </cell>
          <cell r="O99" t="str">
            <v>Resigned</v>
          </cell>
          <cell r="Q99"/>
        </row>
        <row r="100">
          <cell r="A100">
            <v>99</v>
          </cell>
          <cell r="I100">
            <v>19</v>
          </cell>
          <cell r="J100">
            <v>138815</v>
          </cell>
          <cell r="O100" t="str">
            <v>Active</v>
          </cell>
          <cell r="Q100"/>
        </row>
        <row r="101">
          <cell r="A101">
            <v>100</v>
          </cell>
          <cell r="I101">
            <v>14</v>
          </cell>
          <cell r="J101">
            <v>68210</v>
          </cell>
          <cell r="O101" t="str">
            <v>Active</v>
          </cell>
          <cell r="Q101"/>
        </row>
        <row r="102">
          <cell r="A102">
            <v>101</v>
          </cell>
          <cell r="I102">
            <v>19</v>
          </cell>
          <cell r="J102">
            <v>137281</v>
          </cell>
          <cell r="O102" t="str">
            <v>Active</v>
          </cell>
          <cell r="Q102"/>
        </row>
        <row r="103">
          <cell r="A103">
            <v>102</v>
          </cell>
          <cell r="I103">
            <v>13</v>
          </cell>
          <cell r="J103">
            <v>114970</v>
          </cell>
          <cell r="O103" t="str">
            <v>Active</v>
          </cell>
          <cell r="Q103"/>
        </row>
        <row r="104">
          <cell r="A104">
            <v>103</v>
          </cell>
          <cell r="I104">
            <v>18</v>
          </cell>
          <cell r="J104">
            <v>126001</v>
          </cell>
          <cell r="O104" t="str">
            <v>Resigned</v>
          </cell>
          <cell r="Q104"/>
        </row>
        <row r="105">
          <cell r="A105">
            <v>104</v>
          </cell>
          <cell r="I105">
            <v>18</v>
          </cell>
          <cell r="J105">
            <v>78736</v>
          </cell>
          <cell r="O105" t="str">
            <v>Active</v>
          </cell>
          <cell r="Q105"/>
        </row>
        <row r="106">
          <cell r="A106">
            <v>105</v>
          </cell>
          <cell r="I106">
            <v>12</v>
          </cell>
          <cell r="J106">
            <v>80830</v>
          </cell>
          <cell r="O106" t="str">
            <v>Active</v>
          </cell>
          <cell r="Q106"/>
        </row>
        <row r="107">
          <cell r="A107">
            <v>106</v>
          </cell>
          <cell r="I107">
            <v>12</v>
          </cell>
          <cell r="J107">
            <v>47879</v>
          </cell>
          <cell r="O107" t="str">
            <v>Active</v>
          </cell>
          <cell r="Q107"/>
        </row>
        <row r="108">
          <cell r="A108">
            <v>107</v>
          </cell>
          <cell r="I108">
            <v>17</v>
          </cell>
          <cell r="J108">
            <v>132634</v>
          </cell>
          <cell r="O108" t="str">
            <v>Active</v>
          </cell>
          <cell r="Q108"/>
        </row>
        <row r="109">
          <cell r="A109">
            <v>108</v>
          </cell>
          <cell r="I109">
            <v>16</v>
          </cell>
          <cell r="J109">
            <v>68344</v>
          </cell>
          <cell r="O109" t="str">
            <v>Resigned</v>
          </cell>
          <cell r="Q109"/>
        </row>
        <row r="110">
          <cell r="A110">
            <v>109</v>
          </cell>
          <cell r="I110">
            <v>14</v>
          </cell>
          <cell r="J110">
            <v>147868</v>
          </cell>
          <cell r="O110" t="str">
            <v>Active</v>
          </cell>
          <cell r="Q110"/>
        </row>
        <row r="111">
          <cell r="A111">
            <v>110</v>
          </cell>
          <cell r="I111">
            <v>10</v>
          </cell>
          <cell r="J111">
            <v>67255</v>
          </cell>
          <cell r="O111" t="str">
            <v>Active</v>
          </cell>
          <cell r="Q111"/>
        </row>
        <row r="112">
          <cell r="A112">
            <v>111</v>
          </cell>
          <cell r="I112">
            <v>9</v>
          </cell>
          <cell r="J112">
            <v>47494</v>
          </cell>
          <cell r="O112" t="str">
            <v>Active</v>
          </cell>
          <cell r="Q112"/>
        </row>
        <row r="113">
          <cell r="A113">
            <v>112</v>
          </cell>
          <cell r="I113">
            <v>8</v>
          </cell>
          <cell r="J113">
            <v>127645</v>
          </cell>
          <cell r="O113" t="str">
            <v>Active</v>
          </cell>
          <cell r="Q113"/>
        </row>
        <row r="114">
          <cell r="A114">
            <v>113</v>
          </cell>
          <cell r="I114">
            <v>21</v>
          </cell>
          <cell r="J114">
            <v>54413</v>
          </cell>
          <cell r="O114" t="str">
            <v>Active</v>
          </cell>
          <cell r="Q114"/>
        </row>
        <row r="115">
          <cell r="A115">
            <v>114</v>
          </cell>
          <cell r="I115">
            <v>9</v>
          </cell>
          <cell r="J115">
            <v>136790</v>
          </cell>
          <cell r="O115" t="str">
            <v>Resigned</v>
          </cell>
          <cell r="Q115"/>
        </row>
        <row r="116">
          <cell r="A116">
            <v>115</v>
          </cell>
          <cell r="I116">
            <v>14</v>
          </cell>
          <cell r="J116">
            <v>58420</v>
          </cell>
          <cell r="O116" t="str">
            <v>Active</v>
          </cell>
          <cell r="Q116"/>
        </row>
        <row r="117">
          <cell r="A117">
            <v>116</v>
          </cell>
          <cell r="I117">
            <v>19</v>
          </cell>
          <cell r="J117">
            <v>73813</v>
          </cell>
          <cell r="O117" t="str">
            <v>Active</v>
          </cell>
          <cell r="Q117"/>
        </row>
        <row r="118">
          <cell r="A118">
            <v>117</v>
          </cell>
          <cell r="I118">
            <v>9</v>
          </cell>
          <cell r="J118">
            <v>49644</v>
          </cell>
          <cell r="O118" t="str">
            <v>Active</v>
          </cell>
          <cell r="Q118"/>
        </row>
        <row r="119">
          <cell r="A119">
            <v>118</v>
          </cell>
          <cell r="I119">
            <v>12</v>
          </cell>
          <cell r="J119">
            <v>87134</v>
          </cell>
          <cell r="O119" t="str">
            <v>Active</v>
          </cell>
          <cell r="Q119"/>
        </row>
        <row r="120">
          <cell r="A120">
            <v>119</v>
          </cell>
          <cell r="I120">
            <v>13</v>
          </cell>
          <cell r="J120">
            <v>148408</v>
          </cell>
          <cell r="O120" t="str">
            <v>Active</v>
          </cell>
          <cell r="Q120"/>
        </row>
        <row r="121">
          <cell r="A121">
            <v>120</v>
          </cell>
          <cell r="I121">
            <v>13</v>
          </cell>
          <cell r="J121">
            <v>77335</v>
          </cell>
          <cell r="O121" t="str">
            <v>Resigned</v>
          </cell>
          <cell r="Q121"/>
        </row>
        <row r="122">
          <cell r="A122">
            <v>121</v>
          </cell>
          <cell r="I122">
            <v>14</v>
          </cell>
          <cell r="J122">
            <v>131409</v>
          </cell>
          <cell r="O122" t="str">
            <v>Active</v>
          </cell>
          <cell r="Q122"/>
        </row>
        <row r="123">
          <cell r="A123">
            <v>122</v>
          </cell>
          <cell r="I123">
            <v>20</v>
          </cell>
          <cell r="J123">
            <v>77530</v>
          </cell>
          <cell r="O123" t="str">
            <v>Active</v>
          </cell>
          <cell r="Q123"/>
        </row>
        <row r="124">
          <cell r="A124">
            <v>123</v>
          </cell>
          <cell r="I124">
            <v>19</v>
          </cell>
          <cell r="J124">
            <v>101875</v>
          </cell>
          <cell r="O124" t="str">
            <v>Active</v>
          </cell>
          <cell r="Q124"/>
        </row>
        <row r="125">
          <cell r="A125">
            <v>124</v>
          </cell>
          <cell r="I125">
            <v>16</v>
          </cell>
          <cell r="J125">
            <v>144028</v>
          </cell>
          <cell r="O125" t="str">
            <v>Active</v>
          </cell>
          <cell r="Q125"/>
        </row>
        <row r="126">
          <cell r="A126">
            <v>125</v>
          </cell>
          <cell r="I126">
            <v>9</v>
          </cell>
          <cell r="J126">
            <v>140708</v>
          </cell>
          <cell r="O126" t="str">
            <v>Resigned</v>
          </cell>
          <cell r="Q126"/>
        </row>
        <row r="127">
          <cell r="A127">
            <v>126</v>
          </cell>
          <cell r="I127">
            <v>8</v>
          </cell>
          <cell r="J127">
            <v>79172</v>
          </cell>
          <cell r="O127" t="str">
            <v>Active</v>
          </cell>
          <cell r="Q127"/>
        </row>
        <row r="128">
          <cell r="A128">
            <v>127</v>
          </cell>
          <cell r="I128">
            <v>21</v>
          </cell>
          <cell r="J128">
            <v>144639</v>
          </cell>
          <cell r="O128" t="str">
            <v>Active</v>
          </cell>
          <cell r="Q128"/>
        </row>
        <row r="129">
          <cell r="A129">
            <v>128</v>
          </cell>
          <cell r="I129">
            <v>18</v>
          </cell>
          <cell r="J129">
            <v>109449</v>
          </cell>
          <cell r="O129" t="str">
            <v>Active</v>
          </cell>
          <cell r="Q129"/>
        </row>
        <row r="130">
          <cell r="A130">
            <v>129</v>
          </cell>
          <cell r="I130">
            <v>15</v>
          </cell>
          <cell r="J130">
            <v>108441</v>
          </cell>
          <cell r="O130" t="str">
            <v>Active</v>
          </cell>
          <cell r="Q130"/>
        </row>
        <row r="131">
          <cell r="A131">
            <v>130</v>
          </cell>
          <cell r="I131">
            <v>13</v>
          </cell>
          <cell r="J131">
            <v>145692</v>
          </cell>
          <cell r="O131" t="str">
            <v>Active</v>
          </cell>
          <cell r="Q131"/>
        </row>
        <row r="132">
          <cell r="A132">
            <v>131</v>
          </cell>
          <cell r="I132">
            <v>21</v>
          </cell>
          <cell r="J132">
            <v>120377</v>
          </cell>
          <cell r="O132" t="str">
            <v>Active</v>
          </cell>
          <cell r="Q132"/>
        </row>
        <row r="133">
          <cell r="A133">
            <v>132</v>
          </cell>
          <cell r="I133">
            <v>18</v>
          </cell>
          <cell r="J133">
            <v>63929</v>
          </cell>
          <cell r="O133" t="str">
            <v>Active</v>
          </cell>
          <cell r="Q133"/>
        </row>
        <row r="134">
          <cell r="A134">
            <v>133</v>
          </cell>
          <cell r="I134">
            <v>20</v>
          </cell>
          <cell r="J134">
            <v>124853</v>
          </cell>
          <cell r="O134" t="str">
            <v>Active</v>
          </cell>
          <cell r="Q134"/>
        </row>
        <row r="135">
          <cell r="A135">
            <v>134</v>
          </cell>
          <cell r="I135">
            <v>11</v>
          </cell>
          <cell r="J135">
            <v>99854</v>
          </cell>
          <cell r="O135" t="str">
            <v>Active</v>
          </cell>
          <cell r="Q135"/>
        </row>
        <row r="136">
          <cell r="A136">
            <v>135</v>
          </cell>
          <cell r="I136">
            <v>8</v>
          </cell>
          <cell r="J136">
            <v>58675</v>
          </cell>
          <cell r="O136" t="str">
            <v>On Leave</v>
          </cell>
          <cell r="Q136"/>
        </row>
        <row r="137">
          <cell r="A137">
            <v>136</v>
          </cell>
          <cell r="I137">
            <v>14</v>
          </cell>
          <cell r="J137">
            <v>50060</v>
          </cell>
          <cell r="O137" t="str">
            <v>Active</v>
          </cell>
          <cell r="Q137"/>
        </row>
        <row r="138">
          <cell r="A138">
            <v>137</v>
          </cell>
          <cell r="I138">
            <v>7</v>
          </cell>
          <cell r="J138">
            <v>72748</v>
          </cell>
          <cell r="O138" t="str">
            <v>Resigned</v>
          </cell>
          <cell r="Q138"/>
        </row>
        <row r="139">
          <cell r="A139">
            <v>138</v>
          </cell>
          <cell r="I139">
            <v>16</v>
          </cell>
          <cell r="J139">
            <v>71082</v>
          </cell>
          <cell r="O139" t="str">
            <v>On Leave</v>
          </cell>
          <cell r="Q139"/>
        </row>
        <row r="140">
          <cell r="A140">
            <v>139</v>
          </cell>
          <cell r="I140">
            <v>9</v>
          </cell>
          <cell r="J140">
            <v>119773</v>
          </cell>
          <cell r="O140" t="str">
            <v>Active</v>
          </cell>
          <cell r="Q140"/>
        </row>
        <row r="141">
          <cell r="A141">
            <v>140</v>
          </cell>
          <cell r="I141">
            <v>20</v>
          </cell>
          <cell r="J141">
            <v>82358</v>
          </cell>
          <cell r="O141" t="str">
            <v>Active</v>
          </cell>
          <cell r="Q141"/>
        </row>
        <row r="142">
          <cell r="A142">
            <v>141</v>
          </cell>
          <cell r="I142">
            <v>16</v>
          </cell>
          <cell r="J142">
            <v>145575</v>
          </cell>
          <cell r="O142" t="str">
            <v>Active</v>
          </cell>
          <cell r="Q142"/>
        </row>
        <row r="143">
          <cell r="A143">
            <v>142</v>
          </cell>
          <cell r="I143">
            <v>12</v>
          </cell>
          <cell r="J143">
            <v>105810</v>
          </cell>
          <cell r="O143" t="str">
            <v>On Leave</v>
          </cell>
          <cell r="Q143"/>
        </row>
        <row r="144">
          <cell r="A144">
            <v>143</v>
          </cell>
          <cell r="I144">
            <v>7</v>
          </cell>
          <cell r="J144">
            <v>58805</v>
          </cell>
          <cell r="O144" t="str">
            <v>On Leave</v>
          </cell>
          <cell r="Q144"/>
        </row>
        <row r="145">
          <cell r="A145">
            <v>144</v>
          </cell>
          <cell r="I145">
            <v>13</v>
          </cell>
          <cell r="J145">
            <v>112837</v>
          </cell>
          <cell r="O145" t="str">
            <v>Active</v>
          </cell>
          <cell r="Q145"/>
        </row>
        <row r="146">
          <cell r="A146">
            <v>145</v>
          </cell>
          <cell r="I146">
            <v>8</v>
          </cell>
          <cell r="J146">
            <v>125914</v>
          </cell>
          <cell r="O146" t="str">
            <v>Active</v>
          </cell>
          <cell r="Q146"/>
        </row>
        <row r="147">
          <cell r="A147">
            <v>146</v>
          </cell>
          <cell r="I147">
            <v>12</v>
          </cell>
          <cell r="J147">
            <v>133281</v>
          </cell>
          <cell r="O147" t="str">
            <v>On Leave</v>
          </cell>
          <cell r="Q147"/>
        </row>
        <row r="148">
          <cell r="A148">
            <v>147</v>
          </cell>
          <cell r="I148">
            <v>9</v>
          </cell>
          <cell r="J148">
            <v>96169</v>
          </cell>
          <cell r="O148" t="str">
            <v>On Leave</v>
          </cell>
          <cell r="Q148"/>
        </row>
        <row r="149">
          <cell r="A149">
            <v>148</v>
          </cell>
          <cell r="I149">
            <v>8</v>
          </cell>
          <cell r="J149">
            <v>146970</v>
          </cell>
          <cell r="O149" t="str">
            <v>On Leave</v>
          </cell>
          <cell r="Q149"/>
        </row>
        <row r="150">
          <cell r="A150">
            <v>149</v>
          </cell>
          <cell r="I150">
            <v>13</v>
          </cell>
          <cell r="J150">
            <v>76352</v>
          </cell>
          <cell r="O150" t="str">
            <v>On Leave</v>
          </cell>
          <cell r="Q150"/>
        </row>
        <row r="151">
          <cell r="A151">
            <v>150</v>
          </cell>
          <cell r="I151">
            <v>15</v>
          </cell>
          <cell r="J151">
            <v>128748</v>
          </cell>
          <cell r="O151" t="str">
            <v>On Leave</v>
          </cell>
          <cell r="Q151"/>
        </row>
        <row r="152">
          <cell r="A152">
            <v>151</v>
          </cell>
          <cell r="I152">
            <v>10</v>
          </cell>
          <cell r="J152">
            <v>50066</v>
          </cell>
          <cell r="O152" t="str">
            <v>On Leave</v>
          </cell>
          <cell r="Q152"/>
        </row>
        <row r="153">
          <cell r="A153">
            <v>152</v>
          </cell>
          <cell r="I153">
            <v>10</v>
          </cell>
          <cell r="J153">
            <v>105319</v>
          </cell>
          <cell r="O153" t="str">
            <v>On Leave</v>
          </cell>
          <cell r="Q153"/>
        </row>
        <row r="154">
          <cell r="A154">
            <v>153</v>
          </cell>
          <cell r="I154">
            <v>18</v>
          </cell>
          <cell r="J154">
            <v>110622</v>
          </cell>
          <cell r="O154" t="str">
            <v>On Leave</v>
          </cell>
          <cell r="Q154"/>
        </row>
        <row r="155">
          <cell r="A155">
            <v>154</v>
          </cell>
          <cell r="I155">
            <v>12</v>
          </cell>
          <cell r="J155">
            <v>87422</v>
          </cell>
          <cell r="O155" t="str">
            <v>On Leave</v>
          </cell>
          <cell r="Q155"/>
        </row>
        <row r="156">
          <cell r="A156">
            <v>155</v>
          </cell>
          <cell r="I156">
            <v>14</v>
          </cell>
          <cell r="J156">
            <v>45456</v>
          </cell>
          <cell r="O156" t="str">
            <v>On Leave</v>
          </cell>
          <cell r="Q156"/>
        </row>
        <row r="157">
          <cell r="A157">
            <v>156</v>
          </cell>
          <cell r="I157">
            <v>17</v>
          </cell>
          <cell r="J157">
            <v>52298</v>
          </cell>
          <cell r="O157" t="str">
            <v>On Leave</v>
          </cell>
          <cell r="Q157"/>
        </row>
        <row r="158">
          <cell r="A158">
            <v>157</v>
          </cell>
          <cell r="I158">
            <v>14</v>
          </cell>
          <cell r="J158">
            <v>131252</v>
          </cell>
          <cell r="O158" t="str">
            <v>On Leave</v>
          </cell>
          <cell r="Q158"/>
        </row>
        <row r="159">
          <cell r="A159">
            <v>158</v>
          </cell>
          <cell r="I159">
            <v>20</v>
          </cell>
          <cell r="J159">
            <v>128766</v>
          </cell>
          <cell r="O159" t="str">
            <v>On Leave</v>
          </cell>
          <cell r="Q159"/>
        </row>
        <row r="160">
          <cell r="A160">
            <v>159</v>
          </cell>
          <cell r="I160">
            <v>12</v>
          </cell>
          <cell r="J160">
            <v>138179</v>
          </cell>
          <cell r="O160" t="str">
            <v>On Leave</v>
          </cell>
          <cell r="Q160"/>
        </row>
        <row r="161">
          <cell r="A161">
            <v>160</v>
          </cell>
          <cell r="I161">
            <v>18</v>
          </cell>
          <cell r="J161">
            <v>85012</v>
          </cell>
          <cell r="O161" t="str">
            <v>On Leave</v>
          </cell>
          <cell r="Q161"/>
        </row>
        <row r="162">
          <cell r="A162">
            <v>161</v>
          </cell>
          <cell r="I162">
            <v>20</v>
          </cell>
          <cell r="J162">
            <v>131479</v>
          </cell>
          <cell r="O162" t="str">
            <v>On Leave</v>
          </cell>
          <cell r="Q162"/>
        </row>
        <row r="163">
          <cell r="A163">
            <v>162</v>
          </cell>
          <cell r="I163">
            <v>16</v>
          </cell>
          <cell r="J163">
            <v>103182</v>
          </cell>
          <cell r="O163" t="str">
            <v>On Leave</v>
          </cell>
          <cell r="Q163"/>
        </row>
        <row r="164">
          <cell r="A164">
            <v>163</v>
          </cell>
          <cell r="I164">
            <v>21</v>
          </cell>
          <cell r="J164">
            <v>96996</v>
          </cell>
          <cell r="O164" t="str">
            <v>On Leave</v>
          </cell>
          <cell r="Q164"/>
        </row>
        <row r="165">
          <cell r="A165">
            <v>164</v>
          </cell>
          <cell r="I165">
            <v>13</v>
          </cell>
          <cell r="J165">
            <v>106607</v>
          </cell>
          <cell r="O165" t="str">
            <v>On Leave</v>
          </cell>
          <cell r="Q165"/>
        </row>
        <row r="166">
          <cell r="A166">
            <v>165</v>
          </cell>
          <cell r="I166">
            <v>9</v>
          </cell>
          <cell r="J166">
            <v>130993</v>
          </cell>
          <cell r="O166" t="str">
            <v>On Leave</v>
          </cell>
          <cell r="Q166"/>
        </row>
        <row r="167">
          <cell r="A167">
            <v>166</v>
          </cell>
          <cell r="I167">
            <v>15</v>
          </cell>
          <cell r="J167">
            <v>87097</v>
          </cell>
          <cell r="O167" t="str">
            <v>On Leave</v>
          </cell>
          <cell r="Q167"/>
        </row>
        <row r="168">
          <cell r="A168">
            <v>167</v>
          </cell>
          <cell r="I168">
            <v>8</v>
          </cell>
          <cell r="J168">
            <v>131961</v>
          </cell>
          <cell r="O168" t="str">
            <v>On Leave</v>
          </cell>
          <cell r="Q168"/>
        </row>
        <row r="169">
          <cell r="A169">
            <v>168</v>
          </cell>
          <cell r="I169">
            <v>7</v>
          </cell>
          <cell r="J169">
            <v>88093</v>
          </cell>
          <cell r="O169" t="str">
            <v>On Leave</v>
          </cell>
          <cell r="Q169"/>
        </row>
        <row r="170">
          <cell r="A170">
            <v>169</v>
          </cell>
          <cell r="I170">
            <v>11</v>
          </cell>
          <cell r="J170">
            <v>41898</v>
          </cell>
          <cell r="O170" t="str">
            <v>On Leave</v>
          </cell>
          <cell r="Q170"/>
        </row>
        <row r="171">
          <cell r="A171">
            <v>170</v>
          </cell>
          <cell r="I171">
            <v>17</v>
          </cell>
          <cell r="J171">
            <v>52808</v>
          </cell>
          <cell r="O171" t="str">
            <v>On Leave</v>
          </cell>
          <cell r="Q171"/>
        </row>
        <row r="172">
          <cell r="A172">
            <v>171</v>
          </cell>
          <cell r="I172">
            <v>17</v>
          </cell>
          <cell r="J172">
            <v>110912</v>
          </cell>
          <cell r="O172" t="str">
            <v>On Leave</v>
          </cell>
          <cell r="Q172"/>
        </row>
        <row r="173">
          <cell r="A173">
            <v>172</v>
          </cell>
          <cell r="I173">
            <v>12</v>
          </cell>
          <cell r="J173">
            <v>101520</v>
          </cell>
          <cell r="O173" t="str">
            <v>On Leave</v>
          </cell>
          <cell r="Q173"/>
        </row>
        <row r="174">
          <cell r="A174">
            <v>173</v>
          </cell>
          <cell r="I174">
            <v>16</v>
          </cell>
          <cell r="J174">
            <v>55633</v>
          </cell>
          <cell r="O174" t="str">
            <v>On Leave</v>
          </cell>
          <cell r="Q174"/>
        </row>
        <row r="175">
          <cell r="A175">
            <v>174</v>
          </cell>
          <cell r="I175">
            <v>11</v>
          </cell>
          <cell r="J175">
            <v>91561</v>
          </cell>
          <cell r="O175" t="str">
            <v>On Leave</v>
          </cell>
          <cell r="Q175"/>
        </row>
        <row r="176">
          <cell r="A176">
            <v>175</v>
          </cell>
          <cell r="I176">
            <v>8</v>
          </cell>
          <cell r="J176">
            <v>77307</v>
          </cell>
          <cell r="O176" t="str">
            <v>On Leave</v>
          </cell>
          <cell r="Q176"/>
        </row>
        <row r="177">
          <cell r="A177">
            <v>176</v>
          </cell>
          <cell r="I177">
            <v>9</v>
          </cell>
          <cell r="J177">
            <v>67942</v>
          </cell>
          <cell r="O177" t="str">
            <v>On Leave</v>
          </cell>
          <cell r="Q177"/>
        </row>
        <row r="178">
          <cell r="A178">
            <v>177</v>
          </cell>
          <cell r="I178">
            <v>13</v>
          </cell>
          <cell r="J178">
            <v>80397</v>
          </cell>
          <cell r="O178" t="str">
            <v>On Leave</v>
          </cell>
          <cell r="Q178"/>
        </row>
        <row r="179">
          <cell r="A179">
            <v>178</v>
          </cell>
          <cell r="I179">
            <v>18</v>
          </cell>
          <cell r="J179">
            <v>78157</v>
          </cell>
          <cell r="O179" t="str">
            <v>On Leave</v>
          </cell>
          <cell r="Q179"/>
        </row>
        <row r="180">
          <cell r="A180">
            <v>179</v>
          </cell>
          <cell r="I180">
            <v>17</v>
          </cell>
          <cell r="J180">
            <v>121836</v>
          </cell>
          <cell r="O180" t="str">
            <v>On Leave</v>
          </cell>
          <cell r="Q180"/>
        </row>
        <row r="181">
          <cell r="A181">
            <v>180</v>
          </cell>
          <cell r="I181">
            <v>13</v>
          </cell>
          <cell r="J181">
            <v>76063</v>
          </cell>
          <cell r="O181" t="str">
            <v>On Leave</v>
          </cell>
          <cell r="Q181"/>
        </row>
        <row r="182">
          <cell r="A182">
            <v>181</v>
          </cell>
          <cell r="I182">
            <v>20</v>
          </cell>
          <cell r="J182">
            <v>56923</v>
          </cell>
          <cell r="O182" t="str">
            <v>On Leave</v>
          </cell>
          <cell r="Q182"/>
        </row>
        <row r="183">
          <cell r="A183">
            <v>182</v>
          </cell>
          <cell r="I183">
            <v>12</v>
          </cell>
          <cell r="J183">
            <v>76932</v>
          </cell>
          <cell r="O183" t="str">
            <v>On Leave</v>
          </cell>
          <cell r="Q183"/>
        </row>
        <row r="184">
          <cell r="A184">
            <v>183</v>
          </cell>
          <cell r="I184">
            <v>19</v>
          </cell>
          <cell r="J184">
            <v>64410</v>
          </cell>
          <cell r="O184" t="str">
            <v>On Leave</v>
          </cell>
          <cell r="Q184"/>
        </row>
        <row r="185">
          <cell r="A185">
            <v>184</v>
          </cell>
          <cell r="I185">
            <v>13</v>
          </cell>
          <cell r="J185">
            <v>111873</v>
          </cell>
          <cell r="O185" t="str">
            <v>On Leave</v>
          </cell>
          <cell r="Q185"/>
        </row>
        <row r="186">
          <cell r="A186">
            <v>185</v>
          </cell>
          <cell r="I186">
            <v>20</v>
          </cell>
          <cell r="J186">
            <v>74648</v>
          </cell>
          <cell r="O186" t="str">
            <v>On Leave</v>
          </cell>
          <cell r="Q186"/>
        </row>
        <row r="187">
          <cell r="A187">
            <v>186</v>
          </cell>
          <cell r="I187">
            <v>10</v>
          </cell>
          <cell r="J187">
            <v>144991</v>
          </cell>
          <cell r="O187" t="str">
            <v>On Leave</v>
          </cell>
          <cell r="Q187"/>
        </row>
        <row r="188">
          <cell r="A188">
            <v>187</v>
          </cell>
          <cell r="I188">
            <v>16</v>
          </cell>
          <cell r="J188">
            <v>107407</v>
          </cell>
          <cell r="O188" t="str">
            <v>On Leave</v>
          </cell>
          <cell r="Q188"/>
        </row>
        <row r="189">
          <cell r="A189">
            <v>188</v>
          </cell>
          <cell r="I189">
            <v>9</v>
          </cell>
          <cell r="J189">
            <v>120225</v>
          </cell>
          <cell r="O189" t="str">
            <v>On Leave</v>
          </cell>
          <cell r="Q189"/>
        </row>
        <row r="190">
          <cell r="A190">
            <v>189</v>
          </cell>
          <cell r="I190">
            <v>7</v>
          </cell>
          <cell r="J190">
            <v>122272</v>
          </cell>
          <cell r="O190" t="str">
            <v>On Leave</v>
          </cell>
          <cell r="Q190"/>
        </row>
        <row r="191">
          <cell r="A191">
            <v>190</v>
          </cell>
          <cell r="I191">
            <v>19</v>
          </cell>
          <cell r="J191">
            <v>120577</v>
          </cell>
          <cell r="O191" t="str">
            <v>On Leave</v>
          </cell>
          <cell r="Q191"/>
        </row>
        <row r="192">
          <cell r="A192">
            <v>191</v>
          </cell>
          <cell r="I192">
            <v>13</v>
          </cell>
          <cell r="J192">
            <v>148986</v>
          </cell>
          <cell r="O192" t="str">
            <v>On Leave</v>
          </cell>
          <cell r="Q192"/>
        </row>
        <row r="193">
          <cell r="A193">
            <v>192</v>
          </cell>
          <cell r="I193">
            <v>21</v>
          </cell>
          <cell r="J193">
            <v>101855</v>
          </cell>
          <cell r="O193" t="str">
            <v>On Leave</v>
          </cell>
          <cell r="Q193"/>
        </row>
        <row r="194">
          <cell r="A194">
            <v>193</v>
          </cell>
          <cell r="I194">
            <v>15</v>
          </cell>
          <cell r="J194">
            <v>140850</v>
          </cell>
          <cell r="O194" t="str">
            <v>On Leave</v>
          </cell>
          <cell r="Q194"/>
        </row>
        <row r="195">
          <cell r="A195">
            <v>194</v>
          </cell>
          <cell r="I195">
            <v>15</v>
          </cell>
          <cell r="J195">
            <v>142516</v>
          </cell>
          <cell r="O195" t="str">
            <v>On Leave</v>
          </cell>
          <cell r="Q195"/>
        </row>
        <row r="196">
          <cell r="A196">
            <v>195</v>
          </cell>
          <cell r="I196">
            <v>9</v>
          </cell>
          <cell r="J196">
            <v>48829</v>
          </cell>
          <cell r="O196" t="str">
            <v>On Leave</v>
          </cell>
          <cell r="Q196"/>
        </row>
        <row r="197">
          <cell r="A197">
            <v>196</v>
          </cell>
          <cell r="I197">
            <v>15</v>
          </cell>
          <cell r="J197">
            <v>81270</v>
          </cell>
          <cell r="O197" t="str">
            <v>On Leave</v>
          </cell>
          <cell r="Q197"/>
        </row>
        <row r="198">
          <cell r="A198">
            <v>197</v>
          </cell>
          <cell r="I198">
            <v>10</v>
          </cell>
          <cell r="J198">
            <v>130097</v>
          </cell>
          <cell r="O198" t="str">
            <v>On Leave</v>
          </cell>
          <cell r="Q198"/>
        </row>
        <row r="199">
          <cell r="A199">
            <v>198</v>
          </cell>
          <cell r="I199">
            <v>21</v>
          </cell>
          <cell r="J199">
            <v>117905</v>
          </cell>
          <cell r="O199" t="str">
            <v>On Leave</v>
          </cell>
          <cell r="Q199"/>
        </row>
        <row r="200">
          <cell r="A200">
            <v>199</v>
          </cell>
          <cell r="I200">
            <v>11</v>
          </cell>
          <cell r="J200">
            <v>142483</v>
          </cell>
          <cell r="O200" t="str">
            <v>On Leave</v>
          </cell>
          <cell r="Q200"/>
        </row>
        <row r="201">
          <cell r="A201">
            <v>200</v>
          </cell>
          <cell r="I201">
            <v>17</v>
          </cell>
          <cell r="J201">
            <v>89633</v>
          </cell>
          <cell r="O201" t="str">
            <v>Active</v>
          </cell>
          <cell r="Q201"/>
        </row>
        <row r="202">
          <cell r="A202">
            <v>201</v>
          </cell>
          <cell r="I202">
            <v>12</v>
          </cell>
          <cell r="J202">
            <v>48684</v>
          </cell>
          <cell r="O202" t="str">
            <v>Active</v>
          </cell>
          <cell r="Q202"/>
        </row>
        <row r="203">
          <cell r="A203">
            <v>202</v>
          </cell>
          <cell r="I203">
            <v>17</v>
          </cell>
          <cell r="J203">
            <v>91932</v>
          </cell>
          <cell r="O203" t="str">
            <v>Active</v>
          </cell>
          <cell r="Q203"/>
        </row>
        <row r="204">
          <cell r="A204">
            <v>203</v>
          </cell>
          <cell r="I204">
            <v>16</v>
          </cell>
          <cell r="J204">
            <v>112004</v>
          </cell>
          <cell r="O204" t="str">
            <v>Active</v>
          </cell>
          <cell r="Q204"/>
        </row>
        <row r="205">
          <cell r="A205">
            <v>204</v>
          </cell>
          <cell r="I205">
            <v>21</v>
          </cell>
          <cell r="J205">
            <v>116013</v>
          </cell>
          <cell r="O205" t="str">
            <v>Active</v>
          </cell>
          <cell r="Q205"/>
        </row>
        <row r="206">
          <cell r="A206">
            <v>205</v>
          </cell>
          <cell r="I206">
            <v>13</v>
          </cell>
          <cell r="J206">
            <v>109058</v>
          </cell>
          <cell r="O206" t="str">
            <v>Active</v>
          </cell>
          <cell r="Q206"/>
        </row>
        <row r="207">
          <cell r="A207">
            <v>206</v>
          </cell>
          <cell r="I207">
            <v>9</v>
          </cell>
          <cell r="J207">
            <v>61992</v>
          </cell>
          <cell r="O207" t="str">
            <v>Active</v>
          </cell>
          <cell r="Q207"/>
        </row>
        <row r="208">
          <cell r="A208">
            <v>207</v>
          </cell>
          <cell r="I208">
            <v>13</v>
          </cell>
          <cell r="J208">
            <v>129527</v>
          </cell>
          <cell r="O208" t="str">
            <v>Active</v>
          </cell>
          <cell r="Q208"/>
        </row>
        <row r="209">
          <cell r="A209">
            <v>208</v>
          </cell>
          <cell r="I209">
            <v>20</v>
          </cell>
          <cell r="J209">
            <v>67746</v>
          </cell>
          <cell r="O209" t="str">
            <v>Active</v>
          </cell>
          <cell r="Q209"/>
        </row>
        <row r="210">
          <cell r="A210">
            <v>209</v>
          </cell>
          <cell r="I210">
            <v>11</v>
          </cell>
          <cell r="J210">
            <v>104530</v>
          </cell>
          <cell r="O210" t="str">
            <v>Active</v>
          </cell>
          <cell r="Q210"/>
        </row>
        <row r="211">
          <cell r="A211">
            <v>210</v>
          </cell>
          <cell r="I211">
            <v>13</v>
          </cell>
          <cell r="J211">
            <v>42759</v>
          </cell>
          <cell r="O211" t="str">
            <v>Active</v>
          </cell>
          <cell r="Q211"/>
        </row>
        <row r="212">
          <cell r="A212">
            <v>211</v>
          </cell>
          <cell r="I212">
            <v>10</v>
          </cell>
          <cell r="J212">
            <v>43097</v>
          </cell>
          <cell r="O212" t="str">
            <v>Active</v>
          </cell>
          <cell r="Q212"/>
        </row>
        <row r="213">
          <cell r="A213">
            <v>212</v>
          </cell>
          <cell r="I213">
            <v>16</v>
          </cell>
          <cell r="J213">
            <v>123936</v>
          </cell>
          <cell r="O213" t="str">
            <v>Active</v>
          </cell>
          <cell r="Q213"/>
        </row>
        <row r="214">
          <cell r="A214">
            <v>213</v>
          </cell>
          <cell r="I214">
            <v>15</v>
          </cell>
          <cell r="J214">
            <v>128239</v>
          </cell>
          <cell r="O214" t="str">
            <v>Active</v>
          </cell>
          <cell r="Q214"/>
        </row>
        <row r="215">
          <cell r="A215">
            <v>214</v>
          </cell>
          <cell r="I215">
            <v>18</v>
          </cell>
          <cell r="J215">
            <v>66084</v>
          </cell>
          <cell r="O215" t="str">
            <v>Active</v>
          </cell>
          <cell r="Q215"/>
        </row>
        <row r="216">
          <cell r="A216">
            <v>215</v>
          </cell>
          <cell r="I216">
            <v>12</v>
          </cell>
          <cell r="J216">
            <v>106729</v>
          </cell>
          <cell r="O216" t="str">
            <v>Active</v>
          </cell>
          <cell r="Q216"/>
        </row>
        <row r="217">
          <cell r="A217">
            <v>216</v>
          </cell>
          <cell r="I217">
            <v>12</v>
          </cell>
          <cell r="J217">
            <v>87269</v>
          </cell>
          <cell r="O217" t="str">
            <v>Active</v>
          </cell>
          <cell r="Q217"/>
        </row>
        <row r="218">
          <cell r="A218">
            <v>217</v>
          </cell>
          <cell r="I218">
            <v>17</v>
          </cell>
          <cell r="J218">
            <v>128765</v>
          </cell>
          <cell r="O218" t="str">
            <v>Active</v>
          </cell>
          <cell r="Q218"/>
        </row>
        <row r="219">
          <cell r="A219">
            <v>218</v>
          </cell>
          <cell r="I219">
            <v>18</v>
          </cell>
          <cell r="J219">
            <v>104671</v>
          </cell>
          <cell r="O219" t="str">
            <v>Active</v>
          </cell>
          <cell r="Q219"/>
        </row>
        <row r="220">
          <cell r="A220">
            <v>219</v>
          </cell>
          <cell r="I220">
            <v>10</v>
          </cell>
          <cell r="J220">
            <v>55073</v>
          </cell>
          <cell r="O220" t="str">
            <v>Active</v>
          </cell>
          <cell r="Q220"/>
        </row>
        <row r="221">
          <cell r="A221">
            <v>220</v>
          </cell>
          <cell r="I221">
            <v>14</v>
          </cell>
          <cell r="J221">
            <v>146256</v>
          </cell>
          <cell r="O221" t="str">
            <v>Active</v>
          </cell>
          <cell r="Q221"/>
        </row>
        <row r="222">
          <cell r="A222">
            <v>221</v>
          </cell>
          <cell r="I222">
            <v>16</v>
          </cell>
          <cell r="J222">
            <v>55077</v>
          </cell>
          <cell r="O222" t="str">
            <v>Active</v>
          </cell>
          <cell r="Q222"/>
        </row>
        <row r="223">
          <cell r="A223">
            <v>222</v>
          </cell>
          <cell r="I223">
            <v>10</v>
          </cell>
          <cell r="J223">
            <v>124215</v>
          </cell>
          <cell r="O223" t="str">
            <v>Active</v>
          </cell>
          <cell r="Q223"/>
        </row>
        <row r="224">
          <cell r="A224">
            <v>223</v>
          </cell>
          <cell r="I224">
            <v>13</v>
          </cell>
          <cell r="J224">
            <v>105444</v>
          </cell>
          <cell r="O224" t="str">
            <v>Active</v>
          </cell>
          <cell r="Q224"/>
        </row>
        <row r="225">
          <cell r="A225">
            <v>224</v>
          </cell>
          <cell r="I225">
            <v>11</v>
          </cell>
          <cell r="J225">
            <v>141513</v>
          </cell>
          <cell r="O225" t="str">
            <v>Active</v>
          </cell>
          <cell r="Q225"/>
        </row>
        <row r="226">
          <cell r="A226">
            <v>225</v>
          </cell>
          <cell r="I226">
            <v>13</v>
          </cell>
          <cell r="J226">
            <v>97623</v>
          </cell>
          <cell r="O226" t="str">
            <v>Active</v>
          </cell>
          <cell r="Q226"/>
        </row>
        <row r="227">
          <cell r="A227">
            <v>226</v>
          </cell>
          <cell r="I227">
            <v>16</v>
          </cell>
          <cell r="J227">
            <v>106833</v>
          </cell>
          <cell r="O227" t="str">
            <v>Active</v>
          </cell>
          <cell r="Q227"/>
        </row>
        <row r="228">
          <cell r="A228">
            <v>227</v>
          </cell>
          <cell r="I228">
            <v>15</v>
          </cell>
          <cell r="J228">
            <v>69045</v>
          </cell>
          <cell r="O228" t="str">
            <v>Active</v>
          </cell>
          <cell r="Q228"/>
        </row>
        <row r="229">
          <cell r="A229">
            <v>228</v>
          </cell>
          <cell r="I229">
            <v>13</v>
          </cell>
          <cell r="J229">
            <v>113311</v>
          </cell>
          <cell r="O229" t="str">
            <v>Active</v>
          </cell>
          <cell r="Q229"/>
        </row>
        <row r="230">
          <cell r="A230">
            <v>229</v>
          </cell>
          <cell r="I230">
            <v>8</v>
          </cell>
          <cell r="J230">
            <v>116301</v>
          </cell>
          <cell r="O230" t="str">
            <v>Resigned</v>
          </cell>
          <cell r="Q230"/>
        </row>
        <row r="231">
          <cell r="A231">
            <v>230</v>
          </cell>
          <cell r="I231">
            <v>15</v>
          </cell>
          <cell r="J231">
            <v>138459</v>
          </cell>
          <cell r="O231" t="str">
            <v>Resigned</v>
          </cell>
          <cell r="Q231"/>
        </row>
        <row r="232">
          <cell r="A232">
            <v>231</v>
          </cell>
          <cell r="I232">
            <v>16</v>
          </cell>
          <cell r="J232">
            <v>87800</v>
          </cell>
          <cell r="O232" t="str">
            <v>Resigned</v>
          </cell>
          <cell r="Q232"/>
        </row>
        <row r="233">
          <cell r="A233">
            <v>232</v>
          </cell>
          <cell r="I233">
            <v>21</v>
          </cell>
          <cell r="J233">
            <v>52572</v>
          </cell>
          <cell r="O233" t="str">
            <v>Resigned</v>
          </cell>
          <cell r="Q233"/>
        </row>
        <row r="234">
          <cell r="A234">
            <v>233</v>
          </cell>
          <cell r="I234">
            <v>12</v>
          </cell>
          <cell r="J234">
            <v>44917</v>
          </cell>
          <cell r="O234" t="str">
            <v>Resigned</v>
          </cell>
          <cell r="Q234"/>
        </row>
        <row r="235">
          <cell r="A235">
            <v>234</v>
          </cell>
          <cell r="I235">
            <v>11</v>
          </cell>
          <cell r="J235">
            <v>110896</v>
          </cell>
          <cell r="O235" t="str">
            <v>Resigned</v>
          </cell>
          <cell r="Q235"/>
        </row>
        <row r="236">
          <cell r="A236">
            <v>235</v>
          </cell>
          <cell r="I236">
            <v>20</v>
          </cell>
          <cell r="J236">
            <v>108970</v>
          </cell>
          <cell r="O236" t="str">
            <v>Resigned</v>
          </cell>
          <cell r="Q236"/>
        </row>
        <row r="237">
          <cell r="A237">
            <v>236</v>
          </cell>
          <cell r="I237">
            <v>12</v>
          </cell>
          <cell r="J237">
            <v>83543</v>
          </cell>
          <cell r="O237" t="str">
            <v>Resigned</v>
          </cell>
          <cell r="Q237"/>
        </row>
        <row r="238">
          <cell r="A238">
            <v>237</v>
          </cell>
          <cell r="I238">
            <v>8</v>
          </cell>
          <cell r="J238">
            <v>63598</v>
          </cell>
          <cell r="O238" t="str">
            <v>Active</v>
          </cell>
          <cell r="Q238"/>
        </row>
        <row r="239">
          <cell r="A239">
            <v>238</v>
          </cell>
          <cell r="I239">
            <v>7</v>
          </cell>
          <cell r="J239">
            <v>131274</v>
          </cell>
          <cell r="O239" t="str">
            <v>Active</v>
          </cell>
          <cell r="Q239"/>
        </row>
        <row r="240">
          <cell r="A240">
            <v>239</v>
          </cell>
          <cell r="I240">
            <v>16</v>
          </cell>
          <cell r="J240">
            <v>149085</v>
          </cell>
          <cell r="O240" t="str">
            <v>Active</v>
          </cell>
          <cell r="Q240"/>
        </row>
        <row r="241">
          <cell r="A241">
            <v>240</v>
          </cell>
          <cell r="I241">
            <v>8</v>
          </cell>
          <cell r="J241">
            <v>143223</v>
          </cell>
          <cell r="O241" t="str">
            <v>Active</v>
          </cell>
          <cell r="Q241"/>
        </row>
        <row r="242">
          <cell r="A242">
            <v>241</v>
          </cell>
          <cell r="I242">
            <v>11</v>
          </cell>
          <cell r="J242">
            <v>107207</v>
          </cell>
          <cell r="O242" t="str">
            <v>Active</v>
          </cell>
          <cell r="Q242"/>
        </row>
        <row r="243">
          <cell r="A243">
            <v>242</v>
          </cell>
          <cell r="I243">
            <v>18</v>
          </cell>
          <cell r="J243">
            <v>137594</v>
          </cell>
          <cell r="O243" t="str">
            <v>Active</v>
          </cell>
          <cell r="Q243"/>
        </row>
        <row r="244">
          <cell r="A244">
            <v>243</v>
          </cell>
          <cell r="I244">
            <v>15</v>
          </cell>
          <cell r="J244">
            <v>139845</v>
          </cell>
          <cell r="O244" t="str">
            <v>Active</v>
          </cell>
          <cell r="Q244"/>
        </row>
        <row r="245">
          <cell r="A245">
            <v>244</v>
          </cell>
          <cell r="I245">
            <v>9</v>
          </cell>
          <cell r="J245">
            <v>65563</v>
          </cell>
          <cell r="O245" t="str">
            <v>Active</v>
          </cell>
          <cell r="Q245"/>
        </row>
        <row r="246">
          <cell r="A246">
            <v>245</v>
          </cell>
          <cell r="I246">
            <v>7</v>
          </cell>
          <cell r="J246">
            <v>142988</v>
          </cell>
          <cell r="O246" t="str">
            <v>Active</v>
          </cell>
          <cell r="Q246"/>
        </row>
        <row r="247">
          <cell r="A247">
            <v>246</v>
          </cell>
          <cell r="I247">
            <v>21</v>
          </cell>
          <cell r="J247">
            <v>134074</v>
          </cell>
          <cell r="O247" t="str">
            <v>Active</v>
          </cell>
          <cell r="Q247"/>
        </row>
        <row r="248">
          <cell r="A248">
            <v>247</v>
          </cell>
          <cell r="I248">
            <v>11</v>
          </cell>
          <cell r="J248">
            <v>80654</v>
          </cell>
          <cell r="O248" t="str">
            <v>Active</v>
          </cell>
          <cell r="Q248"/>
        </row>
        <row r="249">
          <cell r="A249">
            <v>248</v>
          </cell>
          <cell r="I249">
            <v>16</v>
          </cell>
          <cell r="J249">
            <v>118834</v>
          </cell>
          <cell r="O249" t="str">
            <v>Active</v>
          </cell>
          <cell r="Q249"/>
        </row>
        <row r="250">
          <cell r="A250">
            <v>249</v>
          </cell>
          <cell r="I250">
            <v>8</v>
          </cell>
          <cell r="J250">
            <v>85559</v>
          </cell>
          <cell r="O250" t="str">
            <v>Active</v>
          </cell>
          <cell r="Q250"/>
        </row>
        <row r="251">
          <cell r="A251">
            <v>250</v>
          </cell>
          <cell r="I251">
            <v>20</v>
          </cell>
          <cell r="J251">
            <v>84049</v>
          </cell>
          <cell r="O251" t="str">
            <v>Active</v>
          </cell>
          <cell r="Q251"/>
        </row>
        <row r="252">
          <cell r="A252">
            <v>251</v>
          </cell>
          <cell r="I252">
            <v>10</v>
          </cell>
          <cell r="J252">
            <v>47439</v>
          </cell>
          <cell r="O252" t="str">
            <v>Active</v>
          </cell>
          <cell r="Q252"/>
        </row>
        <row r="253">
          <cell r="A253">
            <v>252</v>
          </cell>
          <cell r="I253">
            <v>21</v>
          </cell>
          <cell r="J253">
            <v>87072</v>
          </cell>
          <cell r="O253" t="str">
            <v>Active</v>
          </cell>
          <cell r="Q253"/>
        </row>
        <row r="254">
          <cell r="A254">
            <v>253</v>
          </cell>
          <cell r="I254">
            <v>18</v>
          </cell>
          <cell r="J254">
            <v>123401</v>
          </cell>
          <cell r="O254" t="str">
            <v>Active</v>
          </cell>
          <cell r="Q254"/>
        </row>
        <row r="255">
          <cell r="A255">
            <v>254</v>
          </cell>
          <cell r="I255">
            <v>20</v>
          </cell>
          <cell r="J255">
            <v>131681</v>
          </cell>
          <cell r="O255" t="str">
            <v>Active</v>
          </cell>
          <cell r="Q255"/>
        </row>
        <row r="256">
          <cell r="A256">
            <v>255</v>
          </cell>
          <cell r="I256">
            <v>7</v>
          </cell>
          <cell r="J256">
            <v>96118</v>
          </cell>
          <cell r="O256" t="str">
            <v>Resigned</v>
          </cell>
          <cell r="Q256"/>
        </row>
        <row r="257">
          <cell r="A257">
            <v>256</v>
          </cell>
          <cell r="I257">
            <v>15</v>
          </cell>
          <cell r="J257">
            <v>87816</v>
          </cell>
          <cell r="O257" t="str">
            <v>Resigned</v>
          </cell>
          <cell r="Q257"/>
        </row>
        <row r="258">
          <cell r="A258">
            <v>257</v>
          </cell>
          <cell r="I258">
            <v>9</v>
          </cell>
          <cell r="J258">
            <v>83804</v>
          </cell>
          <cell r="O258" t="str">
            <v>Resigned</v>
          </cell>
          <cell r="Q258"/>
        </row>
        <row r="259">
          <cell r="A259">
            <v>258</v>
          </cell>
          <cell r="I259">
            <v>14</v>
          </cell>
          <cell r="J259">
            <v>133612</v>
          </cell>
          <cell r="O259" t="str">
            <v>Resigned</v>
          </cell>
          <cell r="Q259"/>
        </row>
        <row r="260">
          <cell r="A260">
            <v>259</v>
          </cell>
          <cell r="I260">
            <v>11</v>
          </cell>
          <cell r="J260">
            <v>47007</v>
          </cell>
          <cell r="O260" t="str">
            <v>Resigned</v>
          </cell>
          <cell r="Q260"/>
        </row>
        <row r="261">
          <cell r="A261">
            <v>260</v>
          </cell>
          <cell r="I261">
            <v>16</v>
          </cell>
          <cell r="J261">
            <v>142967</v>
          </cell>
          <cell r="O261" t="str">
            <v>Resigned</v>
          </cell>
          <cell r="Q261"/>
        </row>
        <row r="262">
          <cell r="A262">
            <v>261</v>
          </cell>
          <cell r="I262">
            <v>10</v>
          </cell>
          <cell r="J262">
            <v>71433</v>
          </cell>
          <cell r="O262" t="str">
            <v>Active</v>
          </cell>
          <cell r="Q262"/>
        </row>
        <row r="263">
          <cell r="A263">
            <v>262</v>
          </cell>
          <cell r="I263">
            <v>21</v>
          </cell>
          <cell r="J263">
            <v>74191</v>
          </cell>
          <cell r="O263" t="str">
            <v>Active</v>
          </cell>
          <cell r="Q263"/>
        </row>
        <row r="264">
          <cell r="A264">
            <v>263</v>
          </cell>
          <cell r="I264">
            <v>16</v>
          </cell>
          <cell r="J264">
            <v>109004</v>
          </cell>
          <cell r="O264" t="str">
            <v>Active</v>
          </cell>
          <cell r="Q264"/>
        </row>
        <row r="265">
          <cell r="A265">
            <v>264</v>
          </cell>
          <cell r="I265">
            <v>7</v>
          </cell>
          <cell r="J265">
            <v>102211</v>
          </cell>
          <cell r="O265" t="str">
            <v>Active</v>
          </cell>
          <cell r="Q265"/>
        </row>
        <row r="266">
          <cell r="A266">
            <v>265</v>
          </cell>
          <cell r="I266">
            <v>21</v>
          </cell>
          <cell r="J266">
            <v>75862</v>
          </cell>
          <cell r="O266" t="str">
            <v>Active</v>
          </cell>
          <cell r="Q266"/>
        </row>
        <row r="267">
          <cell r="A267">
            <v>266</v>
          </cell>
          <cell r="I267">
            <v>21</v>
          </cell>
          <cell r="J267">
            <v>61446</v>
          </cell>
          <cell r="O267" t="str">
            <v>Active</v>
          </cell>
          <cell r="Q267"/>
        </row>
        <row r="268">
          <cell r="A268">
            <v>267</v>
          </cell>
          <cell r="I268">
            <v>10</v>
          </cell>
          <cell r="J268">
            <v>146432</v>
          </cell>
          <cell r="O268" t="str">
            <v>Active</v>
          </cell>
          <cell r="Q268"/>
        </row>
        <row r="269">
          <cell r="A269">
            <v>268</v>
          </cell>
          <cell r="I269">
            <v>19</v>
          </cell>
          <cell r="J269">
            <v>50623</v>
          </cell>
          <cell r="O269" t="str">
            <v>Active</v>
          </cell>
          <cell r="Q269"/>
        </row>
        <row r="270">
          <cell r="A270">
            <v>269</v>
          </cell>
          <cell r="I270">
            <v>7</v>
          </cell>
          <cell r="J270">
            <v>108248</v>
          </cell>
          <cell r="O270" t="str">
            <v>Active</v>
          </cell>
          <cell r="Q270"/>
        </row>
        <row r="271">
          <cell r="A271">
            <v>270</v>
          </cell>
          <cell r="I271">
            <v>16</v>
          </cell>
          <cell r="J271">
            <v>120875</v>
          </cell>
          <cell r="O271" t="str">
            <v>Active</v>
          </cell>
          <cell r="Q271"/>
        </row>
        <row r="272">
          <cell r="A272">
            <v>271</v>
          </cell>
          <cell r="I272">
            <v>20</v>
          </cell>
          <cell r="J272">
            <v>123843</v>
          </cell>
          <cell r="O272" t="str">
            <v>Active</v>
          </cell>
          <cell r="Q272"/>
        </row>
        <row r="273">
          <cell r="A273">
            <v>272</v>
          </cell>
          <cell r="I273">
            <v>7</v>
          </cell>
          <cell r="J273">
            <v>43940</v>
          </cell>
          <cell r="O273" t="str">
            <v>Active</v>
          </cell>
          <cell r="Q273"/>
        </row>
        <row r="274">
          <cell r="A274">
            <v>273</v>
          </cell>
          <cell r="I274">
            <v>8</v>
          </cell>
          <cell r="J274">
            <v>142840</v>
          </cell>
          <cell r="O274" t="str">
            <v>Active</v>
          </cell>
          <cell r="Q274"/>
        </row>
        <row r="275">
          <cell r="A275">
            <v>274</v>
          </cell>
          <cell r="I275">
            <v>15</v>
          </cell>
          <cell r="J275">
            <v>125713</v>
          </cell>
          <cell r="O275" t="str">
            <v>Active</v>
          </cell>
          <cell r="Q275"/>
        </row>
        <row r="276">
          <cell r="A276">
            <v>275</v>
          </cell>
          <cell r="I276">
            <v>11</v>
          </cell>
          <cell r="J276">
            <v>122219</v>
          </cell>
          <cell r="O276" t="str">
            <v>Active</v>
          </cell>
          <cell r="Q276"/>
        </row>
        <row r="277">
          <cell r="A277">
            <v>276</v>
          </cell>
          <cell r="I277">
            <v>21</v>
          </cell>
          <cell r="J277">
            <v>46259</v>
          </cell>
          <cell r="O277" t="str">
            <v>Active</v>
          </cell>
          <cell r="Q277"/>
        </row>
        <row r="278">
          <cell r="A278">
            <v>277</v>
          </cell>
          <cell r="I278">
            <v>18</v>
          </cell>
          <cell r="J278">
            <v>142403</v>
          </cell>
          <cell r="O278" t="str">
            <v>Active</v>
          </cell>
          <cell r="Q278"/>
        </row>
        <row r="279">
          <cell r="A279">
            <v>278</v>
          </cell>
          <cell r="I279">
            <v>21</v>
          </cell>
          <cell r="J279">
            <v>88165</v>
          </cell>
          <cell r="O279" t="str">
            <v>Active</v>
          </cell>
          <cell r="Q279"/>
        </row>
        <row r="280">
          <cell r="A280">
            <v>279</v>
          </cell>
          <cell r="I280">
            <v>14</v>
          </cell>
          <cell r="J280">
            <v>86291</v>
          </cell>
          <cell r="O280" t="str">
            <v>Active</v>
          </cell>
          <cell r="Q280"/>
        </row>
        <row r="281">
          <cell r="A281">
            <v>280</v>
          </cell>
          <cell r="I281">
            <v>13</v>
          </cell>
          <cell r="J281">
            <v>139163</v>
          </cell>
          <cell r="O281" t="str">
            <v>Active</v>
          </cell>
          <cell r="Q281"/>
        </row>
        <row r="282">
          <cell r="A282">
            <v>281</v>
          </cell>
          <cell r="I282">
            <v>15</v>
          </cell>
          <cell r="J282">
            <v>48892</v>
          </cell>
          <cell r="O282" t="str">
            <v>Active</v>
          </cell>
          <cell r="Q282"/>
        </row>
        <row r="283">
          <cell r="A283">
            <v>282</v>
          </cell>
          <cell r="I283">
            <v>7</v>
          </cell>
          <cell r="J283">
            <v>120540</v>
          </cell>
          <cell r="O283" t="str">
            <v>Active</v>
          </cell>
          <cell r="Q283"/>
        </row>
        <row r="284">
          <cell r="A284">
            <v>283</v>
          </cell>
          <cell r="I284">
            <v>21</v>
          </cell>
          <cell r="J284">
            <v>47450</v>
          </cell>
          <cell r="O284" t="str">
            <v>Active</v>
          </cell>
          <cell r="Q284"/>
        </row>
        <row r="285">
          <cell r="A285">
            <v>284</v>
          </cell>
          <cell r="I285">
            <v>13</v>
          </cell>
          <cell r="J285">
            <v>142255</v>
          </cell>
          <cell r="O285" t="str">
            <v>Active</v>
          </cell>
          <cell r="Q285"/>
        </row>
        <row r="286">
          <cell r="A286">
            <v>285</v>
          </cell>
          <cell r="I286">
            <v>21</v>
          </cell>
          <cell r="J286">
            <v>62441</v>
          </cell>
          <cell r="O286" t="str">
            <v>Active</v>
          </cell>
          <cell r="Q286"/>
        </row>
        <row r="287">
          <cell r="A287">
            <v>286</v>
          </cell>
          <cell r="I287">
            <v>14</v>
          </cell>
          <cell r="J287">
            <v>142529</v>
          </cell>
          <cell r="O287" t="str">
            <v>Active</v>
          </cell>
          <cell r="Q287"/>
        </row>
        <row r="288">
          <cell r="A288">
            <v>287</v>
          </cell>
          <cell r="I288">
            <v>11</v>
          </cell>
          <cell r="J288">
            <v>142103</v>
          </cell>
          <cell r="O288" t="str">
            <v>Active</v>
          </cell>
          <cell r="Q288"/>
        </row>
        <row r="289">
          <cell r="A289">
            <v>288</v>
          </cell>
          <cell r="I289">
            <v>19</v>
          </cell>
          <cell r="J289">
            <v>102395</v>
          </cell>
          <cell r="O289" t="str">
            <v>Active</v>
          </cell>
          <cell r="Q289"/>
        </row>
        <row r="290">
          <cell r="A290">
            <v>289</v>
          </cell>
          <cell r="I290">
            <v>12</v>
          </cell>
          <cell r="J290">
            <v>44593</v>
          </cell>
          <cell r="O290" t="str">
            <v>Active</v>
          </cell>
          <cell r="Q290"/>
        </row>
        <row r="291">
          <cell r="A291">
            <v>290</v>
          </cell>
          <cell r="I291">
            <v>14</v>
          </cell>
          <cell r="J291">
            <v>120800</v>
          </cell>
          <cell r="O291" t="str">
            <v>On Leave</v>
          </cell>
          <cell r="Q291"/>
        </row>
        <row r="292">
          <cell r="A292">
            <v>291</v>
          </cell>
          <cell r="I292">
            <v>18</v>
          </cell>
          <cell r="J292">
            <v>121238</v>
          </cell>
          <cell r="O292" t="str">
            <v>On Leave</v>
          </cell>
          <cell r="Q292"/>
        </row>
        <row r="293">
          <cell r="A293">
            <v>292</v>
          </cell>
          <cell r="I293">
            <v>10</v>
          </cell>
          <cell r="J293">
            <v>91296</v>
          </cell>
          <cell r="O293" t="str">
            <v>On Leave</v>
          </cell>
          <cell r="Q293"/>
        </row>
        <row r="294">
          <cell r="A294">
            <v>293</v>
          </cell>
          <cell r="I294">
            <v>10</v>
          </cell>
          <cell r="J294">
            <v>86070</v>
          </cell>
          <cell r="O294" t="str">
            <v>On Leave</v>
          </cell>
          <cell r="Q294"/>
        </row>
        <row r="295">
          <cell r="A295">
            <v>294</v>
          </cell>
          <cell r="I295">
            <v>12</v>
          </cell>
          <cell r="J295">
            <v>61519</v>
          </cell>
          <cell r="O295" t="str">
            <v>On Leave</v>
          </cell>
          <cell r="Q295"/>
        </row>
        <row r="296">
          <cell r="A296">
            <v>295</v>
          </cell>
          <cell r="I296">
            <v>16</v>
          </cell>
          <cell r="J296">
            <v>47131</v>
          </cell>
          <cell r="O296" t="str">
            <v>On Leave</v>
          </cell>
          <cell r="Q296"/>
        </row>
        <row r="297">
          <cell r="A297">
            <v>296</v>
          </cell>
          <cell r="I297">
            <v>13</v>
          </cell>
          <cell r="J297">
            <v>93962</v>
          </cell>
          <cell r="O297" t="str">
            <v>On Leave</v>
          </cell>
          <cell r="Q297"/>
        </row>
        <row r="298">
          <cell r="A298">
            <v>297</v>
          </cell>
          <cell r="I298">
            <v>7</v>
          </cell>
          <cell r="J298">
            <v>133845</v>
          </cell>
          <cell r="O298" t="str">
            <v>On Leave</v>
          </cell>
          <cell r="Q298"/>
        </row>
        <row r="299">
          <cell r="A299">
            <v>298</v>
          </cell>
          <cell r="I299">
            <v>11</v>
          </cell>
          <cell r="J299">
            <v>43067</v>
          </cell>
          <cell r="O299" t="str">
            <v>On Leave</v>
          </cell>
          <cell r="Q299"/>
        </row>
        <row r="300">
          <cell r="A300">
            <v>299</v>
          </cell>
          <cell r="I300">
            <v>20</v>
          </cell>
          <cell r="J300">
            <v>88972</v>
          </cell>
          <cell r="O300" t="str">
            <v>Active</v>
          </cell>
          <cell r="Q300"/>
        </row>
        <row r="301">
          <cell r="A301">
            <v>300</v>
          </cell>
          <cell r="I301">
            <v>16</v>
          </cell>
          <cell r="J301">
            <v>77635</v>
          </cell>
          <cell r="O301" t="str">
            <v>Active</v>
          </cell>
          <cell r="Q301"/>
        </row>
        <row r="302">
          <cell r="A302">
            <v>301</v>
          </cell>
          <cell r="I302">
            <v>10</v>
          </cell>
          <cell r="J302">
            <v>148993</v>
          </cell>
          <cell r="O302" t="str">
            <v>Active</v>
          </cell>
          <cell r="Q302"/>
        </row>
        <row r="303">
          <cell r="A303">
            <v>302</v>
          </cell>
          <cell r="I303">
            <v>19</v>
          </cell>
          <cell r="J303">
            <v>113599</v>
          </cell>
          <cell r="O303" t="str">
            <v>Active</v>
          </cell>
          <cell r="Q303"/>
        </row>
        <row r="304">
          <cell r="A304">
            <v>303</v>
          </cell>
          <cell r="I304">
            <v>9</v>
          </cell>
          <cell r="J304">
            <v>76943</v>
          </cell>
          <cell r="O304" t="str">
            <v>Active</v>
          </cell>
          <cell r="Q304"/>
        </row>
        <row r="305">
          <cell r="A305">
            <v>304</v>
          </cell>
          <cell r="I305">
            <v>14</v>
          </cell>
          <cell r="J305">
            <v>77486</v>
          </cell>
          <cell r="O305" t="str">
            <v>Active</v>
          </cell>
          <cell r="Q305"/>
        </row>
        <row r="306">
          <cell r="A306">
            <v>305</v>
          </cell>
          <cell r="I306">
            <v>8</v>
          </cell>
          <cell r="J306">
            <v>135001</v>
          </cell>
          <cell r="O306" t="str">
            <v>Active</v>
          </cell>
          <cell r="Q306"/>
        </row>
        <row r="307">
          <cell r="A307">
            <v>306</v>
          </cell>
          <cell r="I307">
            <v>13</v>
          </cell>
          <cell r="J307">
            <v>52171</v>
          </cell>
          <cell r="O307" t="str">
            <v>Active</v>
          </cell>
          <cell r="Q307"/>
        </row>
        <row r="308">
          <cell r="A308">
            <v>307</v>
          </cell>
          <cell r="I308">
            <v>15</v>
          </cell>
          <cell r="J308">
            <v>139302</v>
          </cell>
          <cell r="O308" t="str">
            <v>Active</v>
          </cell>
          <cell r="Q308"/>
        </row>
        <row r="309">
          <cell r="A309">
            <v>308</v>
          </cell>
          <cell r="I309">
            <v>21</v>
          </cell>
          <cell r="J309">
            <v>126683</v>
          </cell>
          <cell r="O309" t="str">
            <v>Active</v>
          </cell>
          <cell r="Q309"/>
        </row>
        <row r="310">
          <cell r="A310">
            <v>309</v>
          </cell>
          <cell r="I310">
            <v>15</v>
          </cell>
          <cell r="J310">
            <v>143781</v>
          </cell>
          <cell r="O310" t="str">
            <v>Active</v>
          </cell>
          <cell r="Q310"/>
        </row>
        <row r="311">
          <cell r="A311">
            <v>310</v>
          </cell>
          <cell r="I311">
            <v>13</v>
          </cell>
          <cell r="J311">
            <v>51761</v>
          </cell>
          <cell r="O311" t="str">
            <v>Active</v>
          </cell>
          <cell r="Q311"/>
        </row>
        <row r="312">
          <cell r="A312">
            <v>311</v>
          </cell>
          <cell r="I312">
            <v>10</v>
          </cell>
          <cell r="J312">
            <v>45463</v>
          </cell>
          <cell r="O312" t="str">
            <v>Active</v>
          </cell>
          <cell r="Q312"/>
        </row>
        <row r="313">
          <cell r="A313">
            <v>312</v>
          </cell>
          <cell r="I313">
            <v>18</v>
          </cell>
          <cell r="J313">
            <v>133498</v>
          </cell>
          <cell r="O313" t="str">
            <v>Active</v>
          </cell>
          <cell r="Q313"/>
        </row>
        <row r="314">
          <cell r="A314">
            <v>313</v>
          </cell>
          <cell r="I314">
            <v>10</v>
          </cell>
          <cell r="J314">
            <v>81273</v>
          </cell>
          <cell r="O314" t="str">
            <v>Active</v>
          </cell>
          <cell r="Q314"/>
        </row>
        <row r="315">
          <cell r="A315">
            <v>314</v>
          </cell>
          <cell r="I315">
            <v>13</v>
          </cell>
          <cell r="J315">
            <v>77921</v>
          </cell>
          <cell r="O315" t="str">
            <v>Active</v>
          </cell>
          <cell r="Q315"/>
        </row>
        <row r="316">
          <cell r="A316">
            <v>315</v>
          </cell>
          <cell r="I316">
            <v>9</v>
          </cell>
          <cell r="J316">
            <v>59580</v>
          </cell>
          <cell r="O316" t="str">
            <v>Active</v>
          </cell>
          <cell r="Q316"/>
        </row>
        <row r="317">
          <cell r="A317">
            <v>316</v>
          </cell>
          <cell r="I317">
            <v>11</v>
          </cell>
          <cell r="J317">
            <v>40418</v>
          </cell>
          <cell r="O317" t="str">
            <v>Active</v>
          </cell>
          <cell r="Q317"/>
        </row>
        <row r="318">
          <cell r="A318">
            <v>317</v>
          </cell>
          <cell r="I318">
            <v>17</v>
          </cell>
          <cell r="J318">
            <v>104844</v>
          </cell>
          <cell r="O318" t="str">
            <v>Active</v>
          </cell>
          <cell r="Q318"/>
        </row>
        <row r="319">
          <cell r="A319">
            <v>318</v>
          </cell>
          <cell r="I319">
            <v>18</v>
          </cell>
          <cell r="J319">
            <v>139304</v>
          </cell>
          <cell r="O319" t="str">
            <v>Active</v>
          </cell>
          <cell r="Q319"/>
        </row>
        <row r="320">
          <cell r="A320">
            <v>319</v>
          </cell>
          <cell r="I320">
            <v>10</v>
          </cell>
          <cell r="J320">
            <v>140996</v>
          </cell>
          <cell r="O320" t="str">
            <v>Active</v>
          </cell>
          <cell r="Q320"/>
        </row>
        <row r="321">
          <cell r="A321">
            <v>320</v>
          </cell>
          <cell r="I321">
            <v>11</v>
          </cell>
          <cell r="J321">
            <v>52430</v>
          </cell>
          <cell r="O321" t="str">
            <v>On Leave</v>
          </cell>
          <cell r="Q321"/>
        </row>
        <row r="322">
          <cell r="A322">
            <v>321</v>
          </cell>
          <cell r="I322">
            <v>20</v>
          </cell>
          <cell r="J322">
            <v>145284</v>
          </cell>
          <cell r="O322" t="str">
            <v>On Leave</v>
          </cell>
          <cell r="Q322"/>
        </row>
        <row r="323">
          <cell r="A323">
            <v>322</v>
          </cell>
          <cell r="I323">
            <v>8</v>
          </cell>
          <cell r="J323">
            <v>66063</v>
          </cell>
          <cell r="O323" t="str">
            <v>On Leave</v>
          </cell>
          <cell r="Q323"/>
        </row>
        <row r="324">
          <cell r="A324">
            <v>323</v>
          </cell>
          <cell r="I324">
            <v>13</v>
          </cell>
          <cell r="J324">
            <v>134422</v>
          </cell>
          <cell r="O324" t="str">
            <v>On Leave</v>
          </cell>
          <cell r="Q324"/>
        </row>
        <row r="325">
          <cell r="A325">
            <v>324</v>
          </cell>
          <cell r="I325">
            <v>9</v>
          </cell>
          <cell r="J325">
            <v>106229</v>
          </cell>
          <cell r="O325" t="str">
            <v>On Leave</v>
          </cell>
          <cell r="Q325"/>
        </row>
        <row r="326">
          <cell r="A326">
            <v>325</v>
          </cell>
          <cell r="I326">
            <v>9</v>
          </cell>
          <cell r="J326">
            <v>107727</v>
          </cell>
          <cell r="O326" t="str">
            <v>On Leave</v>
          </cell>
          <cell r="Q326"/>
        </row>
        <row r="327">
          <cell r="A327">
            <v>326</v>
          </cell>
          <cell r="I327">
            <v>14</v>
          </cell>
          <cell r="J327">
            <v>130188</v>
          </cell>
          <cell r="O327" t="str">
            <v>On Leave</v>
          </cell>
          <cell r="Q327"/>
        </row>
        <row r="328">
          <cell r="A328">
            <v>327</v>
          </cell>
          <cell r="I328">
            <v>19</v>
          </cell>
          <cell r="J328">
            <v>140194</v>
          </cell>
          <cell r="O328" t="str">
            <v>On Leave</v>
          </cell>
          <cell r="Q328"/>
        </row>
        <row r="329">
          <cell r="A329">
            <v>328</v>
          </cell>
          <cell r="I329">
            <v>16</v>
          </cell>
          <cell r="J329">
            <v>58719</v>
          </cell>
          <cell r="O329" t="str">
            <v>On Leave</v>
          </cell>
          <cell r="Q329"/>
        </row>
        <row r="330">
          <cell r="A330">
            <v>329</v>
          </cell>
          <cell r="I330">
            <v>17</v>
          </cell>
          <cell r="J330">
            <v>86803</v>
          </cell>
          <cell r="O330" t="str">
            <v>On Leave</v>
          </cell>
          <cell r="Q330"/>
        </row>
        <row r="331">
          <cell r="A331">
            <v>330</v>
          </cell>
          <cell r="I331">
            <v>11</v>
          </cell>
          <cell r="J331">
            <v>68334</v>
          </cell>
          <cell r="O331" t="str">
            <v>On Leave</v>
          </cell>
          <cell r="Q331"/>
        </row>
        <row r="332">
          <cell r="A332">
            <v>331</v>
          </cell>
          <cell r="I332">
            <v>13</v>
          </cell>
          <cell r="J332">
            <v>91906</v>
          </cell>
          <cell r="O332" t="str">
            <v>Active</v>
          </cell>
          <cell r="Q332"/>
        </row>
        <row r="333">
          <cell r="A333">
            <v>332</v>
          </cell>
          <cell r="I333">
            <v>15</v>
          </cell>
          <cell r="J333">
            <v>48064</v>
          </cell>
          <cell r="O333" t="str">
            <v>Active</v>
          </cell>
          <cell r="Q333"/>
        </row>
        <row r="334">
          <cell r="A334">
            <v>333</v>
          </cell>
          <cell r="I334">
            <v>17</v>
          </cell>
          <cell r="J334">
            <v>75281</v>
          </cell>
          <cell r="O334" t="str">
            <v>Active</v>
          </cell>
          <cell r="Q334"/>
        </row>
        <row r="335">
          <cell r="A335">
            <v>334</v>
          </cell>
          <cell r="I335">
            <v>12</v>
          </cell>
          <cell r="J335">
            <v>91659</v>
          </cell>
          <cell r="O335" t="str">
            <v>Active</v>
          </cell>
          <cell r="Q335"/>
        </row>
        <row r="336">
          <cell r="A336">
            <v>335</v>
          </cell>
          <cell r="I336">
            <v>20</v>
          </cell>
          <cell r="J336">
            <v>52792</v>
          </cell>
          <cell r="O336" t="str">
            <v>Active</v>
          </cell>
          <cell r="Q336"/>
        </row>
        <row r="337">
          <cell r="A337">
            <v>336</v>
          </cell>
          <cell r="I337">
            <v>20</v>
          </cell>
          <cell r="J337">
            <v>40415</v>
          </cell>
          <cell r="O337" t="str">
            <v>Active</v>
          </cell>
          <cell r="Q337"/>
        </row>
        <row r="338">
          <cell r="A338">
            <v>337</v>
          </cell>
          <cell r="I338">
            <v>13</v>
          </cell>
          <cell r="J338">
            <v>83256</v>
          </cell>
          <cell r="O338" t="str">
            <v>Active</v>
          </cell>
          <cell r="Q338"/>
        </row>
        <row r="339">
          <cell r="A339">
            <v>338</v>
          </cell>
          <cell r="I339">
            <v>9</v>
          </cell>
          <cell r="J339">
            <v>145181</v>
          </cell>
          <cell r="O339" t="str">
            <v>Active</v>
          </cell>
          <cell r="Q339"/>
        </row>
        <row r="340">
          <cell r="A340">
            <v>339</v>
          </cell>
          <cell r="I340">
            <v>17</v>
          </cell>
          <cell r="J340">
            <v>78294</v>
          </cell>
          <cell r="O340" t="str">
            <v>Active</v>
          </cell>
          <cell r="Q340"/>
        </row>
        <row r="341">
          <cell r="A341">
            <v>340</v>
          </cell>
          <cell r="I341">
            <v>14</v>
          </cell>
          <cell r="J341">
            <v>90120</v>
          </cell>
          <cell r="O341" t="str">
            <v>Active</v>
          </cell>
          <cell r="Q341"/>
        </row>
        <row r="342">
          <cell r="A342">
            <v>341</v>
          </cell>
          <cell r="I342">
            <v>13</v>
          </cell>
          <cell r="J342">
            <v>80284</v>
          </cell>
          <cell r="O342" t="str">
            <v>Active</v>
          </cell>
          <cell r="Q342"/>
        </row>
        <row r="343">
          <cell r="A343">
            <v>342</v>
          </cell>
          <cell r="I343">
            <v>12</v>
          </cell>
          <cell r="J343">
            <v>85511</v>
          </cell>
          <cell r="O343" t="str">
            <v>Active</v>
          </cell>
          <cell r="Q343"/>
        </row>
        <row r="344">
          <cell r="A344">
            <v>343</v>
          </cell>
          <cell r="I344">
            <v>13</v>
          </cell>
          <cell r="J344">
            <v>40138</v>
          </cell>
          <cell r="O344" t="str">
            <v>Active</v>
          </cell>
          <cell r="Q344"/>
        </row>
        <row r="345">
          <cell r="A345">
            <v>344</v>
          </cell>
          <cell r="I345">
            <v>11</v>
          </cell>
          <cell r="J345">
            <v>42714</v>
          </cell>
          <cell r="O345" t="str">
            <v>Active</v>
          </cell>
          <cell r="Q345"/>
        </row>
        <row r="346">
          <cell r="A346">
            <v>345</v>
          </cell>
          <cell r="I346">
            <v>16</v>
          </cell>
          <cell r="J346">
            <v>65767</v>
          </cell>
          <cell r="O346" t="str">
            <v>Active</v>
          </cell>
          <cell r="Q346"/>
        </row>
        <row r="347">
          <cell r="A347">
            <v>346</v>
          </cell>
          <cell r="I347">
            <v>8</v>
          </cell>
          <cell r="J347">
            <v>149351</v>
          </cell>
          <cell r="O347" t="str">
            <v>Active</v>
          </cell>
          <cell r="Q347"/>
        </row>
        <row r="348">
          <cell r="A348">
            <v>347</v>
          </cell>
          <cell r="I348">
            <v>9</v>
          </cell>
          <cell r="J348">
            <v>88470</v>
          </cell>
          <cell r="O348" t="str">
            <v>Active</v>
          </cell>
          <cell r="Q348"/>
        </row>
        <row r="349">
          <cell r="A349">
            <v>348</v>
          </cell>
          <cell r="I349">
            <v>12</v>
          </cell>
          <cell r="J349">
            <v>90317</v>
          </cell>
          <cell r="O349" t="str">
            <v>Active</v>
          </cell>
          <cell r="Q349"/>
        </row>
        <row r="350">
          <cell r="A350">
            <v>349</v>
          </cell>
          <cell r="I350">
            <v>9</v>
          </cell>
          <cell r="J350">
            <v>142149</v>
          </cell>
          <cell r="O350" t="str">
            <v>Active</v>
          </cell>
          <cell r="Q350"/>
        </row>
        <row r="351">
          <cell r="A351">
            <v>350</v>
          </cell>
          <cell r="I351">
            <v>21</v>
          </cell>
          <cell r="J351">
            <v>144073</v>
          </cell>
          <cell r="O351" t="str">
            <v>Active</v>
          </cell>
          <cell r="Q351"/>
        </row>
        <row r="352">
          <cell r="A352">
            <v>351</v>
          </cell>
          <cell r="I352">
            <v>20</v>
          </cell>
          <cell r="J352">
            <v>54410</v>
          </cell>
          <cell r="O352" t="str">
            <v>Active</v>
          </cell>
          <cell r="Q352"/>
        </row>
        <row r="353">
          <cell r="A353">
            <v>352</v>
          </cell>
          <cell r="I353">
            <v>21</v>
          </cell>
          <cell r="J353">
            <v>107907</v>
          </cell>
          <cell r="O353" t="str">
            <v>Active</v>
          </cell>
          <cell r="Q353"/>
        </row>
        <row r="354">
          <cell r="A354">
            <v>353</v>
          </cell>
          <cell r="I354">
            <v>11</v>
          </cell>
          <cell r="J354">
            <v>91249</v>
          </cell>
          <cell r="O354" t="str">
            <v>Active</v>
          </cell>
          <cell r="Q354"/>
        </row>
        <row r="355">
          <cell r="A355">
            <v>354</v>
          </cell>
          <cell r="I355">
            <v>16</v>
          </cell>
          <cell r="J355">
            <v>78478</v>
          </cell>
          <cell r="O355" t="str">
            <v>Active</v>
          </cell>
          <cell r="Q355"/>
        </row>
        <row r="356">
          <cell r="A356">
            <v>355</v>
          </cell>
          <cell r="I356">
            <v>16</v>
          </cell>
          <cell r="J356">
            <v>48812</v>
          </cell>
          <cell r="O356" t="str">
            <v>Active</v>
          </cell>
          <cell r="Q356"/>
        </row>
        <row r="357">
          <cell r="A357">
            <v>356</v>
          </cell>
          <cell r="I357">
            <v>21</v>
          </cell>
          <cell r="J357">
            <v>147440</v>
          </cell>
          <cell r="O357" t="str">
            <v>Active</v>
          </cell>
          <cell r="Q357"/>
        </row>
        <row r="358">
          <cell r="A358">
            <v>357</v>
          </cell>
          <cell r="I358">
            <v>18</v>
          </cell>
          <cell r="J358">
            <v>87978</v>
          </cell>
          <cell r="O358" t="str">
            <v>Active</v>
          </cell>
          <cell r="Q358"/>
        </row>
        <row r="359">
          <cell r="A359">
            <v>358</v>
          </cell>
          <cell r="I359">
            <v>19</v>
          </cell>
          <cell r="J359">
            <v>67800</v>
          </cell>
          <cell r="O359" t="str">
            <v>Active</v>
          </cell>
          <cell r="Q359"/>
        </row>
        <row r="360">
          <cell r="A360">
            <v>359</v>
          </cell>
          <cell r="I360">
            <v>11</v>
          </cell>
          <cell r="J360">
            <v>42944</v>
          </cell>
          <cell r="O360" t="str">
            <v>Active</v>
          </cell>
          <cell r="Q360"/>
        </row>
        <row r="361">
          <cell r="A361">
            <v>360</v>
          </cell>
          <cell r="I361">
            <v>17</v>
          </cell>
          <cell r="J361">
            <v>84356</v>
          </cell>
          <cell r="O361" t="str">
            <v>Active</v>
          </cell>
          <cell r="Q361"/>
        </row>
        <row r="362">
          <cell r="A362">
            <v>361</v>
          </cell>
          <cell r="I362">
            <v>15</v>
          </cell>
          <cell r="J362">
            <v>144724</v>
          </cell>
          <cell r="O362" t="str">
            <v>Resigned</v>
          </cell>
          <cell r="Q362"/>
        </row>
        <row r="363">
          <cell r="A363">
            <v>362</v>
          </cell>
          <cell r="I363">
            <v>18</v>
          </cell>
          <cell r="J363">
            <v>147290</v>
          </cell>
          <cell r="O363" t="str">
            <v>Resigned</v>
          </cell>
          <cell r="Q363"/>
        </row>
        <row r="364">
          <cell r="A364">
            <v>363</v>
          </cell>
          <cell r="I364">
            <v>20</v>
          </cell>
          <cell r="J364">
            <v>83177</v>
          </cell>
          <cell r="O364" t="str">
            <v>Resigned</v>
          </cell>
          <cell r="Q364"/>
        </row>
        <row r="365">
          <cell r="A365">
            <v>364</v>
          </cell>
          <cell r="I365">
            <v>7</v>
          </cell>
          <cell r="J365">
            <v>83252</v>
          </cell>
          <cell r="O365" t="str">
            <v>Resigned</v>
          </cell>
          <cell r="Q365"/>
        </row>
        <row r="366">
          <cell r="A366">
            <v>365</v>
          </cell>
          <cell r="I366">
            <v>21</v>
          </cell>
          <cell r="J366">
            <v>127393</v>
          </cell>
          <cell r="O366" t="str">
            <v>Resigned</v>
          </cell>
          <cell r="Q366"/>
        </row>
        <row r="367">
          <cell r="A367">
            <v>366</v>
          </cell>
          <cell r="I367">
            <v>15</v>
          </cell>
          <cell r="J367">
            <v>67186</v>
          </cell>
          <cell r="O367" t="str">
            <v>Resigned</v>
          </cell>
          <cell r="Q367"/>
        </row>
        <row r="368">
          <cell r="A368">
            <v>367</v>
          </cell>
          <cell r="I368">
            <v>19</v>
          </cell>
          <cell r="J368">
            <v>102361</v>
          </cell>
          <cell r="O368" t="str">
            <v>Resigned</v>
          </cell>
          <cell r="Q368"/>
        </row>
        <row r="369">
          <cell r="A369">
            <v>368</v>
          </cell>
          <cell r="I369">
            <v>20</v>
          </cell>
          <cell r="J369">
            <v>60688</v>
          </cell>
          <cell r="O369" t="str">
            <v>Resigned</v>
          </cell>
          <cell r="Q369"/>
        </row>
        <row r="370">
          <cell r="A370">
            <v>369</v>
          </cell>
          <cell r="I370">
            <v>8</v>
          </cell>
          <cell r="J370">
            <v>44704</v>
          </cell>
          <cell r="O370" t="str">
            <v>Resigned</v>
          </cell>
          <cell r="Q370"/>
        </row>
        <row r="371">
          <cell r="A371">
            <v>370</v>
          </cell>
          <cell r="I371">
            <v>19</v>
          </cell>
          <cell r="J371">
            <v>110627</v>
          </cell>
          <cell r="O371" t="str">
            <v>Resigned</v>
          </cell>
          <cell r="Q371"/>
        </row>
        <row r="372">
          <cell r="A372">
            <v>371</v>
          </cell>
          <cell r="I372">
            <v>21</v>
          </cell>
          <cell r="J372">
            <v>127223</v>
          </cell>
          <cell r="O372" t="str">
            <v>Resigned</v>
          </cell>
          <cell r="Q372"/>
        </row>
        <row r="373">
          <cell r="A373">
            <v>372</v>
          </cell>
          <cell r="I373">
            <v>20</v>
          </cell>
          <cell r="J373">
            <v>96163</v>
          </cell>
          <cell r="O373" t="str">
            <v>Resigned</v>
          </cell>
          <cell r="Q373"/>
        </row>
        <row r="374">
          <cell r="A374">
            <v>373</v>
          </cell>
          <cell r="I374">
            <v>9</v>
          </cell>
          <cell r="J374">
            <v>86524</v>
          </cell>
          <cell r="O374" t="str">
            <v>Resigned</v>
          </cell>
          <cell r="Q374"/>
        </row>
        <row r="375">
          <cell r="A375">
            <v>374</v>
          </cell>
          <cell r="I375">
            <v>16</v>
          </cell>
          <cell r="J375">
            <v>141464</v>
          </cell>
          <cell r="O375" t="str">
            <v>Active</v>
          </cell>
          <cell r="Q375"/>
        </row>
        <row r="376">
          <cell r="A376">
            <v>375</v>
          </cell>
          <cell r="I376">
            <v>7</v>
          </cell>
          <cell r="J376">
            <v>88029</v>
          </cell>
          <cell r="O376" t="str">
            <v>Active</v>
          </cell>
          <cell r="Q376"/>
        </row>
        <row r="377">
          <cell r="A377">
            <v>376</v>
          </cell>
          <cell r="I377">
            <v>14</v>
          </cell>
          <cell r="J377">
            <v>47281</v>
          </cell>
          <cell r="O377" t="str">
            <v>Active</v>
          </cell>
          <cell r="Q377"/>
        </row>
        <row r="378">
          <cell r="A378">
            <v>377</v>
          </cell>
          <cell r="I378">
            <v>19</v>
          </cell>
          <cell r="J378">
            <v>93245</v>
          </cell>
          <cell r="O378" t="str">
            <v>Active</v>
          </cell>
          <cell r="Q378"/>
        </row>
        <row r="379">
          <cell r="A379">
            <v>378</v>
          </cell>
          <cell r="I379">
            <v>9</v>
          </cell>
          <cell r="J379">
            <v>110589</v>
          </cell>
          <cell r="O379" t="str">
            <v>Active</v>
          </cell>
          <cell r="Q379"/>
        </row>
        <row r="380">
          <cell r="A380">
            <v>379</v>
          </cell>
          <cell r="I380">
            <v>18</v>
          </cell>
          <cell r="J380">
            <v>63735</v>
          </cell>
          <cell r="O380" t="str">
            <v>Active</v>
          </cell>
          <cell r="Q380"/>
        </row>
        <row r="381">
          <cell r="A381">
            <v>380</v>
          </cell>
          <cell r="I381">
            <v>8</v>
          </cell>
          <cell r="J381">
            <v>91182</v>
          </cell>
          <cell r="O381" t="str">
            <v>Active</v>
          </cell>
          <cell r="Q381"/>
        </row>
        <row r="382">
          <cell r="A382">
            <v>381</v>
          </cell>
          <cell r="I382">
            <v>9</v>
          </cell>
          <cell r="J382">
            <v>133007</v>
          </cell>
          <cell r="O382" t="str">
            <v>Active</v>
          </cell>
          <cell r="Q382"/>
        </row>
        <row r="383">
          <cell r="A383">
            <v>382</v>
          </cell>
          <cell r="I383">
            <v>9</v>
          </cell>
          <cell r="J383">
            <v>92879</v>
          </cell>
          <cell r="O383" t="str">
            <v>Active</v>
          </cell>
          <cell r="Q383"/>
        </row>
        <row r="384">
          <cell r="A384">
            <v>383</v>
          </cell>
          <cell r="I384">
            <v>19</v>
          </cell>
          <cell r="J384">
            <v>104079</v>
          </cell>
          <cell r="O384" t="str">
            <v>Active</v>
          </cell>
          <cell r="Q384"/>
        </row>
        <row r="385">
          <cell r="A385">
            <v>384</v>
          </cell>
          <cell r="I385">
            <v>16</v>
          </cell>
          <cell r="J385">
            <v>63918</v>
          </cell>
          <cell r="O385" t="str">
            <v>Active</v>
          </cell>
          <cell r="Q385"/>
        </row>
        <row r="386">
          <cell r="A386">
            <v>385</v>
          </cell>
          <cell r="I386">
            <v>10</v>
          </cell>
          <cell r="J386">
            <v>128885</v>
          </cell>
          <cell r="O386" t="str">
            <v>Active</v>
          </cell>
          <cell r="Q386"/>
        </row>
        <row r="387">
          <cell r="A387">
            <v>386</v>
          </cell>
          <cell r="I387">
            <v>10</v>
          </cell>
          <cell r="J387">
            <v>140567</v>
          </cell>
          <cell r="O387" t="str">
            <v>Active</v>
          </cell>
          <cell r="Q387"/>
        </row>
        <row r="388">
          <cell r="A388">
            <v>387</v>
          </cell>
          <cell r="I388">
            <v>18</v>
          </cell>
          <cell r="J388">
            <v>95726</v>
          </cell>
          <cell r="O388" t="str">
            <v>Active</v>
          </cell>
          <cell r="Q388"/>
        </row>
        <row r="389">
          <cell r="A389">
            <v>388</v>
          </cell>
          <cell r="I389">
            <v>13</v>
          </cell>
          <cell r="J389">
            <v>84261</v>
          </cell>
          <cell r="O389" t="str">
            <v>Active</v>
          </cell>
          <cell r="Q389"/>
        </row>
        <row r="390">
          <cell r="A390">
            <v>389</v>
          </cell>
          <cell r="I390">
            <v>8</v>
          </cell>
          <cell r="J390">
            <v>42924</v>
          </cell>
          <cell r="O390" t="str">
            <v>Active</v>
          </cell>
          <cell r="Q390"/>
        </row>
        <row r="391">
          <cell r="A391">
            <v>390</v>
          </cell>
          <cell r="I391">
            <v>13</v>
          </cell>
          <cell r="J391">
            <v>86670</v>
          </cell>
          <cell r="O391" t="str">
            <v>Active</v>
          </cell>
          <cell r="Q391"/>
        </row>
        <row r="392">
          <cell r="A392">
            <v>391</v>
          </cell>
          <cell r="I392">
            <v>18</v>
          </cell>
          <cell r="J392">
            <v>147702</v>
          </cell>
          <cell r="O392" t="str">
            <v>Active</v>
          </cell>
          <cell r="Q392"/>
        </row>
        <row r="393">
          <cell r="A393">
            <v>392</v>
          </cell>
          <cell r="I393">
            <v>8</v>
          </cell>
          <cell r="J393">
            <v>132470</v>
          </cell>
          <cell r="O393" t="str">
            <v>Active</v>
          </cell>
          <cell r="Q393"/>
        </row>
        <row r="394">
          <cell r="A394">
            <v>393</v>
          </cell>
          <cell r="I394">
            <v>21</v>
          </cell>
          <cell r="J394">
            <v>63341</v>
          </cell>
          <cell r="O394" t="str">
            <v>Active</v>
          </cell>
          <cell r="Q394"/>
        </row>
        <row r="395">
          <cell r="A395">
            <v>394</v>
          </cell>
          <cell r="I395">
            <v>19</v>
          </cell>
          <cell r="J395">
            <v>91651</v>
          </cell>
          <cell r="O395" t="str">
            <v>Active</v>
          </cell>
          <cell r="Q395"/>
        </row>
        <row r="396">
          <cell r="A396">
            <v>395</v>
          </cell>
          <cell r="I396">
            <v>8</v>
          </cell>
          <cell r="J396">
            <v>48927</v>
          </cell>
          <cell r="O396" t="str">
            <v>Active</v>
          </cell>
          <cell r="Q396"/>
        </row>
        <row r="397">
          <cell r="A397">
            <v>396</v>
          </cell>
          <cell r="I397">
            <v>8</v>
          </cell>
          <cell r="J397">
            <v>143433</v>
          </cell>
          <cell r="O397" t="str">
            <v>Active</v>
          </cell>
          <cell r="Q397"/>
        </row>
        <row r="398">
          <cell r="A398">
            <v>397</v>
          </cell>
          <cell r="I398">
            <v>15</v>
          </cell>
          <cell r="J398">
            <v>81998</v>
          </cell>
          <cell r="O398" t="str">
            <v>Active</v>
          </cell>
          <cell r="Q398"/>
        </row>
        <row r="399">
          <cell r="A399">
            <v>398</v>
          </cell>
          <cell r="I399">
            <v>20</v>
          </cell>
          <cell r="J399">
            <v>68584</v>
          </cell>
          <cell r="O399" t="str">
            <v>Active</v>
          </cell>
          <cell r="Q399"/>
        </row>
        <row r="400">
          <cell r="A400">
            <v>399</v>
          </cell>
          <cell r="I400">
            <v>12</v>
          </cell>
          <cell r="J400">
            <v>88216</v>
          </cell>
          <cell r="O400" t="str">
            <v>Active</v>
          </cell>
          <cell r="Q400"/>
        </row>
        <row r="401">
          <cell r="A401">
            <v>400</v>
          </cell>
          <cell r="I401">
            <v>10</v>
          </cell>
          <cell r="J401">
            <v>86046</v>
          </cell>
          <cell r="O401" t="str">
            <v>Active</v>
          </cell>
          <cell r="Q401"/>
        </row>
        <row r="402">
          <cell r="A402">
            <v>401</v>
          </cell>
          <cell r="I402">
            <v>13</v>
          </cell>
          <cell r="J402">
            <v>148906</v>
          </cell>
          <cell r="O402" t="str">
            <v>Active</v>
          </cell>
          <cell r="Q402"/>
        </row>
        <row r="403">
          <cell r="A403">
            <v>402</v>
          </cell>
          <cell r="I403">
            <v>14</v>
          </cell>
          <cell r="J403">
            <v>93266</v>
          </cell>
          <cell r="O403" t="str">
            <v>Active</v>
          </cell>
          <cell r="Q403"/>
        </row>
        <row r="404">
          <cell r="A404">
            <v>403</v>
          </cell>
          <cell r="I404">
            <v>19</v>
          </cell>
          <cell r="J404">
            <v>69702</v>
          </cell>
          <cell r="O404" t="str">
            <v>Active</v>
          </cell>
          <cell r="Q404"/>
        </row>
        <row r="405">
          <cell r="A405">
            <v>404</v>
          </cell>
          <cell r="I405">
            <v>11</v>
          </cell>
          <cell r="J405">
            <v>43366</v>
          </cell>
          <cell r="O405" t="str">
            <v>Active</v>
          </cell>
          <cell r="Q405"/>
        </row>
        <row r="406">
          <cell r="A406">
            <v>405</v>
          </cell>
          <cell r="I406">
            <v>16</v>
          </cell>
          <cell r="J406">
            <v>101945</v>
          </cell>
          <cell r="O406" t="str">
            <v>Active</v>
          </cell>
          <cell r="Q406"/>
        </row>
        <row r="407">
          <cell r="A407">
            <v>406</v>
          </cell>
          <cell r="I407">
            <v>18</v>
          </cell>
          <cell r="J407">
            <v>54007</v>
          </cell>
          <cell r="O407" t="str">
            <v>Active</v>
          </cell>
          <cell r="Q407"/>
        </row>
        <row r="408">
          <cell r="A408">
            <v>407</v>
          </cell>
          <cell r="I408">
            <v>8</v>
          </cell>
          <cell r="J408">
            <v>54704</v>
          </cell>
          <cell r="O408" t="str">
            <v>Active</v>
          </cell>
          <cell r="Q408"/>
        </row>
        <row r="409">
          <cell r="A409">
            <v>408</v>
          </cell>
          <cell r="I409">
            <v>14</v>
          </cell>
          <cell r="J409">
            <v>93954</v>
          </cell>
          <cell r="O409" t="str">
            <v>Active</v>
          </cell>
          <cell r="Q409"/>
        </row>
        <row r="410">
          <cell r="A410">
            <v>409</v>
          </cell>
          <cell r="I410">
            <v>14</v>
          </cell>
          <cell r="J410">
            <v>58235</v>
          </cell>
          <cell r="O410" t="str">
            <v>Active</v>
          </cell>
          <cell r="Q410"/>
        </row>
        <row r="411">
          <cell r="A411">
            <v>410</v>
          </cell>
          <cell r="I411">
            <v>9</v>
          </cell>
          <cell r="J411">
            <v>148940</v>
          </cell>
          <cell r="O411" t="str">
            <v>Active</v>
          </cell>
          <cell r="Q411"/>
        </row>
        <row r="412">
          <cell r="A412">
            <v>411</v>
          </cell>
          <cell r="I412">
            <v>18</v>
          </cell>
          <cell r="J412">
            <v>110615</v>
          </cell>
          <cell r="O412" t="str">
            <v>Active</v>
          </cell>
          <cell r="Q412"/>
        </row>
        <row r="413">
          <cell r="A413">
            <v>412</v>
          </cell>
          <cell r="I413">
            <v>9</v>
          </cell>
          <cell r="J413">
            <v>94596</v>
          </cell>
          <cell r="O413" t="str">
            <v>Active</v>
          </cell>
          <cell r="Q413"/>
        </row>
        <row r="414">
          <cell r="A414">
            <v>413</v>
          </cell>
          <cell r="I414">
            <v>13</v>
          </cell>
          <cell r="J414">
            <v>94502</v>
          </cell>
          <cell r="O414" t="str">
            <v>Active</v>
          </cell>
          <cell r="Q414"/>
        </row>
        <row r="415">
          <cell r="A415">
            <v>414</v>
          </cell>
          <cell r="I415">
            <v>10</v>
          </cell>
          <cell r="J415">
            <v>72505</v>
          </cell>
          <cell r="O415" t="str">
            <v>Active</v>
          </cell>
          <cell r="Q415"/>
        </row>
        <row r="416">
          <cell r="A416">
            <v>415</v>
          </cell>
          <cell r="I416">
            <v>20</v>
          </cell>
          <cell r="J416">
            <v>147150</v>
          </cell>
          <cell r="O416" t="str">
            <v>Active</v>
          </cell>
          <cell r="Q416"/>
        </row>
        <row r="417">
          <cell r="A417">
            <v>416</v>
          </cell>
          <cell r="I417">
            <v>19</v>
          </cell>
          <cell r="J417">
            <v>66313</v>
          </cell>
          <cell r="O417" t="str">
            <v>Active</v>
          </cell>
          <cell r="Q417"/>
        </row>
        <row r="418">
          <cell r="A418">
            <v>417</v>
          </cell>
          <cell r="I418">
            <v>19</v>
          </cell>
          <cell r="J418">
            <v>97372</v>
          </cell>
          <cell r="O418" t="str">
            <v>Active</v>
          </cell>
          <cell r="Q418"/>
        </row>
        <row r="419">
          <cell r="A419">
            <v>418</v>
          </cell>
          <cell r="I419">
            <v>8</v>
          </cell>
          <cell r="J419">
            <v>149598</v>
          </cell>
          <cell r="O419" t="str">
            <v>Active</v>
          </cell>
          <cell r="Q419"/>
        </row>
        <row r="420">
          <cell r="A420">
            <v>419</v>
          </cell>
          <cell r="I420">
            <v>13</v>
          </cell>
          <cell r="J420">
            <v>104224</v>
          </cell>
          <cell r="O420" t="str">
            <v>Active</v>
          </cell>
          <cell r="Q420"/>
        </row>
        <row r="421">
          <cell r="A421">
            <v>420</v>
          </cell>
          <cell r="I421">
            <v>14</v>
          </cell>
          <cell r="J421">
            <v>95583</v>
          </cell>
          <cell r="O421" t="str">
            <v>Active</v>
          </cell>
          <cell r="Q421"/>
        </row>
        <row r="422">
          <cell r="A422">
            <v>421</v>
          </cell>
          <cell r="I422">
            <v>20</v>
          </cell>
          <cell r="J422">
            <v>92043</v>
          </cell>
          <cell r="O422" t="str">
            <v>Active</v>
          </cell>
          <cell r="Q422"/>
        </row>
        <row r="423">
          <cell r="A423">
            <v>422</v>
          </cell>
          <cell r="I423">
            <v>12</v>
          </cell>
          <cell r="J423">
            <v>118307</v>
          </cell>
          <cell r="O423" t="str">
            <v>Active</v>
          </cell>
          <cell r="Q423"/>
        </row>
        <row r="424">
          <cell r="A424">
            <v>423</v>
          </cell>
          <cell r="I424">
            <v>10</v>
          </cell>
          <cell r="J424">
            <v>145281</v>
          </cell>
          <cell r="O424" t="str">
            <v>Active</v>
          </cell>
          <cell r="Q424"/>
        </row>
        <row r="425">
          <cell r="A425">
            <v>424</v>
          </cell>
          <cell r="I425">
            <v>8</v>
          </cell>
          <cell r="J425">
            <v>148640</v>
          </cell>
          <cell r="O425" t="str">
            <v>Active</v>
          </cell>
          <cell r="Q425"/>
        </row>
        <row r="426">
          <cell r="A426">
            <v>425</v>
          </cell>
          <cell r="I426">
            <v>21</v>
          </cell>
          <cell r="J426">
            <v>125523</v>
          </cell>
          <cell r="O426" t="str">
            <v>Active</v>
          </cell>
          <cell r="Q426"/>
        </row>
        <row r="427">
          <cell r="A427">
            <v>426</v>
          </cell>
          <cell r="I427">
            <v>12</v>
          </cell>
          <cell r="J427">
            <v>49503</v>
          </cell>
          <cell r="O427" t="str">
            <v>Active</v>
          </cell>
          <cell r="Q427"/>
        </row>
        <row r="428">
          <cell r="A428">
            <v>427</v>
          </cell>
          <cell r="I428">
            <v>21</v>
          </cell>
          <cell r="J428">
            <v>146611</v>
          </cell>
          <cell r="O428" t="str">
            <v>Active</v>
          </cell>
          <cell r="Q428"/>
        </row>
        <row r="429">
          <cell r="A429">
            <v>428</v>
          </cell>
          <cell r="I429">
            <v>9</v>
          </cell>
          <cell r="J429">
            <v>125465</v>
          </cell>
          <cell r="O429" t="str">
            <v>Active</v>
          </cell>
          <cell r="Q429"/>
        </row>
        <row r="430">
          <cell r="A430">
            <v>429</v>
          </cell>
          <cell r="I430">
            <v>18</v>
          </cell>
          <cell r="J430">
            <v>75024</v>
          </cell>
          <cell r="O430" t="str">
            <v>Active</v>
          </cell>
          <cell r="Q430"/>
        </row>
        <row r="431">
          <cell r="A431">
            <v>430</v>
          </cell>
          <cell r="I431">
            <v>10</v>
          </cell>
          <cell r="J431">
            <v>60793</v>
          </cell>
          <cell r="O431" t="str">
            <v>Active</v>
          </cell>
          <cell r="Q431"/>
        </row>
        <row r="432">
          <cell r="A432">
            <v>431</v>
          </cell>
          <cell r="I432">
            <v>11</v>
          </cell>
          <cell r="J432">
            <v>110744</v>
          </cell>
          <cell r="O432" t="str">
            <v>Active</v>
          </cell>
          <cell r="Q432"/>
        </row>
        <row r="433">
          <cell r="A433">
            <v>432</v>
          </cell>
          <cell r="I433">
            <v>15</v>
          </cell>
          <cell r="J433">
            <v>46653</v>
          </cell>
          <cell r="O433" t="str">
            <v>Active</v>
          </cell>
          <cell r="Q433"/>
        </row>
        <row r="434">
          <cell r="A434">
            <v>433</v>
          </cell>
          <cell r="I434">
            <v>7</v>
          </cell>
          <cell r="J434">
            <v>114919</v>
          </cell>
          <cell r="O434" t="str">
            <v>Active</v>
          </cell>
          <cell r="Q434"/>
        </row>
        <row r="435">
          <cell r="A435">
            <v>434</v>
          </cell>
          <cell r="I435">
            <v>21</v>
          </cell>
          <cell r="J435">
            <v>98733</v>
          </cell>
          <cell r="O435" t="str">
            <v>Active</v>
          </cell>
          <cell r="Q435"/>
        </row>
        <row r="436">
          <cell r="A436">
            <v>435</v>
          </cell>
          <cell r="I436">
            <v>13</v>
          </cell>
          <cell r="J436">
            <v>139775</v>
          </cell>
          <cell r="O436" t="str">
            <v>Active</v>
          </cell>
          <cell r="Q436"/>
        </row>
        <row r="437">
          <cell r="A437">
            <v>436</v>
          </cell>
          <cell r="I437">
            <v>16</v>
          </cell>
          <cell r="J437">
            <v>69559</v>
          </cell>
          <cell r="O437" t="str">
            <v>Active</v>
          </cell>
          <cell r="Q437"/>
        </row>
        <row r="438">
          <cell r="A438">
            <v>437</v>
          </cell>
          <cell r="I438">
            <v>14</v>
          </cell>
          <cell r="J438">
            <v>48934</v>
          </cell>
          <cell r="O438" t="str">
            <v>Active</v>
          </cell>
          <cell r="Q438"/>
        </row>
        <row r="439">
          <cell r="A439">
            <v>438</v>
          </cell>
          <cell r="I439">
            <v>7</v>
          </cell>
          <cell r="J439">
            <v>79980</v>
          </cell>
          <cell r="O439" t="str">
            <v>Active</v>
          </cell>
          <cell r="Q439"/>
        </row>
        <row r="440">
          <cell r="A440">
            <v>439</v>
          </cell>
          <cell r="I440">
            <v>19</v>
          </cell>
          <cell r="J440">
            <v>108854</v>
          </cell>
          <cell r="O440" t="str">
            <v>Active</v>
          </cell>
          <cell r="Q440"/>
        </row>
        <row r="441">
          <cell r="A441">
            <v>440</v>
          </cell>
          <cell r="I441">
            <v>14</v>
          </cell>
          <cell r="J441">
            <v>128105</v>
          </cell>
          <cell r="O441" t="str">
            <v>Active</v>
          </cell>
          <cell r="Q441"/>
        </row>
        <row r="442">
          <cell r="A442">
            <v>441</v>
          </cell>
          <cell r="I442">
            <v>13</v>
          </cell>
          <cell r="J442">
            <v>71676</v>
          </cell>
          <cell r="O442" t="str">
            <v>Active</v>
          </cell>
          <cell r="Q442"/>
        </row>
        <row r="443">
          <cell r="A443">
            <v>442</v>
          </cell>
          <cell r="I443">
            <v>14</v>
          </cell>
          <cell r="J443">
            <v>139347</v>
          </cell>
          <cell r="O443" t="str">
            <v>Active</v>
          </cell>
          <cell r="Q443"/>
        </row>
        <row r="444">
          <cell r="A444">
            <v>443</v>
          </cell>
          <cell r="I444">
            <v>19</v>
          </cell>
          <cell r="J444">
            <v>80491</v>
          </cell>
          <cell r="O444" t="str">
            <v>Active</v>
          </cell>
          <cell r="Q444"/>
        </row>
        <row r="445">
          <cell r="A445">
            <v>444</v>
          </cell>
          <cell r="I445">
            <v>11</v>
          </cell>
          <cell r="J445">
            <v>119385</v>
          </cell>
          <cell r="O445" t="str">
            <v>Active</v>
          </cell>
          <cell r="Q445"/>
        </row>
        <row r="446">
          <cell r="A446">
            <v>445</v>
          </cell>
          <cell r="I446">
            <v>19</v>
          </cell>
          <cell r="J446">
            <v>149835</v>
          </cell>
          <cell r="O446" t="str">
            <v>Active</v>
          </cell>
          <cell r="Q446"/>
        </row>
        <row r="447">
          <cell r="A447">
            <v>446</v>
          </cell>
          <cell r="I447">
            <v>13</v>
          </cell>
          <cell r="J447">
            <v>80137</v>
          </cell>
          <cell r="O447" t="str">
            <v>Active</v>
          </cell>
          <cell r="Q447"/>
        </row>
        <row r="448">
          <cell r="A448">
            <v>447</v>
          </cell>
          <cell r="I448">
            <v>21</v>
          </cell>
          <cell r="J448">
            <v>79724</v>
          </cell>
          <cell r="O448" t="str">
            <v>Active</v>
          </cell>
          <cell r="Q448"/>
        </row>
        <row r="449">
          <cell r="A449">
            <v>448</v>
          </cell>
          <cell r="I449">
            <v>12</v>
          </cell>
          <cell r="J449">
            <v>102458</v>
          </cell>
          <cell r="O449" t="str">
            <v>Active</v>
          </cell>
          <cell r="Q449"/>
        </row>
        <row r="450">
          <cell r="A450">
            <v>449</v>
          </cell>
          <cell r="I450">
            <v>7</v>
          </cell>
          <cell r="J450">
            <v>134205</v>
          </cell>
          <cell r="O450" t="str">
            <v>Active</v>
          </cell>
          <cell r="Q450"/>
        </row>
        <row r="451">
          <cell r="A451">
            <v>450</v>
          </cell>
          <cell r="I451">
            <v>17</v>
          </cell>
          <cell r="J451">
            <v>76052</v>
          </cell>
          <cell r="O451" t="str">
            <v>Active</v>
          </cell>
          <cell r="Q451"/>
        </row>
        <row r="452">
          <cell r="A452">
            <v>451</v>
          </cell>
          <cell r="I452">
            <v>17</v>
          </cell>
          <cell r="J452">
            <v>144608</v>
          </cell>
          <cell r="O452" t="str">
            <v>Active</v>
          </cell>
          <cell r="Q452"/>
        </row>
        <row r="453">
          <cell r="A453">
            <v>452</v>
          </cell>
          <cell r="I453">
            <v>21</v>
          </cell>
          <cell r="J453">
            <v>111072</v>
          </cell>
          <cell r="O453" t="str">
            <v>Active</v>
          </cell>
          <cell r="Q453"/>
        </row>
        <row r="454">
          <cell r="A454">
            <v>453</v>
          </cell>
          <cell r="I454">
            <v>11</v>
          </cell>
          <cell r="J454">
            <v>126485</v>
          </cell>
          <cell r="O454" t="str">
            <v>Active</v>
          </cell>
          <cell r="Q454"/>
        </row>
        <row r="455">
          <cell r="A455">
            <v>454</v>
          </cell>
          <cell r="I455">
            <v>15</v>
          </cell>
          <cell r="J455">
            <v>96388</v>
          </cell>
          <cell r="O455" t="str">
            <v>Active</v>
          </cell>
          <cell r="Q455"/>
        </row>
        <row r="456">
          <cell r="A456">
            <v>455</v>
          </cell>
          <cell r="I456">
            <v>19</v>
          </cell>
          <cell r="J456">
            <v>115506</v>
          </cell>
          <cell r="O456" t="str">
            <v>Active</v>
          </cell>
          <cell r="Q456"/>
        </row>
        <row r="457">
          <cell r="A457">
            <v>456</v>
          </cell>
          <cell r="I457">
            <v>9</v>
          </cell>
          <cell r="J457">
            <v>115679</v>
          </cell>
          <cell r="O457" t="str">
            <v>Active</v>
          </cell>
          <cell r="Q457"/>
        </row>
        <row r="458">
          <cell r="A458">
            <v>457</v>
          </cell>
          <cell r="I458">
            <v>20</v>
          </cell>
          <cell r="J458">
            <v>133040</v>
          </cell>
          <cell r="O458" t="str">
            <v>Active</v>
          </cell>
          <cell r="Q458"/>
        </row>
        <row r="459">
          <cell r="A459">
            <v>458</v>
          </cell>
          <cell r="I459">
            <v>21</v>
          </cell>
          <cell r="J459">
            <v>91660</v>
          </cell>
          <cell r="O459" t="str">
            <v>Active</v>
          </cell>
          <cell r="Q459"/>
        </row>
        <row r="460">
          <cell r="A460">
            <v>459</v>
          </cell>
          <cell r="I460">
            <v>12</v>
          </cell>
          <cell r="J460">
            <v>136406</v>
          </cell>
          <cell r="O460" t="str">
            <v>Active</v>
          </cell>
          <cell r="Q460"/>
        </row>
        <row r="461">
          <cell r="A461">
            <v>460</v>
          </cell>
          <cell r="I461">
            <v>16</v>
          </cell>
          <cell r="J461">
            <v>146167</v>
          </cell>
          <cell r="O461" t="str">
            <v>Active</v>
          </cell>
          <cell r="Q461"/>
        </row>
        <row r="462">
          <cell r="A462">
            <v>461</v>
          </cell>
          <cell r="I462">
            <v>18</v>
          </cell>
          <cell r="J462">
            <v>94299</v>
          </cell>
          <cell r="O462" t="str">
            <v>Active</v>
          </cell>
          <cell r="Q462"/>
        </row>
        <row r="463">
          <cell r="A463">
            <v>462</v>
          </cell>
          <cell r="I463">
            <v>17</v>
          </cell>
          <cell r="J463">
            <v>56382</v>
          </cell>
          <cell r="O463" t="str">
            <v>Active</v>
          </cell>
          <cell r="Q463"/>
        </row>
        <row r="464">
          <cell r="A464">
            <v>463</v>
          </cell>
          <cell r="I464">
            <v>11</v>
          </cell>
          <cell r="J464">
            <v>120160</v>
          </cell>
          <cell r="O464" t="str">
            <v>Active</v>
          </cell>
          <cell r="Q464"/>
        </row>
        <row r="465">
          <cell r="A465">
            <v>464</v>
          </cell>
          <cell r="I465">
            <v>13</v>
          </cell>
          <cell r="J465">
            <v>77060</v>
          </cell>
          <cell r="O465" t="str">
            <v>Active</v>
          </cell>
          <cell r="Q465"/>
        </row>
        <row r="466">
          <cell r="A466">
            <v>465</v>
          </cell>
          <cell r="I466">
            <v>14</v>
          </cell>
          <cell r="J466">
            <v>122540</v>
          </cell>
          <cell r="O466" t="str">
            <v>Active</v>
          </cell>
          <cell r="Q466"/>
        </row>
        <row r="467">
          <cell r="A467">
            <v>466</v>
          </cell>
          <cell r="I467">
            <v>13</v>
          </cell>
          <cell r="J467">
            <v>128562</v>
          </cell>
          <cell r="O467" t="str">
            <v>Active</v>
          </cell>
          <cell r="Q467"/>
        </row>
        <row r="468">
          <cell r="A468">
            <v>467</v>
          </cell>
          <cell r="I468">
            <v>19</v>
          </cell>
          <cell r="J468">
            <v>60674</v>
          </cell>
          <cell r="O468" t="str">
            <v>Active</v>
          </cell>
          <cell r="Q468"/>
        </row>
        <row r="469">
          <cell r="A469">
            <v>468</v>
          </cell>
          <cell r="I469">
            <v>16</v>
          </cell>
          <cell r="J469">
            <v>93609</v>
          </cell>
          <cell r="O469" t="str">
            <v>Active</v>
          </cell>
          <cell r="Q469"/>
        </row>
        <row r="470">
          <cell r="A470">
            <v>469</v>
          </cell>
          <cell r="I470">
            <v>11</v>
          </cell>
          <cell r="J470">
            <v>97913</v>
          </cell>
          <cell r="O470" t="str">
            <v>Active</v>
          </cell>
          <cell r="Q470"/>
        </row>
        <row r="471">
          <cell r="A471">
            <v>470</v>
          </cell>
          <cell r="I471">
            <v>16</v>
          </cell>
          <cell r="J471">
            <v>108380</v>
          </cell>
          <cell r="O471" t="str">
            <v>Active</v>
          </cell>
          <cell r="Q471"/>
        </row>
        <row r="472">
          <cell r="A472">
            <v>471</v>
          </cell>
          <cell r="I472">
            <v>14</v>
          </cell>
          <cell r="J472">
            <v>50448</v>
          </cell>
          <cell r="O472" t="str">
            <v>Active</v>
          </cell>
          <cell r="Q472"/>
        </row>
        <row r="473">
          <cell r="A473">
            <v>472</v>
          </cell>
          <cell r="I473">
            <v>9</v>
          </cell>
          <cell r="J473">
            <v>133781</v>
          </cell>
          <cell r="O473" t="str">
            <v>Active</v>
          </cell>
          <cell r="Q473"/>
        </row>
        <row r="474">
          <cell r="A474">
            <v>473</v>
          </cell>
          <cell r="I474">
            <v>12</v>
          </cell>
          <cell r="J474">
            <v>90409</v>
          </cell>
          <cell r="O474" t="str">
            <v>Active</v>
          </cell>
          <cell r="Q474"/>
        </row>
        <row r="475">
          <cell r="A475">
            <v>474</v>
          </cell>
          <cell r="I475">
            <v>17</v>
          </cell>
          <cell r="J475">
            <v>144953</v>
          </cell>
          <cell r="O475" t="str">
            <v>Active</v>
          </cell>
          <cell r="Q475"/>
        </row>
        <row r="476">
          <cell r="A476">
            <v>475</v>
          </cell>
          <cell r="I476">
            <v>20</v>
          </cell>
          <cell r="J476">
            <v>46072</v>
          </cell>
          <cell r="O476" t="str">
            <v>Active</v>
          </cell>
          <cell r="Q476"/>
        </row>
        <row r="477">
          <cell r="A477">
            <v>476</v>
          </cell>
          <cell r="I477">
            <v>9</v>
          </cell>
          <cell r="J477">
            <v>119602</v>
          </cell>
          <cell r="O477" t="str">
            <v>Active</v>
          </cell>
          <cell r="Q477"/>
        </row>
        <row r="478">
          <cell r="A478">
            <v>477</v>
          </cell>
          <cell r="I478">
            <v>11</v>
          </cell>
          <cell r="J478">
            <v>122231</v>
          </cell>
          <cell r="O478" t="str">
            <v>Active</v>
          </cell>
          <cell r="Q478"/>
        </row>
        <row r="479">
          <cell r="A479">
            <v>478</v>
          </cell>
          <cell r="I479">
            <v>18</v>
          </cell>
          <cell r="J479">
            <v>147166</v>
          </cell>
          <cell r="O479" t="str">
            <v>Active</v>
          </cell>
          <cell r="Q479"/>
        </row>
        <row r="480">
          <cell r="A480">
            <v>479</v>
          </cell>
          <cell r="I480">
            <v>12</v>
          </cell>
          <cell r="J480">
            <v>56465</v>
          </cell>
          <cell r="O480" t="str">
            <v>Active</v>
          </cell>
          <cell r="Q480"/>
        </row>
        <row r="481">
          <cell r="A481">
            <v>480</v>
          </cell>
          <cell r="I481">
            <v>20</v>
          </cell>
          <cell r="J481">
            <v>78158</v>
          </cell>
          <cell r="O481" t="str">
            <v>Active</v>
          </cell>
          <cell r="Q481"/>
        </row>
        <row r="482">
          <cell r="A482">
            <v>481</v>
          </cell>
          <cell r="I482">
            <v>8</v>
          </cell>
          <cell r="J482">
            <v>62815</v>
          </cell>
          <cell r="O482" t="str">
            <v>Active</v>
          </cell>
          <cell r="Q482"/>
        </row>
        <row r="483">
          <cell r="A483">
            <v>482</v>
          </cell>
          <cell r="I483">
            <v>14</v>
          </cell>
          <cell r="J483">
            <v>126468</v>
          </cell>
          <cell r="O483" t="str">
            <v>Active</v>
          </cell>
          <cell r="Q483"/>
        </row>
        <row r="484">
          <cell r="A484">
            <v>483</v>
          </cell>
          <cell r="I484">
            <v>9</v>
          </cell>
          <cell r="J484">
            <v>79419</v>
          </cell>
          <cell r="O484" t="str">
            <v>Active</v>
          </cell>
          <cell r="Q484"/>
        </row>
        <row r="485">
          <cell r="A485">
            <v>484</v>
          </cell>
          <cell r="I485">
            <v>12</v>
          </cell>
          <cell r="J485">
            <v>83093</v>
          </cell>
          <cell r="O485" t="str">
            <v>Active</v>
          </cell>
          <cell r="Q485"/>
        </row>
        <row r="486">
          <cell r="A486">
            <v>485</v>
          </cell>
          <cell r="I486">
            <v>7</v>
          </cell>
          <cell r="J486">
            <v>90797</v>
          </cell>
          <cell r="O486" t="str">
            <v>Active</v>
          </cell>
          <cell r="Q486"/>
        </row>
        <row r="487">
          <cell r="A487">
            <v>486</v>
          </cell>
          <cell r="I487">
            <v>13</v>
          </cell>
          <cell r="J487">
            <v>78755</v>
          </cell>
          <cell r="O487" t="str">
            <v>Active</v>
          </cell>
          <cell r="Q487"/>
        </row>
        <row r="488">
          <cell r="A488">
            <v>487</v>
          </cell>
          <cell r="I488">
            <v>18</v>
          </cell>
          <cell r="J488">
            <v>128726</v>
          </cell>
          <cell r="O488" t="str">
            <v>Active</v>
          </cell>
          <cell r="Q488"/>
        </row>
        <row r="489">
          <cell r="A489">
            <v>488</v>
          </cell>
          <cell r="I489">
            <v>10</v>
          </cell>
          <cell r="J489">
            <v>69026</v>
          </cell>
          <cell r="O489" t="str">
            <v>Active</v>
          </cell>
          <cell r="Q489"/>
        </row>
        <row r="490">
          <cell r="A490">
            <v>489</v>
          </cell>
          <cell r="I490">
            <v>7</v>
          </cell>
          <cell r="J490">
            <v>78109</v>
          </cell>
          <cell r="O490" t="str">
            <v>Active</v>
          </cell>
          <cell r="Q490"/>
        </row>
        <row r="491">
          <cell r="A491">
            <v>490</v>
          </cell>
          <cell r="I491">
            <v>21</v>
          </cell>
          <cell r="J491">
            <v>116480</v>
          </cell>
          <cell r="O491" t="str">
            <v>Active</v>
          </cell>
          <cell r="Q491"/>
        </row>
        <row r="492">
          <cell r="A492">
            <v>491</v>
          </cell>
          <cell r="I492">
            <v>17</v>
          </cell>
          <cell r="J492">
            <v>108444</v>
          </cell>
          <cell r="O492" t="str">
            <v>Active</v>
          </cell>
          <cell r="Q492"/>
        </row>
        <row r="493">
          <cell r="A493">
            <v>492</v>
          </cell>
          <cell r="I493">
            <v>11</v>
          </cell>
          <cell r="J493">
            <v>106535</v>
          </cell>
          <cell r="O493" t="str">
            <v>Active</v>
          </cell>
          <cell r="Q493"/>
        </row>
        <row r="494">
          <cell r="A494">
            <v>493</v>
          </cell>
          <cell r="I494">
            <v>13</v>
          </cell>
          <cell r="J494">
            <v>137025</v>
          </cell>
          <cell r="O494" t="str">
            <v>Active</v>
          </cell>
          <cell r="Q494"/>
        </row>
        <row r="495">
          <cell r="A495">
            <v>494</v>
          </cell>
          <cell r="I495">
            <v>16</v>
          </cell>
          <cell r="J495">
            <v>71663</v>
          </cell>
          <cell r="O495" t="str">
            <v>Active</v>
          </cell>
          <cell r="Q495"/>
        </row>
        <row r="496">
          <cell r="A496">
            <v>495</v>
          </cell>
          <cell r="I496">
            <v>17</v>
          </cell>
          <cell r="J496">
            <v>80073</v>
          </cell>
          <cell r="O496" t="str">
            <v>Active</v>
          </cell>
          <cell r="Q496"/>
        </row>
        <row r="497">
          <cell r="A497">
            <v>496</v>
          </cell>
          <cell r="I497">
            <v>13</v>
          </cell>
          <cell r="J497">
            <v>40254</v>
          </cell>
          <cell r="O497" t="str">
            <v>Active</v>
          </cell>
          <cell r="Q497"/>
        </row>
        <row r="498">
          <cell r="A498">
            <v>497</v>
          </cell>
          <cell r="I498">
            <v>10</v>
          </cell>
          <cell r="J498">
            <v>80027</v>
          </cell>
          <cell r="O498" t="str">
            <v>Active</v>
          </cell>
          <cell r="Q498"/>
        </row>
        <row r="499">
          <cell r="A499">
            <v>498</v>
          </cell>
          <cell r="I499">
            <v>20</v>
          </cell>
          <cell r="J499">
            <v>106994</v>
          </cell>
          <cell r="O499" t="str">
            <v>Active</v>
          </cell>
          <cell r="Q499"/>
        </row>
        <row r="500">
          <cell r="A500">
            <v>499</v>
          </cell>
          <cell r="I500">
            <v>20</v>
          </cell>
          <cell r="J500">
            <v>145559</v>
          </cell>
          <cell r="O500" t="str">
            <v>Active</v>
          </cell>
          <cell r="Q500"/>
        </row>
        <row r="501">
          <cell r="A501">
            <v>500</v>
          </cell>
          <cell r="I501">
            <v>20</v>
          </cell>
          <cell r="J501">
            <v>91994</v>
          </cell>
          <cell r="O501" t="str">
            <v>Active</v>
          </cell>
          <cell r="Q501"/>
        </row>
        <row r="502">
          <cell r="A502">
            <v>501</v>
          </cell>
          <cell r="I502">
            <v>20</v>
          </cell>
          <cell r="J502">
            <v>138540</v>
          </cell>
          <cell r="O502" t="str">
            <v>Active</v>
          </cell>
          <cell r="Q502"/>
        </row>
        <row r="503">
          <cell r="A503">
            <v>502</v>
          </cell>
          <cell r="I503">
            <v>11</v>
          </cell>
          <cell r="J503">
            <v>136034</v>
          </cell>
          <cell r="O503" t="str">
            <v>Active</v>
          </cell>
          <cell r="Q503"/>
        </row>
        <row r="504">
          <cell r="A504">
            <v>503</v>
          </cell>
          <cell r="I504">
            <v>17</v>
          </cell>
          <cell r="J504">
            <v>127291</v>
          </cell>
          <cell r="O504" t="str">
            <v>Active</v>
          </cell>
          <cell r="Q504"/>
        </row>
        <row r="505">
          <cell r="A505">
            <v>504</v>
          </cell>
          <cell r="I505">
            <v>21</v>
          </cell>
          <cell r="J505">
            <v>131283</v>
          </cell>
          <cell r="O505" t="str">
            <v>Active</v>
          </cell>
          <cell r="Q505"/>
        </row>
        <row r="506">
          <cell r="A506">
            <v>505</v>
          </cell>
          <cell r="I506">
            <v>16</v>
          </cell>
          <cell r="J506">
            <v>122108</v>
          </cell>
          <cell r="O506" t="str">
            <v>Active</v>
          </cell>
          <cell r="Q506"/>
        </row>
        <row r="507">
          <cell r="A507">
            <v>506</v>
          </cell>
          <cell r="I507">
            <v>13</v>
          </cell>
          <cell r="J507">
            <v>49048</v>
          </cell>
          <cell r="O507" t="str">
            <v>Active</v>
          </cell>
          <cell r="Q507"/>
        </row>
        <row r="508">
          <cell r="A508">
            <v>507</v>
          </cell>
          <cell r="I508">
            <v>9</v>
          </cell>
          <cell r="J508">
            <v>97427</v>
          </cell>
          <cell r="O508" t="str">
            <v>Active</v>
          </cell>
          <cell r="Q508"/>
        </row>
        <row r="509">
          <cell r="A509">
            <v>508</v>
          </cell>
          <cell r="I509">
            <v>14</v>
          </cell>
          <cell r="J509">
            <v>90960</v>
          </cell>
          <cell r="O509" t="str">
            <v>Active</v>
          </cell>
          <cell r="Q509"/>
        </row>
        <row r="510">
          <cell r="A510">
            <v>509</v>
          </cell>
          <cell r="I510">
            <v>10</v>
          </cell>
          <cell r="J510">
            <v>43986</v>
          </cell>
          <cell r="O510" t="str">
            <v>Active</v>
          </cell>
          <cell r="Q510"/>
        </row>
        <row r="511">
          <cell r="A511">
            <v>510</v>
          </cell>
          <cell r="I511">
            <v>7</v>
          </cell>
          <cell r="J511">
            <v>108748</v>
          </cell>
          <cell r="O511" t="str">
            <v>Active</v>
          </cell>
          <cell r="Q511"/>
        </row>
        <row r="512">
          <cell r="A512">
            <v>511</v>
          </cell>
          <cell r="I512">
            <v>15</v>
          </cell>
          <cell r="J512">
            <v>102149</v>
          </cell>
          <cell r="O512" t="str">
            <v>Active</v>
          </cell>
          <cell r="Q512"/>
        </row>
        <row r="513">
          <cell r="A513">
            <v>512</v>
          </cell>
          <cell r="I513">
            <v>13</v>
          </cell>
          <cell r="J513">
            <v>133360</v>
          </cell>
          <cell r="O513" t="str">
            <v>Active</v>
          </cell>
          <cell r="Q513"/>
        </row>
        <row r="514">
          <cell r="A514">
            <v>513</v>
          </cell>
          <cell r="I514">
            <v>17</v>
          </cell>
          <cell r="J514">
            <v>70814</v>
          </cell>
          <cell r="O514" t="str">
            <v>Active</v>
          </cell>
          <cell r="Q514"/>
        </row>
        <row r="515">
          <cell r="A515">
            <v>514</v>
          </cell>
          <cell r="I515">
            <v>11</v>
          </cell>
          <cell r="J515">
            <v>132037</v>
          </cell>
          <cell r="O515" t="str">
            <v>Active</v>
          </cell>
          <cell r="Q515"/>
        </row>
        <row r="516">
          <cell r="A516">
            <v>515</v>
          </cell>
          <cell r="I516">
            <v>19</v>
          </cell>
          <cell r="J516">
            <v>55747</v>
          </cell>
          <cell r="O516" t="str">
            <v>Active</v>
          </cell>
          <cell r="Q516"/>
        </row>
        <row r="517">
          <cell r="A517">
            <v>516</v>
          </cell>
          <cell r="I517">
            <v>15</v>
          </cell>
          <cell r="J517">
            <v>89324</v>
          </cell>
          <cell r="O517" t="str">
            <v>Active</v>
          </cell>
          <cell r="Q517"/>
        </row>
        <row r="518">
          <cell r="A518">
            <v>517</v>
          </cell>
          <cell r="I518">
            <v>10</v>
          </cell>
          <cell r="J518">
            <v>124418</v>
          </cell>
          <cell r="O518" t="str">
            <v>Active</v>
          </cell>
          <cell r="Q518"/>
        </row>
        <row r="519">
          <cell r="A519">
            <v>518</v>
          </cell>
          <cell r="I519">
            <v>16</v>
          </cell>
          <cell r="J519">
            <v>138093</v>
          </cell>
          <cell r="O519" t="str">
            <v>Active</v>
          </cell>
          <cell r="Q519"/>
        </row>
        <row r="520">
          <cell r="A520">
            <v>519</v>
          </cell>
          <cell r="I520">
            <v>18</v>
          </cell>
          <cell r="J520">
            <v>141340</v>
          </cell>
          <cell r="O520" t="str">
            <v>Active</v>
          </cell>
          <cell r="Q520"/>
        </row>
        <row r="521">
          <cell r="A521">
            <v>520</v>
          </cell>
          <cell r="I521">
            <v>15</v>
          </cell>
          <cell r="J521">
            <v>54672</v>
          </cell>
          <cell r="O521" t="str">
            <v>Active</v>
          </cell>
          <cell r="Q521"/>
        </row>
        <row r="522">
          <cell r="A522">
            <v>521</v>
          </cell>
          <cell r="I522">
            <v>18</v>
          </cell>
          <cell r="J522">
            <v>118602</v>
          </cell>
          <cell r="O522" t="str">
            <v>Active</v>
          </cell>
          <cell r="Q522"/>
        </row>
        <row r="523">
          <cell r="A523">
            <v>522</v>
          </cell>
          <cell r="I523">
            <v>21</v>
          </cell>
          <cell r="J523">
            <v>97745</v>
          </cell>
          <cell r="O523" t="str">
            <v>Active</v>
          </cell>
          <cell r="Q523"/>
        </row>
        <row r="524">
          <cell r="A524">
            <v>523</v>
          </cell>
          <cell r="I524">
            <v>9</v>
          </cell>
          <cell r="J524">
            <v>143855</v>
          </cell>
          <cell r="O524" t="str">
            <v>Active</v>
          </cell>
          <cell r="Q524"/>
        </row>
        <row r="525">
          <cell r="A525">
            <v>524</v>
          </cell>
          <cell r="I525">
            <v>12</v>
          </cell>
          <cell r="J525">
            <v>43431</v>
          </cell>
          <cell r="O525" t="str">
            <v>Active</v>
          </cell>
          <cell r="Q525"/>
        </row>
        <row r="526">
          <cell r="A526">
            <v>525</v>
          </cell>
          <cell r="I526">
            <v>19</v>
          </cell>
          <cell r="J526">
            <v>94016</v>
          </cell>
          <cell r="O526" t="str">
            <v>Active</v>
          </cell>
          <cell r="Q526"/>
        </row>
        <row r="527">
          <cell r="A527">
            <v>526</v>
          </cell>
          <cell r="I527">
            <v>10</v>
          </cell>
          <cell r="J527">
            <v>66847</v>
          </cell>
          <cell r="O527" t="str">
            <v>Active</v>
          </cell>
          <cell r="Q527"/>
        </row>
        <row r="528">
          <cell r="A528">
            <v>527</v>
          </cell>
          <cell r="I528">
            <v>16</v>
          </cell>
          <cell r="J528">
            <v>69705</v>
          </cell>
          <cell r="O528" t="str">
            <v>Active</v>
          </cell>
          <cell r="Q528"/>
        </row>
        <row r="529">
          <cell r="A529">
            <v>528</v>
          </cell>
          <cell r="I529">
            <v>9</v>
          </cell>
          <cell r="J529">
            <v>96739</v>
          </cell>
          <cell r="O529" t="str">
            <v>Active</v>
          </cell>
          <cell r="Q529"/>
        </row>
        <row r="530">
          <cell r="A530">
            <v>529</v>
          </cell>
          <cell r="I530">
            <v>15</v>
          </cell>
          <cell r="J530">
            <v>52956</v>
          </cell>
          <cell r="O530" t="str">
            <v>Active</v>
          </cell>
          <cell r="Q530"/>
        </row>
        <row r="531">
          <cell r="A531">
            <v>530</v>
          </cell>
          <cell r="I531">
            <v>9</v>
          </cell>
          <cell r="J531">
            <v>71559</v>
          </cell>
          <cell r="O531" t="str">
            <v>Active</v>
          </cell>
          <cell r="Q531"/>
        </row>
        <row r="532">
          <cell r="A532">
            <v>531</v>
          </cell>
          <cell r="I532">
            <v>11</v>
          </cell>
          <cell r="J532">
            <v>143226</v>
          </cell>
          <cell r="O532" t="str">
            <v>Active</v>
          </cell>
          <cell r="Q532"/>
        </row>
        <row r="533">
          <cell r="A533">
            <v>532</v>
          </cell>
          <cell r="I533">
            <v>10</v>
          </cell>
          <cell r="J533">
            <v>145747</v>
          </cell>
          <cell r="O533" t="str">
            <v>Active</v>
          </cell>
          <cell r="Q533"/>
        </row>
        <row r="534">
          <cell r="A534">
            <v>533</v>
          </cell>
          <cell r="I534">
            <v>8</v>
          </cell>
          <cell r="J534">
            <v>72001</v>
          </cell>
          <cell r="O534" t="str">
            <v>Active</v>
          </cell>
          <cell r="Q534"/>
        </row>
        <row r="535">
          <cell r="A535">
            <v>534</v>
          </cell>
          <cell r="I535">
            <v>21</v>
          </cell>
          <cell r="J535">
            <v>50308</v>
          </cell>
          <cell r="O535" t="str">
            <v>Active</v>
          </cell>
          <cell r="Q535"/>
        </row>
        <row r="536">
          <cell r="A536">
            <v>535</v>
          </cell>
          <cell r="I536">
            <v>14</v>
          </cell>
          <cell r="J536">
            <v>131662</v>
          </cell>
          <cell r="O536" t="str">
            <v>Active</v>
          </cell>
          <cell r="Q536"/>
        </row>
        <row r="537">
          <cell r="A537">
            <v>536</v>
          </cell>
          <cell r="I537">
            <v>10</v>
          </cell>
          <cell r="J537">
            <v>55730</v>
          </cell>
          <cell r="O537" t="str">
            <v>Active</v>
          </cell>
          <cell r="Q537"/>
        </row>
        <row r="538">
          <cell r="A538">
            <v>537</v>
          </cell>
          <cell r="I538">
            <v>16</v>
          </cell>
          <cell r="J538">
            <v>63836</v>
          </cell>
          <cell r="O538" t="str">
            <v>Active</v>
          </cell>
          <cell r="Q538"/>
        </row>
        <row r="539">
          <cell r="A539">
            <v>538</v>
          </cell>
          <cell r="I539">
            <v>16</v>
          </cell>
          <cell r="J539">
            <v>121296</v>
          </cell>
          <cell r="O539" t="str">
            <v>Active</v>
          </cell>
          <cell r="Q539"/>
        </row>
        <row r="540">
          <cell r="A540">
            <v>539</v>
          </cell>
          <cell r="I540">
            <v>9</v>
          </cell>
          <cell r="J540">
            <v>110660</v>
          </cell>
          <cell r="O540" t="str">
            <v>Active</v>
          </cell>
          <cell r="Q540"/>
        </row>
        <row r="541">
          <cell r="A541">
            <v>540</v>
          </cell>
          <cell r="I541">
            <v>20</v>
          </cell>
          <cell r="J541">
            <v>89114</v>
          </cell>
          <cell r="O541" t="str">
            <v>Active</v>
          </cell>
          <cell r="Q541"/>
        </row>
        <row r="542">
          <cell r="A542">
            <v>541</v>
          </cell>
          <cell r="I542">
            <v>14</v>
          </cell>
          <cell r="J542">
            <v>48769</v>
          </cell>
          <cell r="O542" t="str">
            <v>Active</v>
          </cell>
          <cell r="Q542"/>
        </row>
        <row r="543">
          <cell r="A543">
            <v>542</v>
          </cell>
          <cell r="I543">
            <v>13</v>
          </cell>
          <cell r="J543">
            <v>90069</v>
          </cell>
          <cell r="O543" t="str">
            <v>Active</v>
          </cell>
          <cell r="Q543"/>
        </row>
        <row r="544">
          <cell r="A544">
            <v>543</v>
          </cell>
          <cell r="I544">
            <v>8</v>
          </cell>
          <cell r="J544">
            <v>120085</v>
          </cell>
          <cell r="O544" t="str">
            <v>Active</v>
          </cell>
          <cell r="Q544"/>
        </row>
        <row r="545">
          <cell r="A545">
            <v>544</v>
          </cell>
          <cell r="I545">
            <v>14</v>
          </cell>
          <cell r="J545">
            <v>41697</v>
          </cell>
          <cell r="O545" t="str">
            <v>Active</v>
          </cell>
          <cell r="Q545"/>
        </row>
        <row r="546">
          <cell r="A546">
            <v>545</v>
          </cell>
          <cell r="I546">
            <v>12</v>
          </cell>
          <cell r="J546">
            <v>44093</v>
          </cell>
          <cell r="O546" t="str">
            <v>Active</v>
          </cell>
          <cell r="Q546"/>
        </row>
        <row r="547">
          <cell r="A547">
            <v>546</v>
          </cell>
          <cell r="I547">
            <v>15</v>
          </cell>
          <cell r="J547">
            <v>59294</v>
          </cell>
          <cell r="O547" t="str">
            <v>Active</v>
          </cell>
          <cell r="Q547"/>
        </row>
        <row r="548">
          <cell r="A548">
            <v>547</v>
          </cell>
          <cell r="I548">
            <v>8</v>
          </cell>
          <cell r="J548">
            <v>140858</v>
          </cell>
          <cell r="O548" t="str">
            <v>Active</v>
          </cell>
          <cell r="Q548"/>
        </row>
        <row r="549">
          <cell r="A549">
            <v>548</v>
          </cell>
          <cell r="I549">
            <v>12</v>
          </cell>
          <cell r="J549">
            <v>46444</v>
          </cell>
          <cell r="O549" t="str">
            <v>Active</v>
          </cell>
          <cell r="Q549"/>
        </row>
        <row r="550">
          <cell r="A550">
            <v>549</v>
          </cell>
          <cell r="I550">
            <v>9</v>
          </cell>
          <cell r="J550">
            <v>85855</v>
          </cell>
          <cell r="O550" t="str">
            <v>Active</v>
          </cell>
          <cell r="Q550"/>
        </row>
        <row r="551">
          <cell r="A551">
            <v>550</v>
          </cell>
          <cell r="I551">
            <v>21</v>
          </cell>
          <cell r="J551">
            <v>72334</v>
          </cell>
          <cell r="O551" t="str">
            <v>Active</v>
          </cell>
          <cell r="Q551"/>
        </row>
        <row r="552">
          <cell r="A552">
            <v>551</v>
          </cell>
          <cell r="I552">
            <v>10</v>
          </cell>
          <cell r="J552">
            <v>69246</v>
          </cell>
          <cell r="O552" t="str">
            <v>Active</v>
          </cell>
          <cell r="Q552"/>
        </row>
        <row r="553">
          <cell r="A553">
            <v>552</v>
          </cell>
          <cell r="I553">
            <v>10</v>
          </cell>
          <cell r="J553">
            <v>107389</v>
          </cell>
          <cell r="O553" t="str">
            <v>Active</v>
          </cell>
          <cell r="Q553"/>
        </row>
        <row r="554">
          <cell r="A554">
            <v>553</v>
          </cell>
          <cell r="I554">
            <v>12</v>
          </cell>
          <cell r="J554">
            <v>141505</v>
          </cell>
          <cell r="O554" t="str">
            <v>Active</v>
          </cell>
          <cell r="Q554"/>
        </row>
        <row r="555">
          <cell r="A555">
            <v>554</v>
          </cell>
          <cell r="I555">
            <v>13</v>
          </cell>
          <cell r="J555">
            <v>60318</v>
          </cell>
          <cell r="O555" t="str">
            <v>Active</v>
          </cell>
          <cell r="Q555"/>
        </row>
        <row r="556">
          <cell r="A556">
            <v>555</v>
          </cell>
          <cell r="I556">
            <v>7</v>
          </cell>
          <cell r="J556">
            <v>148260</v>
          </cell>
          <cell r="O556" t="str">
            <v>Active</v>
          </cell>
          <cell r="Q556"/>
        </row>
        <row r="557">
          <cell r="A557">
            <v>556</v>
          </cell>
          <cell r="I557">
            <v>15</v>
          </cell>
          <cell r="J557">
            <v>73199</v>
          </cell>
          <cell r="O557" t="str">
            <v>Active</v>
          </cell>
          <cell r="Q557"/>
        </row>
        <row r="558">
          <cell r="A558">
            <v>557</v>
          </cell>
          <cell r="I558">
            <v>19</v>
          </cell>
          <cell r="J558">
            <v>111244</v>
          </cell>
          <cell r="O558" t="str">
            <v>Active</v>
          </cell>
          <cell r="Q558"/>
        </row>
        <row r="559">
          <cell r="A559">
            <v>558</v>
          </cell>
          <cell r="I559">
            <v>9</v>
          </cell>
          <cell r="J559">
            <v>103845</v>
          </cell>
          <cell r="O559" t="str">
            <v>Active</v>
          </cell>
          <cell r="Q559"/>
        </row>
        <row r="560">
          <cell r="A560">
            <v>559</v>
          </cell>
          <cell r="I560">
            <v>13</v>
          </cell>
          <cell r="J560">
            <v>88666</v>
          </cell>
          <cell r="O560" t="str">
            <v>Active</v>
          </cell>
          <cell r="Q560"/>
        </row>
        <row r="561">
          <cell r="A561">
            <v>560</v>
          </cell>
          <cell r="I561">
            <v>7</v>
          </cell>
          <cell r="J561">
            <v>67845</v>
          </cell>
          <cell r="O561" t="str">
            <v>Active</v>
          </cell>
          <cell r="Q561"/>
        </row>
        <row r="562">
          <cell r="A562">
            <v>561</v>
          </cell>
          <cell r="I562">
            <v>17</v>
          </cell>
          <cell r="J562">
            <v>62527</v>
          </cell>
          <cell r="O562" t="str">
            <v>Active</v>
          </cell>
          <cell r="Q562"/>
        </row>
        <row r="563">
          <cell r="A563">
            <v>562</v>
          </cell>
          <cell r="I563">
            <v>18</v>
          </cell>
          <cell r="J563">
            <v>73412</v>
          </cell>
          <cell r="O563" t="str">
            <v>Active</v>
          </cell>
          <cell r="Q563"/>
        </row>
        <row r="564">
          <cell r="A564">
            <v>563</v>
          </cell>
          <cell r="I564">
            <v>10</v>
          </cell>
          <cell r="J564">
            <v>123391</v>
          </cell>
          <cell r="O564" t="str">
            <v>Active</v>
          </cell>
          <cell r="Q564"/>
        </row>
        <row r="565">
          <cell r="A565">
            <v>564</v>
          </cell>
          <cell r="I565">
            <v>16</v>
          </cell>
          <cell r="J565">
            <v>99508</v>
          </cell>
          <cell r="O565" t="str">
            <v>Active</v>
          </cell>
          <cell r="Q565"/>
        </row>
        <row r="566">
          <cell r="A566">
            <v>565</v>
          </cell>
          <cell r="I566">
            <v>7</v>
          </cell>
          <cell r="J566">
            <v>55726</v>
          </cell>
          <cell r="O566" t="str">
            <v>Active</v>
          </cell>
          <cell r="Q566"/>
        </row>
        <row r="567">
          <cell r="A567">
            <v>566</v>
          </cell>
          <cell r="I567">
            <v>10</v>
          </cell>
          <cell r="J567">
            <v>67140</v>
          </cell>
          <cell r="O567" t="str">
            <v>Active</v>
          </cell>
          <cell r="Q567"/>
        </row>
        <row r="568">
          <cell r="A568">
            <v>567</v>
          </cell>
          <cell r="I568">
            <v>11</v>
          </cell>
          <cell r="J568">
            <v>139060</v>
          </cell>
          <cell r="O568" t="str">
            <v>Active</v>
          </cell>
          <cell r="Q568"/>
        </row>
        <row r="569">
          <cell r="A569">
            <v>568</v>
          </cell>
          <cell r="I569">
            <v>17</v>
          </cell>
          <cell r="J569">
            <v>135993</v>
          </cell>
          <cell r="O569" t="str">
            <v>Active</v>
          </cell>
          <cell r="Q569"/>
        </row>
        <row r="570">
          <cell r="A570">
            <v>569</v>
          </cell>
          <cell r="I570">
            <v>11</v>
          </cell>
          <cell r="J570">
            <v>80788</v>
          </cell>
          <cell r="O570" t="str">
            <v>Active</v>
          </cell>
          <cell r="Q570"/>
        </row>
        <row r="571">
          <cell r="A571">
            <v>570</v>
          </cell>
          <cell r="I571">
            <v>20</v>
          </cell>
          <cell r="J571">
            <v>136377</v>
          </cell>
          <cell r="O571" t="str">
            <v>Active</v>
          </cell>
          <cell r="Q571"/>
        </row>
        <row r="572">
          <cell r="A572">
            <v>571</v>
          </cell>
          <cell r="I572">
            <v>12</v>
          </cell>
          <cell r="J572">
            <v>46247</v>
          </cell>
          <cell r="O572" t="str">
            <v>Active</v>
          </cell>
          <cell r="Q572"/>
        </row>
        <row r="573">
          <cell r="A573">
            <v>572</v>
          </cell>
          <cell r="I573">
            <v>7</v>
          </cell>
          <cell r="J573">
            <v>45774</v>
          </cell>
          <cell r="O573" t="str">
            <v>Active</v>
          </cell>
          <cell r="Q573"/>
        </row>
        <row r="574">
          <cell r="A574">
            <v>573</v>
          </cell>
          <cell r="I574">
            <v>11</v>
          </cell>
          <cell r="J574">
            <v>100741</v>
          </cell>
          <cell r="O574" t="str">
            <v>Active</v>
          </cell>
          <cell r="Q574"/>
        </row>
        <row r="575">
          <cell r="A575">
            <v>574</v>
          </cell>
          <cell r="I575">
            <v>16</v>
          </cell>
          <cell r="J575">
            <v>45534</v>
          </cell>
          <cell r="O575" t="str">
            <v>Active</v>
          </cell>
          <cell r="Q575"/>
        </row>
        <row r="576">
          <cell r="A576">
            <v>575</v>
          </cell>
          <cell r="I576">
            <v>19</v>
          </cell>
          <cell r="J576">
            <v>75399</v>
          </cell>
          <cell r="O576" t="str">
            <v>Active</v>
          </cell>
          <cell r="Q576"/>
        </row>
        <row r="577">
          <cell r="A577">
            <v>576</v>
          </cell>
          <cell r="I577">
            <v>15</v>
          </cell>
          <cell r="J577">
            <v>50235</v>
          </cell>
          <cell r="O577" t="str">
            <v>Active</v>
          </cell>
          <cell r="Q577"/>
        </row>
        <row r="578">
          <cell r="A578">
            <v>577</v>
          </cell>
          <cell r="I578">
            <v>10</v>
          </cell>
          <cell r="J578">
            <v>128048</v>
          </cell>
          <cell r="O578" t="str">
            <v>Active</v>
          </cell>
          <cell r="Q578"/>
        </row>
        <row r="579">
          <cell r="A579">
            <v>578</v>
          </cell>
          <cell r="I579">
            <v>15</v>
          </cell>
          <cell r="J579">
            <v>111318</v>
          </cell>
          <cell r="O579" t="str">
            <v>Active</v>
          </cell>
          <cell r="Q579"/>
        </row>
        <row r="580">
          <cell r="A580">
            <v>579</v>
          </cell>
          <cell r="I580">
            <v>21</v>
          </cell>
          <cell r="J580">
            <v>100763</v>
          </cell>
          <cell r="O580" t="str">
            <v>Active</v>
          </cell>
          <cell r="Q580"/>
        </row>
        <row r="581">
          <cell r="A581">
            <v>580</v>
          </cell>
          <cell r="I581">
            <v>9</v>
          </cell>
          <cell r="J581">
            <v>54231</v>
          </cell>
          <cell r="O581" t="str">
            <v>Active</v>
          </cell>
          <cell r="Q581"/>
        </row>
        <row r="582">
          <cell r="A582">
            <v>581</v>
          </cell>
          <cell r="I582">
            <v>11</v>
          </cell>
          <cell r="J582">
            <v>92334</v>
          </cell>
          <cell r="O582" t="str">
            <v>Active</v>
          </cell>
          <cell r="Q582"/>
        </row>
        <row r="583">
          <cell r="A583">
            <v>582</v>
          </cell>
          <cell r="I583">
            <v>16</v>
          </cell>
          <cell r="J583">
            <v>58111</v>
          </cell>
          <cell r="O583" t="str">
            <v>Active</v>
          </cell>
          <cell r="Q583"/>
        </row>
        <row r="584">
          <cell r="A584">
            <v>583</v>
          </cell>
          <cell r="I584">
            <v>21</v>
          </cell>
          <cell r="J584">
            <v>112048</v>
          </cell>
          <cell r="O584" t="str">
            <v>Active</v>
          </cell>
          <cell r="Q584"/>
        </row>
        <row r="585">
          <cell r="A585">
            <v>584</v>
          </cell>
          <cell r="I585">
            <v>13</v>
          </cell>
          <cell r="J585">
            <v>109404</v>
          </cell>
          <cell r="O585" t="str">
            <v>Active</v>
          </cell>
          <cell r="Q585"/>
        </row>
        <row r="586">
          <cell r="A586">
            <v>585</v>
          </cell>
          <cell r="I586">
            <v>14</v>
          </cell>
          <cell r="J586">
            <v>138776</v>
          </cell>
          <cell r="O586" t="str">
            <v>Active</v>
          </cell>
          <cell r="Q586"/>
        </row>
        <row r="587">
          <cell r="A587">
            <v>586</v>
          </cell>
          <cell r="I587">
            <v>18</v>
          </cell>
          <cell r="J587">
            <v>110411</v>
          </cell>
          <cell r="O587" t="str">
            <v>Active</v>
          </cell>
          <cell r="Q587"/>
        </row>
        <row r="588">
          <cell r="A588">
            <v>587</v>
          </cell>
          <cell r="I588">
            <v>19</v>
          </cell>
          <cell r="J588">
            <v>74973</v>
          </cell>
          <cell r="O588" t="str">
            <v>Active</v>
          </cell>
          <cell r="Q588"/>
        </row>
        <row r="589">
          <cell r="A589">
            <v>588</v>
          </cell>
          <cell r="I589">
            <v>19</v>
          </cell>
          <cell r="J589">
            <v>129890</v>
          </cell>
          <cell r="O589" t="str">
            <v>Active</v>
          </cell>
          <cell r="Q589"/>
        </row>
        <row r="590">
          <cell r="A590">
            <v>589</v>
          </cell>
          <cell r="I590">
            <v>16</v>
          </cell>
          <cell r="J590">
            <v>135786</v>
          </cell>
          <cell r="O590" t="str">
            <v>Active</v>
          </cell>
          <cell r="Q590"/>
        </row>
        <row r="591">
          <cell r="A591">
            <v>590</v>
          </cell>
          <cell r="I591">
            <v>14</v>
          </cell>
          <cell r="J591">
            <v>132998</v>
          </cell>
          <cell r="O591" t="str">
            <v>Active</v>
          </cell>
          <cell r="Q591"/>
        </row>
        <row r="592">
          <cell r="A592">
            <v>591</v>
          </cell>
          <cell r="I592">
            <v>7</v>
          </cell>
          <cell r="J592">
            <v>84318</v>
          </cell>
          <cell r="O592" t="str">
            <v>Active</v>
          </cell>
          <cell r="Q592"/>
        </row>
        <row r="593">
          <cell r="A593">
            <v>592</v>
          </cell>
          <cell r="I593">
            <v>17</v>
          </cell>
          <cell r="J593">
            <v>110407</v>
          </cell>
          <cell r="O593" t="str">
            <v>Active</v>
          </cell>
          <cell r="Q593"/>
        </row>
        <row r="594">
          <cell r="A594">
            <v>593</v>
          </cell>
          <cell r="I594">
            <v>21</v>
          </cell>
          <cell r="J594">
            <v>94980</v>
          </cell>
          <cell r="O594" t="str">
            <v>Active</v>
          </cell>
          <cell r="Q594"/>
        </row>
        <row r="595">
          <cell r="A595">
            <v>594</v>
          </cell>
          <cell r="I595">
            <v>17</v>
          </cell>
          <cell r="J595">
            <v>125843</v>
          </cell>
          <cell r="O595" t="str">
            <v>Active</v>
          </cell>
          <cell r="Q595"/>
        </row>
        <row r="596">
          <cell r="A596">
            <v>595</v>
          </cell>
          <cell r="I596">
            <v>21</v>
          </cell>
          <cell r="J596">
            <v>66180</v>
          </cell>
          <cell r="O596" t="str">
            <v>Active</v>
          </cell>
          <cell r="Q596"/>
        </row>
        <row r="597">
          <cell r="A597">
            <v>596</v>
          </cell>
          <cell r="I597">
            <v>7</v>
          </cell>
          <cell r="J597">
            <v>88854</v>
          </cell>
          <cell r="O597" t="str">
            <v>Active</v>
          </cell>
          <cell r="Q597"/>
        </row>
        <row r="598">
          <cell r="A598">
            <v>597</v>
          </cell>
          <cell r="I598">
            <v>17</v>
          </cell>
          <cell r="J598">
            <v>71448</v>
          </cell>
          <cell r="O598" t="str">
            <v>Active</v>
          </cell>
          <cell r="Q598"/>
        </row>
        <row r="599">
          <cell r="A599">
            <v>598</v>
          </cell>
          <cell r="I599">
            <v>19</v>
          </cell>
          <cell r="J599">
            <v>60547</v>
          </cell>
          <cell r="O599" t="str">
            <v>Active</v>
          </cell>
          <cell r="Q599"/>
        </row>
        <row r="600">
          <cell r="A600">
            <v>599</v>
          </cell>
          <cell r="I600">
            <v>11</v>
          </cell>
          <cell r="J600">
            <v>128805</v>
          </cell>
          <cell r="O600" t="str">
            <v>Active</v>
          </cell>
          <cell r="Q600"/>
        </row>
        <row r="601">
          <cell r="A601">
            <v>600</v>
          </cell>
          <cell r="I601">
            <v>15</v>
          </cell>
          <cell r="J601">
            <v>96782</v>
          </cell>
          <cell r="O601" t="str">
            <v>Active</v>
          </cell>
          <cell r="Q601"/>
        </row>
        <row r="602">
          <cell r="A602">
            <v>601</v>
          </cell>
          <cell r="I602">
            <v>20</v>
          </cell>
          <cell r="J602">
            <v>125944</v>
          </cell>
          <cell r="O602" t="str">
            <v>Active</v>
          </cell>
          <cell r="Q602"/>
        </row>
        <row r="603">
          <cell r="A603">
            <v>602</v>
          </cell>
          <cell r="I603">
            <v>10</v>
          </cell>
          <cell r="J603">
            <v>101937</v>
          </cell>
          <cell r="O603" t="str">
            <v>Active</v>
          </cell>
          <cell r="Q603"/>
        </row>
        <row r="604">
          <cell r="A604">
            <v>603</v>
          </cell>
          <cell r="I604">
            <v>21</v>
          </cell>
          <cell r="J604">
            <v>127569</v>
          </cell>
          <cell r="O604" t="str">
            <v>Active</v>
          </cell>
          <cell r="Q604"/>
        </row>
        <row r="605">
          <cell r="A605">
            <v>604</v>
          </cell>
          <cell r="I605">
            <v>17</v>
          </cell>
          <cell r="J605">
            <v>104517</v>
          </cell>
          <cell r="O605" t="str">
            <v>Active</v>
          </cell>
          <cell r="Q605"/>
        </row>
        <row r="606">
          <cell r="A606">
            <v>605</v>
          </cell>
          <cell r="I606">
            <v>11</v>
          </cell>
          <cell r="J606">
            <v>110366</v>
          </cell>
          <cell r="O606" t="str">
            <v>Active</v>
          </cell>
          <cell r="Q606"/>
        </row>
        <row r="607">
          <cell r="A607">
            <v>606</v>
          </cell>
          <cell r="I607">
            <v>18</v>
          </cell>
          <cell r="J607">
            <v>136917</v>
          </cell>
          <cell r="O607" t="str">
            <v>Active</v>
          </cell>
          <cell r="Q607"/>
        </row>
        <row r="608">
          <cell r="A608">
            <v>607</v>
          </cell>
          <cell r="I608">
            <v>14</v>
          </cell>
          <cell r="J608">
            <v>130563</v>
          </cell>
          <cell r="O608" t="str">
            <v>Active</v>
          </cell>
          <cell r="Q608"/>
        </row>
        <row r="609">
          <cell r="A609">
            <v>608</v>
          </cell>
          <cell r="I609">
            <v>17</v>
          </cell>
          <cell r="J609">
            <v>73553</v>
          </cell>
          <cell r="O609" t="str">
            <v>Active</v>
          </cell>
          <cell r="Q609"/>
        </row>
        <row r="610">
          <cell r="A610">
            <v>609</v>
          </cell>
          <cell r="I610">
            <v>14</v>
          </cell>
          <cell r="J610">
            <v>93995</v>
          </cell>
          <cell r="O610" t="str">
            <v>Active</v>
          </cell>
          <cell r="Q610"/>
        </row>
        <row r="611">
          <cell r="A611">
            <v>610</v>
          </cell>
          <cell r="I611">
            <v>12</v>
          </cell>
          <cell r="J611">
            <v>45270</v>
          </cell>
          <cell r="O611" t="str">
            <v>Active</v>
          </cell>
          <cell r="Q611"/>
        </row>
        <row r="612">
          <cell r="A612">
            <v>611</v>
          </cell>
          <cell r="I612">
            <v>12</v>
          </cell>
          <cell r="J612">
            <v>147739</v>
          </cell>
          <cell r="O612" t="str">
            <v>On Leave</v>
          </cell>
          <cell r="Q612"/>
        </row>
        <row r="613">
          <cell r="A613">
            <v>612</v>
          </cell>
          <cell r="I613">
            <v>18</v>
          </cell>
          <cell r="J613">
            <v>142211</v>
          </cell>
          <cell r="O613" t="str">
            <v>On Leave</v>
          </cell>
          <cell r="Q613"/>
        </row>
        <row r="614">
          <cell r="A614">
            <v>613</v>
          </cell>
          <cell r="I614">
            <v>15</v>
          </cell>
          <cell r="J614">
            <v>48791</v>
          </cell>
          <cell r="O614" t="str">
            <v>On Leave</v>
          </cell>
          <cell r="Q614"/>
        </row>
        <row r="615">
          <cell r="A615">
            <v>614</v>
          </cell>
          <cell r="I615">
            <v>13</v>
          </cell>
          <cell r="J615">
            <v>112929</v>
          </cell>
          <cell r="O615" t="str">
            <v>On Leave</v>
          </cell>
          <cell r="Q615"/>
        </row>
        <row r="616">
          <cell r="A616">
            <v>615</v>
          </cell>
          <cell r="I616">
            <v>12</v>
          </cell>
          <cell r="J616">
            <v>72854</v>
          </cell>
          <cell r="O616" t="str">
            <v>On Leave</v>
          </cell>
          <cell r="Q616"/>
        </row>
        <row r="617">
          <cell r="A617">
            <v>616</v>
          </cell>
          <cell r="I617">
            <v>15</v>
          </cell>
          <cell r="J617">
            <v>47281</v>
          </cell>
          <cell r="O617" t="str">
            <v>On Leave</v>
          </cell>
          <cell r="Q617"/>
        </row>
        <row r="618">
          <cell r="A618">
            <v>617</v>
          </cell>
          <cell r="I618">
            <v>8</v>
          </cell>
          <cell r="J618">
            <v>49410</v>
          </cell>
          <cell r="O618" t="str">
            <v>Active</v>
          </cell>
          <cell r="Q618"/>
        </row>
        <row r="619">
          <cell r="A619">
            <v>618</v>
          </cell>
          <cell r="I619">
            <v>20</v>
          </cell>
          <cell r="J619">
            <v>128205</v>
          </cell>
          <cell r="O619" t="str">
            <v>Active</v>
          </cell>
          <cell r="Q619"/>
        </row>
        <row r="620">
          <cell r="A620">
            <v>619</v>
          </cell>
          <cell r="I620">
            <v>7</v>
          </cell>
          <cell r="J620">
            <v>133190</v>
          </cell>
          <cell r="O620" t="str">
            <v>Resigned</v>
          </cell>
          <cell r="Q620"/>
        </row>
        <row r="621">
          <cell r="A621">
            <v>620</v>
          </cell>
          <cell r="I621">
            <v>12</v>
          </cell>
          <cell r="J621">
            <v>59644</v>
          </cell>
          <cell r="O621" t="str">
            <v>Active</v>
          </cell>
          <cell r="Q621"/>
        </row>
        <row r="622">
          <cell r="A622">
            <v>621</v>
          </cell>
          <cell r="I622">
            <v>17</v>
          </cell>
          <cell r="J622">
            <v>111427</v>
          </cell>
          <cell r="O622" t="str">
            <v>Active</v>
          </cell>
          <cell r="Q622"/>
        </row>
        <row r="623">
          <cell r="A623">
            <v>622</v>
          </cell>
          <cell r="I623">
            <v>19</v>
          </cell>
          <cell r="J623">
            <v>98339</v>
          </cell>
          <cell r="O623" t="str">
            <v>Active</v>
          </cell>
          <cell r="Q623"/>
        </row>
        <row r="624">
          <cell r="A624">
            <v>623</v>
          </cell>
          <cell r="I624">
            <v>15</v>
          </cell>
          <cell r="J624">
            <v>72948</v>
          </cell>
          <cell r="O624" t="str">
            <v>Active</v>
          </cell>
          <cell r="Q624"/>
        </row>
        <row r="625">
          <cell r="A625">
            <v>624</v>
          </cell>
          <cell r="I625">
            <v>13</v>
          </cell>
          <cell r="J625">
            <v>60203</v>
          </cell>
          <cell r="O625" t="str">
            <v>Active</v>
          </cell>
          <cell r="Q625"/>
        </row>
        <row r="626">
          <cell r="A626">
            <v>625</v>
          </cell>
          <cell r="I626">
            <v>14</v>
          </cell>
          <cell r="J626">
            <v>147003</v>
          </cell>
          <cell r="O626" t="str">
            <v>Active</v>
          </cell>
          <cell r="Q626"/>
        </row>
        <row r="627">
          <cell r="A627">
            <v>626</v>
          </cell>
          <cell r="I627">
            <v>12</v>
          </cell>
          <cell r="J627">
            <v>83706</v>
          </cell>
          <cell r="O627" t="str">
            <v>Active</v>
          </cell>
          <cell r="Q627"/>
        </row>
        <row r="628">
          <cell r="A628">
            <v>627</v>
          </cell>
          <cell r="I628">
            <v>21</v>
          </cell>
          <cell r="J628">
            <v>80245</v>
          </cell>
          <cell r="O628" t="str">
            <v>Active</v>
          </cell>
          <cell r="Q628"/>
        </row>
        <row r="629">
          <cell r="A629">
            <v>628</v>
          </cell>
          <cell r="I629">
            <v>13</v>
          </cell>
          <cell r="J629">
            <v>65110</v>
          </cell>
          <cell r="O629" t="str">
            <v>Active</v>
          </cell>
          <cell r="Q629"/>
        </row>
        <row r="630">
          <cell r="A630">
            <v>629</v>
          </cell>
          <cell r="I630">
            <v>10</v>
          </cell>
          <cell r="J630">
            <v>128617</v>
          </cell>
          <cell r="O630" t="str">
            <v>Active</v>
          </cell>
          <cell r="Q630"/>
        </row>
        <row r="631">
          <cell r="A631">
            <v>630</v>
          </cell>
          <cell r="I631">
            <v>19</v>
          </cell>
          <cell r="J631">
            <v>96107</v>
          </cell>
          <cell r="O631" t="str">
            <v>Active</v>
          </cell>
          <cell r="Q631"/>
        </row>
        <row r="632">
          <cell r="A632">
            <v>631</v>
          </cell>
          <cell r="I632">
            <v>7</v>
          </cell>
          <cell r="J632">
            <v>44788</v>
          </cell>
          <cell r="O632" t="str">
            <v>Active</v>
          </cell>
          <cell r="Q632"/>
        </row>
        <row r="633">
          <cell r="A633">
            <v>632</v>
          </cell>
          <cell r="I633">
            <v>17</v>
          </cell>
          <cell r="J633">
            <v>86207</v>
          </cell>
          <cell r="O633" t="str">
            <v>Active</v>
          </cell>
          <cell r="Q633"/>
        </row>
        <row r="634">
          <cell r="A634">
            <v>633</v>
          </cell>
          <cell r="I634">
            <v>21</v>
          </cell>
          <cell r="J634">
            <v>79845</v>
          </cell>
          <cell r="O634" t="str">
            <v>Active</v>
          </cell>
          <cell r="Q634"/>
        </row>
        <row r="635">
          <cell r="A635">
            <v>634</v>
          </cell>
          <cell r="I635">
            <v>10</v>
          </cell>
          <cell r="J635">
            <v>104264</v>
          </cell>
          <cell r="O635" t="str">
            <v>Active</v>
          </cell>
          <cell r="Q635"/>
        </row>
        <row r="636">
          <cell r="A636">
            <v>635</v>
          </cell>
          <cell r="I636">
            <v>11</v>
          </cell>
          <cell r="J636">
            <v>77005</v>
          </cell>
          <cell r="O636" t="str">
            <v>Active</v>
          </cell>
          <cell r="Q636"/>
        </row>
        <row r="637">
          <cell r="A637">
            <v>636</v>
          </cell>
          <cell r="I637">
            <v>10</v>
          </cell>
          <cell r="J637">
            <v>69564</v>
          </cell>
          <cell r="O637" t="str">
            <v>Active</v>
          </cell>
          <cell r="Q637"/>
        </row>
        <row r="638">
          <cell r="A638">
            <v>637</v>
          </cell>
          <cell r="I638">
            <v>14</v>
          </cell>
          <cell r="J638">
            <v>84549</v>
          </cell>
          <cell r="O638" t="str">
            <v>Active</v>
          </cell>
          <cell r="Q638"/>
        </row>
        <row r="639">
          <cell r="A639">
            <v>638</v>
          </cell>
          <cell r="I639">
            <v>15</v>
          </cell>
          <cell r="J639">
            <v>134488</v>
          </cell>
          <cell r="O639" t="str">
            <v>Active</v>
          </cell>
          <cell r="Q639"/>
        </row>
        <row r="640">
          <cell r="A640">
            <v>639</v>
          </cell>
          <cell r="I640">
            <v>14</v>
          </cell>
          <cell r="J640">
            <v>140243</v>
          </cell>
          <cell r="O640" t="str">
            <v>Active</v>
          </cell>
          <cell r="Q640"/>
        </row>
        <row r="641">
          <cell r="A641">
            <v>640</v>
          </cell>
          <cell r="I641">
            <v>18</v>
          </cell>
          <cell r="J641">
            <v>44096</v>
          </cell>
          <cell r="O641" t="str">
            <v>Active</v>
          </cell>
          <cell r="Q641"/>
        </row>
        <row r="642">
          <cell r="A642">
            <v>641</v>
          </cell>
          <cell r="I642">
            <v>11</v>
          </cell>
          <cell r="J642">
            <v>69454</v>
          </cell>
          <cell r="O642" t="str">
            <v>Active</v>
          </cell>
          <cell r="Q642"/>
        </row>
        <row r="643">
          <cell r="A643">
            <v>642</v>
          </cell>
          <cell r="I643">
            <v>12</v>
          </cell>
          <cell r="J643">
            <v>126201</v>
          </cell>
          <cell r="O643" t="str">
            <v>Active</v>
          </cell>
          <cell r="Q643"/>
        </row>
        <row r="644">
          <cell r="A644">
            <v>643</v>
          </cell>
          <cell r="I644">
            <v>7</v>
          </cell>
          <cell r="J644">
            <v>123820</v>
          </cell>
          <cell r="O644" t="str">
            <v>Active</v>
          </cell>
          <cell r="Q644"/>
        </row>
        <row r="645">
          <cell r="A645">
            <v>644</v>
          </cell>
          <cell r="I645">
            <v>19</v>
          </cell>
          <cell r="J645">
            <v>52956</v>
          </cell>
          <cell r="O645" t="str">
            <v>Active</v>
          </cell>
          <cell r="Q645"/>
        </row>
        <row r="646">
          <cell r="A646">
            <v>645</v>
          </cell>
          <cell r="I646">
            <v>14</v>
          </cell>
          <cell r="J646">
            <v>143595</v>
          </cell>
          <cell r="O646" t="str">
            <v>Active</v>
          </cell>
          <cell r="Q646"/>
        </row>
        <row r="647">
          <cell r="A647">
            <v>646</v>
          </cell>
          <cell r="I647">
            <v>7</v>
          </cell>
          <cell r="J647">
            <v>124707</v>
          </cell>
          <cell r="O647" t="str">
            <v>Active</v>
          </cell>
          <cell r="Q647"/>
        </row>
        <row r="648">
          <cell r="A648">
            <v>647</v>
          </cell>
          <cell r="I648">
            <v>12</v>
          </cell>
          <cell r="J648">
            <v>57092</v>
          </cell>
          <cell r="O648" t="str">
            <v>Active</v>
          </cell>
          <cell r="Q648"/>
        </row>
        <row r="649">
          <cell r="A649">
            <v>648</v>
          </cell>
          <cell r="I649">
            <v>14</v>
          </cell>
          <cell r="J649">
            <v>149099</v>
          </cell>
          <cell r="O649" t="str">
            <v>Active</v>
          </cell>
          <cell r="Q649"/>
        </row>
        <row r="650">
          <cell r="A650">
            <v>649</v>
          </cell>
          <cell r="I650">
            <v>14</v>
          </cell>
          <cell r="J650">
            <v>99352</v>
          </cell>
          <cell r="O650" t="str">
            <v>Active</v>
          </cell>
          <cell r="Q650"/>
        </row>
        <row r="651">
          <cell r="A651">
            <v>650</v>
          </cell>
          <cell r="I651">
            <v>8</v>
          </cell>
          <cell r="J651">
            <v>44919</v>
          </cell>
          <cell r="O651" t="str">
            <v>Active</v>
          </cell>
          <cell r="Q651"/>
        </row>
        <row r="652">
          <cell r="A652">
            <v>651</v>
          </cell>
          <cell r="I652">
            <v>15</v>
          </cell>
          <cell r="J652">
            <v>55034</v>
          </cell>
          <cell r="O652" t="str">
            <v>Active</v>
          </cell>
          <cell r="Q652"/>
        </row>
        <row r="653">
          <cell r="A653">
            <v>652</v>
          </cell>
          <cell r="I653">
            <v>15</v>
          </cell>
          <cell r="J653">
            <v>60396</v>
          </cell>
          <cell r="O653" t="str">
            <v>Active</v>
          </cell>
          <cell r="Q653"/>
        </row>
        <row r="654">
          <cell r="A654">
            <v>653</v>
          </cell>
          <cell r="I654">
            <v>8</v>
          </cell>
          <cell r="J654">
            <v>147862</v>
          </cell>
          <cell r="O654" t="str">
            <v>Active</v>
          </cell>
          <cell r="Q654"/>
        </row>
        <row r="655">
          <cell r="A655">
            <v>654</v>
          </cell>
          <cell r="I655">
            <v>19</v>
          </cell>
          <cell r="J655">
            <v>69594</v>
          </cell>
          <cell r="O655" t="str">
            <v>Active</v>
          </cell>
          <cell r="Q655"/>
        </row>
        <row r="656">
          <cell r="A656">
            <v>655</v>
          </cell>
          <cell r="I656">
            <v>7</v>
          </cell>
          <cell r="J656">
            <v>145363</v>
          </cell>
          <cell r="O656" t="str">
            <v>Active</v>
          </cell>
          <cell r="Q656"/>
        </row>
        <row r="657">
          <cell r="A657">
            <v>656</v>
          </cell>
          <cell r="I657">
            <v>13</v>
          </cell>
          <cell r="J657">
            <v>70804</v>
          </cell>
          <cell r="O657" t="str">
            <v>Active</v>
          </cell>
          <cell r="Q657"/>
        </row>
        <row r="658">
          <cell r="A658">
            <v>657</v>
          </cell>
          <cell r="I658">
            <v>8</v>
          </cell>
          <cell r="J658">
            <v>65154</v>
          </cell>
          <cell r="O658" t="str">
            <v>Active</v>
          </cell>
          <cell r="Q658"/>
        </row>
        <row r="659">
          <cell r="A659">
            <v>658</v>
          </cell>
          <cell r="I659">
            <v>8</v>
          </cell>
          <cell r="J659">
            <v>61332</v>
          </cell>
          <cell r="O659" t="str">
            <v>Active</v>
          </cell>
          <cell r="Q659"/>
        </row>
        <row r="660">
          <cell r="A660">
            <v>659</v>
          </cell>
          <cell r="I660">
            <v>18</v>
          </cell>
          <cell r="J660">
            <v>72319</v>
          </cell>
          <cell r="O660" t="str">
            <v>Active</v>
          </cell>
          <cell r="Q660"/>
        </row>
        <row r="661">
          <cell r="A661">
            <v>660</v>
          </cell>
          <cell r="I661">
            <v>20</v>
          </cell>
          <cell r="J661">
            <v>139564</v>
          </cell>
          <cell r="O661" t="str">
            <v>Active</v>
          </cell>
          <cell r="Q661"/>
        </row>
        <row r="662">
          <cell r="A662">
            <v>661</v>
          </cell>
          <cell r="I662">
            <v>17</v>
          </cell>
          <cell r="J662">
            <v>63364</v>
          </cell>
          <cell r="O662" t="str">
            <v>Active</v>
          </cell>
          <cell r="Q662"/>
        </row>
        <row r="663">
          <cell r="A663">
            <v>662</v>
          </cell>
          <cell r="I663">
            <v>21</v>
          </cell>
          <cell r="J663">
            <v>86497</v>
          </cell>
          <cell r="O663" t="str">
            <v>Active</v>
          </cell>
          <cell r="Q663"/>
        </row>
        <row r="664">
          <cell r="A664">
            <v>663</v>
          </cell>
          <cell r="I664">
            <v>18</v>
          </cell>
          <cell r="J664">
            <v>117248</v>
          </cell>
          <cell r="O664" t="str">
            <v>Active</v>
          </cell>
          <cell r="Q664"/>
        </row>
        <row r="665">
          <cell r="A665">
            <v>664</v>
          </cell>
          <cell r="I665">
            <v>8</v>
          </cell>
          <cell r="J665">
            <v>133507</v>
          </cell>
          <cell r="O665" t="str">
            <v>Active</v>
          </cell>
          <cell r="Q665"/>
        </row>
        <row r="666">
          <cell r="A666">
            <v>665</v>
          </cell>
          <cell r="I666">
            <v>13</v>
          </cell>
          <cell r="J666">
            <v>135132</v>
          </cell>
          <cell r="O666" t="str">
            <v>Active</v>
          </cell>
          <cell r="Q666"/>
        </row>
        <row r="667">
          <cell r="A667">
            <v>666</v>
          </cell>
          <cell r="I667">
            <v>8</v>
          </cell>
          <cell r="J667">
            <v>52041</v>
          </cell>
          <cell r="O667" t="str">
            <v>Active</v>
          </cell>
          <cell r="Q667"/>
        </row>
        <row r="668">
          <cell r="A668">
            <v>667</v>
          </cell>
          <cell r="I668">
            <v>9</v>
          </cell>
          <cell r="J668">
            <v>73425</v>
          </cell>
          <cell r="O668" t="str">
            <v>Active</v>
          </cell>
          <cell r="Q668"/>
        </row>
        <row r="669">
          <cell r="A669">
            <v>668</v>
          </cell>
          <cell r="I669">
            <v>20</v>
          </cell>
          <cell r="J669">
            <v>46960</v>
          </cell>
          <cell r="O669" t="str">
            <v>Active</v>
          </cell>
          <cell r="Q669"/>
        </row>
        <row r="670">
          <cell r="A670">
            <v>669</v>
          </cell>
          <cell r="I670">
            <v>20</v>
          </cell>
          <cell r="J670">
            <v>104373</v>
          </cell>
          <cell r="O670" t="str">
            <v>Active</v>
          </cell>
          <cell r="Q670"/>
        </row>
        <row r="671">
          <cell r="A671">
            <v>670</v>
          </cell>
          <cell r="I671">
            <v>7</v>
          </cell>
          <cell r="J671">
            <v>102493</v>
          </cell>
          <cell r="O671" t="str">
            <v>Active</v>
          </cell>
          <cell r="Q671"/>
        </row>
        <row r="672">
          <cell r="A672">
            <v>671</v>
          </cell>
          <cell r="I672">
            <v>14</v>
          </cell>
          <cell r="J672">
            <v>55568</v>
          </cell>
          <cell r="O672" t="str">
            <v>Active</v>
          </cell>
          <cell r="Q672"/>
        </row>
        <row r="673">
          <cell r="A673">
            <v>672</v>
          </cell>
          <cell r="I673">
            <v>15</v>
          </cell>
          <cell r="J673">
            <v>75159</v>
          </cell>
          <cell r="O673" t="str">
            <v>Active</v>
          </cell>
          <cell r="Q673"/>
        </row>
        <row r="674">
          <cell r="A674">
            <v>673</v>
          </cell>
          <cell r="I674">
            <v>7</v>
          </cell>
          <cell r="J674">
            <v>51782</v>
          </cell>
          <cell r="O674" t="str">
            <v>Active</v>
          </cell>
          <cell r="Q674"/>
        </row>
        <row r="675">
          <cell r="A675">
            <v>674</v>
          </cell>
          <cell r="I675">
            <v>12</v>
          </cell>
          <cell r="J675">
            <v>41855</v>
          </cell>
          <cell r="O675" t="str">
            <v>Active</v>
          </cell>
          <cell r="Q675"/>
        </row>
        <row r="676">
          <cell r="A676">
            <v>675</v>
          </cell>
          <cell r="I676">
            <v>16</v>
          </cell>
          <cell r="J676">
            <v>143846</v>
          </cell>
          <cell r="O676" t="str">
            <v>Active</v>
          </cell>
          <cell r="Q676"/>
        </row>
        <row r="677">
          <cell r="A677">
            <v>676</v>
          </cell>
          <cell r="I677">
            <v>8</v>
          </cell>
          <cell r="J677">
            <v>101756</v>
          </cell>
          <cell r="O677" t="str">
            <v>Active</v>
          </cell>
          <cell r="Q677"/>
        </row>
        <row r="678">
          <cell r="A678">
            <v>677</v>
          </cell>
          <cell r="I678">
            <v>7</v>
          </cell>
          <cell r="J678">
            <v>136492</v>
          </cell>
          <cell r="O678" t="str">
            <v>Active</v>
          </cell>
          <cell r="Q678"/>
        </row>
        <row r="679">
          <cell r="A679">
            <v>678</v>
          </cell>
          <cell r="I679">
            <v>10</v>
          </cell>
          <cell r="J679">
            <v>82979</v>
          </cell>
          <cell r="O679" t="str">
            <v>Active</v>
          </cell>
          <cell r="Q679"/>
        </row>
        <row r="680">
          <cell r="A680">
            <v>679</v>
          </cell>
          <cell r="I680">
            <v>7</v>
          </cell>
          <cell r="J680">
            <v>40218</v>
          </cell>
          <cell r="O680" t="str">
            <v>Active</v>
          </cell>
          <cell r="Q680"/>
        </row>
        <row r="681">
          <cell r="A681">
            <v>680</v>
          </cell>
          <cell r="I681">
            <v>20</v>
          </cell>
          <cell r="J681">
            <v>60695</v>
          </cell>
          <cell r="O681" t="str">
            <v>Active</v>
          </cell>
          <cell r="Q681"/>
        </row>
        <row r="682">
          <cell r="A682">
            <v>681</v>
          </cell>
          <cell r="I682">
            <v>13</v>
          </cell>
          <cell r="J682">
            <v>47994</v>
          </cell>
          <cell r="O682" t="str">
            <v>Active</v>
          </cell>
          <cell r="Q682"/>
        </row>
        <row r="683">
          <cell r="A683">
            <v>682</v>
          </cell>
          <cell r="I683">
            <v>17</v>
          </cell>
          <cell r="J683">
            <v>50057</v>
          </cell>
          <cell r="O683" t="str">
            <v>Active</v>
          </cell>
          <cell r="Q683"/>
        </row>
        <row r="684">
          <cell r="A684">
            <v>683</v>
          </cell>
          <cell r="I684">
            <v>15</v>
          </cell>
          <cell r="J684">
            <v>135886</v>
          </cell>
          <cell r="O684" t="str">
            <v>Active</v>
          </cell>
          <cell r="Q684"/>
        </row>
        <row r="685">
          <cell r="A685">
            <v>684</v>
          </cell>
          <cell r="I685">
            <v>12</v>
          </cell>
          <cell r="J685">
            <v>77924</v>
          </cell>
          <cell r="O685" t="str">
            <v>Active</v>
          </cell>
          <cell r="Q685"/>
        </row>
        <row r="686">
          <cell r="A686">
            <v>685</v>
          </cell>
          <cell r="I686">
            <v>13</v>
          </cell>
          <cell r="J686">
            <v>136356</v>
          </cell>
          <cell r="O686" t="str">
            <v>Active</v>
          </cell>
          <cell r="Q686"/>
        </row>
        <row r="687">
          <cell r="A687">
            <v>686</v>
          </cell>
          <cell r="I687">
            <v>17</v>
          </cell>
          <cell r="J687">
            <v>104444</v>
          </cell>
          <cell r="O687" t="str">
            <v>Active</v>
          </cell>
          <cell r="Q687"/>
        </row>
        <row r="688">
          <cell r="A688">
            <v>687</v>
          </cell>
          <cell r="I688">
            <v>21</v>
          </cell>
          <cell r="J688">
            <v>49693</v>
          </cell>
          <cell r="O688" t="str">
            <v>Active</v>
          </cell>
          <cell r="Q688"/>
        </row>
        <row r="689">
          <cell r="A689">
            <v>688</v>
          </cell>
          <cell r="I689">
            <v>9</v>
          </cell>
          <cell r="J689">
            <v>90829</v>
          </cell>
          <cell r="O689" t="str">
            <v>Active</v>
          </cell>
          <cell r="Q689"/>
        </row>
        <row r="690">
          <cell r="A690">
            <v>689</v>
          </cell>
          <cell r="I690">
            <v>14</v>
          </cell>
          <cell r="J690">
            <v>62293</v>
          </cell>
          <cell r="O690" t="str">
            <v>Active</v>
          </cell>
          <cell r="Q690"/>
        </row>
        <row r="691">
          <cell r="A691">
            <v>690</v>
          </cell>
          <cell r="I691">
            <v>21</v>
          </cell>
          <cell r="J691">
            <v>57988</v>
          </cell>
          <cell r="O691" t="str">
            <v>Active</v>
          </cell>
          <cell r="Q691"/>
        </row>
        <row r="692">
          <cell r="A692">
            <v>691</v>
          </cell>
          <cell r="I692">
            <v>11</v>
          </cell>
          <cell r="J692">
            <v>113893</v>
          </cell>
          <cell r="O692" t="str">
            <v>Active</v>
          </cell>
          <cell r="Q692"/>
        </row>
        <row r="693">
          <cell r="A693">
            <v>692</v>
          </cell>
          <cell r="I693">
            <v>8</v>
          </cell>
          <cell r="J693">
            <v>58265</v>
          </cell>
          <cell r="O693" t="str">
            <v>Active</v>
          </cell>
          <cell r="Q693"/>
        </row>
        <row r="694">
          <cell r="A694">
            <v>693</v>
          </cell>
          <cell r="I694">
            <v>16</v>
          </cell>
          <cell r="J694">
            <v>143570</v>
          </cell>
          <cell r="O694" t="str">
            <v>Active</v>
          </cell>
          <cell r="Q694"/>
        </row>
        <row r="695">
          <cell r="A695">
            <v>694</v>
          </cell>
          <cell r="I695">
            <v>14</v>
          </cell>
          <cell r="J695">
            <v>116894</v>
          </cell>
          <cell r="O695" t="str">
            <v>Active</v>
          </cell>
          <cell r="Q695"/>
        </row>
        <row r="696">
          <cell r="A696">
            <v>695</v>
          </cell>
          <cell r="I696">
            <v>15</v>
          </cell>
          <cell r="J696">
            <v>82244</v>
          </cell>
          <cell r="O696" t="str">
            <v>Active</v>
          </cell>
          <cell r="Q696"/>
        </row>
        <row r="697">
          <cell r="A697">
            <v>696</v>
          </cell>
          <cell r="I697">
            <v>9</v>
          </cell>
          <cell r="J697">
            <v>92640</v>
          </cell>
          <cell r="O697" t="str">
            <v>Active</v>
          </cell>
          <cell r="Q697"/>
        </row>
        <row r="698">
          <cell r="A698">
            <v>697</v>
          </cell>
          <cell r="I698">
            <v>21</v>
          </cell>
          <cell r="J698">
            <v>123995</v>
          </cell>
          <cell r="O698" t="str">
            <v>Active</v>
          </cell>
          <cell r="Q698"/>
        </row>
        <row r="699">
          <cell r="A699">
            <v>698</v>
          </cell>
          <cell r="I699">
            <v>16</v>
          </cell>
          <cell r="J699">
            <v>97351</v>
          </cell>
          <cell r="O699" t="str">
            <v>Active</v>
          </cell>
          <cell r="Q699"/>
        </row>
        <row r="700">
          <cell r="A700">
            <v>699</v>
          </cell>
          <cell r="I700">
            <v>18</v>
          </cell>
          <cell r="J700">
            <v>133091</v>
          </cell>
          <cell r="O700" t="str">
            <v>Active</v>
          </cell>
          <cell r="Q700"/>
        </row>
        <row r="701">
          <cell r="A701">
            <v>700</v>
          </cell>
          <cell r="I701">
            <v>17</v>
          </cell>
          <cell r="J701">
            <v>100746</v>
          </cell>
          <cell r="O701" t="str">
            <v>Active</v>
          </cell>
          <cell r="Q701"/>
        </row>
        <row r="702">
          <cell r="A702">
            <v>701</v>
          </cell>
          <cell r="I702">
            <v>19</v>
          </cell>
          <cell r="J702">
            <v>101599</v>
          </cell>
          <cell r="O702" t="str">
            <v>Active</v>
          </cell>
          <cell r="Q702"/>
        </row>
        <row r="703">
          <cell r="A703">
            <v>702</v>
          </cell>
          <cell r="I703">
            <v>7</v>
          </cell>
          <cell r="J703">
            <v>77293</v>
          </cell>
          <cell r="O703" t="str">
            <v>Active</v>
          </cell>
          <cell r="Q703"/>
        </row>
        <row r="704">
          <cell r="A704">
            <v>703</v>
          </cell>
          <cell r="I704">
            <v>7</v>
          </cell>
          <cell r="J704">
            <v>119787</v>
          </cell>
          <cell r="O704" t="str">
            <v>Active</v>
          </cell>
          <cell r="Q704"/>
        </row>
        <row r="705">
          <cell r="A705">
            <v>704</v>
          </cell>
          <cell r="I705">
            <v>8</v>
          </cell>
          <cell r="J705">
            <v>114690</v>
          </cell>
          <cell r="O705" t="str">
            <v>Active</v>
          </cell>
          <cell r="Q705"/>
        </row>
        <row r="706">
          <cell r="A706">
            <v>705</v>
          </cell>
          <cell r="I706">
            <v>12</v>
          </cell>
          <cell r="J706">
            <v>97150</v>
          </cell>
          <cell r="O706" t="str">
            <v>Active</v>
          </cell>
          <cell r="Q706"/>
        </row>
        <row r="707">
          <cell r="A707">
            <v>706</v>
          </cell>
          <cell r="I707">
            <v>10</v>
          </cell>
          <cell r="J707">
            <v>91655</v>
          </cell>
          <cell r="O707" t="str">
            <v>Active</v>
          </cell>
          <cell r="Q707"/>
        </row>
        <row r="708">
          <cell r="A708">
            <v>707</v>
          </cell>
          <cell r="I708">
            <v>15</v>
          </cell>
          <cell r="J708">
            <v>124296</v>
          </cell>
          <cell r="O708" t="str">
            <v>Active</v>
          </cell>
          <cell r="Q708"/>
        </row>
        <row r="709">
          <cell r="A709">
            <v>708</v>
          </cell>
          <cell r="I709">
            <v>10</v>
          </cell>
          <cell r="J709">
            <v>66063</v>
          </cell>
          <cell r="O709" t="str">
            <v>Active</v>
          </cell>
          <cell r="Q709"/>
        </row>
        <row r="710">
          <cell r="A710">
            <v>709</v>
          </cell>
          <cell r="I710">
            <v>14</v>
          </cell>
          <cell r="J710">
            <v>138137</v>
          </cell>
          <cell r="O710" t="str">
            <v>Active</v>
          </cell>
          <cell r="Q710"/>
        </row>
        <row r="711">
          <cell r="A711">
            <v>710</v>
          </cell>
          <cell r="I711">
            <v>16</v>
          </cell>
          <cell r="J711">
            <v>49326</v>
          </cell>
          <cell r="O711" t="str">
            <v>Active</v>
          </cell>
          <cell r="Q711"/>
        </row>
        <row r="712">
          <cell r="A712">
            <v>711</v>
          </cell>
          <cell r="I712">
            <v>12</v>
          </cell>
          <cell r="J712">
            <v>80743</v>
          </cell>
          <cell r="O712" t="str">
            <v>Active</v>
          </cell>
          <cell r="Q712"/>
        </row>
        <row r="713">
          <cell r="A713">
            <v>712</v>
          </cell>
          <cell r="I713">
            <v>14</v>
          </cell>
          <cell r="J713">
            <v>105686</v>
          </cell>
          <cell r="O713" t="str">
            <v>Active</v>
          </cell>
          <cell r="Q713"/>
        </row>
        <row r="714">
          <cell r="A714">
            <v>713</v>
          </cell>
          <cell r="I714">
            <v>8</v>
          </cell>
          <cell r="J714">
            <v>65650</v>
          </cell>
          <cell r="O714" t="str">
            <v>Active</v>
          </cell>
          <cell r="Q714"/>
        </row>
        <row r="715">
          <cell r="A715">
            <v>714</v>
          </cell>
          <cell r="I715">
            <v>18</v>
          </cell>
          <cell r="J715">
            <v>86446</v>
          </cell>
          <cell r="O715" t="str">
            <v>Active</v>
          </cell>
          <cell r="Q715"/>
        </row>
        <row r="716">
          <cell r="A716">
            <v>715</v>
          </cell>
          <cell r="I716">
            <v>11</v>
          </cell>
          <cell r="J716">
            <v>132421</v>
          </cell>
          <cell r="O716" t="str">
            <v>Active</v>
          </cell>
          <cell r="Q716"/>
        </row>
        <row r="717">
          <cell r="A717">
            <v>716</v>
          </cell>
          <cell r="I717">
            <v>17</v>
          </cell>
          <cell r="J717">
            <v>69855</v>
          </cell>
          <cell r="O717" t="str">
            <v>Active</v>
          </cell>
          <cell r="Q717"/>
        </row>
        <row r="718">
          <cell r="A718">
            <v>717</v>
          </cell>
          <cell r="I718">
            <v>14</v>
          </cell>
          <cell r="J718">
            <v>80999</v>
          </cell>
          <cell r="O718" t="str">
            <v>Active</v>
          </cell>
          <cell r="Q718"/>
        </row>
        <row r="719">
          <cell r="A719">
            <v>718</v>
          </cell>
          <cell r="I719">
            <v>18</v>
          </cell>
          <cell r="J719">
            <v>66447</v>
          </cell>
          <cell r="O719" t="str">
            <v>Active</v>
          </cell>
          <cell r="Q719"/>
        </row>
        <row r="720">
          <cell r="A720">
            <v>719</v>
          </cell>
          <cell r="I720">
            <v>8</v>
          </cell>
          <cell r="J720">
            <v>135445</v>
          </cell>
          <cell r="O720" t="str">
            <v>Active</v>
          </cell>
          <cell r="Q720"/>
        </row>
        <row r="721">
          <cell r="A721">
            <v>720</v>
          </cell>
          <cell r="I721">
            <v>11</v>
          </cell>
          <cell r="J721">
            <v>57781</v>
          </cell>
          <cell r="O721" t="str">
            <v>Active</v>
          </cell>
          <cell r="Q721"/>
        </row>
        <row r="722">
          <cell r="A722">
            <v>721</v>
          </cell>
          <cell r="I722">
            <v>16</v>
          </cell>
          <cell r="J722">
            <v>83802</v>
          </cell>
          <cell r="O722" t="str">
            <v>Active</v>
          </cell>
          <cell r="Q722"/>
        </row>
        <row r="723">
          <cell r="A723">
            <v>722</v>
          </cell>
          <cell r="I723">
            <v>19</v>
          </cell>
          <cell r="J723">
            <v>73262</v>
          </cell>
          <cell r="O723" t="str">
            <v>Active</v>
          </cell>
          <cell r="Q723"/>
        </row>
        <row r="724">
          <cell r="A724">
            <v>723</v>
          </cell>
          <cell r="I724">
            <v>19</v>
          </cell>
          <cell r="J724">
            <v>89035</v>
          </cell>
          <cell r="O724" t="str">
            <v>Active</v>
          </cell>
          <cell r="Q724"/>
        </row>
        <row r="725">
          <cell r="A725">
            <v>724</v>
          </cell>
          <cell r="I725">
            <v>20</v>
          </cell>
          <cell r="J725">
            <v>125115</v>
          </cell>
          <cell r="O725" t="str">
            <v>Active</v>
          </cell>
          <cell r="Q725"/>
        </row>
        <row r="726">
          <cell r="A726">
            <v>725</v>
          </cell>
          <cell r="I726">
            <v>18</v>
          </cell>
          <cell r="J726">
            <v>80939</v>
          </cell>
          <cell r="O726" t="str">
            <v>Active</v>
          </cell>
          <cell r="Q726"/>
        </row>
        <row r="727">
          <cell r="A727">
            <v>726</v>
          </cell>
          <cell r="I727">
            <v>13</v>
          </cell>
          <cell r="J727">
            <v>49463</v>
          </cell>
          <cell r="O727" t="str">
            <v>Active</v>
          </cell>
          <cell r="Q727"/>
        </row>
        <row r="728">
          <cell r="A728">
            <v>727</v>
          </cell>
          <cell r="I728">
            <v>9</v>
          </cell>
          <cell r="J728">
            <v>83165</v>
          </cell>
          <cell r="O728" t="str">
            <v>Active</v>
          </cell>
          <cell r="Q728"/>
        </row>
        <row r="729">
          <cell r="A729">
            <v>728</v>
          </cell>
          <cell r="I729">
            <v>15</v>
          </cell>
          <cell r="J729">
            <v>125574</v>
          </cell>
          <cell r="O729" t="str">
            <v>Active</v>
          </cell>
          <cell r="Q729"/>
        </row>
        <row r="730">
          <cell r="A730">
            <v>729</v>
          </cell>
          <cell r="I730">
            <v>8</v>
          </cell>
          <cell r="J730">
            <v>119747</v>
          </cell>
          <cell r="O730" t="str">
            <v>Active</v>
          </cell>
          <cell r="Q730"/>
        </row>
        <row r="731">
          <cell r="A731">
            <v>730</v>
          </cell>
          <cell r="I731">
            <v>13</v>
          </cell>
          <cell r="J731">
            <v>57651</v>
          </cell>
          <cell r="O731" t="str">
            <v>Active</v>
          </cell>
          <cell r="Q731"/>
        </row>
        <row r="732">
          <cell r="A732">
            <v>731</v>
          </cell>
          <cell r="I732">
            <v>12</v>
          </cell>
          <cell r="J732">
            <v>70524</v>
          </cell>
          <cell r="O732" t="str">
            <v>Active</v>
          </cell>
          <cell r="Q732"/>
        </row>
        <row r="733">
          <cell r="A733">
            <v>732</v>
          </cell>
          <cell r="I733">
            <v>17</v>
          </cell>
          <cell r="J733">
            <v>50511</v>
          </cell>
          <cell r="O733" t="str">
            <v>Active</v>
          </cell>
          <cell r="Q733"/>
        </row>
        <row r="734">
          <cell r="A734">
            <v>733</v>
          </cell>
          <cell r="I734">
            <v>21</v>
          </cell>
          <cell r="J734">
            <v>58847</v>
          </cell>
          <cell r="O734" t="str">
            <v>Active</v>
          </cell>
          <cell r="Q734"/>
        </row>
        <row r="735">
          <cell r="A735">
            <v>734</v>
          </cell>
          <cell r="I735">
            <v>16</v>
          </cell>
          <cell r="J735">
            <v>58555</v>
          </cell>
          <cell r="O735" t="str">
            <v>Active</v>
          </cell>
          <cell r="Q735"/>
        </row>
        <row r="736">
          <cell r="A736">
            <v>735</v>
          </cell>
          <cell r="I736">
            <v>7</v>
          </cell>
          <cell r="J736">
            <v>116333</v>
          </cell>
          <cell r="O736" t="str">
            <v>Active</v>
          </cell>
          <cell r="Q736"/>
        </row>
        <row r="737">
          <cell r="A737">
            <v>736</v>
          </cell>
          <cell r="I737">
            <v>12</v>
          </cell>
          <cell r="J737">
            <v>80813</v>
          </cell>
          <cell r="O737" t="str">
            <v>Active</v>
          </cell>
          <cell r="Q737"/>
        </row>
        <row r="738">
          <cell r="A738">
            <v>737</v>
          </cell>
          <cell r="I738">
            <v>17</v>
          </cell>
          <cell r="J738">
            <v>142794</v>
          </cell>
          <cell r="O738" t="str">
            <v>Active</v>
          </cell>
          <cell r="Q738"/>
        </row>
        <row r="739">
          <cell r="A739">
            <v>738</v>
          </cell>
          <cell r="I739">
            <v>18</v>
          </cell>
          <cell r="J739">
            <v>65083</v>
          </cell>
          <cell r="O739" t="str">
            <v>Active</v>
          </cell>
          <cell r="Q739"/>
        </row>
        <row r="740">
          <cell r="A740">
            <v>739</v>
          </cell>
          <cell r="I740">
            <v>7</v>
          </cell>
          <cell r="J740">
            <v>125398</v>
          </cell>
          <cell r="O740" t="str">
            <v>Active</v>
          </cell>
          <cell r="Q740"/>
        </row>
        <row r="741">
          <cell r="A741">
            <v>740</v>
          </cell>
          <cell r="I741">
            <v>13</v>
          </cell>
          <cell r="J741">
            <v>98502</v>
          </cell>
          <cell r="O741" t="str">
            <v>Active</v>
          </cell>
          <cell r="Q741"/>
        </row>
        <row r="742">
          <cell r="A742">
            <v>741</v>
          </cell>
          <cell r="I742">
            <v>19</v>
          </cell>
          <cell r="J742">
            <v>90086</v>
          </cell>
          <cell r="O742" t="str">
            <v>Active</v>
          </cell>
          <cell r="Q742"/>
        </row>
        <row r="743">
          <cell r="A743">
            <v>742</v>
          </cell>
          <cell r="I743">
            <v>14</v>
          </cell>
          <cell r="J743">
            <v>77382</v>
          </cell>
          <cell r="O743" t="str">
            <v>Active</v>
          </cell>
          <cell r="Q743"/>
        </row>
        <row r="744">
          <cell r="A744">
            <v>743</v>
          </cell>
          <cell r="I744">
            <v>7</v>
          </cell>
          <cell r="J744">
            <v>113278</v>
          </cell>
          <cell r="O744" t="str">
            <v>Active</v>
          </cell>
          <cell r="Q744"/>
        </row>
        <row r="745">
          <cell r="A745">
            <v>744</v>
          </cell>
          <cell r="I745">
            <v>20</v>
          </cell>
          <cell r="J745">
            <v>129324</v>
          </cell>
          <cell r="O745" t="str">
            <v>Active</v>
          </cell>
          <cell r="Q745"/>
        </row>
        <row r="746">
          <cell r="A746">
            <v>745</v>
          </cell>
          <cell r="I746">
            <v>16</v>
          </cell>
          <cell r="J746">
            <v>108504</v>
          </cell>
          <cell r="O746" t="str">
            <v>Active</v>
          </cell>
          <cell r="Q746"/>
        </row>
        <row r="747">
          <cell r="A747">
            <v>746</v>
          </cell>
          <cell r="I747">
            <v>20</v>
          </cell>
          <cell r="J747">
            <v>145283</v>
          </cell>
          <cell r="O747" t="str">
            <v>Active</v>
          </cell>
          <cell r="Q747"/>
        </row>
        <row r="748">
          <cell r="A748">
            <v>747</v>
          </cell>
          <cell r="I748">
            <v>15</v>
          </cell>
          <cell r="J748">
            <v>82674</v>
          </cell>
          <cell r="O748" t="str">
            <v>Active</v>
          </cell>
          <cell r="Q748"/>
        </row>
        <row r="749">
          <cell r="A749">
            <v>748</v>
          </cell>
          <cell r="I749">
            <v>12</v>
          </cell>
          <cell r="J749">
            <v>119097</v>
          </cell>
          <cell r="O749" t="str">
            <v>Active</v>
          </cell>
          <cell r="Q749"/>
        </row>
        <row r="750">
          <cell r="A750">
            <v>749</v>
          </cell>
          <cell r="I750">
            <v>9</v>
          </cell>
          <cell r="J750">
            <v>60498</v>
          </cell>
          <cell r="O750" t="str">
            <v>Active</v>
          </cell>
          <cell r="Q750"/>
        </row>
        <row r="751">
          <cell r="A751">
            <v>750</v>
          </cell>
          <cell r="I751">
            <v>7</v>
          </cell>
          <cell r="J751">
            <v>108228</v>
          </cell>
          <cell r="O751" t="str">
            <v>Active</v>
          </cell>
          <cell r="Q751"/>
        </row>
        <row r="752">
          <cell r="A752">
            <v>751</v>
          </cell>
          <cell r="I752">
            <v>16</v>
          </cell>
          <cell r="J752">
            <v>106602</v>
          </cell>
          <cell r="O752" t="str">
            <v>Active</v>
          </cell>
          <cell r="Q752"/>
        </row>
        <row r="753">
          <cell r="A753">
            <v>752</v>
          </cell>
          <cell r="I753">
            <v>10</v>
          </cell>
          <cell r="J753">
            <v>95810</v>
          </cell>
          <cell r="O753" t="str">
            <v>Active</v>
          </cell>
          <cell r="Q753"/>
        </row>
        <row r="754">
          <cell r="A754">
            <v>753</v>
          </cell>
          <cell r="I754">
            <v>16</v>
          </cell>
          <cell r="J754">
            <v>149597</v>
          </cell>
          <cell r="O754" t="str">
            <v>Active</v>
          </cell>
          <cell r="Q754"/>
        </row>
        <row r="755">
          <cell r="A755">
            <v>754</v>
          </cell>
          <cell r="I755">
            <v>21</v>
          </cell>
          <cell r="J755">
            <v>57331</v>
          </cell>
          <cell r="O755" t="str">
            <v>Active</v>
          </cell>
          <cell r="Q755"/>
        </row>
        <row r="756">
          <cell r="A756">
            <v>755</v>
          </cell>
          <cell r="I756">
            <v>10</v>
          </cell>
          <cell r="J756">
            <v>49113</v>
          </cell>
          <cell r="O756" t="str">
            <v>Active</v>
          </cell>
          <cell r="Q756"/>
        </row>
        <row r="757">
          <cell r="A757">
            <v>756</v>
          </cell>
          <cell r="I757">
            <v>16</v>
          </cell>
          <cell r="J757">
            <v>80417</v>
          </cell>
          <cell r="O757" t="str">
            <v>Active</v>
          </cell>
          <cell r="Q757"/>
        </row>
        <row r="758">
          <cell r="A758">
            <v>757</v>
          </cell>
          <cell r="I758">
            <v>9</v>
          </cell>
          <cell r="J758">
            <v>122595</v>
          </cell>
          <cell r="O758" t="str">
            <v>Active</v>
          </cell>
          <cell r="Q758"/>
        </row>
        <row r="759">
          <cell r="A759">
            <v>758</v>
          </cell>
          <cell r="I759">
            <v>8</v>
          </cell>
          <cell r="J759">
            <v>126661</v>
          </cell>
          <cell r="O759" t="str">
            <v>Active</v>
          </cell>
          <cell r="Q759"/>
        </row>
        <row r="760">
          <cell r="A760">
            <v>759</v>
          </cell>
          <cell r="I760">
            <v>21</v>
          </cell>
          <cell r="J760">
            <v>127695</v>
          </cell>
          <cell r="O760" t="str">
            <v>Active</v>
          </cell>
          <cell r="Q760"/>
        </row>
        <row r="761">
          <cell r="A761">
            <v>760</v>
          </cell>
          <cell r="I761">
            <v>13</v>
          </cell>
          <cell r="J761">
            <v>66608</v>
          </cell>
          <cell r="O761" t="str">
            <v>Active</v>
          </cell>
          <cell r="Q761"/>
        </row>
        <row r="762">
          <cell r="A762">
            <v>761</v>
          </cell>
          <cell r="I762">
            <v>7</v>
          </cell>
          <cell r="J762">
            <v>106033</v>
          </cell>
          <cell r="O762" t="str">
            <v>Active</v>
          </cell>
          <cell r="Q762"/>
        </row>
        <row r="763">
          <cell r="A763">
            <v>762</v>
          </cell>
          <cell r="I763">
            <v>8</v>
          </cell>
          <cell r="J763">
            <v>103237</v>
          </cell>
          <cell r="O763" t="str">
            <v>Active</v>
          </cell>
          <cell r="Q763"/>
        </row>
        <row r="764">
          <cell r="A764">
            <v>763</v>
          </cell>
          <cell r="I764">
            <v>19</v>
          </cell>
          <cell r="J764">
            <v>122843</v>
          </cell>
          <cell r="O764" t="str">
            <v>Active</v>
          </cell>
          <cell r="Q764"/>
        </row>
        <row r="765">
          <cell r="A765">
            <v>764</v>
          </cell>
          <cell r="I765">
            <v>17</v>
          </cell>
          <cell r="J765">
            <v>51771</v>
          </cell>
          <cell r="O765" t="str">
            <v>Active</v>
          </cell>
          <cell r="Q765"/>
        </row>
        <row r="766">
          <cell r="A766">
            <v>765</v>
          </cell>
          <cell r="I766">
            <v>12</v>
          </cell>
          <cell r="J766">
            <v>107709</v>
          </cell>
          <cell r="O766" t="str">
            <v>Active</v>
          </cell>
          <cell r="Q766"/>
        </row>
        <row r="767">
          <cell r="A767">
            <v>766</v>
          </cell>
          <cell r="I767">
            <v>12</v>
          </cell>
          <cell r="J767">
            <v>104149</v>
          </cell>
          <cell r="O767" t="str">
            <v>Active</v>
          </cell>
          <cell r="Q767"/>
        </row>
        <row r="768">
          <cell r="A768">
            <v>767</v>
          </cell>
          <cell r="I768">
            <v>17</v>
          </cell>
          <cell r="J768">
            <v>91501</v>
          </cell>
          <cell r="O768" t="str">
            <v>Active</v>
          </cell>
          <cell r="Q768"/>
        </row>
        <row r="769">
          <cell r="A769">
            <v>768</v>
          </cell>
          <cell r="I769">
            <v>7</v>
          </cell>
          <cell r="J769">
            <v>42602</v>
          </cell>
          <cell r="O769" t="str">
            <v>Active</v>
          </cell>
          <cell r="Q769"/>
        </row>
        <row r="770">
          <cell r="A770">
            <v>769</v>
          </cell>
          <cell r="I770">
            <v>8</v>
          </cell>
          <cell r="J770">
            <v>132676</v>
          </cell>
          <cell r="O770" t="str">
            <v>Active</v>
          </cell>
          <cell r="Q770"/>
        </row>
        <row r="771">
          <cell r="A771">
            <v>770</v>
          </cell>
          <cell r="I771">
            <v>15</v>
          </cell>
          <cell r="J771">
            <v>140688</v>
          </cell>
          <cell r="O771" t="str">
            <v>Active</v>
          </cell>
          <cell r="Q771"/>
        </row>
        <row r="772">
          <cell r="A772">
            <v>771</v>
          </cell>
          <cell r="I772">
            <v>7</v>
          </cell>
          <cell r="J772">
            <v>51792</v>
          </cell>
          <cell r="O772" t="str">
            <v>Active</v>
          </cell>
          <cell r="Q772"/>
        </row>
        <row r="773">
          <cell r="A773">
            <v>772</v>
          </cell>
          <cell r="I773">
            <v>17</v>
          </cell>
          <cell r="J773">
            <v>100570</v>
          </cell>
          <cell r="O773" t="str">
            <v>Active</v>
          </cell>
          <cell r="Q773"/>
        </row>
        <row r="774">
          <cell r="A774">
            <v>773</v>
          </cell>
          <cell r="I774">
            <v>14</v>
          </cell>
          <cell r="J774">
            <v>60383</v>
          </cell>
          <cell r="O774" t="str">
            <v>Active</v>
          </cell>
          <cell r="Q774"/>
        </row>
        <row r="775">
          <cell r="A775">
            <v>774</v>
          </cell>
          <cell r="I775">
            <v>15</v>
          </cell>
          <cell r="J775">
            <v>68761</v>
          </cell>
          <cell r="O775" t="str">
            <v>Active</v>
          </cell>
          <cell r="Q775"/>
        </row>
        <row r="776">
          <cell r="A776">
            <v>775</v>
          </cell>
          <cell r="I776">
            <v>12</v>
          </cell>
          <cell r="J776">
            <v>131830</v>
          </cell>
          <cell r="O776" t="str">
            <v>Active</v>
          </cell>
          <cell r="Q776"/>
        </row>
        <row r="777">
          <cell r="A777">
            <v>776</v>
          </cell>
          <cell r="I777">
            <v>8</v>
          </cell>
          <cell r="J777">
            <v>107535</v>
          </cell>
          <cell r="O777" t="str">
            <v>Active</v>
          </cell>
          <cell r="Q777"/>
        </row>
        <row r="778">
          <cell r="A778">
            <v>777</v>
          </cell>
          <cell r="I778">
            <v>20</v>
          </cell>
          <cell r="J778">
            <v>95548</v>
          </cell>
          <cell r="O778" t="str">
            <v>Active</v>
          </cell>
          <cell r="Q778"/>
        </row>
        <row r="779">
          <cell r="A779">
            <v>778</v>
          </cell>
          <cell r="I779">
            <v>8</v>
          </cell>
          <cell r="J779">
            <v>116487</v>
          </cell>
          <cell r="O779" t="str">
            <v>Active</v>
          </cell>
          <cell r="Q779"/>
        </row>
        <row r="780">
          <cell r="A780">
            <v>779</v>
          </cell>
          <cell r="I780">
            <v>16</v>
          </cell>
          <cell r="J780">
            <v>148106</v>
          </cell>
          <cell r="O780" t="str">
            <v>Active</v>
          </cell>
          <cell r="Q780"/>
        </row>
        <row r="781">
          <cell r="A781">
            <v>780</v>
          </cell>
          <cell r="I781">
            <v>14</v>
          </cell>
          <cell r="J781">
            <v>135719</v>
          </cell>
          <cell r="O781" t="str">
            <v>Active</v>
          </cell>
          <cell r="Q781"/>
        </row>
        <row r="782">
          <cell r="A782">
            <v>781</v>
          </cell>
          <cell r="I782">
            <v>11</v>
          </cell>
          <cell r="J782">
            <v>121300</v>
          </cell>
          <cell r="O782" t="str">
            <v>Active</v>
          </cell>
          <cell r="Q782"/>
        </row>
        <row r="783">
          <cell r="A783">
            <v>782</v>
          </cell>
          <cell r="I783">
            <v>10</v>
          </cell>
          <cell r="J783">
            <v>120226</v>
          </cell>
          <cell r="O783" t="str">
            <v>Active</v>
          </cell>
          <cell r="Q783"/>
        </row>
        <row r="784">
          <cell r="A784">
            <v>783</v>
          </cell>
          <cell r="I784">
            <v>17</v>
          </cell>
          <cell r="J784">
            <v>44377</v>
          </cell>
          <cell r="O784" t="str">
            <v>Active</v>
          </cell>
          <cell r="Q784"/>
        </row>
        <row r="785">
          <cell r="A785">
            <v>784</v>
          </cell>
          <cell r="I785">
            <v>13</v>
          </cell>
          <cell r="J785">
            <v>102001</v>
          </cell>
          <cell r="O785" t="str">
            <v>Active</v>
          </cell>
          <cell r="Q785"/>
        </row>
        <row r="786">
          <cell r="A786">
            <v>785</v>
          </cell>
          <cell r="I786">
            <v>12</v>
          </cell>
          <cell r="J786">
            <v>99151</v>
          </cell>
          <cell r="O786" t="str">
            <v>Active</v>
          </cell>
          <cell r="Q786"/>
        </row>
        <row r="787">
          <cell r="A787">
            <v>786</v>
          </cell>
          <cell r="I787">
            <v>21</v>
          </cell>
          <cell r="J787">
            <v>123427</v>
          </cell>
          <cell r="O787" t="str">
            <v>Active</v>
          </cell>
          <cell r="Q787"/>
        </row>
        <row r="788">
          <cell r="A788">
            <v>787</v>
          </cell>
          <cell r="I788">
            <v>18</v>
          </cell>
          <cell r="J788">
            <v>135695</v>
          </cell>
          <cell r="O788" t="str">
            <v>Active</v>
          </cell>
          <cell r="Q788"/>
        </row>
        <row r="789">
          <cell r="A789">
            <v>788</v>
          </cell>
          <cell r="I789">
            <v>17</v>
          </cell>
          <cell r="J789">
            <v>102793</v>
          </cell>
          <cell r="O789" t="str">
            <v>Active</v>
          </cell>
          <cell r="Q789"/>
        </row>
        <row r="790">
          <cell r="A790">
            <v>789</v>
          </cell>
          <cell r="I790">
            <v>16</v>
          </cell>
          <cell r="J790">
            <v>130188</v>
          </cell>
          <cell r="O790" t="str">
            <v>Active</v>
          </cell>
          <cell r="Q790"/>
        </row>
        <row r="791">
          <cell r="A791">
            <v>790</v>
          </cell>
          <cell r="I791">
            <v>8</v>
          </cell>
          <cell r="J791">
            <v>97607</v>
          </cell>
          <cell r="O791" t="str">
            <v>Active</v>
          </cell>
          <cell r="Q791"/>
        </row>
        <row r="792">
          <cell r="A792">
            <v>791</v>
          </cell>
          <cell r="I792">
            <v>8</v>
          </cell>
          <cell r="J792">
            <v>93534</v>
          </cell>
          <cell r="O792" t="str">
            <v>Active</v>
          </cell>
          <cell r="Q792"/>
        </row>
        <row r="793">
          <cell r="A793">
            <v>792</v>
          </cell>
          <cell r="I793">
            <v>14</v>
          </cell>
          <cell r="J793">
            <v>95787</v>
          </cell>
          <cell r="O793" t="str">
            <v>Active</v>
          </cell>
          <cell r="Q793"/>
        </row>
        <row r="794">
          <cell r="A794">
            <v>793</v>
          </cell>
          <cell r="I794">
            <v>10</v>
          </cell>
          <cell r="J794">
            <v>120086</v>
          </cell>
          <cell r="O794" t="str">
            <v>Active</v>
          </cell>
          <cell r="Q794"/>
        </row>
        <row r="795">
          <cell r="A795">
            <v>794</v>
          </cell>
          <cell r="I795">
            <v>12</v>
          </cell>
          <cell r="J795">
            <v>119414</v>
          </cell>
          <cell r="O795" t="str">
            <v>Active</v>
          </cell>
          <cell r="Q795"/>
        </row>
        <row r="796">
          <cell r="A796">
            <v>795</v>
          </cell>
          <cell r="I796">
            <v>13</v>
          </cell>
          <cell r="J796">
            <v>79952</v>
          </cell>
          <cell r="O796" t="str">
            <v>Active</v>
          </cell>
          <cell r="Q796"/>
        </row>
        <row r="797">
          <cell r="A797">
            <v>796</v>
          </cell>
          <cell r="I797">
            <v>17</v>
          </cell>
          <cell r="J797">
            <v>138682</v>
          </cell>
          <cell r="O797" t="str">
            <v>Active</v>
          </cell>
          <cell r="Q797"/>
        </row>
        <row r="798">
          <cell r="A798">
            <v>797</v>
          </cell>
          <cell r="I798">
            <v>18</v>
          </cell>
          <cell r="J798">
            <v>49667</v>
          </cell>
          <cell r="O798" t="str">
            <v>Active</v>
          </cell>
          <cell r="Q798"/>
        </row>
        <row r="799">
          <cell r="A799">
            <v>798</v>
          </cell>
          <cell r="I799">
            <v>13</v>
          </cell>
          <cell r="J799">
            <v>83798</v>
          </cell>
          <cell r="O799" t="str">
            <v>Active</v>
          </cell>
          <cell r="Q799"/>
        </row>
        <row r="800">
          <cell r="A800">
            <v>799</v>
          </cell>
          <cell r="I800">
            <v>8</v>
          </cell>
          <cell r="J800">
            <v>146024</v>
          </cell>
          <cell r="O800" t="str">
            <v>Active</v>
          </cell>
          <cell r="Q800"/>
        </row>
        <row r="801">
          <cell r="A801">
            <v>800</v>
          </cell>
          <cell r="I801">
            <v>21</v>
          </cell>
          <cell r="J801">
            <v>144841</v>
          </cell>
          <cell r="O801" t="str">
            <v>Active</v>
          </cell>
          <cell r="Q801"/>
        </row>
        <row r="802">
          <cell r="A802">
            <v>801</v>
          </cell>
          <cell r="I802">
            <v>9</v>
          </cell>
          <cell r="J802">
            <v>101582</v>
          </cell>
          <cell r="O802" t="str">
            <v>Active</v>
          </cell>
          <cell r="Q802"/>
        </row>
        <row r="803">
          <cell r="A803">
            <v>802</v>
          </cell>
          <cell r="I803">
            <v>15</v>
          </cell>
          <cell r="J803">
            <v>100716</v>
          </cell>
          <cell r="O803" t="str">
            <v>Active</v>
          </cell>
          <cell r="Q803"/>
        </row>
        <row r="804">
          <cell r="A804">
            <v>803</v>
          </cell>
          <cell r="I804">
            <v>10</v>
          </cell>
          <cell r="J804">
            <v>72016</v>
          </cell>
          <cell r="O804" t="str">
            <v>Active</v>
          </cell>
          <cell r="Q804"/>
        </row>
        <row r="805">
          <cell r="A805">
            <v>804</v>
          </cell>
          <cell r="I805">
            <v>16</v>
          </cell>
          <cell r="J805">
            <v>123156</v>
          </cell>
          <cell r="O805" t="str">
            <v>Active</v>
          </cell>
          <cell r="Q805"/>
        </row>
        <row r="806">
          <cell r="A806">
            <v>805</v>
          </cell>
          <cell r="I806">
            <v>7</v>
          </cell>
          <cell r="J806">
            <v>110058</v>
          </cell>
          <cell r="O806" t="str">
            <v>Active</v>
          </cell>
          <cell r="Q806"/>
        </row>
        <row r="807">
          <cell r="A807">
            <v>806</v>
          </cell>
          <cell r="I807">
            <v>10</v>
          </cell>
          <cell r="J807">
            <v>117092</v>
          </cell>
          <cell r="O807" t="str">
            <v>Active</v>
          </cell>
          <cell r="Q807"/>
        </row>
        <row r="808">
          <cell r="A808">
            <v>807</v>
          </cell>
          <cell r="I808">
            <v>16</v>
          </cell>
          <cell r="J808">
            <v>148816</v>
          </cell>
          <cell r="O808" t="str">
            <v>Active</v>
          </cell>
          <cell r="Q808"/>
        </row>
        <row r="809">
          <cell r="A809">
            <v>808</v>
          </cell>
          <cell r="I809">
            <v>12</v>
          </cell>
          <cell r="J809">
            <v>79031</v>
          </cell>
          <cell r="O809" t="str">
            <v>Active</v>
          </cell>
          <cell r="Q809"/>
        </row>
        <row r="810">
          <cell r="A810">
            <v>809</v>
          </cell>
          <cell r="I810">
            <v>15</v>
          </cell>
          <cell r="J810">
            <v>128448</v>
          </cell>
          <cell r="O810" t="str">
            <v>Active</v>
          </cell>
          <cell r="Q810"/>
        </row>
        <row r="811">
          <cell r="A811">
            <v>810</v>
          </cell>
          <cell r="I811">
            <v>8</v>
          </cell>
          <cell r="J811">
            <v>138478</v>
          </cell>
          <cell r="O811" t="str">
            <v>Active</v>
          </cell>
          <cell r="Q811"/>
        </row>
        <row r="812">
          <cell r="A812">
            <v>811</v>
          </cell>
          <cell r="I812">
            <v>11</v>
          </cell>
          <cell r="J812">
            <v>41026</v>
          </cell>
          <cell r="O812" t="str">
            <v>Active</v>
          </cell>
          <cell r="Q812"/>
        </row>
        <row r="813">
          <cell r="A813">
            <v>812</v>
          </cell>
          <cell r="I813">
            <v>15</v>
          </cell>
          <cell r="J813">
            <v>131816</v>
          </cell>
          <cell r="O813" t="str">
            <v>Active</v>
          </cell>
          <cell r="Q813"/>
        </row>
        <row r="814">
          <cell r="A814">
            <v>813</v>
          </cell>
          <cell r="I814">
            <v>8</v>
          </cell>
          <cell r="J814">
            <v>85647</v>
          </cell>
          <cell r="O814" t="str">
            <v>Active</v>
          </cell>
          <cell r="Q814"/>
        </row>
        <row r="815">
          <cell r="A815">
            <v>814</v>
          </cell>
          <cell r="I815">
            <v>21</v>
          </cell>
          <cell r="J815">
            <v>49457</v>
          </cell>
          <cell r="O815" t="str">
            <v>Active</v>
          </cell>
          <cell r="Q815"/>
        </row>
        <row r="816">
          <cell r="A816">
            <v>815</v>
          </cell>
          <cell r="I816">
            <v>7</v>
          </cell>
          <cell r="J816">
            <v>80763</v>
          </cell>
          <cell r="O816" t="str">
            <v>Active</v>
          </cell>
          <cell r="Q816"/>
        </row>
        <row r="817">
          <cell r="A817">
            <v>816</v>
          </cell>
          <cell r="I817">
            <v>8</v>
          </cell>
          <cell r="J817">
            <v>107093</v>
          </cell>
          <cell r="O817" t="str">
            <v>Active</v>
          </cell>
          <cell r="Q817"/>
        </row>
        <row r="818">
          <cell r="A818">
            <v>817</v>
          </cell>
          <cell r="I818">
            <v>13</v>
          </cell>
          <cell r="J818">
            <v>138970</v>
          </cell>
          <cell r="O818" t="str">
            <v>Active</v>
          </cell>
          <cell r="Q818"/>
        </row>
        <row r="819">
          <cell r="A819">
            <v>818</v>
          </cell>
          <cell r="I819">
            <v>19</v>
          </cell>
          <cell r="J819">
            <v>82077</v>
          </cell>
          <cell r="O819" t="str">
            <v>Active</v>
          </cell>
          <cell r="Q819"/>
        </row>
        <row r="820">
          <cell r="A820">
            <v>819</v>
          </cell>
          <cell r="I820">
            <v>7</v>
          </cell>
          <cell r="J820">
            <v>83237</v>
          </cell>
          <cell r="O820" t="str">
            <v>Active</v>
          </cell>
          <cell r="Q820"/>
        </row>
        <row r="821">
          <cell r="A821">
            <v>820</v>
          </cell>
          <cell r="I821">
            <v>19</v>
          </cell>
          <cell r="J821">
            <v>107749</v>
          </cell>
          <cell r="O821" t="str">
            <v>Active</v>
          </cell>
          <cell r="Q821"/>
        </row>
        <row r="822">
          <cell r="A822">
            <v>821</v>
          </cell>
          <cell r="I822">
            <v>9</v>
          </cell>
          <cell r="J822">
            <v>149114</v>
          </cell>
          <cell r="O822" t="str">
            <v>Active</v>
          </cell>
          <cell r="Q822"/>
        </row>
        <row r="823">
          <cell r="A823">
            <v>822</v>
          </cell>
          <cell r="I823">
            <v>14</v>
          </cell>
          <cell r="J823">
            <v>107240</v>
          </cell>
          <cell r="O823" t="str">
            <v>Active</v>
          </cell>
          <cell r="Q823"/>
        </row>
        <row r="824">
          <cell r="A824">
            <v>823</v>
          </cell>
          <cell r="I824">
            <v>13</v>
          </cell>
          <cell r="J824">
            <v>134334</v>
          </cell>
          <cell r="O824" t="str">
            <v>Active</v>
          </cell>
          <cell r="Q824"/>
        </row>
        <row r="825">
          <cell r="A825">
            <v>824</v>
          </cell>
          <cell r="I825">
            <v>19</v>
          </cell>
          <cell r="J825">
            <v>72008</v>
          </cell>
          <cell r="O825" t="str">
            <v>Active</v>
          </cell>
          <cell r="Q825"/>
        </row>
        <row r="826">
          <cell r="A826">
            <v>825</v>
          </cell>
          <cell r="I826">
            <v>21</v>
          </cell>
          <cell r="J826">
            <v>89285</v>
          </cell>
          <cell r="O826" t="str">
            <v>Active</v>
          </cell>
          <cell r="Q826"/>
        </row>
        <row r="827">
          <cell r="A827">
            <v>826</v>
          </cell>
          <cell r="I827">
            <v>18</v>
          </cell>
          <cell r="J827">
            <v>131075</v>
          </cell>
          <cell r="O827" t="str">
            <v>Active</v>
          </cell>
          <cell r="Q827"/>
        </row>
        <row r="828">
          <cell r="A828">
            <v>827</v>
          </cell>
          <cell r="I828">
            <v>12</v>
          </cell>
          <cell r="J828">
            <v>110383</v>
          </cell>
          <cell r="O828" t="str">
            <v>Active</v>
          </cell>
          <cell r="Q828"/>
        </row>
        <row r="829">
          <cell r="A829">
            <v>828</v>
          </cell>
          <cell r="I829">
            <v>16</v>
          </cell>
          <cell r="J829">
            <v>149586</v>
          </cell>
          <cell r="O829" t="str">
            <v>Active</v>
          </cell>
          <cell r="Q829"/>
        </row>
        <row r="830">
          <cell r="A830">
            <v>829</v>
          </cell>
          <cell r="I830">
            <v>19</v>
          </cell>
          <cell r="J830">
            <v>89503</v>
          </cell>
          <cell r="O830" t="str">
            <v>Active</v>
          </cell>
          <cell r="Q830"/>
        </row>
        <row r="831">
          <cell r="A831">
            <v>830</v>
          </cell>
          <cell r="I831">
            <v>11</v>
          </cell>
          <cell r="J831">
            <v>149336</v>
          </cell>
          <cell r="O831" t="str">
            <v>Active</v>
          </cell>
          <cell r="Q831"/>
        </row>
        <row r="832">
          <cell r="A832">
            <v>831</v>
          </cell>
          <cell r="I832">
            <v>15</v>
          </cell>
          <cell r="J832">
            <v>140276</v>
          </cell>
          <cell r="O832" t="str">
            <v>Active</v>
          </cell>
          <cell r="Q832"/>
        </row>
        <row r="833">
          <cell r="A833">
            <v>832</v>
          </cell>
          <cell r="I833">
            <v>20</v>
          </cell>
          <cell r="J833">
            <v>127875</v>
          </cell>
          <cell r="O833" t="str">
            <v>Active</v>
          </cell>
          <cell r="Q833"/>
        </row>
        <row r="834">
          <cell r="A834">
            <v>833</v>
          </cell>
          <cell r="I834">
            <v>12</v>
          </cell>
          <cell r="J834">
            <v>137704</v>
          </cell>
          <cell r="O834" t="str">
            <v>Active</v>
          </cell>
          <cell r="Q834"/>
        </row>
        <row r="835">
          <cell r="A835">
            <v>834</v>
          </cell>
          <cell r="I835">
            <v>8</v>
          </cell>
          <cell r="J835">
            <v>149221</v>
          </cell>
          <cell r="O835" t="str">
            <v>Active</v>
          </cell>
          <cell r="Q835"/>
        </row>
        <row r="836">
          <cell r="A836">
            <v>835</v>
          </cell>
          <cell r="I836">
            <v>7</v>
          </cell>
          <cell r="J836">
            <v>148573</v>
          </cell>
          <cell r="O836" t="str">
            <v>Active</v>
          </cell>
          <cell r="Q836"/>
        </row>
        <row r="837">
          <cell r="A837">
            <v>836</v>
          </cell>
          <cell r="I837">
            <v>19</v>
          </cell>
          <cell r="J837">
            <v>125378</v>
          </cell>
          <cell r="O837" t="str">
            <v>Active</v>
          </cell>
          <cell r="Q837"/>
        </row>
        <row r="838">
          <cell r="A838">
            <v>837</v>
          </cell>
          <cell r="I838">
            <v>15</v>
          </cell>
          <cell r="J838">
            <v>66420</v>
          </cell>
          <cell r="O838" t="str">
            <v>Active</v>
          </cell>
          <cell r="Q838"/>
        </row>
        <row r="839">
          <cell r="A839">
            <v>838</v>
          </cell>
          <cell r="I839">
            <v>13</v>
          </cell>
          <cell r="J839">
            <v>117171</v>
          </cell>
          <cell r="O839" t="str">
            <v>Active</v>
          </cell>
          <cell r="Q839"/>
        </row>
        <row r="840">
          <cell r="A840">
            <v>839</v>
          </cell>
          <cell r="I840">
            <v>13</v>
          </cell>
          <cell r="J840">
            <v>145962</v>
          </cell>
          <cell r="O840" t="str">
            <v>Active</v>
          </cell>
          <cell r="Q840"/>
        </row>
        <row r="841">
          <cell r="A841">
            <v>840</v>
          </cell>
          <cell r="I841">
            <v>20</v>
          </cell>
          <cell r="J841">
            <v>73778</v>
          </cell>
          <cell r="O841" t="str">
            <v>Active</v>
          </cell>
          <cell r="Q841"/>
        </row>
        <row r="842">
          <cell r="A842">
            <v>841</v>
          </cell>
          <cell r="I842">
            <v>13</v>
          </cell>
          <cell r="J842">
            <v>76731</v>
          </cell>
          <cell r="O842" t="str">
            <v>Active</v>
          </cell>
          <cell r="Q842"/>
        </row>
        <row r="843">
          <cell r="A843">
            <v>842</v>
          </cell>
          <cell r="I843">
            <v>13</v>
          </cell>
          <cell r="J843">
            <v>101653</v>
          </cell>
          <cell r="O843" t="str">
            <v>Active</v>
          </cell>
          <cell r="Q843"/>
        </row>
        <row r="844">
          <cell r="A844">
            <v>843</v>
          </cell>
          <cell r="I844">
            <v>20</v>
          </cell>
          <cell r="J844">
            <v>62534</v>
          </cell>
          <cell r="O844" t="str">
            <v>Active</v>
          </cell>
          <cell r="Q844"/>
        </row>
        <row r="845">
          <cell r="A845">
            <v>844</v>
          </cell>
          <cell r="I845">
            <v>8</v>
          </cell>
          <cell r="J845">
            <v>100428</v>
          </cell>
          <cell r="O845" t="str">
            <v>Active</v>
          </cell>
          <cell r="Q845"/>
        </row>
        <row r="846">
          <cell r="A846">
            <v>845</v>
          </cell>
          <cell r="I846">
            <v>20</v>
          </cell>
          <cell r="J846">
            <v>109828</v>
          </cell>
          <cell r="O846" t="str">
            <v>Active</v>
          </cell>
          <cell r="Q846"/>
        </row>
        <row r="847">
          <cell r="A847">
            <v>846</v>
          </cell>
          <cell r="I847">
            <v>20</v>
          </cell>
          <cell r="J847">
            <v>63133</v>
          </cell>
          <cell r="O847" t="str">
            <v>Active</v>
          </cell>
          <cell r="Q847"/>
        </row>
        <row r="848">
          <cell r="A848">
            <v>847</v>
          </cell>
          <cell r="I848">
            <v>13</v>
          </cell>
          <cell r="J848">
            <v>91532</v>
          </cell>
          <cell r="O848" t="str">
            <v>Active</v>
          </cell>
          <cell r="Q848"/>
        </row>
        <row r="849">
          <cell r="A849">
            <v>848</v>
          </cell>
          <cell r="I849">
            <v>16</v>
          </cell>
          <cell r="J849">
            <v>101646</v>
          </cell>
          <cell r="O849" t="str">
            <v>Active</v>
          </cell>
          <cell r="Q849"/>
        </row>
        <row r="850">
          <cell r="A850">
            <v>849</v>
          </cell>
          <cell r="I850">
            <v>19</v>
          </cell>
          <cell r="J850">
            <v>68034</v>
          </cell>
          <cell r="O850" t="str">
            <v>Active</v>
          </cell>
          <cell r="Q850"/>
        </row>
        <row r="851">
          <cell r="A851">
            <v>850</v>
          </cell>
          <cell r="I851">
            <v>9</v>
          </cell>
          <cell r="J851">
            <v>55214</v>
          </cell>
          <cell r="O851" t="str">
            <v>Active</v>
          </cell>
          <cell r="Q851"/>
        </row>
        <row r="852">
          <cell r="A852">
            <v>851</v>
          </cell>
          <cell r="I852">
            <v>19</v>
          </cell>
          <cell r="J852">
            <v>136448</v>
          </cell>
          <cell r="O852" t="str">
            <v>Active</v>
          </cell>
          <cell r="Q852"/>
        </row>
        <row r="853">
          <cell r="A853">
            <v>852</v>
          </cell>
          <cell r="I853">
            <v>11</v>
          </cell>
          <cell r="J853">
            <v>76086</v>
          </cell>
          <cell r="O853" t="str">
            <v>Active</v>
          </cell>
          <cell r="Q853"/>
        </row>
        <row r="854">
          <cell r="A854">
            <v>853</v>
          </cell>
          <cell r="I854">
            <v>8</v>
          </cell>
          <cell r="J854">
            <v>128947</v>
          </cell>
          <cell r="O854" t="str">
            <v>Active</v>
          </cell>
          <cell r="Q854"/>
        </row>
        <row r="855">
          <cell r="A855">
            <v>854</v>
          </cell>
          <cell r="I855">
            <v>15</v>
          </cell>
          <cell r="J855">
            <v>113354</v>
          </cell>
          <cell r="O855" t="str">
            <v>Active</v>
          </cell>
          <cell r="Q855"/>
        </row>
        <row r="856">
          <cell r="A856">
            <v>855</v>
          </cell>
          <cell r="I856">
            <v>9</v>
          </cell>
          <cell r="J856">
            <v>75125</v>
          </cell>
          <cell r="O856" t="str">
            <v>Active</v>
          </cell>
          <cell r="Q856"/>
        </row>
        <row r="857">
          <cell r="A857">
            <v>856</v>
          </cell>
          <cell r="I857">
            <v>17</v>
          </cell>
          <cell r="J857">
            <v>139714</v>
          </cell>
          <cell r="O857" t="str">
            <v>Active</v>
          </cell>
          <cell r="Q857"/>
        </row>
        <row r="858">
          <cell r="A858">
            <v>857</v>
          </cell>
          <cell r="I858">
            <v>18</v>
          </cell>
          <cell r="J858">
            <v>43537</v>
          </cell>
          <cell r="O858" t="str">
            <v>Active</v>
          </cell>
          <cell r="Q858"/>
        </row>
        <row r="859">
          <cell r="A859">
            <v>858</v>
          </cell>
          <cell r="I859">
            <v>20</v>
          </cell>
          <cell r="J859">
            <v>127521</v>
          </cell>
          <cell r="O859" t="str">
            <v>Active</v>
          </cell>
          <cell r="Q859"/>
        </row>
        <row r="860">
          <cell r="A860">
            <v>859</v>
          </cell>
          <cell r="I860">
            <v>14</v>
          </cell>
          <cell r="J860">
            <v>112510</v>
          </cell>
          <cell r="O860" t="str">
            <v>Active</v>
          </cell>
          <cell r="Q860"/>
        </row>
        <row r="861">
          <cell r="A861">
            <v>860</v>
          </cell>
          <cell r="I861">
            <v>17</v>
          </cell>
          <cell r="J861">
            <v>115009</v>
          </cell>
          <cell r="O861" t="str">
            <v>Active</v>
          </cell>
          <cell r="Q861"/>
        </row>
        <row r="862">
          <cell r="A862">
            <v>861</v>
          </cell>
          <cell r="I862">
            <v>8</v>
          </cell>
          <cell r="J862">
            <v>64381</v>
          </cell>
          <cell r="O862" t="str">
            <v>Active</v>
          </cell>
          <cell r="Q862"/>
        </row>
        <row r="863">
          <cell r="A863">
            <v>862</v>
          </cell>
          <cell r="I863">
            <v>20</v>
          </cell>
          <cell r="J863">
            <v>149929</v>
          </cell>
          <cell r="O863" t="str">
            <v>Active</v>
          </cell>
          <cell r="Q863"/>
        </row>
        <row r="864">
          <cell r="A864">
            <v>863</v>
          </cell>
          <cell r="I864">
            <v>20</v>
          </cell>
          <cell r="J864">
            <v>101006</v>
          </cell>
          <cell r="O864" t="str">
            <v>Active</v>
          </cell>
          <cell r="Q864"/>
        </row>
        <row r="865">
          <cell r="A865">
            <v>864</v>
          </cell>
          <cell r="I865">
            <v>8</v>
          </cell>
          <cell r="J865">
            <v>47716</v>
          </cell>
          <cell r="O865" t="str">
            <v>Active</v>
          </cell>
          <cell r="Q865"/>
        </row>
        <row r="866">
          <cell r="A866">
            <v>865</v>
          </cell>
          <cell r="I866">
            <v>13</v>
          </cell>
          <cell r="J866">
            <v>126420</v>
          </cell>
          <cell r="O866" t="str">
            <v>Active</v>
          </cell>
          <cell r="Q866"/>
        </row>
        <row r="867">
          <cell r="A867">
            <v>866</v>
          </cell>
          <cell r="I867">
            <v>10</v>
          </cell>
          <cell r="J867">
            <v>55265</v>
          </cell>
          <cell r="O867" t="str">
            <v>Active</v>
          </cell>
          <cell r="Q867"/>
        </row>
        <row r="868">
          <cell r="A868">
            <v>867</v>
          </cell>
          <cell r="I868">
            <v>9</v>
          </cell>
          <cell r="J868">
            <v>95679</v>
          </cell>
          <cell r="O868" t="str">
            <v>Active</v>
          </cell>
          <cell r="Q868"/>
        </row>
        <row r="869">
          <cell r="A869">
            <v>868</v>
          </cell>
          <cell r="I869">
            <v>18</v>
          </cell>
          <cell r="J869">
            <v>52612</v>
          </cell>
          <cell r="O869" t="str">
            <v>Active</v>
          </cell>
          <cell r="Q869"/>
        </row>
        <row r="870">
          <cell r="A870">
            <v>869</v>
          </cell>
          <cell r="I870">
            <v>11</v>
          </cell>
          <cell r="J870">
            <v>130849</v>
          </cell>
          <cell r="O870" t="str">
            <v>Active</v>
          </cell>
          <cell r="Q870"/>
        </row>
        <row r="871">
          <cell r="A871">
            <v>870</v>
          </cell>
          <cell r="I871">
            <v>15</v>
          </cell>
          <cell r="J871">
            <v>141753</v>
          </cell>
          <cell r="O871" t="str">
            <v>Active</v>
          </cell>
          <cell r="Q871"/>
        </row>
        <row r="872">
          <cell r="A872">
            <v>871</v>
          </cell>
          <cell r="I872">
            <v>14</v>
          </cell>
          <cell r="J872">
            <v>133492</v>
          </cell>
          <cell r="O872" t="str">
            <v>Active</v>
          </cell>
          <cell r="Q872"/>
        </row>
        <row r="873">
          <cell r="A873">
            <v>872</v>
          </cell>
          <cell r="I873">
            <v>17</v>
          </cell>
          <cell r="J873">
            <v>112126</v>
          </cell>
          <cell r="O873" t="str">
            <v>Active</v>
          </cell>
          <cell r="Q873"/>
        </row>
        <row r="874">
          <cell r="A874">
            <v>873</v>
          </cell>
          <cell r="I874">
            <v>15</v>
          </cell>
          <cell r="J874">
            <v>140078</v>
          </cell>
          <cell r="O874" t="str">
            <v>Active</v>
          </cell>
          <cell r="Q874"/>
        </row>
        <row r="875">
          <cell r="A875">
            <v>874</v>
          </cell>
          <cell r="I875">
            <v>9</v>
          </cell>
          <cell r="J875">
            <v>119769</v>
          </cell>
          <cell r="O875" t="str">
            <v>Active</v>
          </cell>
          <cell r="Q875"/>
        </row>
        <row r="876">
          <cell r="A876">
            <v>875</v>
          </cell>
          <cell r="I876">
            <v>14</v>
          </cell>
          <cell r="J876">
            <v>115911</v>
          </cell>
          <cell r="O876" t="str">
            <v>Active</v>
          </cell>
          <cell r="Q876"/>
        </row>
        <row r="877">
          <cell r="A877">
            <v>876</v>
          </cell>
          <cell r="I877">
            <v>18</v>
          </cell>
          <cell r="J877">
            <v>75676</v>
          </cell>
          <cell r="O877" t="str">
            <v>Active</v>
          </cell>
          <cell r="Q877"/>
        </row>
        <row r="878">
          <cell r="A878">
            <v>877</v>
          </cell>
          <cell r="I878">
            <v>16</v>
          </cell>
          <cell r="J878">
            <v>144932</v>
          </cell>
          <cell r="O878" t="str">
            <v>Active</v>
          </cell>
          <cell r="Q878"/>
        </row>
        <row r="879">
          <cell r="A879">
            <v>878</v>
          </cell>
          <cell r="I879">
            <v>11</v>
          </cell>
          <cell r="J879">
            <v>80102</v>
          </cell>
          <cell r="O879" t="str">
            <v>Active</v>
          </cell>
          <cell r="Q879"/>
        </row>
        <row r="880">
          <cell r="A880">
            <v>879</v>
          </cell>
          <cell r="I880">
            <v>10</v>
          </cell>
          <cell r="J880">
            <v>144661</v>
          </cell>
          <cell r="O880" t="str">
            <v>Active</v>
          </cell>
          <cell r="Q880"/>
        </row>
        <row r="881">
          <cell r="A881">
            <v>880</v>
          </cell>
          <cell r="I881">
            <v>20</v>
          </cell>
          <cell r="J881">
            <v>60268</v>
          </cell>
          <cell r="O881" t="str">
            <v>Active</v>
          </cell>
          <cell r="Q881"/>
        </row>
        <row r="882">
          <cell r="A882">
            <v>881</v>
          </cell>
          <cell r="I882">
            <v>7</v>
          </cell>
          <cell r="J882">
            <v>94072</v>
          </cell>
          <cell r="O882" t="str">
            <v>Active</v>
          </cell>
          <cell r="Q882"/>
        </row>
        <row r="883">
          <cell r="A883">
            <v>882</v>
          </cell>
          <cell r="I883">
            <v>15</v>
          </cell>
          <cell r="J883">
            <v>85249</v>
          </cell>
          <cell r="O883" t="str">
            <v>Active</v>
          </cell>
          <cell r="Q883"/>
        </row>
        <row r="884">
          <cell r="A884">
            <v>883</v>
          </cell>
          <cell r="I884">
            <v>14</v>
          </cell>
          <cell r="J884">
            <v>66059</v>
          </cell>
          <cell r="O884" t="str">
            <v>Active</v>
          </cell>
          <cell r="Q884"/>
        </row>
        <row r="885">
          <cell r="A885">
            <v>884</v>
          </cell>
          <cell r="I885">
            <v>16</v>
          </cell>
          <cell r="J885">
            <v>80931</v>
          </cell>
          <cell r="O885" t="str">
            <v>Active</v>
          </cell>
          <cell r="Q885"/>
        </row>
        <row r="886">
          <cell r="A886">
            <v>885</v>
          </cell>
          <cell r="I886">
            <v>10</v>
          </cell>
          <cell r="J886">
            <v>118793</v>
          </cell>
          <cell r="O886" t="str">
            <v>Active</v>
          </cell>
          <cell r="Q886"/>
        </row>
        <row r="887">
          <cell r="A887">
            <v>886</v>
          </cell>
          <cell r="I887">
            <v>7</v>
          </cell>
          <cell r="J887">
            <v>62114</v>
          </cell>
          <cell r="O887" t="str">
            <v>Active</v>
          </cell>
          <cell r="Q887"/>
        </row>
        <row r="888">
          <cell r="A888">
            <v>887</v>
          </cell>
          <cell r="I888">
            <v>7</v>
          </cell>
          <cell r="J888">
            <v>131811</v>
          </cell>
          <cell r="O888" t="str">
            <v>Active</v>
          </cell>
          <cell r="Q888"/>
        </row>
        <row r="889">
          <cell r="A889">
            <v>888</v>
          </cell>
          <cell r="I889">
            <v>14</v>
          </cell>
          <cell r="J889">
            <v>143034</v>
          </cell>
          <cell r="O889" t="str">
            <v>Active</v>
          </cell>
          <cell r="Q889"/>
        </row>
        <row r="890">
          <cell r="A890">
            <v>889</v>
          </cell>
          <cell r="I890">
            <v>8</v>
          </cell>
          <cell r="J890">
            <v>41516</v>
          </cell>
          <cell r="O890" t="str">
            <v>Active</v>
          </cell>
          <cell r="Q890"/>
        </row>
        <row r="891">
          <cell r="A891">
            <v>890</v>
          </cell>
          <cell r="I891">
            <v>9</v>
          </cell>
          <cell r="J891">
            <v>72534</v>
          </cell>
          <cell r="O891" t="str">
            <v>Active</v>
          </cell>
          <cell r="Q891"/>
        </row>
        <row r="892">
          <cell r="A892">
            <v>891</v>
          </cell>
          <cell r="I892">
            <v>10</v>
          </cell>
          <cell r="J892">
            <v>140004</v>
          </cell>
          <cell r="O892" t="str">
            <v>Active</v>
          </cell>
          <cell r="Q892"/>
        </row>
        <row r="893">
          <cell r="A893">
            <v>892</v>
          </cell>
          <cell r="I893">
            <v>17</v>
          </cell>
          <cell r="J893">
            <v>114436</v>
          </cell>
          <cell r="O893" t="str">
            <v>Active</v>
          </cell>
          <cell r="Q893"/>
        </row>
        <row r="894">
          <cell r="A894">
            <v>893</v>
          </cell>
          <cell r="I894">
            <v>12</v>
          </cell>
          <cell r="J894">
            <v>68684</v>
          </cell>
          <cell r="O894" t="str">
            <v>Active</v>
          </cell>
          <cell r="Q894"/>
        </row>
        <row r="895">
          <cell r="A895">
            <v>894</v>
          </cell>
          <cell r="I895">
            <v>21</v>
          </cell>
          <cell r="J895">
            <v>135326</v>
          </cell>
          <cell r="O895" t="str">
            <v>Active</v>
          </cell>
          <cell r="Q895"/>
        </row>
        <row r="896">
          <cell r="A896">
            <v>895</v>
          </cell>
          <cell r="I896">
            <v>7</v>
          </cell>
          <cell r="J896">
            <v>40194</v>
          </cell>
          <cell r="O896" t="str">
            <v>Active</v>
          </cell>
          <cell r="Q896"/>
        </row>
        <row r="897">
          <cell r="A897">
            <v>896</v>
          </cell>
          <cell r="I897">
            <v>11</v>
          </cell>
          <cell r="J897">
            <v>134813</v>
          </cell>
          <cell r="O897" t="str">
            <v>Active</v>
          </cell>
          <cell r="Q897"/>
        </row>
        <row r="898">
          <cell r="A898">
            <v>897</v>
          </cell>
          <cell r="I898">
            <v>19</v>
          </cell>
          <cell r="J898">
            <v>79718</v>
          </cell>
          <cell r="O898" t="str">
            <v>Active</v>
          </cell>
          <cell r="Q898"/>
        </row>
        <row r="899">
          <cell r="A899">
            <v>898</v>
          </cell>
          <cell r="I899">
            <v>11</v>
          </cell>
          <cell r="J899">
            <v>115085</v>
          </cell>
          <cell r="O899" t="str">
            <v>Active</v>
          </cell>
          <cell r="Q899"/>
        </row>
        <row r="900">
          <cell r="A900">
            <v>899</v>
          </cell>
          <cell r="I900">
            <v>16</v>
          </cell>
          <cell r="J900">
            <v>67758</v>
          </cell>
          <cell r="O900" t="str">
            <v>Active</v>
          </cell>
          <cell r="Q900"/>
        </row>
        <row r="901">
          <cell r="A901">
            <v>900</v>
          </cell>
          <cell r="I901">
            <v>9</v>
          </cell>
          <cell r="J901">
            <v>115776</v>
          </cell>
          <cell r="O901" t="str">
            <v>Active</v>
          </cell>
          <cell r="Q901"/>
        </row>
        <row r="902">
          <cell r="A902">
            <v>901</v>
          </cell>
          <cell r="I902">
            <v>8</v>
          </cell>
          <cell r="J902">
            <v>146701</v>
          </cell>
          <cell r="O902" t="str">
            <v>Active</v>
          </cell>
          <cell r="Q902"/>
        </row>
        <row r="903">
          <cell r="A903">
            <v>902</v>
          </cell>
          <cell r="I903">
            <v>10</v>
          </cell>
          <cell r="J903">
            <v>109233</v>
          </cell>
          <cell r="O903" t="str">
            <v>Active</v>
          </cell>
          <cell r="Q903"/>
        </row>
        <row r="904">
          <cell r="A904">
            <v>903</v>
          </cell>
          <cell r="I904">
            <v>14</v>
          </cell>
          <cell r="J904">
            <v>113654</v>
          </cell>
          <cell r="O904" t="str">
            <v>Active</v>
          </cell>
          <cell r="Q904"/>
        </row>
        <row r="905">
          <cell r="A905">
            <v>904</v>
          </cell>
          <cell r="I905">
            <v>17</v>
          </cell>
          <cell r="J905">
            <v>90937</v>
          </cell>
          <cell r="O905" t="str">
            <v>Active</v>
          </cell>
          <cell r="Q905"/>
        </row>
        <row r="906">
          <cell r="A906">
            <v>905</v>
          </cell>
          <cell r="I906">
            <v>14</v>
          </cell>
          <cell r="J906">
            <v>111689</v>
          </cell>
          <cell r="O906" t="str">
            <v>Active</v>
          </cell>
          <cell r="Q906"/>
        </row>
        <row r="907">
          <cell r="A907">
            <v>906</v>
          </cell>
          <cell r="I907">
            <v>7</v>
          </cell>
          <cell r="J907">
            <v>110881</v>
          </cell>
          <cell r="O907" t="str">
            <v>Active</v>
          </cell>
          <cell r="Q907"/>
        </row>
        <row r="908">
          <cell r="A908">
            <v>907</v>
          </cell>
          <cell r="I908">
            <v>12</v>
          </cell>
          <cell r="J908">
            <v>104326</v>
          </cell>
          <cell r="O908" t="str">
            <v>Active</v>
          </cell>
          <cell r="Q908"/>
        </row>
        <row r="909">
          <cell r="A909">
            <v>908</v>
          </cell>
          <cell r="I909">
            <v>18</v>
          </cell>
          <cell r="J909">
            <v>144767</v>
          </cell>
          <cell r="O909" t="str">
            <v>Active</v>
          </cell>
          <cell r="Q909"/>
        </row>
        <row r="910">
          <cell r="A910">
            <v>909</v>
          </cell>
          <cell r="I910">
            <v>12</v>
          </cell>
          <cell r="J910">
            <v>111041</v>
          </cell>
          <cell r="O910" t="str">
            <v>Active</v>
          </cell>
          <cell r="Q910"/>
        </row>
        <row r="911">
          <cell r="A911">
            <v>910</v>
          </cell>
          <cell r="I911">
            <v>16</v>
          </cell>
          <cell r="J911">
            <v>148860</v>
          </cell>
          <cell r="O911" t="str">
            <v>Active</v>
          </cell>
          <cell r="Q911"/>
        </row>
        <row r="912">
          <cell r="A912">
            <v>911</v>
          </cell>
          <cell r="I912">
            <v>19</v>
          </cell>
          <cell r="J912">
            <v>53964</v>
          </cell>
          <cell r="O912" t="str">
            <v>Active</v>
          </cell>
          <cell r="Q912"/>
        </row>
        <row r="913">
          <cell r="A913">
            <v>912</v>
          </cell>
          <cell r="I913">
            <v>14</v>
          </cell>
          <cell r="J913">
            <v>131152</v>
          </cell>
          <cell r="O913" t="str">
            <v>Active</v>
          </cell>
          <cell r="Q913"/>
        </row>
        <row r="914">
          <cell r="A914">
            <v>913</v>
          </cell>
          <cell r="I914">
            <v>9</v>
          </cell>
          <cell r="J914">
            <v>116266</v>
          </cell>
          <cell r="O914" t="str">
            <v>Active</v>
          </cell>
          <cell r="Q914"/>
        </row>
        <row r="915">
          <cell r="A915">
            <v>914</v>
          </cell>
          <cell r="I915">
            <v>15</v>
          </cell>
          <cell r="J915">
            <v>143853</v>
          </cell>
          <cell r="O915" t="str">
            <v>Active</v>
          </cell>
          <cell r="Q915"/>
        </row>
        <row r="916">
          <cell r="A916">
            <v>915</v>
          </cell>
          <cell r="I916">
            <v>11</v>
          </cell>
          <cell r="J916">
            <v>92561</v>
          </cell>
          <cell r="O916" t="str">
            <v>Active</v>
          </cell>
          <cell r="Q916"/>
        </row>
        <row r="917">
          <cell r="A917">
            <v>916</v>
          </cell>
          <cell r="I917">
            <v>15</v>
          </cell>
          <cell r="J917">
            <v>45486</v>
          </cell>
          <cell r="O917" t="str">
            <v>Active</v>
          </cell>
          <cell r="Q917"/>
        </row>
        <row r="918">
          <cell r="A918">
            <v>917</v>
          </cell>
          <cell r="I918">
            <v>17</v>
          </cell>
          <cell r="J918">
            <v>95424</v>
          </cell>
          <cell r="O918" t="str">
            <v>Active</v>
          </cell>
          <cell r="Q918"/>
        </row>
        <row r="919">
          <cell r="A919">
            <v>918</v>
          </cell>
          <cell r="I919">
            <v>17</v>
          </cell>
          <cell r="J919">
            <v>73905</v>
          </cell>
          <cell r="O919" t="str">
            <v>Active</v>
          </cell>
          <cell r="Q919"/>
        </row>
        <row r="920">
          <cell r="A920">
            <v>919</v>
          </cell>
          <cell r="I920">
            <v>11</v>
          </cell>
          <cell r="J920">
            <v>53798</v>
          </cell>
          <cell r="O920" t="str">
            <v>Active</v>
          </cell>
          <cell r="Q920"/>
        </row>
        <row r="921">
          <cell r="A921">
            <v>920</v>
          </cell>
          <cell r="I921">
            <v>11</v>
          </cell>
          <cell r="J921">
            <v>116766</v>
          </cell>
          <cell r="O921" t="str">
            <v>Active</v>
          </cell>
          <cell r="Q921"/>
        </row>
        <row r="922">
          <cell r="A922">
            <v>921</v>
          </cell>
          <cell r="I922">
            <v>8</v>
          </cell>
          <cell r="J922">
            <v>142101</v>
          </cell>
          <cell r="O922" t="str">
            <v>Active</v>
          </cell>
          <cell r="Q922"/>
        </row>
        <row r="923">
          <cell r="A923">
            <v>922</v>
          </cell>
          <cell r="I923">
            <v>21</v>
          </cell>
          <cell r="J923">
            <v>41299</v>
          </cell>
          <cell r="O923" t="str">
            <v>Active</v>
          </cell>
          <cell r="Q923"/>
        </row>
        <row r="924">
          <cell r="A924">
            <v>923</v>
          </cell>
          <cell r="I924">
            <v>18</v>
          </cell>
          <cell r="J924">
            <v>122130</v>
          </cell>
          <cell r="O924" t="str">
            <v>Active</v>
          </cell>
          <cell r="Q924"/>
        </row>
        <row r="925">
          <cell r="A925">
            <v>924</v>
          </cell>
          <cell r="I925">
            <v>18</v>
          </cell>
          <cell r="J925">
            <v>122446</v>
          </cell>
          <cell r="O925" t="str">
            <v>Active</v>
          </cell>
          <cell r="Q925"/>
        </row>
        <row r="926">
          <cell r="A926">
            <v>925</v>
          </cell>
          <cell r="I926">
            <v>10</v>
          </cell>
          <cell r="J926">
            <v>127367</v>
          </cell>
          <cell r="O926" t="str">
            <v>Active</v>
          </cell>
          <cell r="Q926"/>
        </row>
        <row r="927">
          <cell r="A927">
            <v>926</v>
          </cell>
          <cell r="I927">
            <v>7</v>
          </cell>
          <cell r="J927">
            <v>50161</v>
          </cell>
          <cell r="O927" t="str">
            <v>Active</v>
          </cell>
          <cell r="Q927"/>
        </row>
        <row r="928">
          <cell r="A928">
            <v>927</v>
          </cell>
          <cell r="I928">
            <v>18</v>
          </cell>
          <cell r="J928">
            <v>82080</v>
          </cell>
          <cell r="O928" t="str">
            <v>Active</v>
          </cell>
          <cell r="Q928"/>
        </row>
        <row r="929">
          <cell r="A929">
            <v>928</v>
          </cell>
          <cell r="I929">
            <v>12</v>
          </cell>
          <cell r="J929">
            <v>62799</v>
          </cell>
          <cell r="O929" t="str">
            <v>Active</v>
          </cell>
          <cell r="Q929"/>
        </row>
        <row r="930">
          <cell r="A930">
            <v>929</v>
          </cell>
          <cell r="I930">
            <v>18</v>
          </cell>
          <cell r="J930">
            <v>66357</v>
          </cell>
          <cell r="O930" t="str">
            <v>Active</v>
          </cell>
          <cell r="Q930"/>
        </row>
        <row r="931">
          <cell r="A931">
            <v>930</v>
          </cell>
          <cell r="I931">
            <v>8</v>
          </cell>
          <cell r="J931">
            <v>129746</v>
          </cell>
          <cell r="O931" t="str">
            <v>Active</v>
          </cell>
          <cell r="Q931"/>
        </row>
        <row r="932">
          <cell r="A932">
            <v>931</v>
          </cell>
          <cell r="I932">
            <v>17</v>
          </cell>
          <cell r="J932">
            <v>63682</v>
          </cell>
          <cell r="O932" t="str">
            <v>Active</v>
          </cell>
          <cell r="Q932"/>
        </row>
        <row r="933">
          <cell r="A933">
            <v>932</v>
          </cell>
          <cell r="I933">
            <v>12</v>
          </cell>
          <cell r="J933">
            <v>134114</v>
          </cell>
          <cell r="O933" t="str">
            <v>Active</v>
          </cell>
          <cell r="Q933"/>
        </row>
        <row r="934">
          <cell r="A934">
            <v>933</v>
          </cell>
          <cell r="I934">
            <v>7</v>
          </cell>
          <cell r="J934">
            <v>131273</v>
          </cell>
          <cell r="O934" t="str">
            <v>Active</v>
          </cell>
          <cell r="Q934"/>
        </row>
        <row r="935">
          <cell r="A935">
            <v>934</v>
          </cell>
          <cell r="I935">
            <v>16</v>
          </cell>
          <cell r="J935">
            <v>93714</v>
          </cell>
          <cell r="O935" t="str">
            <v>Active</v>
          </cell>
          <cell r="Q935"/>
        </row>
        <row r="936">
          <cell r="A936">
            <v>935</v>
          </cell>
          <cell r="I936">
            <v>20</v>
          </cell>
          <cell r="J936">
            <v>146745</v>
          </cell>
          <cell r="O936" t="str">
            <v>Active</v>
          </cell>
          <cell r="Q936"/>
        </row>
        <row r="937">
          <cell r="A937">
            <v>936</v>
          </cell>
          <cell r="I937">
            <v>11</v>
          </cell>
          <cell r="J937">
            <v>126307</v>
          </cell>
          <cell r="O937" t="str">
            <v>Active</v>
          </cell>
          <cell r="Q937"/>
        </row>
        <row r="938">
          <cell r="A938">
            <v>937</v>
          </cell>
          <cell r="I938">
            <v>10</v>
          </cell>
          <cell r="J938">
            <v>134931</v>
          </cell>
          <cell r="O938" t="str">
            <v>Active</v>
          </cell>
          <cell r="Q938"/>
        </row>
        <row r="939">
          <cell r="A939">
            <v>938</v>
          </cell>
          <cell r="I939">
            <v>19</v>
          </cell>
          <cell r="J939">
            <v>73668</v>
          </cell>
          <cell r="O939" t="str">
            <v>Active</v>
          </cell>
          <cell r="Q939"/>
        </row>
        <row r="940">
          <cell r="A940">
            <v>939</v>
          </cell>
          <cell r="I940">
            <v>9</v>
          </cell>
          <cell r="J940">
            <v>48840</v>
          </cell>
          <cell r="O940" t="str">
            <v>Active</v>
          </cell>
          <cell r="Q940"/>
        </row>
        <row r="941">
          <cell r="A941">
            <v>940</v>
          </cell>
          <cell r="I941">
            <v>7</v>
          </cell>
          <cell r="J941">
            <v>146952</v>
          </cell>
          <cell r="O941" t="str">
            <v>Active</v>
          </cell>
          <cell r="Q941"/>
        </row>
        <row r="942">
          <cell r="A942">
            <v>941</v>
          </cell>
          <cell r="I942">
            <v>15</v>
          </cell>
          <cell r="J942">
            <v>73565</v>
          </cell>
          <cell r="O942" t="str">
            <v>Active</v>
          </cell>
          <cell r="Q942"/>
        </row>
        <row r="943">
          <cell r="A943">
            <v>942</v>
          </cell>
          <cell r="I943">
            <v>11</v>
          </cell>
          <cell r="J943">
            <v>64443</v>
          </cell>
          <cell r="O943" t="str">
            <v>Active</v>
          </cell>
          <cell r="Q943"/>
        </row>
        <row r="944">
          <cell r="A944">
            <v>943</v>
          </cell>
          <cell r="I944">
            <v>13</v>
          </cell>
          <cell r="J944">
            <v>127171</v>
          </cell>
          <cell r="O944" t="str">
            <v>Active</v>
          </cell>
          <cell r="Q944"/>
        </row>
        <row r="945">
          <cell r="A945">
            <v>944</v>
          </cell>
          <cell r="I945">
            <v>19</v>
          </cell>
          <cell r="J945">
            <v>79045</v>
          </cell>
          <cell r="O945" t="str">
            <v>Active</v>
          </cell>
          <cell r="Q945"/>
        </row>
        <row r="946">
          <cell r="A946">
            <v>945</v>
          </cell>
          <cell r="I946">
            <v>15</v>
          </cell>
          <cell r="J946">
            <v>117147</v>
          </cell>
          <cell r="O946" t="str">
            <v>Active</v>
          </cell>
          <cell r="Q946"/>
        </row>
        <row r="947">
          <cell r="A947">
            <v>946</v>
          </cell>
          <cell r="I947">
            <v>7</v>
          </cell>
          <cell r="J947">
            <v>69807</v>
          </cell>
          <cell r="O947" t="str">
            <v>Active</v>
          </cell>
          <cell r="Q947"/>
        </row>
        <row r="948">
          <cell r="A948">
            <v>947</v>
          </cell>
          <cell r="I948">
            <v>17</v>
          </cell>
          <cell r="J948">
            <v>128646</v>
          </cell>
          <cell r="O948" t="str">
            <v>Active</v>
          </cell>
          <cell r="Q948"/>
        </row>
        <row r="949">
          <cell r="A949">
            <v>948</v>
          </cell>
          <cell r="I949">
            <v>13</v>
          </cell>
          <cell r="J949">
            <v>47271</v>
          </cell>
          <cell r="O949" t="str">
            <v>Active</v>
          </cell>
          <cell r="Q949"/>
        </row>
        <row r="950">
          <cell r="A950">
            <v>949</v>
          </cell>
          <cell r="I950">
            <v>16</v>
          </cell>
          <cell r="J950">
            <v>59363</v>
          </cell>
          <cell r="O950" t="str">
            <v>Active</v>
          </cell>
          <cell r="Q950"/>
        </row>
        <row r="951">
          <cell r="A951">
            <v>950</v>
          </cell>
          <cell r="I951">
            <v>13</v>
          </cell>
          <cell r="J951">
            <v>68364</v>
          </cell>
          <cell r="O951" t="str">
            <v>Active</v>
          </cell>
          <cell r="Q951"/>
        </row>
        <row r="952">
          <cell r="A952">
            <v>951</v>
          </cell>
          <cell r="I952">
            <v>9</v>
          </cell>
          <cell r="J952">
            <v>115975</v>
          </cell>
          <cell r="O952" t="str">
            <v>Active</v>
          </cell>
          <cell r="Q952"/>
        </row>
        <row r="953">
          <cell r="A953">
            <v>952</v>
          </cell>
          <cell r="I953">
            <v>13</v>
          </cell>
          <cell r="J953">
            <v>53905</v>
          </cell>
          <cell r="O953" t="str">
            <v>Active</v>
          </cell>
          <cell r="Q953"/>
        </row>
        <row r="954">
          <cell r="A954">
            <v>953</v>
          </cell>
          <cell r="I954">
            <v>18</v>
          </cell>
          <cell r="J954">
            <v>115360</v>
          </cell>
          <cell r="O954" t="str">
            <v>Active</v>
          </cell>
          <cell r="Q954"/>
        </row>
        <row r="955">
          <cell r="A955">
            <v>954</v>
          </cell>
          <cell r="I955">
            <v>10</v>
          </cell>
          <cell r="J955">
            <v>120108</v>
          </cell>
          <cell r="O955" t="str">
            <v>Active</v>
          </cell>
          <cell r="Q955"/>
        </row>
        <row r="956">
          <cell r="A956">
            <v>955</v>
          </cell>
          <cell r="I956">
            <v>16</v>
          </cell>
          <cell r="J956">
            <v>59234</v>
          </cell>
          <cell r="O956" t="str">
            <v>Active</v>
          </cell>
          <cell r="Q956"/>
        </row>
        <row r="957">
          <cell r="A957">
            <v>956</v>
          </cell>
          <cell r="I957">
            <v>14</v>
          </cell>
          <cell r="J957">
            <v>76812</v>
          </cell>
          <cell r="O957" t="str">
            <v>Active</v>
          </cell>
          <cell r="Q957"/>
        </row>
        <row r="958">
          <cell r="A958">
            <v>957</v>
          </cell>
          <cell r="I958">
            <v>9</v>
          </cell>
          <cell r="J958">
            <v>42347</v>
          </cell>
          <cell r="O958" t="str">
            <v>Active</v>
          </cell>
          <cell r="Q958"/>
        </row>
        <row r="959">
          <cell r="A959">
            <v>958</v>
          </cell>
          <cell r="I959">
            <v>18</v>
          </cell>
          <cell r="J959">
            <v>82164</v>
          </cell>
          <cell r="O959" t="str">
            <v>Active</v>
          </cell>
          <cell r="Q959"/>
        </row>
        <row r="960">
          <cell r="A960">
            <v>959</v>
          </cell>
          <cell r="I960">
            <v>21</v>
          </cell>
          <cell r="J960">
            <v>114695</v>
          </cell>
          <cell r="O960" t="str">
            <v>Active</v>
          </cell>
          <cell r="Q960"/>
        </row>
        <row r="961">
          <cell r="A961">
            <v>960</v>
          </cell>
          <cell r="I961">
            <v>19</v>
          </cell>
          <cell r="J961">
            <v>47541</v>
          </cell>
          <cell r="O961" t="str">
            <v>Active</v>
          </cell>
          <cell r="Q961"/>
        </row>
        <row r="962">
          <cell r="A962">
            <v>961</v>
          </cell>
          <cell r="I962">
            <v>10</v>
          </cell>
          <cell r="J962">
            <v>116355</v>
          </cell>
          <cell r="O962" t="str">
            <v>Active</v>
          </cell>
          <cell r="Q962"/>
        </row>
        <row r="963">
          <cell r="A963">
            <v>962</v>
          </cell>
          <cell r="I963">
            <v>21</v>
          </cell>
          <cell r="J963">
            <v>48339</v>
          </cell>
          <cell r="O963" t="str">
            <v>Active</v>
          </cell>
          <cell r="Q963"/>
        </row>
        <row r="964">
          <cell r="A964">
            <v>963</v>
          </cell>
          <cell r="I964">
            <v>9</v>
          </cell>
          <cell r="J964">
            <v>58697</v>
          </cell>
          <cell r="O964" t="str">
            <v>Active</v>
          </cell>
          <cell r="Q964"/>
        </row>
        <row r="965">
          <cell r="A965">
            <v>964</v>
          </cell>
          <cell r="I965">
            <v>19</v>
          </cell>
          <cell r="J965">
            <v>127268</v>
          </cell>
          <cell r="O965" t="str">
            <v>Active</v>
          </cell>
          <cell r="Q965"/>
        </row>
        <row r="966">
          <cell r="A966">
            <v>965</v>
          </cell>
          <cell r="I966">
            <v>7</v>
          </cell>
          <cell r="J966">
            <v>115541</v>
          </cell>
          <cell r="O966" t="str">
            <v>Active</v>
          </cell>
          <cell r="Q966"/>
        </row>
        <row r="967">
          <cell r="A967">
            <v>966</v>
          </cell>
          <cell r="I967">
            <v>13</v>
          </cell>
          <cell r="J967">
            <v>54876</v>
          </cell>
          <cell r="O967" t="str">
            <v>Active</v>
          </cell>
          <cell r="Q967"/>
        </row>
        <row r="968">
          <cell r="A968">
            <v>967</v>
          </cell>
          <cell r="I968">
            <v>9</v>
          </cell>
          <cell r="J968">
            <v>55081</v>
          </cell>
          <cell r="O968" t="str">
            <v>Active</v>
          </cell>
          <cell r="Q968"/>
        </row>
        <row r="969">
          <cell r="A969">
            <v>968</v>
          </cell>
          <cell r="I969">
            <v>12</v>
          </cell>
          <cell r="J969">
            <v>123017</v>
          </cell>
          <cell r="O969" t="str">
            <v>Active</v>
          </cell>
          <cell r="Q969"/>
        </row>
        <row r="970">
          <cell r="A970">
            <v>969</v>
          </cell>
          <cell r="I970">
            <v>7</v>
          </cell>
          <cell r="J970">
            <v>85294</v>
          </cell>
          <cell r="O970" t="str">
            <v>Active</v>
          </cell>
          <cell r="Q970"/>
        </row>
        <row r="971">
          <cell r="A971">
            <v>970</v>
          </cell>
          <cell r="I971">
            <v>17</v>
          </cell>
          <cell r="J971">
            <v>54470</v>
          </cell>
          <cell r="O971" t="str">
            <v>Active</v>
          </cell>
          <cell r="Q971"/>
        </row>
        <row r="972">
          <cell r="A972">
            <v>971</v>
          </cell>
          <cell r="I972">
            <v>10</v>
          </cell>
          <cell r="J972">
            <v>148889</v>
          </cell>
          <cell r="O972" t="str">
            <v>Active</v>
          </cell>
          <cell r="Q972"/>
        </row>
        <row r="973">
          <cell r="A973">
            <v>972</v>
          </cell>
          <cell r="I973">
            <v>13</v>
          </cell>
          <cell r="J973">
            <v>94049</v>
          </cell>
          <cell r="O973" t="str">
            <v>Active</v>
          </cell>
          <cell r="Q973"/>
        </row>
        <row r="974">
          <cell r="A974">
            <v>973</v>
          </cell>
          <cell r="I974">
            <v>12</v>
          </cell>
          <cell r="J974">
            <v>51132</v>
          </cell>
          <cell r="O974" t="str">
            <v>Active</v>
          </cell>
          <cell r="Q974"/>
        </row>
        <row r="975">
          <cell r="A975">
            <v>974</v>
          </cell>
          <cell r="I975">
            <v>19</v>
          </cell>
          <cell r="J975">
            <v>87422</v>
          </cell>
          <cell r="O975" t="str">
            <v>Active</v>
          </cell>
          <cell r="Q975"/>
        </row>
        <row r="976">
          <cell r="A976">
            <v>975</v>
          </cell>
          <cell r="I976">
            <v>7</v>
          </cell>
          <cell r="J976">
            <v>88439</v>
          </cell>
          <cell r="O976" t="str">
            <v>Active</v>
          </cell>
          <cell r="Q976"/>
        </row>
        <row r="977">
          <cell r="A977">
            <v>976</v>
          </cell>
          <cell r="I977">
            <v>16</v>
          </cell>
          <cell r="J977">
            <v>110749</v>
          </cell>
          <cell r="O977" t="str">
            <v>Active</v>
          </cell>
          <cell r="Q977"/>
        </row>
        <row r="978">
          <cell r="A978">
            <v>977</v>
          </cell>
          <cell r="I978">
            <v>15</v>
          </cell>
          <cell r="J978">
            <v>137911</v>
          </cell>
          <cell r="O978" t="str">
            <v>Active</v>
          </cell>
          <cell r="Q978"/>
        </row>
        <row r="979">
          <cell r="A979">
            <v>978</v>
          </cell>
          <cell r="I979">
            <v>12</v>
          </cell>
          <cell r="J979">
            <v>93665</v>
          </cell>
          <cell r="O979" t="str">
            <v>Active</v>
          </cell>
          <cell r="Q979"/>
        </row>
        <row r="980">
          <cell r="A980">
            <v>979</v>
          </cell>
          <cell r="I980">
            <v>12</v>
          </cell>
          <cell r="J980">
            <v>90068</v>
          </cell>
          <cell r="O980" t="str">
            <v>Active</v>
          </cell>
          <cell r="Q980"/>
        </row>
        <row r="981">
          <cell r="A981">
            <v>980</v>
          </cell>
          <cell r="I981">
            <v>7</v>
          </cell>
          <cell r="J981">
            <v>83704</v>
          </cell>
          <cell r="O981" t="str">
            <v>Active</v>
          </cell>
          <cell r="Q981"/>
        </row>
        <row r="982">
          <cell r="A982">
            <v>981</v>
          </cell>
          <cell r="I982">
            <v>10</v>
          </cell>
          <cell r="J982">
            <v>116767</v>
          </cell>
          <cell r="O982" t="str">
            <v>Active</v>
          </cell>
          <cell r="Q982"/>
        </row>
        <row r="983">
          <cell r="A983">
            <v>982</v>
          </cell>
          <cell r="I983">
            <v>21</v>
          </cell>
          <cell r="J983">
            <v>54599</v>
          </cell>
          <cell r="O983" t="str">
            <v>Active</v>
          </cell>
          <cell r="Q983"/>
        </row>
        <row r="984">
          <cell r="A984">
            <v>983</v>
          </cell>
          <cell r="I984">
            <v>7</v>
          </cell>
          <cell r="J984">
            <v>94685</v>
          </cell>
          <cell r="O984" t="str">
            <v>Active</v>
          </cell>
          <cell r="Q984"/>
        </row>
        <row r="985">
          <cell r="A985">
            <v>984</v>
          </cell>
          <cell r="I985">
            <v>17</v>
          </cell>
          <cell r="J985">
            <v>91608</v>
          </cell>
          <cell r="O985" t="str">
            <v>Active</v>
          </cell>
          <cell r="Q985"/>
        </row>
        <row r="986">
          <cell r="A986">
            <v>985</v>
          </cell>
          <cell r="I986">
            <v>15</v>
          </cell>
          <cell r="J986">
            <v>118791</v>
          </cell>
          <cell r="O986" t="str">
            <v>Active</v>
          </cell>
          <cell r="Q986"/>
        </row>
        <row r="987">
          <cell r="A987">
            <v>986</v>
          </cell>
          <cell r="I987">
            <v>19</v>
          </cell>
          <cell r="J987">
            <v>115888</v>
          </cell>
          <cell r="O987" t="str">
            <v>Active</v>
          </cell>
          <cell r="Q987"/>
        </row>
        <row r="988">
          <cell r="A988">
            <v>987</v>
          </cell>
          <cell r="I988">
            <v>21</v>
          </cell>
          <cell r="J988">
            <v>60743</v>
          </cell>
          <cell r="O988" t="str">
            <v>Active</v>
          </cell>
          <cell r="Q988"/>
        </row>
        <row r="989">
          <cell r="A989">
            <v>988</v>
          </cell>
          <cell r="I989">
            <v>16</v>
          </cell>
          <cell r="J989">
            <v>117962</v>
          </cell>
          <cell r="O989" t="str">
            <v>Active</v>
          </cell>
          <cell r="Q989"/>
        </row>
        <row r="990">
          <cell r="A990">
            <v>989</v>
          </cell>
          <cell r="I990">
            <v>17</v>
          </cell>
          <cell r="J990">
            <v>67817</v>
          </cell>
          <cell r="O990" t="str">
            <v>Active</v>
          </cell>
          <cell r="Q990"/>
        </row>
        <row r="991">
          <cell r="A991">
            <v>990</v>
          </cell>
          <cell r="I991">
            <v>18</v>
          </cell>
          <cell r="J991">
            <v>76229</v>
          </cell>
          <cell r="O991" t="str">
            <v>Active</v>
          </cell>
          <cell r="Q991"/>
        </row>
        <row r="992">
          <cell r="A992">
            <v>991</v>
          </cell>
          <cell r="I992">
            <v>12</v>
          </cell>
          <cell r="J992">
            <v>62286</v>
          </cell>
          <cell r="O992" t="str">
            <v>Active</v>
          </cell>
          <cell r="Q992"/>
        </row>
        <row r="993">
          <cell r="A993">
            <v>992</v>
          </cell>
          <cell r="I993">
            <v>15</v>
          </cell>
          <cell r="J993">
            <v>121713</v>
          </cell>
          <cell r="O993" t="str">
            <v>Active</v>
          </cell>
          <cell r="Q993"/>
        </row>
        <row r="994">
          <cell r="A994">
            <v>993</v>
          </cell>
          <cell r="I994">
            <v>12</v>
          </cell>
          <cell r="J994">
            <v>139486</v>
          </cell>
          <cell r="O994" t="str">
            <v>Active</v>
          </cell>
          <cell r="Q994"/>
        </row>
        <row r="995">
          <cell r="A995">
            <v>994</v>
          </cell>
          <cell r="I995">
            <v>19</v>
          </cell>
          <cell r="J995">
            <v>141375</v>
          </cell>
          <cell r="O995" t="str">
            <v>Active</v>
          </cell>
          <cell r="Q995"/>
        </row>
        <row r="996">
          <cell r="A996">
            <v>995</v>
          </cell>
          <cell r="I996">
            <v>11</v>
          </cell>
          <cell r="J996">
            <v>83404</v>
          </cell>
          <cell r="O996" t="str">
            <v>Active</v>
          </cell>
          <cell r="Q996"/>
        </row>
        <row r="997">
          <cell r="A997">
            <v>996</v>
          </cell>
          <cell r="I997">
            <v>8</v>
          </cell>
          <cell r="J997">
            <v>78433</v>
          </cell>
          <cell r="O997" t="str">
            <v>Active</v>
          </cell>
          <cell r="Q997"/>
        </row>
        <row r="998">
          <cell r="A998">
            <v>997</v>
          </cell>
          <cell r="I998">
            <v>14</v>
          </cell>
          <cell r="J998">
            <v>120138</v>
          </cell>
          <cell r="O998" t="str">
            <v>Active</v>
          </cell>
          <cell r="Q998"/>
        </row>
        <row r="999">
          <cell r="A999">
            <v>998</v>
          </cell>
          <cell r="I999">
            <v>11</v>
          </cell>
          <cell r="J999">
            <v>60363</v>
          </cell>
          <cell r="O999" t="str">
            <v>Active</v>
          </cell>
          <cell r="Q999"/>
        </row>
        <row r="1000">
          <cell r="A1000">
            <v>999</v>
          </cell>
          <cell r="I1000">
            <v>17</v>
          </cell>
          <cell r="J1000">
            <v>48050</v>
          </cell>
          <cell r="O1000" t="str">
            <v>Active</v>
          </cell>
          <cell r="Q1000"/>
        </row>
        <row r="1001">
          <cell r="A1001">
            <v>1000</v>
          </cell>
          <cell r="I1001">
            <v>18</v>
          </cell>
          <cell r="J1001">
            <v>148687</v>
          </cell>
          <cell r="O1001" t="str">
            <v>Active</v>
          </cell>
          <cell r="Q1001"/>
        </row>
      </sheetData>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vaibhav lakshmi sharma" id="{BCCAC69A-2AF2-4237-AA61-B3315E4D5060}" userId="53792621def8e5c6"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lakshmi" refreshedDate="46225.955994560187" createdVersion="8" refreshedVersion="8" minRefreshableVersion="3" recordCount="1000" xr:uid="{660016C1-30DE-4C17-A658-BC809941721C}">
  <cacheSource type="worksheet">
    <worksheetSource name="datatable"/>
  </cacheSource>
  <cacheFields count="17">
    <cacheField name="ID" numFmtId="0">
      <sharedItems containsSemiMixedTypes="0" containsString="0" containsNumber="1" containsInteger="1" minValue="1" maxValue="1000"/>
    </cacheField>
    <cacheField name="Last Name" numFmtId="0">
      <sharedItems/>
    </cacheField>
    <cacheField name="email" numFmtId="0">
      <sharedItems/>
    </cacheField>
    <cacheField name="Sex" numFmtId="0">
      <sharedItems/>
    </cacheField>
    <cacheField name="Department" numFmtId="0">
      <sharedItems count="22">
        <s v="Computers"/>
        <s v="Sports"/>
        <s v="Automotive"/>
        <s v="Jewelery"/>
        <s v="Grocery"/>
        <s v="Tools"/>
        <s v="Toys"/>
        <s v="Movies"/>
        <s v="Clothing"/>
        <s v="Baby"/>
        <s v="Games"/>
        <s v="Kids"/>
        <s v="Home"/>
        <s v="Electronics"/>
        <s v="Industrial"/>
        <s v="Garden"/>
        <s v="Books"/>
        <s v="Beauty"/>
        <s v="Outdoors"/>
        <s v="Health"/>
        <s v="Music"/>
        <s v="Shoes"/>
      </sharedItems>
    </cacheField>
    <cacheField name="Start Date" numFmtId="14">
      <sharedItems containsSemiMixedTypes="0" containsNonDate="0" containsDate="1" containsString="0" minDate="2000-01-18T00:00:00" maxDate="2027-12-26T00:00:00"/>
    </cacheField>
    <cacheField name="Start date2" numFmtId="2">
      <sharedItems containsSemiMixedTypes="0" containsString="0" containsNumber="1" containsInteger="1" minValue="2000" maxValue="2014"/>
    </cacheField>
    <cacheField name="Current" numFmtId="0">
      <sharedItems containsSemiMixedTypes="0" containsString="0" containsNumber="1" containsInteger="1" minValue="2021" maxValue="2021"/>
    </cacheField>
    <cacheField name="Experience" numFmtId="0">
      <sharedItems containsSemiMixedTypes="0" containsString="0" containsNumber="1" containsInteger="1" minValue="7" maxValue="21" count="15">
        <n v="12"/>
        <n v="13"/>
        <n v="7"/>
        <n v="19"/>
        <n v="8"/>
        <n v="15"/>
        <n v="18"/>
        <n v="16"/>
        <n v="14"/>
        <n v="10"/>
        <n v="17"/>
        <n v="20"/>
        <n v="9"/>
        <n v="21"/>
        <n v="11"/>
      </sharedItems>
    </cacheField>
    <cacheField name="Salary" numFmtId="164">
      <sharedItems containsSemiMixedTypes="0" containsString="0" containsNumber="1" containsInteger="1" minValue="40138" maxValue="149929"/>
    </cacheField>
    <cacheField name="Job title" numFmtId="0">
      <sharedItems/>
    </cacheField>
    <cacheField name="Region" numFmtId="0">
      <sharedItems count="7">
        <s v="Southeast"/>
        <s v="Northwest"/>
        <s v="Nova Scotia"/>
        <s v="Northeast"/>
        <s v="Quebec"/>
        <s v="Southwest"/>
        <s v="British Columbia"/>
      </sharedItems>
    </cacheField>
    <cacheField name="Country" numFmtId="0">
      <sharedItems/>
    </cacheField>
    <cacheField name="Divisons" numFmtId="0">
      <sharedItems/>
    </cacheField>
    <cacheField name="status" numFmtId="0">
      <sharedItems count="3">
        <s v="Active"/>
        <s v="On Leave"/>
        <s v="Resigned"/>
      </sharedItems>
    </cacheField>
    <cacheField name="Annual Salary" numFmtId="164">
      <sharedItems containsSemiMixedTypes="0" containsString="0" containsNumber="1" containsInteger="1" minValue="481656" maxValue="1799148"/>
    </cacheField>
    <cacheField name="BONUS" numFmtId="164">
      <sharedItems containsSemiMixedTypes="0" containsString="0" containsNumber="1" minValue="4013.8" maxValue="14992.900000000001"/>
    </cacheField>
  </cacheFields>
  <extLst>
    <ext xmlns:x14="http://schemas.microsoft.com/office/spreadsheetml/2009/9/main" uri="{725AE2AE-9491-48be-B2B4-4EB974FC3084}">
      <x14:pivotCacheDefinition pivotCacheId="797418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Kelley"/>
    <s v="rkelley0@soundcloud.com"/>
    <s v="F"/>
    <x v="0"/>
    <d v="2022-10-02T00:00:00"/>
    <n v="2009"/>
    <n v="2021"/>
    <x v="0"/>
    <n v="67470"/>
    <s v="Structural Engineer"/>
    <x v="0"/>
    <s v="USA"/>
    <s v="Electronic Equipment"/>
    <x v="0"/>
    <n v="809640"/>
    <n v="6747"/>
  </r>
  <r>
    <n v="2"/>
    <s v="Armstrong"/>
    <s v="sarmstrong1@infoseek.co.jp"/>
    <s v="M"/>
    <x v="1"/>
    <d v="2008-03-31T00:00:00"/>
    <n v="2008"/>
    <n v="2021"/>
    <x v="1"/>
    <n v="71869"/>
    <s v="Financial Advisor"/>
    <x v="0"/>
    <s v="USA"/>
    <s v="Games &amp; Sports"/>
    <x v="1"/>
    <n v="862428"/>
    <n v="7186.9000000000005"/>
  </r>
  <r>
    <n v="3"/>
    <s v="Carr"/>
    <s v="fcarr2@woothemes.com"/>
    <s v="M"/>
    <x v="2"/>
    <d v="2009-07-12T00:00:00"/>
    <n v="2009"/>
    <n v="2021"/>
    <x v="0"/>
    <n v="101768"/>
    <s v="Recruiting Manager"/>
    <x v="1"/>
    <s v="USA"/>
    <s v="Auto &amp; Hardware"/>
    <x v="2"/>
    <n v="1221216"/>
    <n v="10176.800000000001"/>
  </r>
  <r>
    <n v="4"/>
    <s v="Murray"/>
    <s v="jmurray3@gov.uk"/>
    <s v="F"/>
    <x v="3"/>
    <d v="2027-12-25T00:00:00"/>
    <n v="2014"/>
    <n v="2021"/>
    <x v="2"/>
    <n v="96897"/>
    <s v="Desktop Support Technician"/>
    <x v="1"/>
    <s v="USA"/>
    <s v="Fashion"/>
    <x v="1"/>
    <n v="1162764"/>
    <n v="9689.7000000000007"/>
  </r>
  <r>
    <n v="5"/>
    <s v="Ellis"/>
    <s v="jellis4@sciencedirect.com"/>
    <s v="F"/>
    <x v="4"/>
    <d v="2002-09-19T00:00:00"/>
    <n v="2002"/>
    <n v="2021"/>
    <x v="3"/>
    <n v="63702"/>
    <s v="Software Engineer III"/>
    <x v="2"/>
    <s v="Canada"/>
    <s v="Domestic"/>
    <x v="0"/>
    <n v="764424"/>
    <n v="6370.2000000000007"/>
  </r>
  <r>
    <n v="6"/>
    <s v="Phillips"/>
    <s v="bphillips5@time.com"/>
    <s v="M"/>
    <x v="5"/>
    <d v="2013-08-21T00:00:00"/>
    <n v="2013"/>
    <n v="2021"/>
    <x v="4"/>
    <n v="118497"/>
    <s v="Executive Secretary"/>
    <x v="3"/>
    <s v="USA"/>
    <s v="Auto &amp; Hardware"/>
    <x v="0"/>
    <n v="1421964"/>
    <n v="11849.7"/>
  </r>
  <r>
    <n v="7"/>
    <s v="Williamson"/>
    <s v="rwilliamson6@ted.com"/>
    <s v="M"/>
    <x v="0"/>
    <d v="2006-05-14T00:00:00"/>
    <n v="2006"/>
    <n v="2021"/>
    <x v="5"/>
    <n v="65889"/>
    <s v="Dental Hygienist"/>
    <x v="4"/>
    <s v="Canada"/>
    <s v="Electronic Equipment"/>
    <x v="0"/>
    <n v="790668"/>
    <n v="6588.9000000000005"/>
  </r>
  <r>
    <n v="8"/>
    <s v="Harris"/>
    <s v="aharris7@ucoz.com"/>
    <s v="F"/>
    <x v="6"/>
    <d v="2003-08-12T00:00:00"/>
    <n v="2003"/>
    <n v="2021"/>
    <x v="6"/>
    <n v="84427"/>
    <s v="Safety Technician I"/>
    <x v="5"/>
    <s v="USA"/>
    <s v="Games &amp; Sports"/>
    <x v="0"/>
    <n v="1013124"/>
    <n v="8442.7000000000007"/>
  </r>
  <r>
    <n v="9"/>
    <s v="James"/>
    <s v="rjames8@prnewswire.com"/>
    <s v="M"/>
    <x v="3"/>
    <d v="2005-09-07T00:00:00"/>
    <n v="2005"/>
    <n v="2021"/>
    <x v="7"/>
    <n v="108657"/>
    <s v="Sales Associate"/>
    <x v="0"/>
    <s v="USA"/>
    <s v="Fashion"/>
    <x v="0"/>
    <n v="1303884"/>
    <n v="10865.7"/>
  </r>
  <r>
    <n v="10"/>
    <s v="Sanchez"/>
    <s v="rsanchez9@cloudflare.com"/>
    <s v="M"/>
    <x v="7"/>
    <d v="2013-03-13T00:00:00"/>
    <n v="2013"/>
    <n v="2021"/>
    <x v="4"/>
    <n v="108093"/>
    <s v="Sales Representative"/>
    <x v="3"/>
    <s v="USA"/>
    <s v="Entertainment"/>
    <x v="1"/>
    <n v="1297116"/>
    <n v="10809.300000000001"/>
  </r>
  <r>
    <n v="11"/>
    <s v="Jacobs"/>
    <s v="jjacobsa@sbwire.com"/>
    <s v="F"/>
    <x v="3"/>
    <d v="2003-11-27T00:00:00"/>
    <n v="2003"/>
    <n v="2021"/>
    <x v="6"/>
    <n v="121966"/>
    <s v="Community Outreach Specialist"/>
    <x v="2"/>
    <s v="Canada"/>
    <s v="Fashion"/>
    <x v="1"/>
    <n v="1463592"/>
    <n v="12196.6"/>
  </r>
  <r>
    <n v="12"/>
    <s v="Black"/>
    <s v="mblackb@edublogs.org"/>
    <s v="M"/>
    <x v="8"/>
    <d v="2003-02-04T00:00:00"/>
    <n v="2003"/>
    <n v="2021"/>
    <x v="6"/>
    <n v="44179"/>
    <s v="Data Coordiator"/>
    <x v="2"/>
    <s v="Canada"/>
    <s v="Domestic"/>
    <x v="1"/>
    <n v="530148"/>
    <n v="4417.9000000000005"/>
  </r>
  <r>
    <n v="13"/>
    <s v="Schmidt"/>
    <s v="sschmidtc@state.gov"/>
    <s v="M"/>
    <x v="9"/>
    <d v="2002-10-13T00:00:00"/>
    <n v="2002"/>
    <n v="2021"/>
    <x v="3"/>
    <n v="85227"/>
    <s v="Compensation Analyst"/>
    <x v="1"/>
    <s v="USA"/>
    <s v="Domestic"/>
    <x v="1"/>
    <n v="1022724"/>
    <n v="8522.7000000000007"/>
  </r>
  <r>
    <n v="14"/>
    <s v="Webb"/>
    <s v="awebbd@baidu.com"/>
    <s v="F"/>
    <x v="0"/>
    <d v="2006-10-22T00:00:00"/>
    <n v="2006"/>
    <n v="2021"/>
    <x v="5"/>
    <n v="59763"/>
    <s v="Software Test Engineer III"/>
    <x v="5"/>
    <s v="USA"/>
    <s v="Electronic Equipment"/>
    <x v="1"/>
    <n v="717156"/>
    <n v="5976.3"/>
  </r>
  <r>
    <n v="15"/>
    <s v="Jacobs"/>
    <s v="ajacobse@google.it"/>
    <s v="F"/>
    <x v="10"/>
    <d v="2020-03-04T00:00:00"/>
    <n v="2007"/>
    <n v="2021"/>
    <x v="8"/>
    <n v="141139"/>
    <s v="Community Outreach Specialist"/>
    <x v="2"/>
    <s v="Canada"/>
    <s v="Domestic"/>
    <x v="0"/>
    <n v="1693668"/>
    <n v="14113.900000000001"/>
  </r>
  <r>
    <n v="16"/>
    <s v="Medina"/>
    <s v="smedinaf@amazonaws.com"/>
    <s v="F"/>
    <x v="9"/>
    <d v="2021-03-14T00:00:00"/>
    <n v="2008"/>
    <n v="2021"/>
    <x v="1"/>
    <n v="106659"/>
    <s v="Web Developer III"/>
    <x v="3"/>
    <s v="USA"/>
    <s v="Domestic"/>
    <x v="0"/>
    <n v="1279908"/>
    <n v="10665.900000000001"/>
  </r>
  <r>
    <n v="17"/>
    <s v="Morgan"/>
    <s v="dmorgang@123-reg.co.uk"/>
    <s v="F"/>
    <x v="11"/>
    <d v="2024-05-04T00:00:00"/>
    <n v="2011"/>
    <n v="2021"/>
    <x v="9"/>
    <n v="148952"/>
    <s v="Programmer IV"/>
    <x v="4"/>
    <s v="Canada"/>
    <s v="Domestic"/>
    <x v="0"/>
    <n v="1787424"/>
    <n v="14895.2"/>
  </r>
  <r>
    <n v="18"/>
    <s v="Nguyen"/>
    <s v="jnguyenh@google.com"/>
    <s v="M"/>
    <x v="12"/>
    <d v="2014-11-03T00:00:00"/>
    <n v="2014"/>
    <n v="2021"/>
    <x v="2"/>
    <n v="93804"/>
    <s v="Geologist II"/>
    <x v="6"/>
    <s v="Canada"/>
    <s v="Domestic"/>
    <x v="0"/>
    <n v="1125648"/>
    <n v="9380.4"/>
  </r>
  <r>
    <n v="19"/>
    <s v="Day"/>
    <s v="rdayi@chronoengine.com"/>
    <s v="M"/>
    <x v="13"/>
    <d v="2004-09-22T00:00:00"/>
    <n v="2004"/>
    <n v="2021"/>
    <x v="10"/>
    <n v="109890"/>
    <s v="VP Sales"/>
    <x v="1"/>
    <s v="USA"/>
    <s v="Electronic Equipment"/>
    <x v="1"/>
    <n v="1318680"/>
    <n v="10989"/>
  </r>
  <r>
    <n v="20"/>
    <s v="Carr"/>
    <s v="dcarrj@ocn.ne.jp"/>
    <s v="F"/>
    <x v="7"/>
    <d v="2020-11-22T00:00:00"/>
    <n v="2007"/>
    <n v="2021"/>
    <x v="8"/>
    <n v="115274"/>
    <s v="VP Quality Control"/>
    <x v="6"/>
    <s v="Canada"/>
    <s v="Entertainment"/>
    <x v="0"/>
    <n v="1383288"/>
    <n v="11527.400000000001"/>
  </r>
  <r>
    <n v="21"/>
    <s v="Bryant"/>
    <s v="sbryantk@wunderground.com"/>
    <s v="F"/>
    <x v="14"/>
    <d v="2005-08-12T00:00:00"/>
    <n v="2005"/>
    <n v="2021"/>
    <x v="7"/>
    <n v="78052"/>
    <s v="Software Consultant"/>
    <x v="1"/>
    <s v="USA"/>
    <s v="Auto &amp; Hardware"/>
    <x v="0"/>
    <n v="936624"/>
    <n v="7805.2000000000007"/>
  </r>
  <r>
    <n v="22"/>
    <s v="Alexander"/>
    <s v="kalexanderl@marketwatch.com"/>
    <s v="M"/>
    <x v="2"/>
    <d v="2011-12-26T00:00:00"/>
    <n v="2011"/>
    <n v="2021"/>
    <x v="9"/>
    <n v="144724"/>
    <s v="Marketing Assistant"/>
    <x v="0"/>
    <s v="USA"/>
    <s v="Auto &amp; Hardware"/>
    <x v="0"/>
    <n v="1736688"/>
    <n v="14472.400000000001"/>
  </r>
  <r>
    <n v="23"/>
    <s v="Chapman"/>
    <s v="jchapmanm@archive.org"/>
    <s v="F"/>
    <x v="3"/>
    <d v="2001-04-12T00:00:00"/>
    <n v="2001"/>
    <n v="2021"/>
    <x v="11"/>
    <n v="126103"/>
    <s v="Senior Developer"/>
    <x v="5"/>
    <s v="USA"/>
    <s v="Fashion"/>
    <x v="0"/>
    <n v="1513236"/>
    <n v="12610.300000000001"/>
  </r>
  <r>
    <n v="24"/>
    <s v="Kelly"/>
    <s v="ekellyn@weibo.com"/>
    <s v="M"/>
    <x v="15"/>
    <d v="2006-06-29T00:00:00"/>
    <n v="2006"/>
    <n v="2021"/>
    <x v="5"/>
    <n v="144965"/>
    <s v="Nurse Practicioner"/>
    <x v="0"/>
    <s v="USA"/>
    <s v="Outdoors &amp; Garden"/>
    <x v="0"/>
    <n v="1739580"/>
    <n v="14496.5"/>
  </r>
  <r>
    <n v="25"/>
    <s v="Stephens"/>
    <s v="jstephenso@ow.ly"/>
    <s v="M"/>
    <x v="6"/>
    <d v="2004-06-04T00:00:00"/>
    <n v="2004"/>
    <n v="2021"/>
    <x v="10"/>
    <n v="70613"/>
    <s v="Business Systems Development Analyst"/>
    <x v="3"/>
    <s v="USA"/>
    <s v="Games &amp; Sports"/>
    <x v="0"/>
    <n v="847356"/>
    <n v="7061.3"/>
  </r>
  <r>
    <n v="26"/>
    <s v="Porter"/>
    <s v="vporterp@yelp.com"/>
    <s v="F"/>
    <x v="12"/>
    <d v="2024-05-30T00:00:00"/>
    <n v="2011"/>
    <n v="2021"/>
    <x v="9"/>
    <n v="90746"/>
    <s v="Dental Hygienist"/>
    <x v="0"/>
    <s v="USA"/>
    <s v="Domestic"/>
    <x v="0"/>
    <n v="1088952"/>
    <n v="9074.6"/>
  </r>
  <r>
    <n v="27"/>
    <s v="Owens"/>
    <s v="cowensq@shareasale.com"/>
    <s v="F"/>
    <x v="12"/>
    <d v="2005-05-26T00:00:00"/>
    <n v="2005"/>
    <n v="2021"/>
    <x v="7"/>
    <n v="78698"/>
    <s v="Executive Secretary"/>
    <x v="0"/>
    <s v="USA"/>
    <s v="Domestic"/>
    <x v="2"/>
    <n v="944376"/>
    <n v="7869.8"/>
  </r>
  <r>
    <n v="28"/>
    <s v="Scott"/>
    <s v="cscottr@sphinn.com"/>
    <s v="F"/>
    <x v="16"/>
    <d v="2021-03-02T00:00:00"/>
    <n v="2008"/>
    <n v="2021"/>
    <x v="1"/>
    <n v="63336"/>
    <s v="Sales Representative"/>
    <x v="5"/>
    <s v="USA"/>
    <s v="Library"/>
    <x v="0"/>
    <n v="760032"/>
    <n v="6333.6"/>
  </r>
  <r>
    <n v="29"/>
    <s v="Price"/>
    <s v="cprices@usa.gov"/>
    <s v="F"/>
    <x v="8"/>
    <d v="2026-07-05T00:00:00"/>
    <n v="2013"/>
    <n v="2021"/>
    <x v="4"/>
    <n v="95436"/>
    <s v="Quality Engineer"/>
    <x v="1"/>
    <s v="USA"/>
    <s v="Domestic"/>
    <x v="0"/>
    <n v="1145232"/>
    <n v="9543.6"/>
  </r>
  <r>
    <n v="30"/>
    <s v="Weaver"/>
    <s v="dweavert@shinystat.com"/>
    <s v="M"/>
    <x v="17"/>
    <d v="2012-02-17T00:00:00"/>
    <n v="2012"/>
    <n v="2021"/>
    <x v="12"/>
    <n v="83144"/>
    <s v="Account Representative III"/>
    <x v="0"/>
    <s v="USA"/>
    <s v="Domestic"/>
    <x v="0"/>
    <n v="997728"/>
    <n v="8314.4"/>
  </r>
  <r>
    <n v="31"/>
    <s v="Willis"/>
    <s v="hwillisu@army.mil"/>
    <s v="F"/>
    <x v="5"/>
    <d v="2025-10-21T00:00:00"/>
    <n v="2012"/>
    <n v="2021"/>
    <x v="12"/>
    <n v="113507"/>
    <s v="Accountant I"/>
    <x v="2"/>
    <s v="Canada"/>
    <s v="Auto &amp; Hardware"/>
    <x v="0"/>
    <n v="1362084"/>
    <n v="11350.7"/>
  </r>
  <r>
    <n v="32"/>
    <s v="Torres"/>
    <s v="ltorresv@amazon.de"/>
    <s v="M"/>
    <x v="10"/>
    <d v="2014-04-07T00:00:00"/>
    <n v="2014"/>
    <n v="2021"/>
    <x v="2"/>
    <n v="78245"/>
    <s v="Nuclear Power Engineer"/>
    <x v="4"/>
    <s v="Canada"/>
    <s v="Domestic"/>
    <x v="0"/>
    <n v="938940"/>
    <n v="7824.5"/>
  </r>
  <r>
    <n v="33"/>
    <s v="Greene"/>
    <s v="wgreenew@blogspot.com"/>
    <s v="M"/>
    <x v="7"/>
    <d v="2000-03-21T00:00:00"/>
    <n v="2000"/>
    <n v="2021"/>
    <x v="13"/>
    <n v="87057"/>
    <s v="Assistant Manager"/>
    <x v="3"/>
    <s v="USA"/>
    <s v="Entertainment"/>
    <x v="0"/>
    <n v="1044684"/>
    <n v="8705.7000000000007"/>
  </r>
  <r>
    <n v="34"/>
    <s v="Reed"/>
    <s v="areedx@cisco.com"/>
    <s v="M"/>
    <x v="7"/>
    <d v="2002-11-28T00:00:00"/>
    <n v="2002"/>
    <n v="2021"/>
    <x v="3"/>
    <n v="120579"/>
    <s v="Assistant Media Planner"/>
    <x v="4"/>
    <s v="Canada"/>
    <s v="Entertainment"/>
    <x v="0"/>
    <n v="1446948"/>
    <n v="12057.900000000001"/>
  </r>
  <r>
    <n v="35"/>
    <s v="Smith"/>
    <s v="bsmithy@statcounter.com"/>
    <s v="F"/>
    <x v="16"/>
    <d v="2026-06-13T00:00:00"/>
    <n v="2013"/>
    <n v="2021"/>
    <x v="4"/>
    <n v="94884"/>
    <s v="Librarian"/>
    <x v="2"/>
    <s v="Canada"/>
    <s v="Library"/>
    <x v="0"/>
    <n v="1138608"/>
    <n v="9488.4"/>
  </r>
  <r>
    <n v="36"/>
    <s v="Bradley"/>
    <s v="nbradleyz@goodreads.com"/>
    <s v="M"/>
    <x v="18"/>
    <d v="2008-12-28T00:00:00"/>
    <n v="2008"/>
    <n v="2021"/>
    <x v="1"/>
    <n v="107222"/>
    <s v="Payment Adjustment Coordinator"/>
    <x v="1"/>
    <s v="USA"/>
    <s v="Outdoors &amp; Garden"/>
    <x v="0"/>
    <n v="1286664"/>
    <n v="10722.2"/>
  </r>
  <r>
    <n v="37"/>
    <s v="Cruz"/>
    <s v="rcruz10@blinklist.com"/>
    <s v="F"/>
    <x v="12"/>
    <d v="2000-05-20T00:00:00"/>
    <n v="2000"/>
    <n v="2021"/>
    <x v="13"/>
    <n v="61739"/>
    <s v="Quality Engineer"/>
    <x v="3"/>
    <s v="USA"/>
    <s v="Domestic"/>
    <x v="1"/>
    <n v="740868"/>
    <n v="6173.9000000000005"/>
  </r>
  <r>
    <n v="38"/>
    <s v="Williamson"/>
    <s v="dwilliamson11@rediff.com"/>
    <s v="F"/>
    <x v="15"/>
    <d v="2025-01-25T00:00:00"/>
    <n v="2012"/>
    <n v="2021"/>
    <x v="12"/>
    <n v="82026"/>
    <s v="Nurse"/>
    <x v="0"/>
    <s v="USA"/>
    <s v="Outdoors &amp; Garden"/>
    <x v="2"/>
    <n v="984312"/>
    <n v="8202.6"/>
  </r>
  <r>
    <n v="39"/>
    <s v="Kennedy"/>
    <s v="skennedy12@rediff.com"/>
    <s v="M"/>
    <x v="9"/>
    <d v="2011-07-02T00:00:00"/>
    <n v="2011"/>
    <n v="2021"/>
    <x v="9"/>
    <n v="79339"/>
    <s v="Civil Engineer"/>
    <x v="3"/>
    <s v="USA"/>
    <s v="Domestic"/>
    <x v="0"/>
    <n v="952068"/>
    <n v="7933.9000000000005"/>
  </r>
  <r>
    <n v="40"/>
    <s v="Hawkins"/>
    <s v="phawkins13@twitpic.com"/>
    <s v="F"/>
    <x v="8"/>
    <d v="2024-08-20T00:00:00"/>
    <n v="2011"/>
    <n v="2021"/>
    <x v="9"/>
    <n v="76809"/>
    <s v="Quality Engineer"/>
    <x v="4"/>
    <s v="Canada"/>
    <s v="Domestic"/>
    <x v="0"/>
    <n v="921708"/>
    <n v="7680.9000000000005"/>
  </r>
  <r>
    <n v="41"/>
    <s v="Allen"/>
    <s v="jallen14@ustream.tv"/>
    <s v="F"/>
    <x v="9"/>
    <d v="2001-05-10T00:00:00"/>
    <n v="2001"/>
    <n v="2021"/>
    <x v="11"/>
    <n v="89680"/>
    <s v="Web Developer III"/>
    <x v="4"/>
    <s v="Canada"/>
    <s v="Domestic"/>
    <x v="0"/>
    <n v="1076160"/>
    <n v="8968"/>
  </r>
  <r>
    <n v="42"/>
    <s v="Watkins"/>
    <s v="mwatkins15@wiley.com"/>
    <s v="M"/>
    <x v="0"/>
    <d v="2008-04-01T00:00:00"/>
    <n v="2008"/>
    <n v="2021"/>
    <x v="1"/>
    <n v="125668"/>
    <s v="Executive Secretary"/>
    <x v="2"/>
    <s v="Canada"/>
    <s v="Electronic Equipment"/>
    <x v="0"/>
    <n v="1508016"/>
    <n v="12566.800000000001"/>
  </r>
  <r>
    <n v="43"/>
    <s v="Ferguson"/>
    <s v="mferguson16@qq.com"/>
    <s v="M"/>
    <x v="1"/>
    <d v="2009-05-29T00:00:00"/>
    <n v="2009"/>
    <n v="2021"/>
    <x v="0"/>
    <n v="82960"/>
    <s v="Account Representative III"/>
    <x v="4"/>
    <s v="Canada"/>
    <s v="Games &amp; Sports"/>
    <x v="0"/>
    <n v="995520"/>
    <n v="8296"/>
  </r>
  <r>
    <n v="44"/>
    <s v="Simmons"/>
    <s v="asimmons17@csmonitor.com"/>
    <s v="M"/>
    <x v="7"/>
    <d v="2013-12-21T00:00:00"/>
    <n v="2013"/>
    <n v="2021"/>
    <x v="4"/>
    <n v="113857"/>
    <s v="Developer III"/>
    <x v="0"/>
    <s v="USA"/>
    <s v="Entertainment"/>
    <x v="0"/>
    <n v="1366284"/>
    <n v="11385.7"/>
  </r>
  <r>
    <n v="45"/>
    <s v="Nguyen"/>
    <s v="mnguyen18@biblegateway.com"/>
    <s v="M"/>
    <x v="2"/>
    <d v="2002-01-24T00:00:00"/>
    <n v="2002"/>
    <n v="2021"/>
    <x v="3"/>
    <n v="108378"/>
    <s v="Electrical Engineer"/>
    <x v="2"/>
    <s v="Canada"/>
    <s v="Auto &amp; Hardware"/>
    <x v="0"/>
    <n v="1300536"/>
    <n v="10837.800000000001"/>
  </r>
  <r>
    <n v="46"/>
    <s v="Lawrence"/>
    <s v="jlawrence19@linkedin.com"/>
    <s v="M"/>
    <x v="18"/>
    <d v="2011-12-11T00:00:00"/>
    <n v="2011"/>
    <n v="2021"/>
    <x v="9"/>
    <n v="133424"/>
    <s v="Junior Executive"/>
    <x v="2"/>
    <s v="Canada"/>
    <s v="Outdoors &amp; Garden"/>
    <x v="0"/>
    <n v="1601088"/>
    <n v="13342.400000000001"/>
  </r>
  <r>
    <n v="47"/>
    <s v="Oliver"/>
    <s v="joliver1a@cnbc.com"/>
    <s v="F"/>
    <x v="8"/>
    <d v="2026-08-30T00:00:00"/>
    <n v="2013"/>
    <n v="2021"/>
    <x v="4"/>
    <n v="42797"/>
    <s v="Software Engineer III"/>
    <x v="6"/>
    <s v="Canada"/>
    <s v="Domestic"/>
    <x v="0"/>
    <n v="513564"/>
    <n v="4279.7"/>
  </r>
  <r>
    <n v="48"/>
    <s v="Johnson"/>
    <s v="jjohnson1b@usgs.gov"/>
    <s v="M"/>
    <x v="0"/>
    <d v="2004-04-26T00:00:00"/>
    <n v="2004"/>
    <n v="2021"/>
    <x v="10"/>
    <n v="134940"/>
    <s v="Financial Advisor"/>
    <x v="5"/>
    <s v="USA"/>
    <s v="Electronic Equipment"/>
    <x v="1"/>
    <n v="1619280"/>
    <n v="13494"/>
  </r>
  <r>
    <n v="49"/>
    <s v="Crawford"/>
    <s v="hcrawford1c@dell.com"/>
    <s v="M"/>
    <x v="12"/>
    <d v="2008-12-21T00:00:00"/>
    <n v="2008"/>
    <n v="2021"/>
    <x v="1"/>
    <n v="119471"/>
    <s v="Editor"/>
    <x v="4"/>
    <s v="Canada"/>
    <s v="Domestic"/>
    <x v="1"/>
    <n v="1433652"/>
    <n v="11947.1"/>
  </r>
  <r>
    <n v="50"/>
    <s v="Armstrong"/>
    <s v="parmstrong1d@hc360.com"/>
    <s v="F"/>
    <x v="2"/>
    <d v="2023-03-16T00:00:00"/>
    <n v="2010"/>
    <n v="2021"/>
    <x v="14"/>
    <n v="89969"/>
    <s v="Senior Editor"/>
    <x v="5"/>
    <s v="USA"/>
    <s v="Auto &amp; Hardware"/>
    <x v="0"/>
    <n v="1079628"/>
    <n v="8996.9"/>
  </r>
  <r>
    <n v="51"/>
    <s v="Dixon"/>
    <s v="jdixon1e@dot.gov"/>
    <s v="M"/>
    <x v="9"/>
    <d v="2006-09-26T00:00:00"/>
    <n v="2006"/>
    <n v="2021"/>
    <x v="5"/>
    <n v="106281"/>
    <s v="Senior Developer"/>
    <x v="1"/>
    <s v="USA"/>
    <s v="Domestic"/>
    <x v="0"/>
    <n v="1275372"/>
    <n v="10628.1"/>
  </r>
  <r>
    <n v="52"/>
    <s v="Snyder"/>
    <s v="ssnyder1f@ca.gov"/>
    <s v="F"/>
    <x v="11"/>
    <d v="2002-09-26T00:00:00"/>
    <n v="2002"/>
    <n v="2021"/>
    <x v="3"/>
    <n v="141678"/>
    <s v="Design Engineer"/>
    <x v="1"/>
    <s v="USA"/>
    <s v="Domestic"/>
    <x v="0"/>
    <n v="1700136"/>
    <n v="14167.800000000001"/>
  </r>
  <r>
    <n v="53"/>
    <s v="Coleman"/>
    <s v="dcoleman1g@dedecms.com"/>
    <s v="M"/>
    <x v="0"/>
    <d v="2008-06-14T00:00:00"/>
    <n v="2008"/>
    <n v="2021"/>
    <x v="1"/>
    <n v="110839"/>
    <s v="Automation Specialist I"/>
    <x v="3"/>
    <s v="USA"/>
    <s v="Electronic Equipment"/>
    <x v="0"/>
    <n v="1330068"/>
    <n v="11083.900000000001"/>
  </r>
  <r>
    <n v="54"/>
    <s v="Reed"/>
    <s v="sreed1h@intel.com"/>
    <s v="F"/>
    <x v="6"/>
    <d v="2001-04-15T00:00:00"/>
    <n v="2001"/>
    <n v="2021"/>
    <x v="11"/>
    <n v="84275"/>
    <s v="VP Marketing"/>
    <x v="6"/>
    <s v="Canada"/>
    <s v="Games &amp; Sports"/>
    <x v="0"/>
    <n v="1011300"/>
    <n v="8427.5"/>
  </r>
  <r>
    <n v="55"/>
    <s v="Ross"/>
    <s v="jross1i@infoseek.co.jp"/>
    <s v="M"/>
    <x v="2"/>
    <d v="2004-04-21T00:00:00"/>
    <n v="2004"/>
    <n v="2021"/>
    <x v="10"/>
    <n v="71363"/>
    <s v="Environmental Tech"/>
    <x v="1"/>
    <s v="USA"/>
    <s v="Auto &amp; Hardware"/>
    <x v="0"/>
    <n v="856356"/>
    <n v="7136.3"/>
  </r>
  <r>
    <n v="56"/>
    <s v="Watkins"/>
    <s v="kwatkins1j@youtu.be"/>
    <s v="M"/>
    <x v="15"/>
    <d v="2002-12-02T00:00:00"/>
    <n v="2002"/>
    <n v="2021"/>
    <x v="3"/>
    <n v="93680"/>
    <s v="VP Accounting"/>
    <x v="1"/>
    <s v="USA"/>
    <s v="Outdoors &amp; Garden"/>
    <x v="1"/>
    <n v="1124160"/>
    <n v="9368"/>
  </r>
  <r>
    <n v="57"/>
    <s v="Allen"/>
    <s v="jallen1k@google.cn"/>
    <s v="F"/>
    <x v="18"/>
    <d v="2000-11-20T00:00:00"/>
    <n v="2000"/>
    <n v="2021"/>
    <x v="13"/>
    <n v="73755"/>
    <s v="Geologist II"/>
    <x v="1"/>
    <s v="USA"/>
    <s v="Outdoors &amp; Garden"/>
    <x v="1"/>
    <n v="885060"/>
    <n v="7375.5"/>
  </r>
  <r>
    <n v="58"/>
    <s v="Baker"/>
    <s v="jbaker1l@usnews.com"/>
    <s v="M"/>
    <x v="10"/>
    <d v="2007-03-02T00:00:00"/>
    <n v="2007"/>
    <n v="2021"/>
    <x v="8"/>
    <n v="68857"/>
    <s v="Information Systems Manager"/>
    <x v="0"/>
    <s v="USA"/>
    <s v="Domestic"/>
    <x v="1"/>
    <n v="826284"/>
    <n v="6885.7000000000007"/>
  </r>
  <r>
    <n v="59"/>
    <s v="Garcia"/>
    <s v="vgarcia1m@deviantart.com"/>
    <s v="F"/>
    <x v="19"/>
    <d v="2002-03-19T00:00:00"/>
    <n v="2002"/>
    <n v="2021"/>
    <x v="3"/>
    <n v="48360"/>
    <s v="Registered Nurse"/>
    <x v="4"/>
    <s v="Canada"/>
    <s v="Domestic"/>
    <x v="1"/>
    <n v="580320"/>
    <n v="4836"/>
  </r>
  <r>
    <n v="60"/>
    <s v="Lane"/>
    <s v="elane1n@un.org"/>
    <s v="M"/>
    <x v="18"/>
    <d v="2004-07-15T00:00:00"/>
    <n v="2004"/>
    <n v="2021"/>
    <x v="10"/>
    <n v="104896"/>
    <s v="Financial Advisor"/>
    <x v="6"/>
    <s v="Canada"/>
    <s v="Outdoors &amp; Garden"/>
    <x v="1"/>
    <n v="1258752"/>
    <n v="10489.6"/>
  </r>
  <r>
    <n v="61"/>
    <s v="Watson"/>
    <s v="cwatson1o@paypal.com"/>
    <s v="F"/>
    <x v="5"/>
    <d v="2022-08-10T00:00:00"/>
    <n v="2009"/>
    <n v="2021"/>
    <x v="0"/>
    <n v="81870"/>
    <s v="Occupational Therapist"/>
    <x v="2"/>
    <s v="Canada"/>
    <s v="Auto &amp; Hardware"/>
    <x v="0"/>
    <n v="982440"/>
    <n v="8187"/>
  </r>
  <r>
    <n v="62"/>
    <s v="Boyd"/>
    <s v="aboyd1p@artisteer.com"/>
    <s v="M"/>
    <x v="2"/>
    <d v="2007-05-29T00:00:00"/>
    <n v="2007"/>
    <n v="2021"/>
    <x v="8"/>
    <n v="69936"/>
    <s v="Senior Editor"/>
    <x v="2"/>
    <s v="Canada"/>
    <s v="Auto &amp; Hardware"/>
    <x v="0"/>
    <n v="839232"/>
    <n v="6993.6"/>
  </r>
  <r>
    <n v="63"/>
    <s v="Young"/>
    <s v="hyoung1q@cisco.com"/>
    <s v="F"/>
    <x v="4"/>
    <d v="2020-12-11T00:00:00"/>
    <n v="2007"/>
    <n v="2021"/>
    <x v="8"/>
    <n v="138844"/>
    <s v="Mechanical Systems Engineer"/>
    <x v="4"/>
    <s v="Canada"/>
    <s v="Domestic"/>
    <x v="0"/>
    <n v="1666128"/>
    <n v="13884.400000000001"/>
  </r>
  <r>
    <n v="64"/>
    <s v="Cooper"/>
    <s v="tcooper1r@umich.edu"/>
    <s v="M"/>
    <x v="15"/>
    <d v="2011-11-12T00:00:00"/>
    <n v="2011"/>
    <n v="2021"/>
    <x v="9"/>
    <n v="139796"/>
    <s v="Office Assistant IV"/>
    <x v="3"/>
    <s v="USA"/>
    <s v="Outdoors &amp; Garden"/>
    <x v="0"/>
    <n v="1677552"/>
    <n v="13979.6"/>
  </r>
  <r>
    <n v="65"/>
    <s v="Jordan"/>
    <s v="jjordan1s@about.me"/>
    <s v="F"/>
    <x v="2"/>
    <d v="2000-01-27T00:00:00"/>
    <n v="2000"/>
    <n v="2021"/>
    <x v="13"/>
    <n v="86939"/>
    <s v="Tax Accountant"/>
    <x v="1"/>
    <s v="USA"/>
    <s v="Auto &amp; Hardware"/>
    <x v="2"/>
    <n v="1043268"/>
    <n v="8693.9"/>
  </r>
  <r>
    <n v="66"/>
    <s v="Rodriguez"/>
    <s v="lrodriguez1t@narod.ru"/>
    <s v="M"/>
    <x v="17"/>
    <d v="2003-09-27T00:00:00"/>
    <n v="2003"/>
    <n v="2021"/>
    <x v="6"/>
    <n v="141949"/>
    <s v="Product Engineer"/>
    <x v="5"/>
    <s v="USA"/>
    <s v="Domestic"/>
    <x v="0"/>
    <n v="1703388"/>
    <n v="14194.900000000001"/>
  </r>
  <r>
    <n v="67"/>
    <s v="Mills"/>
    <s v="jmills1u@printfriendly.com"/>
    <s v="F"/>
    <x v="4"/>
    <d v="2004-08-08T00:00:00"/>
    <n v="2004"/>
    <n v="2021"/>
    <x v="10"/>
    <n v="114200"/>
    <s v="Senior Sales Associate"/>
    <x v="2"/>
    <s v="Canada"/>
    <s v="Domestic"/>
    <x v="0"/>
    <n v="1370400"/>
    <n v="11420"/>
  </r>
  <r>
    <n v="68"/>
    <s v="Coleman"/>
    <s v="kcoleman1v@360.cn"/>
    <s v="M"/>
    <x v="17"/>
    <d v="2012-09-02T00:00:00"/>
    <n v="2012"/>
    <n v="2021"/>
    <x v="12"/>
    <n v="121378"/>
    <s v="Web Developer I"/>
    <x v="2"/>
    <s v="Canada"/>
    <s v="Domestic"/>
    <x v="0"/>
    <n v="1456536"/>
    <n v="12137.800000000001"/>
  </r>
  <r>
    <n v="69"/>
    <s v="Stewart"/>
    <s v="dstewart1w@usnews.com"/>
    <s v="M"/>
    <x v="6"/>
    <d v="2000-08-22T00:00:00"/>
    <n v="2000"/>
    <n v="2021"/>
    <x v="13"/>
    <n v="148144"/>
    <s v="Data Coordiator"/>
    <x v="5"/>
    <s v="USA"/>
    <s v="Games &amp; Sports"/>
    <x v="1"/>
    <n v="1777728"/>
    <n v="14814.400000000001"/>
  </r>
  <r>
    <n v="70"/>
    <s v="Jordan"/>
    <s v="ajordan1x@moonfruit.com"/>
    <s v="F"/>
    <x v="10"/>
    <d v="2004-11-13T00:00:00"/>
    <n v="2004"/>
    <n v="2021"/>
    <x v="10"/>
    <n v="93839"/>
    <s v="Database Administrator III"/>
    <x v="0"/>
    <s v="USA"/>
    <s v="Domestic"/>
    <x v="1"/>
    <n v="1126068"/>
    <n v="9383.9"/>
  </r>
  <r>
    <n v="71"/>
    <s v="Vasquez"/>
    <s v="evasquez1y@behance.net"/>
    <s v="M"/>
    <x v="9"/>
    <d v="2002-10-20T00:00:00"/>
    <n v="2002"/>
    <n v="2021"/>
    <x v="3"/>
    <n v="77285"/>
    <s v="Operator"/>
    <x v="4"/>
    <s v="Canada"/>
    <s v="Domestic"/>
    <x v="1"/>
    <n v="927420"/>
    <n v="7728.5"/>
  </r>
  <r>
    <n v="72"/>
    <s v="Knight"/>
    <s v="tknight1z@weibo.com"/>
    <s v="F"/>
    <x v="20"/>
    <d v="2002-10-13T00:00:00"/>
    <n v="2002"/>
    <n v="2021"/>
    <x v="3"/>
    <n v="135688"/>
    <s v="Statistician I"/>
    <x v="5"/>
    <s v="USA"/>
    <s v="Entertainment"/>
    <x v="1"/>
    <n v="1628256"/>
    <n v="13568.800000000001"/>
  </r>
  <r>
    <n v="73"/>
    <s v="Palmer"/>
    <s v="ipalmer20@newsvine.com"/>
    <s v="M"/>
    <x v="1"/>
    <d v="2002-04-03T00:00:00"/>
    <n v="2002"/>
    <n v="2021"/>
    <x v="3"/>
    <n v="78828"/>
    <s v="Director of Sales"/>
    <x v="0"/>
    <s v="USA"/>
    <s v="Games &amp; Sports"/>
    <x v="1"/>
    <n v="945936"/>
    <n v="7882.8"/>
  </r>
  <r>
    <n v="74"/>
    <s v="Washington"/>
    <s v="jwashington21@squidoo.com"/>
    <s v="F"/>
    <x v="12"/>
    <d v="2000-07-11T00:00:00"/>
    <n v="2000"/>
    <n v="2021"/>
    <x v="13"/>
    <n v="47206"/>
    <s v="Programmer III"/>
    <x v="1"/>
    <s v="USA"/>
    <s v="Domestic"/>
    <x v="0"/>
    <n v="566472"/>
    <n v="4720.6000000000004"/>
  </r>
  <r>
    <n v="75"/>
    <s v="Sanchez"/>
    <s v="dsanchez22@blog.com"/>
    <s v="F"/>
    <x v="18"/>
    <d v="2026-10-06T00:00:00"/>
    <n v="2013"/>
    <n v="2021"/>
    <x v="4"/>
    <n v="78157"/>
    <s v="Senior Financial Analyst"/>
    <x v="3"/>
    <s v="USA"/>
    <s v="Outdoors &amp; Garden"/>
    <x v="0"/>
    <n v="937884"/>
    <n v="7815.7000000000007"/>
  </r>
  <r>
    <n v="76"/>
    <s v="Grant"/>
    <s v="egrant23@prlog.org"/>
    <s v="F"/>
    <x v="13"/>
    <d v="2000-07-23T00:00:00"/>
    <n v="2000"/>
    <n v="2021"/>
    <x v="13"/>
    <n v="49296"/>
    <s v="Software Test Engineer II"/>
    <x v="4"/>
    <s v="Canada"/>
    <s v="Electronic Equipment"/>
    <x v="0"/>
    <n v="591552"/>
    <n v="4929.6000000000004"/>
  </r>
  <r>
    <n v="77"/>
    <s v="Daniels"/>
    <s v="ndaniels24@google.ca"/>
    <s v="M"/>
    <x v="5"/>
    <d v="2013-02-07T00:00:00"/>
    <n v="2013"/>
    <n v="2021"/>
    <x v="4"/>
    <n v="139061"/>
    <s v="Environmental Specialist"/>
    <x v="1"/>
    <s v="USA"/>
    <s v="Auto &amp; Hardware"/>
    <x v="1"/>
    <n v="1668732"/>
    <n v="13906.1"/>
  </r>
  <r>
    <n v="78"/>
    <s v="Medina"/>
    <s v="jmedina25@dot.gov"/>
    <s v="F"/>
    <x v="10"/>
    <d v="2005-09-16T00:00:00"/>
    <n v="2005"/>
    <n v="2021"/>
    <x v="7"/>
    <n v="114989"/>
    <s v="Marketing Assistant"/>
    <x v="1"/>
    <s v="USA"/>
    <s v="Domestic"/>
    <x v="0"/>
    <n v="1379868"/>
    <n v="11498.900000000001"/>
  </r>
  <r>
    <n v="79"/>
    <s v="Cunningham"/>
    <s v="acunningham26@simplemachines.org"/>
    <s v="M"/>
    <x v="8"/>
    <d v="2002-09-15T00:00:00"/>
    <n v="2002"/>
    <n v="2021"/>
    <x v="3"/>
    <n v="88345"/>
    <s v="Junior Executive"/>
    <x v="4"/>
    <s v="Canada"/>
    <s v="Domestic"/>
    <x v="0"/>
    <n v="1060140"/>
    <n v="8834.5"/>
  </r>
  <r>
    <n v="80"/>
    <s v="Little"/>
    <s v="klittle27@un.org"/>
    <s v="M"/>
    <x v="20"/>
    <d v="2001-09-12T00:00:00"/>
    <n v="2001"/>
    <n v="2021"/>
    <x v="11"/>
    <n v="114647"/>
    <s v="Editor"/>
    <x v="6"/>
    <s v="Canada"/>
    <s v="Entertainment"/>
    <x v="0"/>
    <n v="1375764"/>
    <n v="11464.7"/>
  </r>
  <r>
    <n v="81"/>
    <s v="Welch"/>
    <s v="jwelch28@1und1.de"/>
    <s v="M"/>
    <x v="18"/>
    <d v="2004-07-24T00:00:00"/>
    <n v="2004"/>
    <n v="2021"/>
    <x v="10"/>
    <n v="118514"/>
    <s v="Accounting Assistant III"/>
    <x v="6"/>
    <s v="Canada"/>
    <s v="Outdoors &amp; Garden"/>
    <x v="0"/>
    <n v="1422168"/>
    <n v="11851.400000000001"/>
  </r>
  <r>
    <n v="82"/>
    <s v="Gilbert"/>
    <s v="hgilbert29@xrea.com"/>
    <s v="F"/>
    <x v="12"/>
    <d v="2003-05-11T00:00:00"/>
    <n v="2003"/>
    <n v="2021"/>
    <x v="6"/>
    <n v="93712"/>
    <s v="Junior Executive"/>
    <x v="2"/>
    <s v="Canada"/>
    <s v="Domestic"/>
    <x v="0"/>
    <n v="1124544"/>
    <n v="9371.2000000000007"/>
  </r>
  <r>
    <n v="83"/>
    <s v="George"/>
    <s v="ageorge2a@gmpg.org"/>
    <s v="M"/>
    <x v="14"/>
    <d v="2009-05-02T00:00:00"/>
    <n v="2009"/>
    <n v="2021"/>
    <x v="0"/>
    <n v="86373"/>
    <s v="Compensation Analyst"/>
    <x v="2"/>
    <s v="Canada"/>
    <s v="Auto &amp; Hardware"/>
    <x v="0"/>
    <n v="1036476"/>
    <n v="8637.3000000000011"/>
  </r>
  <r>
    <n v="84"/>
    <s v="Hughes"/>
    <s v="mhughes2b@youtube.com"/>
    <s v="M"/>
    <x v="11"/>
    <d v="2013-01-28T00:00:00"/>
    <n v="2013"/>
    <n v="2021"/>
    <x v="4"/>
    <n v="122110"/>
    <s v="Structural Engineer"/>
    <x v="4"/>
    <s v="Canada"/>
    <s v="Domestic"/>
    <x v="2"/>
    <n v="1465320"/>
    <n v="12211"/>
  </r>
  <r>
    <n v="85"/>
    <s v="Williams"/>
    <s v="jwilliams2c@businesswire.com"/>
    <s v="F"/>
    <x v="10"/>
    <d v="2006-03-26T00:00:00"/>
    <n v="2006"/>
    <n v="2021"/>
    <x v="5"/>
    <n v="95542"/>
    <s v="Nurse"/>
    <x v="0"/>
    <s v="USA"/>
    <s v="Domestic"/>
    <x v="0"/>
    <n v="1146504"/>
    <n v="9554.2000000000007"/>
  </r>
  <r>
    <n v="86"/>
    <s v="Martinez"/>
    <s v="wmartinez2d@barnesandnoble.com"/>
    <s v="F"/>
    <x v="18"/>
    <d v="2026-05-25T00:00:00"/>
    <n v="2013"/>
    <n v="2021"/>
    <x v="4"/>
    <n v="131392"/>
    <s v="Systems Administrator II"/>
    <x v="0"/>
    <s v="USA"/>
    <s v="Outdoors &amp; Garden"/>
    <x v="0"/>
    <n v="1576704"/>
    <n v="13139.2"/>
  </r>
  <r>
    <n v="87"/>
    <s v="Hamilton"/>
    <s v="hhamilton2e@google.de"/>
    <s v="M"/>
    <x v="20"/>
    <d v="2010-10-23T00:00:00"/>
    <n v="2010"/>
    <n v="2021"/>
    <x v="14"/>
    <n v="98401"/>
    <s v="VP Quality Control"/>
    <x v="3"/>
    <s v="USA"/>
    <s v="Entertainment"/>
    <x v="0"/>
    <n v="1180812"/>
    <n v="9840.1"/>
  </r>
  <r>
    <n v="88"/>
    <s v="Gomez"/>
    <s v="jgomez2f@mtv.com"/>
    <s v="F"/>
    <x v="5"/>
    <d v="2004-09-19T00:00:00"/>
    <n v="2004"/>
    <n v="2021"/>
    <x v="10"/>
    <n v="103806"/>
    <s v="Accounting Assistant I"/>
    <x v="1"/>
    <s v="USA"/>
    <s v="Auto &amp; Hardware"/>
    <x v="0"/>
    <n v="1245672"/>
    <n v="10380.6"/>
  </r>
  <r>
    <n v="89"/>
    <s v="Webb"/>
    <s v="awebb2g@springer.com"/>
    <s v="M"/>
    <x v="19"/>
    <d v="2014-04-10T00:00:00"/>
    <n v="2014"/>
    <n v="2021"/>
    <x v="2"/>
    <n v="73686"/>
    <s v="Tax Accountant"/>
    <x v="0"/>
    <s v="USA"/>
    <s v="Domestic"/>
    <x v="2"/>
    <n v="884232"/>
    <n v="7368.6"/>
  </r>
  <r>
    <n v="90"/>
    <s v="Thomas"/>
    <s v="tthomas2h@webnode.com"/>
    <s v="M"/>
    <x v="10"/>
    <d v="2011-11-03T00:00:00"/>
    <n v="2011"/>
    <n v="2021"/>
    <x v="9"/>
    <n v="55002"/>
    <s v="Research Assistant IV"/>
    <x v="4"/>
    <s v="Canada"/>
    <s v="Domestic"/>
    <x v="0"/>
    <n v="660024"/>
    <n v="5500.2000000000007"/>
  </r>
  <r>
    <n v="91"/>
    <s v="Wallace"/>
    <s v="swallace2i@state.tx.us"/>
    <s v="M"/>
    <x v="9"/>
    <d v="2005-03-07T00:00:00"/>
    <n v="2005"/>
    <n v="2021"/>
    <x v="7"/>
    <n v="65216"/>
    <s v="Registered Nurse"/>
    <x v="5"/>
    <s v="USA"/>
    <s v="Domestic"/>
    <x v="0"/>
    <n v="782592"/>
    <n v="6521.6"/>
  </r>
  <r>
    <n v="92"/>
    <s v="Ortiz"/>
    <s v="aortiz2j@jigsy.com"/>
    <s v="F"/>
    <x v="2"/>
    <d v="2023-06-22T00:00:00"/>
    <n v="2010"/>
    <n v="2021"/>
    <x v="14"/>
    <n v="113231"/>
    <s v="Senior Editor"/>
    <x v="2"/>
    <s v="Canada"/>
    <s v="Auto &amp; Hardware"/>
    <x v="0"/>
    <n v="1358772"/>
    <n v="11323.1"/>
  </r>
  <r>
    <n v="93"/>
    <s v="Knight"/>
    <s v="nknight2k@cafepress.com"/>
    <s v="F"/>
    <x v="13"/>
    <d v="2027-04-03T00:00:00"/>
    <n v="2014"/>
    <n v="2021"/>
    <x v="2"/>
    <n v="125847"/>
    <s v="Chemical Engineer"/>
    <x v="6"/>
    <s v="Canada"/>
    <s v="Electronic Equipment"/>
    <x v="0"/>
    <n v="1510164"/>
    <n v="12584.7"/>
  </r>
  <r>
    <n v="94"/>
    <s v="Hunt"/>
    <s v="thunt2l@twitpic.com"/>
    <s v="F"/>
    <x v="20"/>
    <d v="2000-05-31T00:00:00"/>
    <n v="2000"/>
    <n v="2021"/>
    <x v="13"/>
    <n v="140430"/>
    <s v="Senior Cost Accountant"/>
    <x v="0"/>
    <s v="USA"/>
    <s v="Entertainment"/>
    <x v="0"/>
    <n v="1685160"/>
    <n v="14043"/>
  </r>
  <r>
    <n v="95"/>
    <s v="Franklin"/>
    <s v="sfranklin2m@wordpress.com"/>
    <s v="M"/>
    <x v="7"/>
    <d v="2013-11-06T00:00:00"/>
    <n v="2013"/>
    <n v="2021"/>
    <x v="4"/>
    <n v="117105"/>
    <s v="VP Quality Control"/>
    <x v="6"/>
    <s v="Canada"/>
    <s v="Entertainment"/>
    <x v="0"/>
    <n v="1405260"/>
    <n v="11710.5"/>
  </r>
  <r>
    <n v="96"/>
    <s v="Mason"/>
    <s v="wmason2n@xrea.com"/>
    <s v="M"/>
    <x v="17"/>
    <d v="2004-02-21T00:00:00"/>
    <n v="2004"/>
    <n v="2021"/>
    <x v="10"/>
    <n v="96673"/>
    <s v="Accounting Assistant I"/>
    <x v="3"/>
    <s v="USA"/>
    <s v="Domestic"/>
    <x v="0"/>
    <n v="1160076"/>
    <n v="9667.3000000000011"/>
  </r>
  <r>
    <n v="97"/>
    <s v="Williams"/>
    <s v="wwilliams2o@berkeley.edu"/>
    <s v="F"/>
    <x v="10"/>
    <d v="2026-03-14T00:00:00"/>
    <n v="2013"/>
    <n v="2021"/>
    <x v="4"/>
    <n v="79267"/>
    <s v="VP Quality Control"/>
    <x v="2"/>
    <s v="Canada"/>
    <s v="Domestic"/>
    <x v="0"/>
    <n v="951204"/>
    <n v="7926.7000000000007"/>
  </r>
  <r>
    <n v="98"/>
    <s v="Freeman"/>
    <s v="lfreeman2p@tiny.cc"/>
    <s v="F"/>
    <x v="11"/>
    <d v="2020-10-11T00:00:00"/>
    <n v="2007"/>
    <n v="2021"/>
    <x v="8"/>
    <n v="109154"/>
    <s v="Accountant I"/>
    <x v="5"/>
    <s v="USA"/>
    <s v="Domestic"/>
    <x v="2"/>
    <n v="1309848"/>
    <n v="10915.400000000001"/>
  </r>
  <r>
    <n v="99"/>
    <s v="Palmer"/>
    <s v="ipalmer2q@youku.com"/>
    <s v="F"/>
    <x v="16"/>
    <d v="2002-04-24T00:00:00"/>
    <n v="2002"/>
    <n v="2021"/>
    <x v="3"/>
    <n v="138815"/>
    <s v="Physical Therapy Assistant"/>
    <x v="1"/>
    <s v="USA"/>
    <s v="Library"/>
    <x v="0"/>
    <n v="1665780"/>
    <n v="13881.5"/>
  </r>
  <r>
    <n v="100"/>
    <s v="Bell"/>
    <s v="rbell2r@utexas.edu"/>
    <s v="M"/>
    <x v="1"/>
    <d v="2007-08-03T00:00:00"/>
    <n v="2007"/>
    <n v="2021"/>
    <x v="8"/>
    <n v="68210"/>
    <s v="Registered Nurse"/>
    <x v="5"/>
    <s v="USA"/>
    <s v="Games &amp; Sports"/>
    <x v="0"/>
    <n v="818520"/>
    <n v="6821"/>
  </r>
  <r>
    <n v="101"/>
    <s v="Rivera"/>
    <s v="jrivera2s@oakley.com"/>
    <s v="M"/>
    <x v="10"/>
    <d v="2002-11-16T00:00:00"/>
    <n v="2002"/>
    <n v="2021"/>
    <x v="3"/>
    <n v="137281"/>
    <s v="VP Sales"/>
    <x v="1"/>
    <s v="USA"/>
    <s v="Domestic"/>
    <x v="0"/>
    <n v="1647372"/>
    <n v="13728.1"/>
  </r>
  <r>
    <n v="102"/>
    <s v="Matthews"/>
    <s v="kmatthews2t@oaic.gov.au"/>
    <s v="M"/>
    <x v="19"/>
    <d v="2008-08-09T00:00:00"/>
    <n v="2008"/>
    <n v="2021"/>
    <x v="1"/>
    <n v="114970"/>
    <s v="Statistician IV"/>
    <x v="0"/>
    <s v="USA"/>
    <s v="Domestic"/>
    <x v="0"/>
    <n v="1379640"/>
    <n v="11497"/>
  </r>
  <r>
    <n v="103"/>
    <s v="Reed"/>
    <s v="dreed2u@arstechnica.com"/>
    <s v="M"/>
    <x v="2"/>
    <d v="2003-07-19T00:00:00"/>
    <n v="2003"/>
    <n v="2021"/>
    <x v="6"/>
    <n v="126001"/>
    <s v="Structural Engineer"/>
    <x v="4"/>
    <s v="Canada"/>
    <s v="Auto &amp; Hardware"/>
    <x v="2"/>
    <n v="1512012"/>
    <n v="12600.1"/>
  </r>
  <r>
    <n v="104"/>
    <s v="Adams"/>
    <s v="eadams2v@yandex.ru"/>
    <s v="M"/>
    <x v="4"/>
    <d v="2003-09-16T00:00:00"/>
    <n v="2003"/>
    <n v="2021"/>
    <x v="6"/>
    <n v="78736"/>
    <s v="Financial Analyst"/>
    <x v="4"/>
    <s v="Canada"/>
    <s v="Domestic"/>
    <x v="0"/>
    <n v="944832"/>
    <n v="7873.6"/>
  </r>
  <r>
    <n v="105"/>
    <s v="Young"/>
    <s v="syoung2w@cmu.edu"/>
    <s v="M"/>
    <x v="21"/>
    <d v="2009-09-16T00:00:00"/>
    <n v="2009"/>
    <n v="2021"/>
    <x v="0"/>
    <n v="80830"/>
    <s v="Quality Control Specialist"/>
    <x v="5"/>
    <s v="USA"/>
    <s v="Domestic"/>
    <x v="0"/>
    <n v="969960"/>
    <n v="8083"/>
  </r>
  <r>
    <n v="106"/>
    <s v="Gardner"/>
    <s v="rgardner2x@theguardian.com"/>
    <s v="M"/>
    <x v="11"/>
    <d v="2009-08-06T00:00:00"/>
    <n v="2009"/>
    <n v="2021"/>
    <x v="0"/>
    <n v="47879"/>
    <s v="Product Engineer"/>
    <x v="6"/>
    <s v="Canada"/>
    <s v="Domestic"/>
    <x v="0"/>
    <n v="574548"/>
    <n v="4787.9000000000005"/>
  </r>
  <r>
    <n v="107"/>
    <s v="Castillo"/>
    <s v="bcastillo2y@cornell.edu"/>
    <s v="F"/>
    <x v="0"/>
    <d v="2004-03-31T00:00:00"/>
    <n v="2004"/>
    <n v="2021"/>
    <x v="10"/>
    <n v="132634"/>
    <s v="Civil Engineer"/>
    <x v="0"/>
    <s v="USA"/>
    <s v="Electronic Equipment"/>
    <x v="0"/>
    <n v="1591608"/>
    <n v="13263.400000000001"/>
  </r>
  <r>
    <n v="108"/>
    <s v="Perkins"/>
    <s v="jperkins2z@prlog.org"/>
    <s v="M"/>
    <x v="8"/>
    <d v="2005-07-14T00:00:00"/>
    <n v="2005"/>
    <n v="2021"/>
    <x v="7"/>
    <n v="68344"/>
    <s v="Senior Cost Accountant"/>
    <x v="2"/>
    <s v="Canada"/>
    <s v="Domestic"/>
    <x v="2"/>
    <n v="820128"/>
    <n v="6834.4000000000005"/>
  </r>
  <r>
    <n v="109"/>
    <s v="Freeman"/>
    <s v="bfreeman30@fda.gov"/>
    <s v="F"/>
    <x v="8"/>
    <d v="2020-10-14T00:00:00"/>
    <n v="2007"/>
    <n v="2021"/>
    <x v="8"/>
    <n v="147868"/>
    <s v="General Manager"/>
    <x v="4"/>
    <s v="Canada"/>
    <s v="Domestic"/>
    <x v="0"/>
    <n v="1774416"/>
    <n v="14786.800000000001"/>
  </r>
  <r>
    <n v="110"/>
    <s v="Howell"/>
    <s v="whowell31@free.fr"/>
    <s v="M"/>
    <x v="16"/>
    <d v="2011-04-15T00:00:00"/>
    <n v="2011"/>
    <n v="2021"/>
    <x v="9"/>
    <n v="67255"/>
    <s v="Geologist III"/>
    <x v="5"/>
    <s v="USA"/>
    <s v="Library"/>
    <x v="0"/>
    <n v="807060"/>
    <n v="6725.5"/>
  </r>
  <r>
    <n v="111"/>
    <s v="Austin"/>
    <s v="naustin32@discuz.net"/>
    <s v="F"/>
    <x v="0"/>
    <d v="2025-06-13T00:00:00"/>
    <n v="2012"/>
    <n v="2021"/>
    <x v="12"/>
    <n v="47494"/>
    <s v="Help Desk Operator"/>
    <x v="4"/>
    <s v="Canada"/>
    <s v="Electronic Equipment"/>
    <x v="0"/>
    <n v="569928"/>
    <n v="4749.4000000000005"/>
  </r>
  <r>
    <n v="112"/>
    <s v="Morris"/>
    <s v="amorris33@irs.gov"/>
    <s v="F"/>
    <x v="7"/>
    <d v="2026-07-19T00:00:00"/>
    <n v="2013"/>
    <n v="2021"/>
    <x v="4"/>
    <n v="127645"/>
    <s v="Legal Assistant"/>
    <x v="3"/>
    <s v="USA"/>
    <s v="Entertainment"/>
    <x v="0"/>
    <n v="1531740"/>
    <n v="12764.5"/>
  </r>
  <r>
    <n v="113"/>
    <s v="Moore"/>
    <s v="kmoore34@shareasale.com"/>
    <s v="M"/>
    <x v="9"/>
    <d v="2000-03-01T00:00:00"/>
    <n v="2000"/>
    <n v="2021"/>
    <x v="13"/>
    <n v="54413"/>
    <s v="Operator"/>
    <x v="6"/>
    <s v="Canada"/>
    <s v="Domestic"/>
    <x v="0"/>
    <n v="652956"/>
    <n v="5441.3"/>
  </r>
  <r>
    <n v="114"/>
    <s v="Sims"/>
    <s v="msims35@i2i.jp"/>
    <s v="M"/>
    <x v="4"/>
    <d v="2012-12-06T00:00:00"/>
    <n v="2012"/>
    <n v="2021"/>
    <x v="12"/>
    <n v="136790"/>
    <s v="Nuclear Power Engineer"/>
    <x v="0"/>
    <s v="USA"/>
    <s v="Domestic"/>
    <x v="2"/>
    <n v="1641480"/>
    <n v="13679"/>
  </r>
  <r>
    <n v="115"/>
    <s v="Nguyen"/>
    <s v="rnguyen36@bandcamp.com"/>
    <s v="F"/>
    <x v="8"/>
    <d v="2020-06-30T00:00:00"/>
    <n v="2007"/>
    <n v="2021"/>
    <x v="8"/>
    <n v="58420"/>
    <s v="Graphic Designer"/>
    <x v="3"/>
    <s v="USA"/>
    <s v="Domestic"/>
    <x v="0"/>
    <n v="701040"/>
    <n v="5842"/>
  </r>
  <r>
    <n v="116"/>
    <s v="Wells"/>
    <s v="awells37@theatlantic.com"/>
    <s v="M"/>
    <x v="14"/>
    <d v="2002-01-17T00:00:00"/>
    <n v="2002"/>
    <n v="2021"/>
    <x v="3"/>
    <n v="73813"/>
    <s v="Occupational Therapist"/>
    <x v="1"/>
    <s v="USA"/>
    <s v="Auto &amp; Hardware"/>
    <x v="0"/>
    <n v="885756"/>
    <n v="7381.3"/>
  </r>
  <r>
    <n v="117"/>
    <s v="Martin"/>
    <s v="jmartin38@chron.com"/>
    <s v="M"/>
    <x v="7"/>
    <d v="2012-10-02T00:00:00"/>
    <n v="2012"/>
    <n v="2021"/>
    <x v="12"/>
    <n v="49644"/>
    <s v="Senior Developer"/>
    <x v="5"/>
    <s v="USA"/>
    <s v="Entertainment"/>
    <x v="0"/>
    <n v="595728"/>
    <n v="4964.4000000000005"/>
  </r>
  <r>
    <n v="118"/>
    <s v="Fox"/>
    <s v="pfox39@discovery.com"/>
    <s v="M"/>
    <x v="2"/>
    <d v="2009-09-03T00:00:00"/>
    <n v="2009"/>
    <n v="2021"/>
    <x v="0"/>
    <n v="87134"/>
    <s v="Assistant Manager"/>
    <x v="1"/>
    <s v="USA"/>
    <s v="Auto &amp; Hardware"/>
    <x v="0"/>
    <n v="1045608"/>
    <n v="8713.4"/>
  </r>
  <r>
    <n v="119"/>
    <s v="Washington"/>
    <s v="wwashington3a@dot.gov"/>
    <s v="F"/>
    <x v="8"/>
    <d v="2021-10-06T00:00:00"/>
    <n v="2008"/>
    <n v="2021"/>
    <x v="1"/>
    <n v="148408"/>
    <s v="Speech Pathologist"/>
    <x v="1"/>
    <s v="USA"/>
    <s v="Domestic"/>
    <x v="0"/>
    <n v="1780896"/>
    <n v="14840.800000000001"/>
  </r>
  <r>
    <n v="120"/>
    <s v="Evans"/>
    <s v="wevans3b@scientificamerican.com"/>
    <s v="F"/>
    <x v="6"/>
    <d v="2021-01-23T00:00:00"/>
    <n v="2008"/>
    <n v="2021"/>
    <x v="1"/>
    <n v="77335"/>
    <s v="Chemical Engineer"/>
    <x v="5"/>
    <s v="USA"/>
    <s v="Games &amp; Sports"/>
    <x v="2"/>
    <n v="928020"/>
    <n v="7733.5"/>
  </r>
  <r>
    <n v="121"/>
    <s v="Elliott"/>
    <s v="belliott3c@jiathis.com"/>
    <s v="F"/>
    <x v="1"/>
    <d v="2020-08-05T00:00:00"/>
    <n v="2007"/>
    <n v="2021"/>
    <x v="8"/>
    <n v="131409"/>
    <s v="Technical Writer"/>
    <x v="2"/>
    <s v="Canada"/>
    <s v="Games &amp; Sports"/>
    <x v="0"/>
    <n v="1576908"/>
    <n v="13140.900000000001"/>
  </r>
  <r>
    <n v="122"/>
    <s v="Wagner"/>
    <s v="jwagner3d@fotki.com"/>
    <s v="M"/>
    <x v="9"/>
    <d v="2001-02-26T00:00:00"/>
    <n v="2001"/>
    <n v="2021"/>
    <x v="11"/>
    <n v="77530"/>
    <s v="Librarian"/>
    <x v="3"/>
    <s v="USA"/>
    <s v="Domestic"/>
    <x v="0"/>
    <n v="930360"/>
    <n v="7753"/>
  </r>
  <r>
    <n v="123"/>
    <s v="Griffin"/>
    <s v="agriffin3e@mtv.com"/>
    <s v="F"/>
    <x v="15"/>
    <d v="2002-04-26T00:00:00"/>
    <n v="2002"/>
    <n v="2021"/>
    <x v="3"/>
    <n v="101875"/>
    <s v="Business Systems Development Analyst"/>
    <x v="5"/>
    <s v="USA"/>
    <s v="Outdoors &amp; Garden"/>
    <x v="0"/>
    <n v="1222500"/>
    <n v="10187.5"/>
  </r>
  <r>
    <n v="124"/>
    <s v="Chavez"/>
    <s v="mchavez3f@sohu.com"/>
    <s v="F"/>
    <x v="4"/>
    <d v="2005-12-07T00:00:00"/>
    <n v="2005"/>
    <n v="2021"/>
    <x v="7"/>
    <n v="144028"/>
    <s v="Executive Secretary"/>
    <x v="4"/>
    <s v="Canada"/>
    <s v="Domestic"/>
    <x v="0"/>
    <n v="1728336"/>
    <n v="14402.800000000001"/>
  </r>
  <r>
    <n v="125"/>
    <s v="Dean"/>
    <s v="ldean3g@blogspot.com"/>
    <s v="F"/>
    <x v="7"/>
    <d v="2025-05-05T00:00:00"/>
    <n v="2012"/>
    <n v="2021"/>
    <x v="12"/>
    <n v="140708"/>
    <s v="Nurse"/>
    <x v="3"/>
    <s v="USA"/>
    <s v="Entertainment"/>
    <x v="2"/>
    <n v="1688496"/>
    <n v="14070.800000000001"/>
  </r>
  <r>
    <n v="126"/>
    <s v="Burton"/>
    <s v="bburton3h@360.cn"/>
    <s v="M"/>
    <x v="21"/>
    <d v="2013-07-11T00:00:00"/>
    <n v="2013"/>
    <n v="2021"/>
    <x v="4"/>
    <n v="79172"/>
    <s v="Associate Professor"/>
    <x v="2"/>
    <s v="Canada"/>
    <s v="Domestic"/>
    <x v="0"/>
    <n v="950064"/>
    <n v="7917.2000000000007"/>
  </r>
  <r>
    <n v="127"/>
    <s v="Harper"/>
    <s v="sharper3i@slideshare.net"/>
    <s v="F"/>
    <x v="18"/>
    <d v="2000-05-18T00:00:00"/>
    <n v="2000"/>
    <n v="2021"/>
    <x v="13"/>
    <n v="144639"/>
    <s v="VP Quality Control"/>
    <x v="2"/>
    <s v="Canada"/>
    <s v="Outdoors &amp; Garden"/>
    <x v="0"/>
    <n v="1735668"/>
    <n v="14463.900000000001"/>
  </r>
  <r>
    <n v="128"/>
    <s v="Gibson"/>
    <s v="tgibson3j@ucoz.com"/>
    <s v="M"/>
    <x v="0"/>
    <d v="2003-03-24T00:00:00"/>
    <n v="2003"/>
    <n v="2021"/>
    <x v="6"/>
    <n v="109449"/>
    <s v="Engineer II"/>
    <x v="2"/>
    <s v="Canada"/>
    <s v="Electronic Equipment"/>
    <x v="0"/>
    <n v="1313388"/>
    <n v="10944.900000000001"/>
  </r>
  <r>
    <n v="129"/>
    <s v="Grant"/>
    <s v="lgrant3k@live.com"/>
    <s v="F"/>
    <x v="0"/>
    <d v="2006-10-15T00:00:00"/>
    <n v="2006"/>
    <n v="2021"/>
    <x v="5"/>
    <n v="108441"/>
    <s v="Nurse"/>
    <x v="4"/>
    <s v="Canada"/>
    <s v="Electronic Equipment"/>
    <x v="0"/>
    <n v="1301292"/>
    <n v="10844.1"/>
  </r>
  <r>
    <n v="130"/>
    <s v="Nichols"/>
    <s v="bnichols3l@dropbox.com"/>
    <s v="F"/>
    <x v="10"/>
    <d v="2021-07-03T00:00:00"/>
    <n v="2008"/>
    <n v="2021"/>
    <x v="1"/>
    <n v="145692"/>
    <s v="Recruiting Manager"/>
    <x v="6"/>
    <s v="Canada"/>
    <s v="Domestic"/>
    <x v="0"/>
    <n v="1748304"/>
    <n v="14569.2"/>
  </r>
  <r>
    <n v="131"/>
    <s v="Kelley"/>
    <s v="wkelley3m@domainmarket.com"/>
    <s v="M"/>
    <x v="21"/>
    <d v="2000-02-24T00:00:00"/>
    <n v="2000"/>
    <n v="2021"/>
    <x v="13"/>
    <n v="120377"/>
    <s v="Research Nurse"/>
    <x v="5"/>
    <s v="USA"/>
    <s v="Domestic"/>
    <x v="0"/>
    <n v="1444524"/>
    <n v="12037.7"/>
  </r>
  <r>
    <n v="132"/>
    <s v="Montgomery"/>
    <s v="rmontgomery3n@chicagotribune.com"/>
    <s v="F"/>
    <x v="12"/>
    <d v="2003-05-14T00:00:00"/>
    <n v="2003"/>
    <n v="2021"/>
    <x v="6"/>
    <n v="63929"/>
    <s v="Research Assistant IV"/>
    <x v="6"/>
    <s v="Canada"/>
    <s v="Domestic"/>
    <x v="0"/>
    <n v="767148"/>
    <n v="6392.9000000000005"/>
  </r>
  <r>
    <n v="133"/>
    <s v="Martinez"/>
    <s v="dmartinez3o@deviantart.com"/>
    <s v="M"/>
    <x v="10"/>
    <d v="2001-02-01T00:00:00"/>
    <n v="2001"/>
    <n v="2021"/>
    <x v="11"/>
    <n v="124853"/>
    <s v="Systems Administrator III"/>
    <x v="0"/>
    <s v="USA"/>
    <s v="Domestic"/>
    <x v="0"/>
    <n v="1498236"/>
    <n v="12485.300000000001"/>
  </r>
  <r>
    <n v="134"/>
    <s v="Harvey"/>
    <s v="jharvey3p@angelfire.com"/>
    <s v="F"/>
    <x v="18"/>
    <d v="2023-06-03T00:00:00"/>
    <n v="2010"/>
    <n v="2021"/>
    <x v="14"/>
    <n v="99854"/>
    <s v="VP Marketing"/>
    <x v="4"/>
    <s v="Canada"/>
    <s v="Outdoors &amp; Garden"/>
    <x v="0"/>
    <n v="1198248"/>
    <n v="9985.4000000000015"/>
  </r>
  <r>
    <n v="135"/>
    <s v="Hicks"/>
    <s v="ahicks3q@pcworld.com"/>
    <s v="F"/>
    <x v="11"/>
    <d v="2026-08-11T00:00:00"/>
    <n v="2013"/>
    <n v="2021"/>
    <x v="4"/>
    <n v="58675"/>
    <s v="Technical Writer"/>
    <x v="1"/>
    <s v="USA"/>
    <s v="Domestic"/>
    <x v="1"/>
    <n v="704100"/>
    <n v="5867.5"/>
  </r>
  <r>
    <n v="136"/>
    <s v="Rose"/>
    <s v="lrose3r@slideshare.net"/>
    <s v="F"/>
    <x v="17"/>
    <d v="2020-05-16T00:00:00"/>
    <n v="2007"/>
    <n v="2021"/>
    <x v="8"/>
    <n v="50060"/>
    <s v="Accountant IV"/>
    <x v="3"/>
    <s v="USA"/>
    <s v="Domestic"/>
    <x v="0"/>
    <n v="600720"/>
    <n v="5006"/>
  </r>
  <r>
    <n v="137"/>
    <s v="Simmons"/>
    <s v="jsimmons3s@imageshack.us"/>
    <s v="F"/>
    <x v="1"/>
    <d v="2027-08-09T00:00:00"/>
    <n v="2014"/>
    <n v="2021"/>
    <x v="2"/>
    <n v="72748"/>
    <s v="Quality Control Specialist"/>
    <x v="1"/>
    <s v="USA"/>
    <s v="Games &amp; Sports"/>
    <x v="2"/>
    <n v="872976"/>
    <n v="7274.8"/>
  </r>
  <r>
    <n v="138"/>
    <s v="Montgomery"/>
    <s v="wmontgomery3t@taobao.com"/>
    <s v="M"/>
    <x v="13"/>
    <d v="2005-09-01T00:00:00"/>
    <n v="2005"/>
    <n v="2021"/>
    <x v="7"/>
    <n v="71082"/>
    <s v="Geologist III"/>
    <x v="2"/>
    <s v="Canada"/>
    <s v="Electronic Equipment"/>
    <x v="1"/>
    <n v="852984"/>
    <n v="7108.2000000000007"/>
  </r>
  <r>
    <n v="139"/>
    <s v="Hart"/>
    <s v="rhart3u@wsj.com"/>
    <s v="M"/>
    <x v="3"/>
    <d v="2012-01-08T00:00:00"/>
    <n v="2012"/>
    <n v="2021"/>
    <x v="12"/>
    <n v="119773"/>
    <s v="Pharmacist"/>
    <x v="1"/>
    <s v="USA"/>
    <s v="Fashion"/>
    <x v="0"/>
    <n v="1437276"/>
    <n v="11977.300000000001"/>
  </r>
  <r>
    <n v="140"/>
    <s v="Wheeler"/>
    <s v="bwheeler3v@google.co.uk"/>
    <s v="M"/>
    <x v="0"/>
    <d v="2001-01-22T00:00:00"/>
    <n v="2001"/>
    <n v="2021"/>
    <x v="11"/>
    <n v="82358"/>
    <s v="Information Systems Manager"/>
    <x v="5"/>
    <s v="USA"/>
    <s v="Electronic Equipment"/>
    <x v="0"/>
    <n v="988296"/>
    <n v="8235.8000000000011"/>
  </r>
  <r>
    <n v="141"/>
    <s v="Williamson"/>
    <s v="rwilliamson3w@amazon.co.jp"/>
    <s v="M"/>
    <x v="10"/>
    <d v="2005-12-12T00:00:00"/>
    <n v="2005"/>
    <n v="2021"/>
    <x v="7"/>
    <n v="145575"/>
    <s v="VP Accounting"/>
    <x v="3"/>
    <s v="USA"/>
    <s v="Domestic"/>
    <x v="0"/>
    <n v="1746900"/>
    <n v="14557.5"/>
  </r>
  <r>
    <n v="142"/>
    <s v="Burton"/>
    <s v="gburton3x@umich.edu"/>
    <s v="M"/>
    <x v="14"/>
    <d v="2009-12-06T00:00:00"/>
    <n v="2009"/>
    <n v="2021"/>
    <x v="0"/>
    <n v="105810"/>
    <s v="Recruiter"/>
    <x v="6"/>
    <s v="Canada"/>
    <s v="Auto &amp; Hardware"/>
    <x v="1"/>
    <n v="1269720"/>
    <n v="10581"/>
  </r>
  <r>
    <n v="143"/>
    <s v="Gutierrez"/>
    <s v="jgutierrez3y@tuttocitta.it"/>
    <s v="M"/>
    <x v="5"/>
    <d v="2014-05-06T00:00:00"/>
    <n v="2014"/>
    <n v="2021"/>
    <x v="2"/>
    <n v="58805"/>
    <s v="Database Administrator I"/>
    <x v="3"/>
    <s v="USA"/>
    <s v="Auto &amp; Hardware"/>
    <x v="1"/>
    <n v="705660"/>
    <n v="5880.5"/>
  </r>
  <r>
    <n v="144"/>
    <s v="Barnes"/>
    <s v="lbarnes3z@indiegogo.com"/>
    <s v="F"/>
    <x v="9"/>
    <d v="2021-12-08T00:00:00"/>
    <n v="2008"/>
    <n v="2021"/>
    <x v="1"/>
    <n v="112837"/>
    <s v="Clinical Specialist"/>
    <x v="6"/>
    <s v="Canada"/>
    <s v="Domestic"/>
    <x v="0"/>
    <n v="1354044"/>
    <n v="11283.7"/>
  </r>
  <r>
    <n v="145"/>
    <s v="Day"/>
    <s v="lday40@upenn.edu"/>
    <s v="F"/>
    <x v="9"/>
    <d v="2026-04-14T00:00:00"/>
    <n v="2013"/>
    <n v="2021"/>
    <x v="4"/>
    <n v="125914"/>
    <s v="Junior Executive"/>
    <x v="4"/>
    <s v="Canada"/>
    <s v="Domestic"/>
    <x v="0"/>
    <n v="1510968"/>
    <n v="12591.400000000001"/>
  </r>
  <r>
    <n v="146"/>
    <s v="Thompson"/>
    <s v="athompson41@booking.com"/>
    <s v="M"/>
    <x v="7"/>
    <d v="2009-02-04T00:00:00"/>
    <n v="2009"/>
    <n v="2021"/>
    <x v="0"/>
    <n v="133281"/>
    <s v="Account Executive"/>
    <x v="4"/>
    <s v="Canada"/>
    <s v="Entertainment"/>
    <x v="1"/>
    <n v="1599372"/>
    <n v="13328.1"/>
  </r>
  <r>
    <n v="147"/>
    <s v="Hernandez"/>
    <s v="ahernandez42@pagesperso-orange.fr"/>
    <s v="F"/>
    <x v="20"/>
    <d v="2025-10-06T00:00:00"/>
    <n v="2012"/>
    <n v="2021"/>
    <x v="12"/>
    <n v="96169"/>
    <s v="Civil Engineer"/>
    <x v="3"/>
    <s v="USA"/>
    <s v="Entertainment"/>
    <x v="1"/>
    <n v="1154028"/>
    <n v="9616.9"/>
  </r>
  <r>
    <n v="148"/>
    <s v="Sanders"/>
    <s v="lsanders43@linkedin.com"/>
    <s v="M"/>
    <x v="7"/>
    <d v="2013-05-09T00:00:00"/>
    <n v="2013"/>
    <n v="2021"/>
    <x v="4"/>
    <n v="146970"/>
    <s v="Staff Accountant III"/>
    <x v="1"/>
    <s v="USA"/>
    <s v="Entertainment"/>
    <x v="1"/>
    <n v="1763640"/>
    <n v="14697"/>
  </r>
  <r>
    <n v="149"/>
    <s v="Meyer"/>
    <s v="jmeyer44@facebook.com"/>
    <s v="F"/>
    <x v="6"/>
    <d v="2021-05-03T00:00:00"/>
    <n v="2008"/>
    <n v="2021"/>
    <x v="1"/>
    <n v="76352"/>
    <s v="Human Resources Assistant IV"/>
    <x v="5"/>
    <s v="USA"/>
    <s v="Games &amp; Sports"/>
    <x v="1"/>
    <n v="916224"/>
    <n v="7635.2000000000007"/>
  </r>
  <r>
    <n v="150"/>
    <s v="Diaz"/>
    <s v="pdiaz45@who.int"/>
    <s v="M"/>
    <x v="19"/>
    <d v="2006-10-15T00:00:00"/>
    <n v="2006"/>
    <n v="2021"/>
    <x v="5"/>
    <n v="128748"/>
    <s v="Web Developer III"/>
    <x v="3"/>
    <s v="USA"/>
    <s v="Domestic"/>
    <x v="1"/>
    <n v="1544976"/>
    <n v="12874.800000000001"/>
  </r>
  <r>
    <n v="151"/>
    <s v="Larson"/>
    <s v="blarson46@newsvine.com"/>
    <s v="M"/>
    <x v="16"/>
    <d v="2011-08-09T00:00:00"/>
    <n v="2011"/>
    <n v="2021"/>
    <x v="9"/>
    <n v="50066"/>
    <s v="Operator"/>
    <x v="3"/>
    <s v="USA"/>
    <s v="Library"/>
    <x v="1"/>
    <n v="600792"/>
    <n v="5006.6000000000004"/>
  </r>
  <r>
    <n v="152"/>
    <s v="Roberts"/>
    <s v="droberts47@jimdo.com"/>
    <s v="M"/>
    <x v="20"/>
    <d v="2011-07-22T00:00:00"/>
    <n v="2011"/>
    <n v="2021"/>
    <x v="9"/>
    <n v="105319"/>
    <s v="Compensation Analyst"/>
    <x v="5"/>
    <s v="USA"/>
    <s v="Entertainment"/>
    <x v="1"/>
    <n v="1263828"/>
    <n v="10531.900000000001"/>
  </r>
  <r>
    <n v="153"/>
    <s v="Carroll"/>
    <s v="jcarroll48@cisco.com"/>
    <s v="M"/>
    <x v="12"/>
    <d v="2003-10-30T00:00:00"/>
    <n v="2003"/>
    <n v="2021"/>
    <x v="6"/>
    <n v="110622"/>
    <s v="Safety Technician IV"/>
    <x v="5"/>
    <s v="USA"/>
    <s v="Domestic"/>
    <x v="1"/>
    <n v="1327464"/>
    <n v="11062.2"/>
  </r>
  <r>
    <n v="154"/>
    <s v="Russell"/>
    <s v="mrussell49@exblog.jp"/>
    <s v="F"/>
    <x v="13"/>
    <d v="2022-10-16T00:00:00"/>
    <n v="2009"/>
    <n v="2021"/>
    <x v="0"/>
    <n v="87422"/>
    <s v="Help Desk Operator"/>
    <x v="2"/>
    <s v="Canada"/>
    <s v="Electronic Equipment"/>
    <x v="1"/>
    <n v="1049064"/>
    <n v="8742.2000000000007"/>
  </r>
  <r>
    <n v="155"/>
    <s v="Robinson"/>
    <s v="trobinson4a@amazon.com"/>
    <s v="M"/>
    <x v="16"/>
    <d v="2007-09-06T00:00:00"/>
    <n v="2007"/>
    <n v="2021"/>
    <x v="8"/>
    <n v="45456"/>
    <s v="Chemical Engineer"/>
    <x v="3"/>
    <s v="USA"/>
    <s v="Library"/>
    <x v="1"/>
    <n v="545472"/>
    <n v="4545.6000000000004"/>
  </r>
  <r>
    <n v="156"/>
    <s v="Hayes"/>
    <s v="ahayes4b@guardian.co.uk"/>
    <s v="M"/>
    <x v="14"/>
    <d v="2004-05-21T00:00:00"/>
    <n v="2004"/>
    <n v="2021"/>
    <x v="10"/>
    <n v="52298"/>
    <s v="Analyst Programmer"/>
    <x v="2"/>
    <s v="Canada"/>
    <s v="Auto &amp; Hardware"/>
    <x v="1"/>
    <n v="627576"/>
    <n v="5229.8"/>
  </r>
  <r>
    <n v="157"/>
    <s v="Henry"/>
    <s v="dhenry4c@yelp.com"/>
    <s v="M"/>
    <x v="21"/>
    <d v="2007-05-14T00:00:00"/>
    <n v="2007"/>
    <n v="2021"/>
    <x v="8"/>
    <n v="131252"/>
    <s v="Account Representative III"/>
    <x v="3"/>
    <s v="USA"/>
    <s v="Domestic"/>
    <x v="1"/>
    <n v="1575024"/>
    <n v="13125.2"/>
  </r>
  <r>
    <n v="158"/>
    <s v="Chavez"/>
    <s v="mchavez4d@baidu.com"/>
    <s v="M"/>
    <x v="15"/>
    <d v="2001-02-23T00:00:00"/>
    <n v="2001"/>
    <n v="2021"/>
    <x v="11"/>
    <n v="128766"/>
    <s v="Desktop Support Technician"/>
    <x v="0"/>
    <s v="USA"/>
    <s v="Outdoors &amp; Garden"/>
    <x v="1"/>
    <n v="1545192"/>
    <n v="12876.6"/>
  </r>
  <r>
    <n v="159"/>
    <s v="Harvey"/>
    <s v="eharvey4e@opera.com"/>
    <s v="M"/>
    <x v="5"/>
    <d v="2009-09-12T00:00:00"/>
    <n v="2009"/>
    <n v="2021"/>
    <x v="0"/>
    <n v="138179"/>
    <s v="Analog Circuit Design manager"/>
    <x v="1"/>
    <s v="USA"/>
    <s v="Auto &amp; Hardware"/>
    <x v="1"/>
    <n v="1658148"/>
    <n v="13817.900000000001"/>
  </r>
  <r>
    <n v="160"/>
    <s v="Gutierrez"/>
    <s v="cgutierrez4f@usnews.com"/>
    <s v="F"/>
    <x v="14"/>
    <d v="2003-06-22T00:00:00"/>
    <n v="2003"/>
    <n v="2021"/>
    <x v="6"/>
    <n v="85012"/>
    <s v="Financial Analyst"/>
    <x v="3"/>
    <s v="USA"/>
    <s v="Auto &amp; Hardware"/>
    <x v="1"/>
    <n v="1020144"/>
    <n v="8501.2000000000007"/>
  </r>
  <r>
    <n v="161"/>
    <s v="Cruz"/>
    <s v="mcruz4g@dedecms.com"/>
    <s v="M"/>
    <x v="19"/>
    <d v="2001-08-24T00:00:00"/>
    <n v="2001"/>
    <n v="2021"/>
    <x v="11"/>
    <n v="131479"/>
    <s v="Senior Cost Accountant"/>
    <x v="2"/>
    <s v="Canada"/>
    <s v="Domestic"/>
    <x v="1"/>
    <n v="1577748"/>
    <n v="13147.900000000001"/>
  </r>
  <r>
    <n v="162"/>
    <s v="Sullivan"/>
    <s v="jsullivan4h@cloudflare.com"/>
    <s v="F"/>
    <x v="19"/>
    <d v="2005-12-28T00:00:00"/>
    <n v="2005"/>
    <n v="2021"/>
    <x v="7"/>
    <n v="103182"/>
    <s v="Accounting Assistant I"/>
    <x v="0"/>
    <s v="USA"/>
    <s v="Domestic"/>
    <x v="1"/>
    <n v="1238184"/>
    <n v="10318.200000000001"/>
  </r>
  <r>
    <n v="163"/>
    <s v="Robertson"/>
    <s v="jrobertson4i@live.com"/>
    <s v="M"/>
    <x v="15"/>
    <d v="2000-06-07T00:00:00"/>
    <n v="2000"/>
    <n v="2021"/>
    <x v="13"/>
    <n v="96996"/>
    <s v="Software Test Engineer I"/>
    <x v="5"/>
    <s v="USA"/>
    <s v="Outdoors &amp; Garden"/>
    <x v="1"/>
    <n v="1163952"/>
    <n v="9699.6"/>
  </r>
  <r>
    <n v="164"/>
    <s v="Robertson"/>
    <s v="trobertson4j@youtu.be"/>
    <s v="F"/>
    <x v="0"/>
    <d v="2021-08-30T00:00:00"/>
    <n v="2008"/>
    <n v="2021"/>
    <x v="1"/>
    <n v="106607"/>
    <s v="Automation Specialist I"/>
    <x v="0"/>
    <s v="USA"/>
    <s v="Electronic Equipment"/>
    <x v="1"/>
    <n v="1279284"/>
    <n v="10660.7"/>
  </r>
  <r>
    <n v="165"/>
    <s v="Lawson"/>
    <s v="jlawson4k@prnewswire.com"/>
    <s v="M"/>
    <x v="2"/>
    <d v="2012-12-05T00:00:00"/>
    <n v="2012"/>
    <n v="2021"/>
    <x v="12"/>
    <n v="130993"/>
    <s v="Administrative Officer"/>
    <x v="0"/>
    <s v="USA"/>
    <s v="Auto &amp; Hardware"/>
    <x v="1"/>
    <n v="1571916"/>
    <n v="13099.300000000001"/>
  </r>
  <r>
    <n v="166"/>
    <s v="Meyer"/>
    <s v="kmeyer4l@bloglovin.com"/>
    <s v="M"/>
    <x v="14"/>
    <d v="2006-03-05T00:00:00"/>
    <n v="2006"/>
    <n v="2021"/>
    <x v="5"/>
    <n v="87097"/>
    <s v="Safety Technician IV"/>
    <x v="2"/>
    <s v="Canada"/>
    <s v="Auto &amp; Hardware"/>
    <x v="1"/>
    <n v="1045164"/>
    <n v="8709.7000000000007"/>
  </r>
  <r>
    <n v="167"/>
    <s v="Lopez"/>
    <s v="rlopez4m@foxnews.com"/>
    <s v="M"/>
    <x v="18"/>
    <d v="2013-01-25T00:00:00"/>
    <n v="2013"/>
    <n v="2021"/>
    <x v="4"/>
    <n v="131961"/>
    <s v="Legal Assistant"/>
    <x v="5"/>
    <s v="USA"/>
    <s v="Outdoors &amp; Garden"/>
    <x v="1"/>
    <n v="1583532"/>
    <n v="13196.1"/>
  </r>
  <r>
    <n v="168"/>
    <s v="Burns"/>
    <s v="pburns4n@networksolutions.com"/>
    <s v="F"/>
    <x v="3"/>
    <d v="2027-06-09T00:00:00"/>
    <n v="2014"/>
    <n v="2021"/>
    <x v="2"/>
    <n v="88093"/>
    <s v="Editor"/>
    <x v="2"/>
    <s v="Canada"/>
    <s v="Fashion"/>
    <x v="1"/>
    <n v="1057116"/>
    <n v="8809.3000000000011"/>
  </r>
  <r>
    <n v="169"/>
    <s v="Sanders"/>
    <s v="rsanders4o@salon.com"/>
    <s v="M"/>
    <x v="7"/>
    <d v="2010-12-24T00:00:00"/>
    <n v="2010"/>
    <n v="2021"/>
    <x v="14"/>
    <n v="41898"/>
    <s v="Tax Accountant"/>
    <x v="4"/>
    <s v="Canada"/>
    <s v="Entertainment"/>
    <x v="1"/>
    <n v="502776"/>
    <n v="4189.8"/>
  </r>
  <r>
    <n v="170"/>
    <s v="Martinez"/>
    <s v="cmartinez4p@facebook.com"/>
    <s v="M"/>
    <x v="13"/>
    <d v="2004-06-28T00:00:00"/>
    <n v="2004"/>
    <n v="2021"/>
    <x v="10"/>
    <n v="52808"/>
    <s v="Human Resources Assistant I"/>
    <x v="0"/>
    <s v="USA"/>
    <s v="Electronic Equipment"/>
    <x v="1"/>
    <n v="633696"/>
    <n v="5280.8"/>
  </r>
  <r>
    <n v="171"/>
    <s v="Harris"/>
    <s v="mharris4q@squarespace.com"/>
    <s v="F"/>
    <x v="7"/>
    <d v="2004-09-27T00:00:00"/>
    <n v="2004"/>
    <n v="2021"/>
    <x v="10"/>
    <n v="110912"/>
    <s v="Geologist I"/>
    <x v="6"/>
    <s v="Canada"/>
    <s v="Entertainment"/>
    <x v="1"/>
    <n v="1330944"/>
    <n v="11091.2"/>
  </r>
  <r>
    <n v="172"/>
    <s v="Fields"/>
    <s v="rfields4r@amazon.co.uk"/>
    <s v="M"/>
    <x v="16"/>
    <d v="2009-09-05T00:00:00"/>
    <n v="2009"/>
    <n v="2021"/>
    <x v="0"/>
    <n v="101520"/>
    <s v="Project Manager"/>
    <x v="3"/>
    <s v="USA"/>
    <s v="Library"/>
    <x v="1"/>
    <n v="1218240"/>
    <n v="10152"/>
  </r>
  <r>
    <n v="173"/>
    <s v="Fox"/>
    <s v="ffox4s@geocities.com"/>
    <s v="F"/>
    <x v="16"/>
    <d v="2005-11-21T00:00:00"/>
    <n v="2005"/>
    <n v="2021"/>
    <x v="7"/>
    <n v="55633"/>
    <s v="Systems Administrator IV"/>
    <x v="3"/>
    <s v="USA"/>
    <s v="Library"/>
    <x v="1"/>
    <n v="667596"/>
    <n v="5563.3"/>
  </r>
  <r>
    <n v="174"/>
    <s v="Reynolds"/>
    <s v="dreynolds4t@biglobe.ne.jp"/>
    <s v="F"/>
    <x v="16"/>
    <d v="2023-10-08T00:00:00"/>
    <n v="2010"/>
    <n v="2021"/>
    <x v="14"/>
    <n v="91561"/>
    <s v="VP Product Management"/>
    <x v="2"/>
    <s v="Canada"/>
    <s v="Library"/>
    <x v="1"/>
    <n v="1098732"/>
    <n v="9156.1"/>
  </r>
  <r>
    <n v="175"/>
    <s v="Daniels"/>
    <s v="cdaniels4u@rambler.ru"/>
    <s v="M"/>
    <x v="4"/>
    <d v="2013-11-07T00:00:00"/>
    <n v="2013"/>
    <n v="2021"/>
    <x v="4"/>
    <n v="77307"/>
    <s v="Biostatistician IV"/>
    <x v="2"/>
    <s v="Canada"/>
    <s v="Domestic"/>
    <x v="1"/>
    <n v="927684"/>
    <n v="7730.7000000000007"/>
  </r>
  <r>
    <n v="176"/>
    <s v="Fisher"/>
    <s v="rfisher4v@jigsy.com"/>
    <s v="M"/>
    <x v="8"/>
    <d v="2012-10-14T00:00:00"/>
    <n v="2012"/>
    <n v="2021"/>
    <x v="12"/>
    <n v="67942"/>
    <s v="Financial Advisor"/>
    <x v="4"/>
    <s v="Canada"/>
    <s v="Domestic"/>
    <x v="1"/>
    <n v="815304"/>
    <n v="6794.2000000000007"/>
  </r>
  <r>
    <n v="177"/>
    <s v="Ferguson"/>
    <s v="nferguson4w@networksolutions.com"/>
    <s v="F"/>
    <x v="8"/>
    <d v="2021-09-18T00:00:00"/>
    <n v="2008"/>
    <n v="2021"/>
    <x v="1"/>
    <n v="80397"/>
    <s v="Compensation Analyst"/>
    <x v="3"/>
    <s v="USA"/>
    <s v="Domestic"/>
    <x v="1"/>
    <n v="964764"/>
    <n v="8039.7000000000007"/>
  </r>
  <r>
    <n v="178"/>
    <s v="Butler"/>
    <s v="cbutler4x@amazon.de"/>
    <s v="F"/>
    <x v="1"/>
    <d v="2003-02-17T00:00:00"/>
    <n v="2003"/>
    <n v="2021"/>
    <x v="6"/>
    <n v="78157"/>
    <s v="Librarian"/>
    <x v="3"/>
    <s v="USA"/>
    <s v="Games &amp; Sports"/>
    <x v="1"/>
    <n v="937884"/>
    <n v="7815.7000000000007"/>
  </r>
  <r>
    <n v="179"/>
    <s v="Reynolds"/>
    <s v="rreynolds4y@miitbeian.gov.cn"/>
    <s v="F"/>
    <x v="15"/>
    <d v="2004-01-29T00:00:00"/>
    <n v="2004"/>
    <n v="2021"/>
    <x v="10"/>
    <n v="121836"/>
    <s v="VP Accounting"/>
    <x v="2"/>
    <s v="Canada"/>
    <s v="Outdoors &amp; Garden"/>
    <x v="1"/>
    <n v="1462032"/>
    <n v="12183.6"/>
  </r>
  <r>
    <n v="180"/>
    <s v="Williamson"/>
    <s v="nwilliamson4z@dropbox.com"/>
    <s v="M"/>
    <x v="18"/>
    <d v="2008-11-08T00:00:00"/>
    <n v="2008"/>
    <n v="2021"/>
    <x v="1"/>
    <n v="76063"/>
    <s v="Administrative Assistant II"/>
    <x v="4"/>
    <s v="Canada"/>
    <s v="Outdoors &amp; Garden"/>
    <x v="1"/>
    <n v="912756"/>
    <n v="7606.3"/>
  </r>
  <r>
    <n v="181"/>
    <s v="Shaw"/>
    <s v="sshaw50@instagram.com"/>
    <s v="F"/>
    <x v="15"/>
    <d v="2001-05-02T00:00:00"/>
    <n v="2001"/>
    <n v="2021"/>
    <x v="11"/>
    <n v="56923"/>
    <s v="Social Worker"/>
    <x v="0"/>
    <s v="USA"/>
    <s v="Outdoors &amp; Garden"/>
    <x v="1"/>
    <n v="683076"/>
    <n v="5692.3"/>
  </r>
  <r>
    <n v="182"/>
    <s v="Gomez"/>
    <s v="rgomez51@baidu.com"/>
    <s v="F"/>
    <x v="14"/>
    <d v="2022-04-04T00:00:00"/>
    <n v="2009"/>
    <n v="2021"/>
    <x v="0"/>
    <n v="76932"/>
    <s v="Legal Assistant"/>
    <x v="6"/>
    <s v="Canada"/>
    <s v="Auto &amp; Hardware"/>
    <x v="1"/>
    <n v="923184"/>
    <n v="7693.2000000000007"/>
  </r>
  <r>
    <n v="183"/>
    <s v="Harrison"/>
    <s v="jharrison52@scientificamerican.com"/>
    <s v="F"/>
    <x v="10"/>
    <d v="2002-08-03T00:00:00"/>
    <n v="2002"/>
    <n v="2021"/>
    <x v="3"/>
    <n v="64410"/>
    <s v="Senior Developer"/>
    <x v="0"/>
    <s v="USA"/>
    <s v="Domestic"/>
    <x v="1"/>
    <n v="772920"/>
    <n v="6441"/>
  </r>
  <r>
    <n v="184"/>
    <s v="Watson"/>
    <s v="ewatson53@latimes.com"/>
    <s v="F"/>
    <x v="16"/>
    <d v="2021-02-02T00:00:00"/>
    <n v="2008"/>
    <n v="2021"/>
    <x v="1"/>
    <n v="111873"/>
    <s v="Payment Adjustment Coordinator"/>
    <x v="0"/>
    <s v="USA"/>
    <s v="Library"/>
    <x v="1"/>
    <n v="1342476"/>
    <n v="11187.300000000001"/>
  </r>
  <r>
    <n v="185"/>
    <s v="Watson"/>
    <s v="rwatson54@webeden.co.uk"/>
    <s v="F"/>
    <x v="8"/>
    <d v="2001-09-22T00:00:00"/>
    <n v="2001"/>
    <n v="2021"/>
    <x v="11"/>
    <n v="74648"/>
    <s v="Health Coach III"/>
    <x v="0"/>
    <s v="USA"/>
    <s v="Domestic"/>
    <x v="1"/>
    <n v="895776"/>
    <n v="7464.8"/>
  </r>
  <r>
    <n v="186"/>
    <s v="Larson"/>
    <s v="dlarson55@technorati.com"/>
    <s v="F"/>
    <x v="6"/>
    <d v="2024-09-17T00:00:00"/>
    <n v="2011"/>
    <n v="2021"/>
    <x v="9"/>
    <n v="144991"/>
    <s v="Technical Writer"/>
    <x v="2"/>
    <s v="Canada"/>
    <s v="Games &amp; Sports"/>
    <x v="1"/>
    <n v="1739892"/>
    <n v="14499.1"/>
  </r>
  <r>
    <n v="187"/>
    <s v="Gordon"/>
    <s v="kgordon56@techcrunch.com"/>
    <s v="F"/>
    <x v="18"/>
    <d v="2005-11-04T00:00:00"/>
    <n v="2005"/>
    <n v="2021"/>
    <x v="7"/>
    <n v="107407"/>
    <s v="Systems Administrator II"/>
    <x v="1"/>
    <s v="USA"/>
    <s v="Outdoors &amp; Garden"/>
    <x v="1"/>
    <n v="1288884"/>
    <n v="10740.7"/>
  </r>
  <r>
    <n v="188"/>
    <s v="Rose"/>
    <s v="erose57@guardian.co.uk"/>
    <s v="M"/>
    <x v="4"/>
    <d v="2012-03-17T00:00:00"/>
    <n v="2012"/>
    <n v="2021"/>
    <x v="12"/>
    <n v="120225"/>
    <s v="Editor"/>
    <x v="2"/>
    <s v="Canada"/>
    <s v="Domestic"/>
    <x v="1"/>
    <n v="1442700"/>
    <n v="12022.5"/>
  </r>
  <r>
    <n v="189"/>
    <s v="Anderson"/>
    <s v="banderson58@wsj.com"/>
    <s v="M"/>
    <x v="12"/>
    <d v="2014-12-02T00:00:00"/>
    <n v="2014"/>
    <n v="2021"/>
    <x v="2"/>
    <n v="122272"/>
    <s v="Environmental Specialist"/>
    <x v="0"/>
    <s v="USA"/>
    <s v="Domestic"/>
    <x v="1"/>
    <n v="1467264"/>
    <n v="12227.2"/>
  </r>
  <r>
    <n v="190"/>
    <s v="Powell"/>
    <s v="hpowell59@geocities.com"/>
    <s v="F"/>
    <x v="19"/>
    <d v="2002-11-13T00:00:00"/>
    <n v="2002"/>
    <n v="2021"/>
    <x v="3"/>
    <n v="120577"/>
    <s v="Web Designer III"/>
    <x v="3"/>
    <s v="USA"/>
    <s v="Domestic"/>
    <x v="1"/>
    <n v="1446924"/>
    <n v="12057.7"/>
  </r>
  <r>
    <n v="191"/>
    <s v="Woods"/>
    <s v="dwoods5a@businesswire.com"/>
    <s v="F"/>
    <x v="13"/>
    <d v="2021-04-29T00:00:00"/>
    <n v="2008"/>
    <n v="2021"/>
    <x v="1"/>
    <n v="148986"/>
    <s v="Structural Analysis Engineer"/>
    <x v="3"/>
    <s v="USA"/>
    <s v="Electronic Equipment"/>
    <x v="1"/>
    <n v="1787832"/>
    <n v="14898.6"/>
  </r>
  <r>
    <n v="192"/>
    <s v="Morales"/>
    <s v="jmorales5b@joomla.org"/>
    <s v="M"/>
    <x v="10"/>
    <d v="2000-02-10T00:00:00"/>
    <n v="2000"/>
    <n v="2021"/>
    <x v="13"/>
    <n v="101855"/>
    <s v="Engineer IV"/>
    <x v="5"/>
    <s v="USA"/>
    <s v="Domestic"/>
    <x v="1"/>
    <n v="1222260"/>
    <n v="10185.5"/>
  </r>
  <r>
    <n v="193"/>
    <s v="Stanley"/>
    <s v="dstanley5c@is.gd"/>
    <s v="F"/>
    <x v="14"/>
    <d v="2006-02-17T00:00:00"/>
    <n v="2006"/>
    <n v="2021"/>
    <x v="5"/>
    <n v="140850"/>
    <s v="Financial Analyst"/>
    <x v="5"/>
    <s v="USA"/>
    <s v="Auto &amp; Hardware"/>
    <x v="1"/>
    <n v="1690200"/>
    <n v="14085"/>
  </r>
  <r>
    <n v="194"/>
    <s v="Wagner"/>
    <s v="ewagner5d@cornell.edu"/>
    <s v="M"/>
    <x v="6"/>
    <d v="2006-02-01T00:00:00"/>
    <n v="2006"/>
    <n v="2021"/>
    <x v="5"/>
    <n v="142516"/>
    <s v="Professor"/>
    <x v="3"/>
    <s v="USA"/>
    <s v="Games &amp; Sports"/>
    <x v="1"/>
    <n v="1710192"/>
    <n v="14251.6"/>
  </r>
  <r>
    <n v="195"/>
    <s v="Meyer"/>
    <s v="nmeyer5e@about.me"/>
    <s v="M"/>
    <x v="21"/>
    <d v="2012-11-09T00:00:00"/>
    <n v="2012"/>
    <n v="2021"/>
    <x v="12"/>
    <n v="48829"/>
    <s v="Accountant I"/>
    <x v="3"/>
    <s v="USA"/>
    <s v="Domestic"/>
    <x v="1"/>
    <n v="585948"/>
    <n v="4882.9000000000005"/>
  </r>
  <r>
    <n v="196"/>
    <s v="Jacobs"/>
    <s v="rjacobs5f@oracle.com"/>
    <s v="M"/>
    <x v="18"/>
    <d v="2006-09-16T00:00:00"/>
    <n v="2006"/>
    <n v="2021"/>
    <x v="5"/>
    <n v="81270"/>
    <s v="Geological Engineer"/>
    <x v="3"/>
    <s v="USA"/>
    <s v="Outdoors &amp; Garden"/>
    <x v="1"/>
    <n v="975240"/>
    <n v="8127"/>
  </r>
  <r>
    <n v="197"/>
    <s v="Hayes"/>
    <s v="jhayes5g@jiathis.com"/>
    <s v="F"/>
    <x v="17"/>
    <d v="2024-01-03T00:00:00"/>
    <n v="2011"/>
    <n v="2021"/>
    <x v="9"/>
    <n v="130097"/>
    <s v="Office Assistant IV"/>
    <x v="6"/>
    <s v="Canada"/>
    <s v="Domestic"/>
    <x v="1"/>
    <n v="1561164"/>
    <n v="13009.7"/>
  </r>
  <r>
    <n v="198"/>
    <s v="Sanders"/>
    <s v="esanders5h@ihg.com"/>
    <s v="F"/>
    <x v="14"/>
    <d v="2000-01-24T00:00:00"/>
    <n v="2000"/>
    <n v="2021"/>
    <x v="13"/>
    <n v="117905"/>
    <s v="Dental Hygienist"/>
    <x v="5"/>
    <s v="USA"/>
    <s v="Auto &amp; Hardware"/>
    <x v="1"/>
    <n v="1414860"/>
    <n v="11790.5"/>
  </r>
  <r>
    <n v="199"/>
    <s v="Reed"/>
    <s v="sreed5i@bloglovin.com"/>
    <s v="F"/>
    <x v="21"/>
    <d v="2023-11-12T00:00:00"/>
    <n v="2010"/>
    <n v="2021"/>
    <x v="14"/>
    <n v="142483"/>
    <s v="Social Worker"/>
    <x v="1"/>
    <s v="USA"/>
    <s v="Domestic"/>
    <x v="1"/>
    <n v="1709796"/>
    <n v="14248.300000000001"/>
  </r>
  <r>
    <n v="200"/>
    <s v="George"/>
    <s v="mgeorge5j@cdc.gov"/>
    <s v="M"/>
    <x v="7"/>
    <d v="2004-09-20T00:00:00"/>
    <n v="2004"/>
    <n v="2021"/>
    <x v="10"/>
    <n v="89633"/>
    <s v="Software Consultant"/>
    <x v="5"/>
    <s v="USA"/>
    <s v="Entertainment"/>
    <x v="0"/>
    <n v="1075596"/>
    <n v="8963.3000000000011"/>
  </r>
  <r>
    <n v="201"/>
    <s v="Andrews"/>
    <s v="jandrews5k@free.fr"/>
    <s v="M"/>
    <x v="12"/>
    <d v="2009-03-18T00:00:00"/>
    <n v="2009"/>
    <n v="2021"/>
    <x v="0"/>
    <n v="48684"/>
    <s v="Nurse Practicioner"/>
    <x v="4"/>
    <s v="Canada"/>
    <s v="Domestic"/>
    <x v="0"/>
    <n v="584208"/>
    <n v="4868.4000000000005"/>
  </r>
  <r>
    <n v="202"/>
    <s v="Morris"/>
    <s v="lmorris5l@patch.com"/>
    <s v="F"/>
    <x v="2"/>
    <d v="2004-01-23T00:00:00"/>
    <n v="2004"/>
    <n v="2021"/>
    <x v="10"/>
    <n v="91932"/>
    <s v="Analyst Programmer"/>
    <x v="3"/>
    <s v="USA"/>
    <s v="Auto &amp; Hardware"/>
    <x v="0"/>
    <n v="1103184"/>
    <n v="9193.2000000000007"/>
  </r>
  <r>
    <n v="203"/>
    <s v="Moreno"/>
    <s v="jmoreno5m@xing.com"/>
    <s v="F"/>
    <x v="4"/>
    <d v="2005-10-07T00:00:00"/>
    <n v="2005"/>
    <n v="2021"/>
    <x v="7"/>
    <n v="112004"/>
    <s v="Internal Auditor"/>
    <x v="2"/>
    <s v="Canada"/>
    <s v="Domestic"/>
    <x v="0"/>
    <n v="1344048"/>
    <n v="11200.400000000001"/>
  </r>
  <r>
    <n v="204"/>
    <s v="Powell"/>
    <s v="cpowell5n@cocolog-nifty.com"/>
    <s v="F"/>
    <x v="17"/>
    <d v="2000-09-25T00:00:00"/>
    <n v="2000"/>
    <n v="2021"/>
    <x v="13"/>
    <n v="116013"/>
    <s v="Tax Accountant"/>
    <x v="5"/>
    <s v="USA"/>
    <s v="Domestic"/>
    <x v="0"/>
    <n v="1392156"/>
    <n v="11601.300000000001"/>
  </r>
  <r>
    <n v="205"/>
    <s v="Graham"/>
    <s v="jgraham5o@printfriendly.com"/>
    <s v="F"/>
    <x v="10"/>
    <d v="2021-09-10T00:00:00"/>
    <n v="2008"/>
    <n v="2021"/>
    <x v="1"/>
    <n v="109058"/>
    <s v="Chemical Engineer"/>
    <x v="2"/>
    <s v="Canada"/>
    <s v="Domestic"/>
    <x v="0"/>
    <n v="1308696"/>
    <n v="10905.800000000001"/>
  </r>
  <r>
    <n v="206"/>
    <s v="Riley"/>
    <s v="hriley5p@dailymotion.com"/>
    <s v="M"/>
    <x v="6"/>
    <d v="2012-05-06T00:00:00"/>
    <n v="2012"/>
    <n v="2021"/>
    <x v="12"/>
    <n v="61992"/>
    <s v="Sales Representative"/>
    <x v="5"/>
    <s v="USA"/>
    <s v="Games &amp; Sports"/>
    <x v="0"/>
    <n v="743904"/>
    <n v="6199.2000000000007"/>
  </r>
  <r>
    <n v="207"/>
    <s v="Harris"/>
    <s v="mharris5q@utexas.edu"/>
    <s v="F"/>
    <x v="7"/>
    <d v="2021-10-02T00:00:00"/>
    <n v="2008"/>
    <n v="2021"/>
    <x v="1"/>
    <n v="129527"/>
    <s v="Statistician II"/>
    <x v="0"/>
    <s v="USA"/>
    <s v="Entertainment"/>
    <x v="0"/>
    <n v="1554324"/>
    <n v="12952.7"/>
  </r>
  <r>
    <n v="208"/>
    <s v="Gilbert"/>
    <s v="rgilbert5r@domainmarket.com"/>
    <s v="F"/>
    <x v="4"/>
    <d v="2001-12-15T00:00:00"/>
    <n v="2001"/>
    <n v="2021"/>
    <x v="11"/>
    <n v="67746"/>
    <s v="Director of Sales"/>
    <x v="0"/>
    <s v="USA"/>
    <s v="Domestic"/>
    <x v="0"/>
    <n v="812952"/>
    <n v="6774.6"/>
  </r>
  <r>
    <n v="209"/>
    <s v="Peterson"/>
    <s v="jpeterson5s@t-online.de"/>
    <s v="M"/>
    <x v="16"/>
    <d v="2010-03-14T00:00:00"/>
    <n v="2010"/>
    <n v="2021"/>
    <x v="14"/>
    <n v="104530"/>
    <s v="VP Marketing"/>
    <x v="0"/>
    <s v="USA"/>
    <s v="Library"/>
    <x v="0"/>
    <n v="1254360"/>
    <n v="10453"/>
  </r>
  <r>
    <n v="210"/>
    <s v="Foster"/>
    <s v="jfoster5t@icq.com"/>
    <s v="F"/>
    <x v="20"/>
    <d v="2021-01-17T00:00:00"/>
    <n v="2008"/>
    <n v="2021"/>
    <x v="1"/>
    <n v="42759"/>
    <s v="Social Worker"/>
    <x v="5"/>
    <s v="USA"/>
    <s v="Entertainment"/>
    <x v="0"/>
    <n v="513108"/>
    <n v="4275.9000000000005"/>
  </r>
  <r>
    <n v="211"/>
    <s v="Fowler"/>
    <s v="afowler5u@parallels.com"/>
    <s v="F"/>
    <x v="11"/>
    <d v="2024-02-25T00:00:00"/>
    <n v="2011"/>
    <n v="2021"/>
    <x v="9"/>
    <n v="43097"/>
    <s v="Associate Professor"/>
    <x v="0"/>
    <s v="USA"/>
    <s v="Domestic"/>
    <x v="0"/>
    <n v="517164"/>
    <n v="4309.7"/>
  </r>
  <r>
    <n v="212"/>
    <s v="Matthews"/>
    <s v="fmatthews5v@theatlantic.com"/>
    <s v="F"/>
    <x v="18"/>
    <d v="2005-11-22T00:00:00"/>
    <n v="2005"/>
    <n v="2021"/>
    <x v="7"/>
    <n v="123936"/>
    <s v="Internal Auditor"/>
    <x v="3"/>
    <s v="USA"/>
    <s v="Outdoors &amp; Garden"/>
    <x v="0"/>
    <n v="1487232"/>
    <n v="12393.6"/>
  </r>
  <r>
    <n v="213"/>
    <s v="Thomas"/>
    <s v="gthomas5w@slate.com"/>
    <s v="M"/>
    <x v="5"/>
    <d v="2006-11-28T00:00:00"/>
    <n v="2006"/>
    <n v="2021"/>
    <x v="5"/>
    <n v="128239"/>
    <s v="Teacher"/>
    <x v="4"/>
    <s v="Canada"/>
    <s v="Auto &amp; Hardware"/>
    <x v="0"/>
    <n v="1538868"/>
    <n v="12823.900000000001"/>
  </r>
  <r>
    <n v="214"/>
    <s v="West"/>
    <s v="gwest5x@hao123.com"/>
    <s v="M"/>
    <x v="0"/>
    <d v="2003-10-31T00:00:00"/>
    <n v="2003"/>
    <n v="2021"/>
    <x v="6"/>
    <n v="66084"/>
    <s v="Electrical Engineer"/>
    <x v="4"/>
    <s v="Canada"/>
    <s v="Electronic Equipment"/>
    <x v="0"/>
    <n v="793008"/>
    <n v="6608.4000000000005"/>
  </r>
  <r>
    <n v="215"/>
    <s v="Stevens"/>
    <s v="estevens5y@salon.com"/>
    <s v="M"/>
    <x v="10"/>
    <d v="2009-03-14T00:00:00"/>
    <n v="2009"/>
    <n v="2021"/>
    <x v="0"/>
    <n v="106729"/>
    <s v="Occupational Therapist"/>
    <x v="6"/>
    <s v="Canada"/>
    <s v="Domestic"/>
    <x v="0"/>
    <n v="1280748"/>
    <n v="10672.900000000001"/>
  </r>
  <r>
    <n v="216"/>
    <s v="Howard"/>
    <s v="dhoward5z@soundcloud.com"/>
    <s v="M"/>
    <x v="3"/>
    <d v="2009-03-15T00:00:00"/>
    <n v="2009"/>
    <n v="2021"/>
    <x v="0"/>
    <n v="87269"/>
    <s v="General Manager"/>
    <x v="5"/>
    <s v="USA"/>
    <s v="Fashion"/>
    <x v="0"/>
    <n v="1047228"/>
    <n v="8726.9"/>
  </r>
  <r>
    <n v="217"/>
    <s v="Boyd"/>
    <s v="mboyd60@jimdo.com"/>
    <s v="M"/>
    <x v="12"/>
    <d v="2004-12-01T00:00:00"/>
    <n v="2004"/>
    <n v="2021"/>
    <x v="10"/>
    <n v="128765"/>
    <s v="Senior Financial Analyst"/>
    <x v="0"/>
    <s v="USA"/>
    <s v="Domestic"/>
    <x v="0"/>
    <n v="1545180"/>
    <n v="12876.5"/>
  </r>
  <r>
    <n v="218"/>
    <s v="Ross"/>
    <s v="iross61@jimdo.com"/>
    <s v="M"/>
    <x v="10"/>
    <d v="2003-05-25T00:00:00"/>
    <n v="2003"/>
    <n v="2021"/>
    <x v="6"/>
    <n v="104671"/>
    <s v="VP Marketing"/>
    <x v="2"/>
    <s v="Canada"/>
    <s v="Domestic"/>
    <x v="0"/>
    <n v="1256052"/>
    <n v="10467.1"/>
  </r>
  <r>
    <n v="219"/>
    <s v="Harrison"/>
    <s v="vharrison62@networkadvertising.org"/>
    <s v="M"/>
    <x v="21"/>
    <d v="2011-05-01T00:00:00"/>
    <n v="2011"/>
    <n v="2021"/>
    <x v="9"/>
    <n v="55073"/>
    <s v="Assistant Professor"/>
    <x v="5"/>
    <s v="USA"/>
    <s v="Domestic"/>
    <x v="0"/>
    <n v="660876"/>
    <n v="5507.3"/>
  </r>
  <r>
    <n v="220"/>
    <s v="Ellis"/>
    <s v="lellis63@ucla.edu"/>
    <s v="F"/>
    <x v="18"/>
    <d v="2020-11-21T00:00:00"/>
    <n v="2007"/>
    <n v="2021"/>
    <x v="8"/>
    <n v="146256"/>
    <s v="Paralegal"/>
    <x v="3"/>
    <s v="USA"/>
    <s v="Outdoors &amp; Garden"/>
    <x v="0"/>
    <n v="1755072"/>
    <n v="14625.6"/>
  </r>
  <r>
    <n v="221"/>
    <s v="Diaz"/>
    <s v="sdiaz64@disqus.com"/>
    <s v="F"/>
    <x v="12"/>
    <d v="2005-01-15T00:00:00"/>
    <n v="2005"/>
    <n v="2021"/>
    <x v="7"/>
    <n v="55077"/>
    <s v="Registered Nurse"/>
    <x v="2"/>
    <s v="Canada"/>
    <s v="Domestic"/>
    <x v="0"/>
    <n v="660924"/>
    <n v="5507.7000000000007"/>
  </r>
  <r>
    <n v="222"/>
    <s v="Snyder"/>
    <s v="asnyder65@soundcloud.com"/>
    <s v="F"/>
    <x v="4"/>
    <d v="2024-04-11T00:00:00"/>
    <n v="2011"/>
    <n v="2021"/>
    <x v="9"/>
    <n v="124215"/>
    <s v="Recruiting Manager"/>
    <x v="0"/>
    <s v="USA"/>
    <s v="Domestic"/>
    <x v="0"/>
    <n v="1490580"/>
    <n v="12421.5"/>
  </r>
  <r>
    <n v="223"/>
    <s v="Gibson"/>
    <s v="bgibson66@lulu.com"/>
    <s v="M"/>
    <x v="0"/>
    <d v="2008-04-28T00:00:00"/>
    <n v="2008"/>
    <n v="2021"/>
    <x v="1"/>
    <n v="105444"/>
    <s v="Human Resources Assistant II"/>
    <x v="4"/>
    <s v="Canada"/>
    <s v="Electronic Equipment"/>
    <x v="0"/>
    <n v="1265328"/>
    <n v="10544.400000000001"/>
  </r>
  <r>
    <n v="224"/>
    <s v="Hanson"/>
    <s v="dhanson67@cmu.edu"/>
    <s v="F"/>
    <x v="1"/>
    <d v="2023-05-01T00:00:00"/>
    <n v="2010"/>
    <n v="2021"/>
    <x v="14"/>
    <n v="141513"/>
    <s v="Staff Accountant I"/>
    <x v="3"/>
    <s v="USA"/>
    <s v="Games &amp; Sports"/>
    <x v="0"/>
    <n v="1698156"/>
    <n v="14151.300000000001"/>
  </r>
  <r>
    <n v="225"/>
    <s v="Peterson"/>
    <s v="mpeterson68@home.pl"/>
    <s v="F"/>
    <x v="21"/>
    <d v="2021-03-13T00:00:00"/>
    <n v="2008"/>
    <n v="2021"/>
    <x v="1"/>
    <n v="97623"/>
    <s v="Technical Writer"/>
    <x v="3"/>
    <s v="USA"/>
    <s v="Domestic"/>
    <x v="0"/>
    <n v="1171476"/>
    <n v="9762.3000000000011"/>
  </r>
  <r>
    <n v="226"/>
    <s v="Gonzalez"/>
    <s v="tgonzalez69@umich.edu"/>
    <s v="M"/>
    <x v="19"/>
    <d v="2005-11-12T00:00:00"/>
    <n v="2005"/>
    <n v="2021"/>
    <x v="7"/>
    <n v="106833"/>
    <s v="Registered Nurse"/>
    <x v="2"/>
    <s v="Canada"/>
    <s v="Domestic"/>
    <x v="0"/>
    <n v="1281996"/>
    <n v="10683.300000000001"/>
  </r>
  <r>
    <n v="227"/>
    <s v="Rivera"/>
    <s v="crivera6a@amazon.co.jp"/>
    <s v="F"/>
    <x v="17"/>
    <d v="2006-04-18T00:00:00"/>
    <n v="2006"/>
    <n v="2021"/>
    <x v="5"/>
    <n v="69045"/>
    <s v="Accounting Assistant IV"/>
    <x v="0"/>
    <s v="USA"/>
    <s v="Domestic"/>
    <x v="0"/>
    <n v="828540"/>
    <n v="6904.5"/>
  </r>
  <r>
    <n v="228"/>
    <s v="Washington"/>
    <s v="cwashington6b@cargocollective.com"/>
    <s v="M"/>
    <x v="18"/>
    <d v="2008-07-04T00:00:00"/>
    <n v="2008"/>
    <n v="2021"/>
    <x v="1"/>
    <n v="113311"/>
    <s v="Programmer III"/>
    <x v="0"/>
    <s v="USA"/>
    <s v="Outdoors &amp; Garden"/>
    <x v="0"/>
    <n v="1359732"/>
    <n v="11331.1"/>
  </r>
  <r>
    <n v="229"/>
    <s v="Ruiz"/>
    <s v="lruiz6c@thetimes.co.uk"/>
    <s v="F"/>
    <x v="18"/>
    <d v="2026-11-02T00:00:00"/>
    <n v="2013"/>
    <n v="2021"/>
    <x v="4"/>
    <n v="116301"/>
    <s v="Design Engineer"/>
    <x v="1"/>
    <s v="USA"/>
    <s v="Outdoors &amp; Garden"/>
    <x v="2"/>
    <n v="1395612"/>
    <n v="11630.1"/>
  </r>
  <r>
    <n v="230"/>
    <s v="Ford"/>
    <s v="sford6d@flavors.me"/>
    <s v="F"/>
    <x v="14"/>
    <d v="2006-01-05T00:00:00"/>
    <n v="2006"/>
    <n v="2021"/>
    <x v="5"/>
    <n v="138459"/>
    <s v="Geological Engineer"/>
    <x v="3"/>
    <s v="USA"/>
    <s v="Auto &amp; Hardware"/>
    <x v="2"/>
    <n v="1661508"/>
    <n v="13845.900000000001"/>
  </r>
  <r>
    <n v="231"/>
    <s v="Day"/>
    <s v="lday6e@usgs.gov"/>
    <s v="F"/>
    <x v="8"/>
    <d v="2005-07-03T00:00:00"/>
    <n v="2005"/>
    <n v="2021"/>
    <x v="7"/>
    <n v="87800"/>
    <s v="Sales Associate"/>
    <x v="2"/>
    <s v="Canada"/>
    <s v="Domestic"/>
    <x v="2"/>
    <n v="1053600"/>
    <n v="8780"/>
  </r>
  <r>
    <n v="232"/>
    <s v="Peterson"/>
    <s v="apeterson6f@sina.com.cn"/>
    <s v="F"/>
    <x v="11"/>
    <d v="2000-05-27T00:00:00"/>
    <n v="2000"/>
    <n v="2021"/>
    <x v="13"/>
    <n v="52572"/>
    <s v="Compensation Analyst"/>
    <x v="2"/>
    <s v="Canada"/>
    <s v="Domestic"/>
    <x v="2"/>
    <n v="630864"/>
    <n v="5257.2000000000007"/>
  </r>
  <r>
    <n v="233"/>
    <s v="Gonzalez"/>
    <s v="rgonzalez6g@europa.eu"/>
    <s v="M"/>
    <x v="13"/>
    <d v="2009-04-24T00:00:00"/>
    <n v="2009"/>
    <n v="2021"/>
    <x v="0"/>
    <n v="44917"/>
    <s v="Biostatistician IV"/>
    <x v="6"/>
    <s v="Canada"/>
    <s v="Electronic Equipment"/>
    <x v="2"/>
    <n v="539004"/>
    <n v="4491.7"/>
  </r>
  <r>
    <n v="234"/>
    <s v="Walker"/>
    <s v="jwalker6h@google.es"/>
    <s v="F"/>
    <x v="21"/>
    <d v="2023-02-02T00:00:00"/>
    <n v="2010"/>
    <n v="2021"/>
    <x v="14"/>
    <n v="110896"/>
    <s v="Accountant II"/>
    <x v="0"/>
    <s v="USA"/>
    <s v="Domestic"/>
    <x v="2"/>
    <n v="1330752"/>
    <n v="11089.6"/>
  </r>
  <r>
    <n v="235"/>
    <s v="Griffin"/>
    <s v="sgriffin6i@123-reg.co.uk"/>
    <s v="M"/>
    <x v="16"/>
    <d v="2001-12-22T00:00:00"/>
    <n v="2001"/>
    <n v="2021"/>
    <x v="11"/>
    <n v="108970"/>
    <s v="Senior Cost Accountant"/>
    <x v="0"/>
    <s v="USA"/>
    <s v="Library"/>
    <x v="2"/>
    <n v="1307640"/>
    <n v="10897"/>
  </r>
  <r>
    <n v="236"/>
    <s v="Tucker"/>
    <s v="jtucker6j@dailymail.co.uk"/>
    <s v="M"/>
    <x v="3"/>
    <d v="2009-04-27T00:00:00"/>
    <n v="2009"/>
    <n v="2021"/>
    <x v="0"/>
    <n v="83543"/>
    <s v="Programmer II"/>
    <x v="6"/>
    <s v="Canada"/>
    <s v="Fashion"/>
    <x v="2"/>
    <n v="1002516"/>
    <n v="8354.3000000000011"/>
  </r>
  <r>
    <n v="237"/>
    <s v="Armstrong"/>
    <s v="aarmstrong6k@redcross.org"/>
    <s v="F"/>
    <x v="20"/>
    <d v="2026-07-14T00:00:00"/>
    <n v="2013"/>
    <n v="2021"/>
    <x v="4"/>
    <n v="63598"/>
    <s v="Budget/Accounting Analyst II"/>
    <x v="3"/>
    <s v="USA"/>
    <s v="Entertainment"/>
    <x v="0"/>
    <n v="763176"/>
    <n v="6359.8"/>
  </r>
  <r>
    <n v="238"/>
    <s v="Gonzales"/>
    <s v="cgonzales6l@berkeley.edu"/>
    <s v="M"/>
    <x v="7"/>
    <d v="2014-04-06T00:00:00"/>
    <n v="2014"/>
    <n v="2021"/>
    <x v="2"/>
    <n v="131274"/>
    <s v="Clinical Specialist"/>
    <x v="0"/>
    <s v="USA"/>
    <s v="Entertainment"/>
    <x v="0"/>
    <n v="1575288"/>
    <n v="13127.400000000001"/>
  </r>
  <r>
    <n v="239"/>
    <s v="Williamson"/>
    <s v="jwilliamson6m@arizona.edu"/>
    <s v="F"/>
    <x v="0"/>
    <d v="2005-02-16T00:00:00"/>
    <n v="2005"/>
    <n v="2021"/>
    <x v="7"/>
    <n v="149085"/>
    <s v="Software Engineer III"/>
    <x v="2"/>
    <s v="Canada"/>
    <s v="Electronic Equipment"/>
    <x v="0"/>
    <n v="1789020"/>
    <n v="14908.5"/>
  </r>
  <r>
    <n v="240"/>
    <s v="Spencer"/>
    <s v="wspencer6n@marriott.com"/>
    <s v="M"/>
    <x v="10"/>
    <d v="2013-09-21T00:00:00"/>
    <n v="2013"/>
    <n v="2021"/>
    <x v="4"/>
    <n v="143223"/>
    <s v="Staff Accountant IV"/>
    <x v="4"/>
    <s v="Canada"/>
    <s v="Domestic"/>
    <x v="0"/>
    <n v="1718676"/>
    <n v="14322.300000000001"/>
  </r>
  <r>
    <n v="241"/>
    <s v="Rose"/>
    <s v="jrose6o@dion.ne.jp"/>
    <s v="F"/>
    <x v="8"/>
    <d v="2023-12-22T00:00:00"/>
    <n v="2010"/>
    <n v="2021"/>
    <x v="14"/>
    <n v="107207"/>
    <s v="Web Developer II"/>
    <x v="1"/>
    <s v="USA"/>
    <s v="Domestic"/>
    <x v="0"/>
    <n v="1286484"/>
    <n v="10720.7"/>
  </r>
  <r>
    <n v="242"/>
    <s v="Robinson"/>
    <s v="probinson6p@ucla.edu"/>
    <s v="M"/>
    <x v="19"/>
    <d v="2003-11-30T00:00:00"/>
    <n v="2003"/>
    <n v="2021"/>
    <x v="6"/>
    <n v="137594"/>
    <s v="Operator"/>
    <x v="4"/>
    <s v="Canada"/>
    <s v="Domestic"/>
    <x v="0"/>
    <n v="1651128"/>
    <n v="13759.400000000001"/>
  </r>
  <r>
    <n v="243"/>
    <s v="Gutierrez"/>
    <s v="kgutierrez6q@bravesites.com"/>
    <s v="M"/>
    <x v="12"/>
    <d v="2006-01-26T00:00:00"/>
    <n v="2006"/>
    <n v="2021"/>
    <x v="5"/>
    <n v="139845"/>
    <s v="Director of Sales"/>
    <x v="5"/>
    <s v="USA"/>
    <s v="Domestic"/>
    <x v="0"/>
    <n v="1678140"/>
    <n v="13984.5"/>
  </r>
  <r>
    <n v="244"/>
    <s v="Alvarez"/>
    <s v="jalvarez6r@geocities.com"/>
    <s v="F"/>
    <x v="1"/>
    <d v="2025-09-07T00:00:00"/>
    <n v="2012"/>
    <n v="2021"/>
    <x v="12"/>
    <n v="65563"/>
    <s v="Help Desk Technician"/>
    <x v="5"/>
    <s v="USA"/>
    <s v="Games &amp; Sports"/>
    <x v="0"/>
    <n v="786756"/>
    <n v="6556.3"/>
  </r>
  <r>
    <n v="245"/>
    <s v="Webb"/>
    <s v="swebb6s@people.com.cn"/>
    <s v="F"/>
    <x v="11"/>
    <d v="2027-01-02T00:00:00"/>
    <n v="2014"/>
    <n v="2021"/>
    <x v="2"/>
    <n v="142988"/>
    <s v="Marketing Manager"/>
    <x v="4"/>
    <s v="Canada"/>
    <s v="Domestic"/>
    <x v="0"/>
    <n v="1715856"/>
    <n v="14298.800000000001"/>
  </r>
  <r>
    <n v="246"/>
    <s v="Ellis"/>
    <s v="tellis6t@squarespace.com"/>
    <s v="F"/>
    <x v="14"/>
    <d v="2000-01-22T00:00:00"/>
    <n v="2000"/>
    <n v="2021"/>
    <x v="13"/>
    <n v="134074"/>
    <s v="Product Engineer"/>
    <x v="4"/>
    <s v="Canada"/>
    <s v="Auto &amp; Hardware"/>
    <x v="0"/>
    <n v="1608888"/>
    <n v="13407.400000000001"/>
  </r>
  <r>
    <n v="247"/>
    <s v="Romero"/>
    <s v="jromero6u@cafepress.com"/>
    <s v="M"/>
    <x v="6"/>
    <d v="2010-01-21T00:00:00"/>
    <n v="2010"/>
    <n v="2021"/>
    <x v="14"/>
    <n v="80654"/>
    <s v="Geological Engineer"/>
    <x v="0"/>
    <s v="USA"/>
    <s v="Games &amp; Sports"/>
    <x v="0"/>
    <n v="967848"/>
    <n v="8065.4000000000005"/>
  </r>
  <r>
    <n v="248"/>
    <s v="White"/>
    <s v="jwhite6v@tripadvisor.com"/>
    <s v="M"/>
    <x v="15"/>
    <d v="2005-12-13T00:00:00"/>
    <n v="2005"/>
    <n v="2021"/>
    <x v="7"/>
    <n v="118834"/>
    <s v="Financial Analyst"/>
    <x v="4"/>
    <s v="Canada"/>
    <s v="Outdoors &amp; Garden"/>
    <x v="0"/>
    <n v="1426008"/>
    <n v="11883.400000000001"/>
  </r>
  <r>
    <n v="249"/>
    <s v="Miller"/>
    <s v="jmiller6w@businesswire.com"/>
    <s v="M"/>
    <x v="11"/>
    <d v="2013-03-03T00:00:00"/>
    <n v="2013"/>
    <n v="2021"/>
    <x v="4"/>
    <n v="85559"/>
    <s v="Pharmacist"/>
    <x v="0"/>
    <s v="USA"/>
    <s v="Domestic"/>
    <x v="0"/>
    <n v="1026708"/>
    <n v="8555.9"/>
  </r>
  <r>
    <n v="250"/>
    <s v="Fowler"/>
    <s v="mfowler6x@geocities.jp"/>
    <s v="M"/>
    <x v="16"/>
    <d v="2001-09-15T00:00:00"/>
    <n v="2001"/>
    <n v="2021"/>
    <x v="11"/>
    <n v="84049"/>
    <s v="Information Systems Manager"/>
    <x v="6"/>
    <s v="Canada"/>
    <s v="Library"/>
    <x v="0"/>
    <n v="1008588"/>
    <n v="8404.9"/>
  </r>
  <r>
    <n v="251"/>
    <s v="Duncan"/>
    <s v="pduncan6y@sina.com.cn"/>
    <s v="F"/>
    <x v="3"/>
    <d v="2024-01-16T00:00:00"/>
    <n v="2011"/>
    <n v="2021"/>
    <x v="9"/>
    <n v="47439"/>
    <s v="Tax Accountant"/>
    <x v="2"/>
    <s v="Canada"/>
    <s v="Fashion"/>
    <x v="0"/>
    <n v="569268"/>
    <n v="4743.9000000000005"/>
  </r>
  <r>
    <n v="252"/>
    <s v="Johnston"/>
    <s v="jjohnston6z@irs.gov"/>
    <s v="M"/>
    <x v="5"/>
    <d v="2000-12-16T00:00:00"/>
    <n v="2000"/>
    <n v="2021"/>
    <x v="13"/>
    <n v="87072"/>
    <s v="Structural Engineer"/>
    <x v="2"/>
    <s v="Canada"/>
    <s v="Auto &amp; Hardware"/>
    <x v="0"/>
    <n v="1044864"/>
    <n v="8707.2000000000007"/>
  </r>
  <r>
    <n v="253"/>
    <s v="Marshall"/>
    <s v="mmarshall70@hibu.com"/>
    <s v="F"/>
    <x v="0"/>
    <d v="2003-05-12T00:00:00"/>
    <n v="2003"/>
    <n v="2021"/>
    <x v="6"/>
    <n v="123401"/>
    <s v="Computer Systems Analyst I"/>
    <x v="5"/>
    <s v="USA"/>
    <s v="Electronic Equipment"/>
    <x v="0"/>
    <n v="1480812"/>
    <n v="12340.1"/>
  </r>
  <r>
    <n v="254"/>
    <s v="Lawrence"/>
    <s v="alawrence71@unicef.org"/>
    <s v="F"/>
    <x v="4"/>
    <d v="2001-04-02T00:00:00"/>
    <n v="2001"/>
    <n v="2021"/>
    <x v="11"/>
    <n v="131681"/>
    <s v="Account Executive"/>
    <x v="2"/>
    <s v="Canada"/>
    <s v="Domestic"/>
    <x v="0"/>
    <n v="1580172"/>
    <n v="13168.1"/>
  </r>
  <r>
    <n v="255"/>
    <s v="Lynch"/>
    <s v="rlynch72@sitemeter.com"/>
    <s v="F"/>
    <x v="11"/>
    <d v="2027-08-29T00:00:00"/>
    <n v="2014"/>
    <n v="2021"/>
    <x v="2"/>
    <n v="96118"/>
    <s v="Social Worker"/>
    <x v="6"/>
    <s v="Canada"/>
    <s v="Domestic"/>
    <x v="2"/>
    <n v="1153416"/>
    <n v="9611.8000000000011"/>
  </r>
  <r>
    <n v="256"/>
    <s v="Stone"/>
    <s v="gstone73@google.es"/>
    <s v="F"/>
    <x v="16"/>
    <d v="2006-12-01T00:00:00"/>
    <n v="2006"/>
    <n v="2021"/>
    <x v="5"/>
    <n v="87816"/>
    <s v="Administrative Assistant I"/>
    <x v="0"/>
    <s v="USA"/>
    <s v="Library"/>
    <x v="2"/>
    <n v="1053792"/>
    <n v="8781.6"/>
  </r>
  <r>
    <n v="257"/>
    <s v="Freeman"/>
    <s v="gfreeman74@bloomberg.com"/>
    <s v="F"/>
    <x v="12"/>
    <d v="2025-06-05T00:00:00"/>
    <n v="2012"/>
    <n v="2021"/>
    <x v="12"/>
    <n v="83804"/>
    <s v="Operator"/>
    <x v="3"/>
    <s v="USA"/>
    <s v="Domestic"/>
    <x v="2"/>
    <n v="1005648"/>
    <n v="8380.4"/>
  </r>
  <r>
    <n v="258"/>
    <s v="Schmidt"/>
    <s v="dschmidt75@sitemeter.com"/>
    <s v="M"/>
    <x v="2"/>
    <d v="2007-10-26T00:00:00"/>
    <n v="2007"/>
    <n v="2021"/>
    <x v="8"/>
    <n v="133612"/>
    <s v="VP Product Management"/>
    <x v="5"/>
    <s v="USA"/>
    <s v="Auto &amp; Hardware"/>
    <x v="2"/>
    <n v="1603344"/>
    <n v="13361.2"/>
  </r>
  <r>
    <n v="259"/>
    <s v="Wallace"/>
    <s v="gwallace76@technorati.com"/>
    <s v="F"/>
    <x v="0"/>
    <d v="2023-04-14T00:00:00"/>
    <n v="2010"/>
    <n v="2021"/>
    <x v="14"/>
    <n v="47007"/>
    <s v="Internal Auditor"/>
    <x v="1"/>
    <s v="USA"/>
    <s v="Electronic Equipment"/>
    <x v="2"/>
    <n v="564084"/>
    <n v="4700.7"/>
  </r>
  <r>
    <n v="260"/>
    <s v="Fuller"/>
    <s v="ffuller77@ustream.tv"/>
    <s v="M"/>
    <x v="19"/>
    <d v="2005-12-13T00:00:00"/>
    <n v="2005"/>
    <n v="2021"/>
    <x v="7"/>
    <n v="142967"/>
    <s v="GIS Technical Architect"/>
    <x v="6"/>
    <s v="Canada"/>
    <s v="Domestic"/>
    <x v="2"/>
    <n v="1715604"/>
    <n v="14296.7"/>
  </r>
  <r>
    <n v="261"/>
    <s v="Bennett"/>
    <s v="jbennett78@surveymonkey.com"/>
    <s v="F"/>
    <x v="11"/>
    <d v="2024-12-06T00:00:00"/>
    <n v="2011"/>
    <n v="2021"/>
    <x v="9"/>
    <n v="71433"/>
    <s v="Food Chemist"/>
    <x v="5"/>
    <s v="USA"/>
    <s v="Domestic"/>
    <x v="0"/>
    <n v="857196"/>
    <n v="7143.3"/>
  </r>
  <r>
    <n v="262"/>
    <s v="Lewis"/>
    <s v="dlewis79@parallels.com"/>
    <s v="F"/>
    <x v="17"/>
    <d v="2000-03-08T00:00:00"/>
    <n v="2000"/>
    <n v="2021"/>
    <x v="13"/>
    <n v="74191"/>
    <s v="Business Systems Development Analyst"/>
    <x v="3"/>
    <s v="USA"/>
    <s v="Domestic"/>
    <x v="0"/>
    <n v="890292"/>
    <n v="7419.1"/>
  </r>
  <r>
    <n v="263"/>
    <s v="Snyder"/>
    <s v="dsnyder7a@digg.com"/>
    <s v="M"/>
    <x v="7"/>
    <d v="2005-01-29T00:00:00"/>
    <n v="2005"/>
    <n v="2021"/>
    <x v="7"/>
    <n v="109004"/>
    <s v="Account Coordinator"/>
    <x v="6"/>
    <s v="Canada"/>
    <s v="Entertainment"/>
    <x v="0"/>
    <n v="1308048"/>
    <n v="10900.400000000001"/>
  </r>
  <r>
    <n v="264"/>
    <s v="Sanders"/>
    <s v="ksanders7b@pinterest.com"/>
    <s v="M"/>
    <x v="14"/>
    <d v="2014-04-20T00:00:00"/>
    <n v="2014"/>
    <n v="2021"/>
    <x v="2"/>
    <n v="102211"/>
    <s v="Senior Cost Accountant"/>
    <x v="1"/>
    <s v="USA"/>
    <s v="Auto &amp; Hardware"/>
    <x v="0"/>
    <n v="1226532"/>
    <n v="10221.1"/>
  </r>
  <r>
    <n v="265"/>
    <s v="Fox"/>
    <s v="wfox7c@yelp.com"/>
    <s v="M"/>
    <x v="0"/>
    <d v="2000-08-03T00:00:00"/>
    <n v="2000"/>
    <n v="2021"/>
    <x v="13"/>
    <n v="75862"/>
    <s v="Electrical Engineer"/>
    <x v="6"/>
    <s v="Canada"/>
    <s v="Electronic Equipment"/>
    <x v="0"/>
    <n v="910344"/>
    <n v="7586.2000000000007"/>
  </r>
  <r>
    <n v="266"/>
    <s v="Burke"/>
    <s v="cburke7d@ameblo.jp"/>
    <s v="M"/>
    <x v="3"/>
    <d v="2000-03-05T00:00:00"/>
    <n v="2000"/>
    <n v="2021"/>
    <x v="13"/>
    <n v="61446"/>
    <s v="Environmental Specialist"/>
    <x v="0"/>
    <s v="USA"/>
    <s v="Fashion"/>
    <x v="0"/>
    <n v="737352"/>
    <n v="6144.6"/>
  </r>
  <r>
    <n v="267"/>
    <s v="Murphy"/>
    <s v="dmurphy7e@patch.com"/>
    <s v="M"/>
    <x v="12"/>
    <d v="2011-06-02T00:00:00"/>
    <n v="2011"/>
    <n v="2021"/>
    <x v="9"/>
    <n v="146432"/>
    <s v="VP Quality Control"/>
    <x v="0"/>
    <s v="USA"/>
    <s v="Domestic"/>
    <x v="0"/>
    <n v="1757184"/>
    <n v="14643.2"/>
  </r>
  <r>
    <n v="268"/>
    <s v="Bowman"/>
    <s v="hbowman7f@reddit.com"/>
    <s v="F"/>
    <x v="4"/>
    <d v="2002-02-18T00:00:00"/>
    <n v="2002"/>
    <n v="2021"/>
    <x v="3"/>
    <n v="50623"/>
    <s v="Biostatistician III"/>
    <x v="2"/>
    <s v="Canada"/>
    <s v="Domestic"/>
    <x v="0"/>
    <n v="607476"/>
    <n v="5062.3"/>
  </r>
  <r>
    <n v="269"/>
    <s v="Cunningham"/>
    <s v="kcunningham7g@squidoo.com"/>
    <s v="M"/>
    <x v="18"/>
    <d v="2014-12-11T00:00:00"/>
    <n v="2014"/>
    <n v="2021"/>
    <x v="2"/>
    <n v="108248"/>
    <s v="Safety Technician I"/>
    <x v="1"/>
    <s v="USA"/>
    <s v="Outdoors &amp; Garden"/>
    <x v="0"/>
    <n v="1298976"/>
    <n v="10824.800000000001"/>
  </r>
  <r>
    <n v="270"/>
    <s v="Torres"/>
    <s v="ttorres7h@telegraph.co.uk"/>
    <s v="F"/>
    <x v="2"/>
    <d v="2005-08-06T00:00:00"/>
    <n v="2005"/>
    <n v="2021"/>
    <x v="7"/>
    <n v="120875"/>
    <s v="Software Consultant"/>
    <x v="3"/>
    <s v="USA"/>
    <s v="Auto &amp; Hardware"/>
    <x v="0"/>
    <n v="1450500"/>
    <n v="12087.5"/>
  </r>
  <r>
    <n v="271"/>
    <s v="Jordan"/>
    <s v="pjordan7i@squidoo.com"/>
    <s v="F"/>
    <x v="1"/>
    <d v="2001-08-07T00:00:00"/>
    <n v="2001"/>
    <n v="2021"/>
    <x v="11"/>
    <n v="123843"/>
    <s v="Senior Sales Associate"/>
    <x v="2"/>
    <s v="Canada"/>
    <s v="Games &amp; Sports"/>
    <x v="0"/>
    <n v="1486116"/>
    <n v="12384.300000000001"/>
  </r>
  <r>
    <n v="272"/>
    <s v="Banks"/>
    <s v="jbanks7j@dion.ne.jp"/>
    <s v="M"/>
    <x v="20"/>
    <d v="2014-05-16T00:00:00"/>
    <n v="2014"/>
    <n v="2021"/>
    <x v="2"/>
    <n v="43940"/>
    <s v="Health Coach I"/>
    <x v="0"/>
    <s v="USA"/>
    <s v="Entertainment"/>
    <x v="0"/>
    <n v="527280"/>
    <n v="4394"/>
  </r>
  <r>
    <n v="273"/>
    <s v="Gordon"/>
    <s v="egordon7k@yellowbook.com"/>
    <s v="F"/>
    <x v="7"/>
    <d v="2026-01-06T00:00:00"/>
    <n v="2013"/>
    <n v="2021"/>
    <x v="4"/>
    <n v="142840"/>
    <s v="Account Coordinator"/>
    <x v="3"/>
    <s v="USA"/>
    <s v="Entertainment"/>
    <x v="0"/>
    <n v="1714080"/>
    <n v="14284"/>
  </r>
  <r>
    <n v="274"/>
    <s v="Bennett"/>
    <s v="abennett7l@guardian.co.uk"/>
    <s v="M"/>
    <x v="15"/>
    <d v="2006-08-01T00:00:00"/>
    <n v="2006"/>
    <n v="2021"/>
    <x v="5"/>
    <n v="125713"/>
    <s v="Account Representative III"/>
    <x v="1"/>
    <s v="USA"/>
    <s v="Outdoors &amp; Garden"/>
    <x v="0"/>
    <n v="1508556"/>
    <n v="12571.300000000001"/>
  </r>
  <r>
    <n v="275"/>
    <s v="Rivera"/>
    <s v="arivera7m@comcast.net"/>
    <s v="F"/>
    <x v="16"/>
    <d v="2023-04-26T00:00:00"/>
    <n v="2010"/>
    <n v="2021"/>
    <x v="14"/>
    <n v="122219"/>
    <s v="Engineer I"/>
    <x v="4"/>
    <s v="Canada"/>
    <s v="Library"/>
    <x v="0"/>
    <n v="1466628"/>
    <n v="12221.900000000001"/>
  </r>
  <r>
    <n v="276"/>
    <s v="Ellis"/>
    <s v="dellis7n@seesaa.net"/>
    <s v="F"/>
    <x v="13"/>
    <d v="2000-05-21T00:00:00"/>
    <n v="2000"/>
    <n v="2021"/>
    <x v="13"/>
    <n v="46259"/>
    <s v="Help Desk Technician"/>
    <x v="4"/>
    <s v="Canada"/>
    <s v="Electronic Equipment"/>
    <x v="0"/>
    <n v="555108"/>
    <n v="4625.9000000000005"/>
  </r>
  <r>
    <n v="277"/>
    <s v="Richardson"/>
    <s v="lrichardson7o@fc2.com"/>
    <s v="F"/>
    <x v="8"/>
    <d v="2003-07-14T00:00:00"/>
    <n v="2003"/>
    <n v="2021"/>
    <x v="6"/>
    <n v="142403"/>
    <s v="Engineer III"/>
    <x v="1"/>
    <s v="USA"/>
    <s v="Domestic"/>
    <x v="0"/>
    <n v="1708836"/>
    <n v="14240.300000000001"/>
  </r>
  <r>
    <n v="278"/>
    <s v="Ortiz"/>
    <s v="wortiz7p@reddit.com"/>
    <s v="M"/>
    <x v="15"/>
    <d v="2000-01-26T00:00:00"/>
    <n v="2000"/>
    <n v="2021"/>
    <x v="13"/>
    <n v="88165"/>
    <s v="Librarian"/>
    <x v="5"/>
    <s v="USA"/>
    <s v="Outdoors &amp; Garden"/>
    <x v="0"/>
    <n v="1057980"/>
    <n v="8816.5"/>
  </r>
  <r>
    <n v="279"/>
    <s v="Clark"/>
    <s v="mclark7q@privacy.gov.au"/>
    <s v="M"/>
    <x v="15"/>
    <d v="2007-06-26T00:00:00"/>
    <n v="2007"/>
    <n v="2021"/>
    <x v="8"/>
    <n v="86291"/>
    <s v="Dental Hygienist"/>
    <x v="2"/>
    <s v="Canada"/>
    <s v="Outdoors &amp; Garden"/>
    <x v="0"/>
    <n v="1035492"/>
    <n v="8629.1"/>
  </r>
  <r>
    <n v="280"/>
    <s v="Chavez"/>
    <s v="rchavez7r@youtu.be"/>
    <s v="M"/>
    <x v="11"/>
    <d v="2008-06-04T00:00:00"/>
    <n v="2008"/>
    <n v="2021"/>
    <x v="1"/>
    <n v="139163"/>
    <s v="Legal Assistant"/>
    <x v="6"/>
    <s v="Canada"/>
    <s v="Domestic"/>
    <x v="0"/>
    <n v="1669956"/>
    <n v="13916.300000000001"/>
  </r>
  <r>
    <n v="281"/>
    <s v="Holmes"/>
    <s v="aholmes7s@last.fm"/>
    <s v="M"/>
    <x v="20"/>
    <d v="2006-11-05T00:00:00"/>
    <n v="2006"/>
    <n v="2021"/>
    <x v="5"/>
    <n v="48892"/>
    <s v="Accounting Assistant I"/>
    <x v="3"/>
    <s v="USA"/>
    <s v="Entertainment"/>
    <x v="0"/>
    <n v="586704"/>
    <n v="4889.2"/>
  </r>
  <r>
    <n v="282"/>
    <s v="Fowler"/>
    <s v="rfowler7t@ameblo.jp"/>
    <s v="F"/>
    <x v="18"/>
    <d v="2027-12-24T00:00:00"/>
    <n v="2014"/>
    <n v="2021"/>
    <x v="2"/>
    <n v="120540"/>
    <s v="Junior Executive"/>
    <x v="4"/>
    <s v="Canada"/>
    <s v="Outdoors &amp; Garden"/>
    <x v="0"/>
    <n v="1446480"/>
    <n v="12054"/>
  </r>
  <r>
    <n v="283"/>
    <s v="George"/>
    <s v="ageorge7u@1und1.de"/>
    <s v="F"/>
    <x v="19"/>
    <d v="2000-03-13T00:00:00"/>
    <n v="2000"/>
    <n v="2021"/>
    <x v="13"/>
    <n v="47450"/>
    <s v="Automation Specialist I"/>
    <x v="3"/>
    <s v="USA"/>
    <s v="Domestic"/>
    <x v="0"/>
    <n v="569400"/>
    <n v="4745"/>
  </r>
  <r>
    <n v="284"/>
    <s v="Murray"/>
    <s v="kmurray7v@ca.gov"/>
    <s v="F"/>
    <x v="19"/>
    <d v="2021-08-25T00:00:00"/>
    <n v="2008"/>
    <n v="2021"/>
    <x v="1"/>
    <n v="142255"/>
    <s v="Quality Engineer"/>
    <x v="5"/>
    <s v="USA"/>
    <s v="Domestic"/>
    <x v="0"/>
    <n v="1707060"/>
    <n v="14225.5"/>
  </r>
  <r>
    <n v="285"/>
    <s v="Hunter"/>
    <s v="rhunter7w@buzzfeed.com"/>
    <s v="M"/>
    <x v="15"/>
    <d v="2000-08-16T00:00:00"/>
    <n v="2000"/>
    <n v="2021"/>
    <x v="13"/>
    <n v="62441"/>
    <s v="Environmental Specialist"/>
    <x v="1"/>
    <s v="USA"/>
    <s v="Outdoors &amp; Garden"/>
    <x v="0"/>
    <n v="749292"/>
    <n v="6244.1"/>
  </r>
  <r>
    <n v="286"/>
    <s v="Long"/>
    <s v="elong7x@nymag.com"/>
    <s v="F"/>
    <x v="10"/>
    <d v="2020-03-11T00:00:00"/>
    <n v="2007"/>
    <n v="2021"/>
    <x v="8"/>
    <n v="142529"/>
    <s v="Librarian"/>
    <x v="0"/>
    <s v="USA"/>
    <s v="Domestic"/>
    <x v="0"/>
    <n v="1710348"/>
    <n v="14252.900000000001"/>
  </r>
  <r>
    <n v="287"/>
    <s v="Andrews"/>
    <s v="tandrews7y@ycombinator.com"/>
    <s v="F"/>
    <x v="17"/>
    <d v="2023-03-19T00:00:00"/>
    <n v="2010"/>
    <n v="2021"/>
    <x v="14"/>
    <n v="142103"/>
    <s v="Associate Professor"/>
    <x v="5"/>
    <s v="USA"/>
    <s v="Domestic"/>
    <x v="0"/>
    <n v="1705236"/>
    <n v="14210.300000000001"/>
  </r>
  <r>
    <n v="288"/>
    <s v="Moore"/>
    <s v="bmoore7z@twitpic.com"/>
    <s v="M"/>
    <x v="13"/>
    <d v="2002-08-11T00:00:00"/>
    <n v="2002"/>
    <n v="2021"/>
    <x v="3"/>
    <n v="102395"/>
    <s v="Account Coordinator"/>
    <x v="4"/>
    <s v="Canada"/>
    <s v="Electronic Equipment"/>
    <x v="0"/>
    <n v="1228740"/>
    <n v="10239.5"/>
  </r>
  <r>
    <n v="289"/>
    <s v="Sanders"/>
    <s v="csanders80@blog.com"/>
    <s v="M"/>
    <x v="12"/>
    <d v="2009-10-09T00:00:00"/>
    <n v="2009"/>
    <n v="2021"/>
    <x v="0"/>
    <n v="44593"/>
    <s v="Engineer III"/>
    <x v="0"/>
    <s v="USA"/>
    <s v="Domestic"/>
    <x v="0"/>
    <n v="535116"/>
    <n v="4459.3"/>
  </r>
  <r>
    <n v="290"/>
    <s v="Carter"/>
    <s v="scarter81@cargocollective.com"/>
    <s v="M"/>
    <x v="4"/>
    <d v="2007-02-09T00:00:00"/>
    <n v="2007"/>
    <n v="2021"/>
    <x v="8"/>
    <n v="120800"/>
    <s v="Accountant III"/>
    <x v="6"/>
    <s v="Canada"/>
    <s v="Domestic"/>
    <x v="1"/>
    <n v="1449600"/>
    <n v="12080"/>
  </r>
  <r>
    <n v="291"/>
    <s v="Moreno"/>
    <s v="rmoreno82@alibaba.com"/>
    <s v="F"/>
    <x v="16"/>
    <d v="2003-11-26T00:00:00"/>
    <n v="2003"/>
    <n v="2021"/>
    <x v="6"/>
    <n v="121238"/>
    <s v="Senior Developer"/>
    <x v="5"/>
    <s v="USA"/>
    <s v="Library"/>
    <x v="1"/>
    <n v="1454856"/>
    <n v="12123.800000000001"/>
  </r>
  <r>
    <n v="292"/>
    <s v="Ortiz"/>
    <s v="dortiz83@themeforest.net"/>
    <s v="F"/>
    <x v="2"/>
    <d v="2024-12-08T00:00:00"/>
    <n v="2011"/>
    <n v="2021"/>
    <x v="9"/>
    <n v="91296"/>
    <s v="Environmental Tech"/>
    <x v="4"/>
    <s v="Canada"/>
    <s v="Auto &amp; Hardware"/>
    <x v="1"/>
    <n v="1095552"/>
    <n v="9129.6"/>
  </r>
  <r>
    <n v="293"/>
    <s v="Castillo"/>
    <s v="pcastillo84@1688.com"/>
    <s v="F"/>
    <x v="19"/>
    <d v="2024-08-24T00:00:00"/>
    <n v="2011"/>
    <n v="2021"/>
    <x v="9"/>
    <n v="86070"/>
    <s v="Clinical Specialist"/>
    <x v="1"/>
    <s v="USA"/>
    <s v="Domestic"/>
    <x v="1"/>
    <n v="1032840"/>
    <n v="8607"/>
  </r>
  <r>
    <n v="294"/>
    <s v="Cooper"/>
    <s v="icooper85@w3.org"/>
    <s v="F"/>
    <x v="7"/>
    <d v="2022-01-31T00:00:00"/>
    <n v="2009"/>
    <n v="2021"/>
    <x v="0"/>
    <n v="61519"/>
    <s v="Human Resources Assistant III"/>
    <x v="2"/>
    <s v="Canada"/>
    <s v="Entertainment"/>
    <x v="1"/>
    <n v="738228"/>
    <n v="6151.9000000000005"/>
  </r>
  <r>
    <n v="295"/>
    <s v="Harris"/>
    <s v="lharris86@ibm.com"/>
    <s v="F"/>
    <x v="16"/>
    <d v="2005-09-20T00:00:00"/>
    <n v="2005"/>
    <n v="2021"/>
    <x v="7"/>
    <n v="47131"/>
    <s v="Developer IV"/>
    <x v="4"/>
    <s v="Canada"/>
    <s v="Library"/>
    <x v="1"/>
    <n v="565572"/>
    <n v="4713.1000000000004"/>
  </r>
  <r>
    <n v="296"/>
    <s v="Edwards"/>
    <s v="aedwards87@webeden.co.uk"/>
    <s v="M"/>
    <x v="11"/>
    <d v="2008-04-07T00:00:00"/>
    <n v="2008"/>
    <n v="2021"/>
    <x v="1"/>
    <n v="93962"/>
    <s v="Staff Scientist"/>
    <x v="1"/>
    <s v="USA"/>
    <s v="Domestic"/>
    <x v="1"/>
    <n v="1127544"/>
    <n v="9396.2000000000007"/>
  </r>
  <r>
    <n v="297"/>
    <s v="Harrison"/>
    <s v="nharrison88@imageshack.us"/>
    <s v="M"/>
    <x v="21"/>
    <d v="2014-11-12T00:00:00"/>
    <n v="2014"/>
    <n v="2021"/>
    <x v="2"/>
    <n v="133845"/>
    <s v="Executive Secretary"/>
    <x v="5"/>
    <s v="USA"/>
    <s v="Domestic"/>
    <x v="1"/>
    <n v="1606140"/>
    <n v="13384.5"/>
  </r>
  <r>
    <n v="298"/>
    <s v="Berry"/>
    <s v="lberry89@gov.uk"/>
    <s v="M"/>
    <x v="8"/>
    <d v="2010-06-17T00:00:00"/>
    <n v="2010"/>
    <n v="2021"/>
    <x v="14"/>
    <n v="43067"/>
    <s v="Research Assistant I"/>
    <x v="2"/>
    <s v="Canada"/>
    <s v="Domestic"/>
    <x v="1"/>
    <n v="516804"/>
    <n v="4306.7"/>
  </r>
  <r>
    <n v="299"/>
    <s v="Stephens"/>
    <s v="cstephens8a@imdb.com"/>
    <s v="F"/>
    <x v="17"/>
    <d v="2001-09-01T00:00:00"/>
    <n v="2001"/>
    <n v="2021"/>
    <x v="11"/>
    <n v="88972"/>
    <s v="Paralegal"/>
    <x v="2"/>
    <s v="Canada"/>
    <s v="Domestic"/>
    <x v="0"/>
    <n v="1067664"/>
    <n v="8897.2000000000007"/>
  </r>
  <r>
    <n v="300"/>
    <s v="Arnold"/>
    <s v="barnold8b@thetimes.co.uk"/>
    <s v="M"/>
    <x v="8"/>
    <d v="2005-11-15T00:00:00"/>
    <n v="2005"/>
    <n v="2021"/>
    <x v="7"/>
    <n v="77635"/>
    <s v="VP Product Management"/>
    <x v="1"/>
    <s v="USA"/>
    <s v="Domestic"/>
    <x v="0"/>
    <n v="931620"/>
    <n v="7763.5"/>
  </r>
  <r>
    <n v="301"/>
    <s v="Myers"/>
    <s v="amyers8c@ibm.com"/>
    <s v="M"/>
    <x v="4"/>
    <d v="2011-05-16T00:00:00"/>
    <n v="2011"/>
    <n v="2021"/>
    <x v="9"/>
    <n v="148993"/>
    <s v="Speech Pathologist"/>
    <x v="3"/>
    <s v="USA"/>
    <s v="Domestic"/>
    <x v="0"/>
    <n v="1787916"/>
    <n v="14899.300000000001"/>
  </r>
  <r>
    <n v="302"/>
    <s v="Jenkins"/>
    <s v="rjenkins8d@wufoo.com"/>
    <s v="F"/>
    <x v="5"/>
    <d v="2002-08-15T00:00:00"/>
    <n v="2002"/>
    <n v="2021"/>
    <x v="3"/>
    <n v="113599"/>
    <s v="Geological Engineer"/>
    <x v="0"/>
    <s v="USA"/>
    <s v="Auto &amp; Hardware"/>
    <x v="0"/>
    <n v="1363188"/>
    <n v="11359.900000000001"/>
  </r>
  <r>
    <n v="303"/>
    <s v="West"/>
    <s v="jwest8e@berkeley.edu"/>
    <s v="M"/>
    <x v="13"/>
    <d v="2012-03-15T00:00:00"/>
    <n v="2012"/>
    <n v="2021"/>
    <x v="12"/>
    <n v="76943"/>
    <s v="General Manager"/>
    <x v="2"/>
    <s v="Canada"/>
    <s v="Electronic Equipment"/>
    <x v="0"/>
    <n v="923316"/>
    <n v="7694.3"/>
  </r>
  <r>
    <n v="304"/>
    <s v="Mccoy"/>
    <s v="mmccoy8f@wisc.edu"/>
    <s v="F"/>
    <x v="16"/>
    <d v="2020-05-26T00:00:00"/>
    <n v="2007"/>
    <n v="2021"/>
    <x v="8"/>
    <n v="77486"/>
    <s v="Community Outreach Specialist"/>
    <x v="5"/>
    <s v="USA"/>
    <s v="Library"/>
    <x v="0"/>
    <n v="929832"/>
    <n v="7748.6"/>
  </r>
  <r>
    <n v="305"/>
    <s v="Johnson"/>
    <s v="fjohnson8g@wikipedia.org"/>
    <s v="M"/>
    <x v="13"/>
    <d v="2013-11-20T00:00:00"/>
    <n v="2013"/>
    <n v="2021"/>
    <x v="4"/>
    <n v="135001"/>
    <s v="Recruiting Manager"/>
    <x v="5"/>
    <s v="USA"/>
    <s v="Electronic Equipment"/>
    <x v="0"/>
    <n v="1620012"/>
    <n v="13500.1"/>
  </r>
  <r>
    <n v="306"/>
    <s v="Sanders"/>
    <s v="ssanders8h@mtv.com"/>
    <s v="M"/>
    <x v="9"/>
    <d v="2008-11-10T00:00:00"/>
    <n v="2008"/>
    <n v="2021"/>
    <x v="1"/>
    <n v="52171"/>
    <s v="Data Coordiator"/>
    <x v="0"/>
    <s v="USA"/>
    <s v="Domestic"/>
    <x v="0"/>
    <n v="626052"/>
    <n v="5217.1000000000004"/>
  </r>
  <r>
    <n v="307"/>
    <s v="Cunningham"/>
    <s v="acunningham8i@wikimedia.org"/>
    <s v="F"/>
    <x v="15"/>
    <d v="2006-06-22T00:00:00"/>
    <n v="2006"/>
    <n v="2021"/>
    <x v="5"/>
    <n v="139302"/>
    <s v="Engineer IV"/>
    <x v="6"/>
    <s v="Canada"/>
    <s v="Outdoors &amp; Garden"/>
    <x v="0"/>
    <n v="1671624"/>
    <n v="13930.2"/>
  </r>
  <r>
    <n v="308"/>
    <s v="Lynch"/>
    <s v="slynch8j@123-reg.co.uk"/>
    <s v="F"/>
    <x v="19"/>
    <d v="2000-08-09T00:00:00"/>
    <n v="2000"/>
    <n v="2021"/>
    <x v="13"/>
    <n v="126683"/>
    <s v="Librarian"/>
    <x v="5"/>
    <s v="USA"/>
    <s v="Domestic"/>
    <x v="0"/>
    <n v="1520196"/>
    <n v="12668.300000000001"/>
  </r>
  <r>
    <n v="309"/>
    <s v="Riley"/>
    <s v="driley8k@dell.com"/>
    <s v="M"/>
    <x v="1"/>
    <d v="2006-07-04T00:00:00"/>
    <n v="2006"/>
    <n v="2021"/>
    <x v="5"/>
    <n v="143781"/>
    <s v="Product Engineer"/>
    <x v="5"/>
    <s v="USA"/>
    <s v="Games &amp; Sports"/>
    <x v="0"/>
    <n v="1725372"/>
    <n v="14378.1"/>
  </r>
  <r>
    <n v="310"/>
    <s v="Ray"/>
    <s v="aray8l@cbc.ca"/>
    <s v="M"/>
    <x v="16"/>
    <d v="2008-03-05T00:00:00"/>
    <n v="2008"/>
    <n v="2021"/>
    <x v="1"/>
    <n v="51761"/>
    <s v="Cost Accountant"/>
    <x v="6"/>
    <s v="Canada"/>
    <s v="Library"/>
    <x v="0"/>
    <n v="621132"/>
    <n v="5176.1000000000004"/>
  </r>
  <r>
    <n v="311"/>
    <s v="Lane"/>
    <s v="plane8m@pbs.org"/>
    <s v="M"/>
    <x v="21"/>
    <d v="2011-05-26T00:00:00"/>
    <n v="2011"/>
    <n v="2021"/>
    <x v="9"/>
    <n v="45463"/>
    <s v="Marketing Manager"/>
    <x v="6"/>
    <s v="Canada"/>
    <s v="Domestic"/>
    <x v="0"/>
    <n v="545556"/>
    <n v="4546.3"/>
  </r>
  <r>
    <n v="312"/>
    <s v="Jordan"/>
    <s v="pjordan8n@adobe.com"/>
    <s v="F"/>
    <x v="8"/>
    <d v="2003-11-15T00:00:00"/>
    <n v="2003"/>
    <n v="2021"/>
    <x v="6"/>
    <n v="133498"/>
    <s v="Nuclear Power Engineer"/>
    <x v="2"/>
    <s v="Canada"/>
    <s v="Domestic"/>
    <x v="0"/>
    <n v="1601976"/>
    <n v="13349.800000000001"/>
  </r>
  <r>
    <n v="313"/>
    <s v="Gibson"/>
    <s v="bgibson8o@pen.io"/>
    <s v="F"/>
    <x v="12"/>
    <d v="2024-03-21T00:00:00"/>
    <n v="2011"/>
    <n v="2021"/>
    <x v="9"/>
    <n v="81273"/>
    <s v="Health Coach II"/>
    <x v="5"/>
    <s v="USA"/>
    <s v="Domestic"/>
    <x v="0"/>
    <n v="975276"/>
    <n v="8127.3"/>
  </r>
  <r>
    <n v="314"/>
    <s v="Elliott"/>
    <s v="telliott8p@mozilla.org"/>
    <s v="M"/>
    <x v="0"/>
    <d v="2008-02-27T00:00:00"/>
    <n v="2008"/>
    <n v="2021"/>
    <x v="1"/>
    <n v="77921"/>
    <s v="Environmental Specialist"/>
    <x v="2"/>
    <s v="Canada"/>
    <s v="Electronic Equipment"/>
    <x v="0"/>
    <n v="935052"/>
    <n v="7792.1"/>
  </r>
  <r>
    <n v="315"/>
    <s v="Smith"/>
    <s v="bsmith8q@mysql.com"/>
    <s v="M"/>
    <x v="10"/>
    <d v="2012-07-25T00:00:00"/>
    <n v="2012"/>
    <n v="2021"/>
    <x v="12"/>
    <n v="59580"/>
    <s v="General Manager"/>
    <x v="0"/>
    <s v="USA"/>
    <s v="Domestic"/>
    <x v="0"/>
    <n v="714960"/>
    <n v="5958"/>
  </r>
  <r>
    <n v="316"/>
    <s v="Peters"/>
    <s v="cpeters8r@epa.gov"/>
    <s v="M"/>
    <x v="1"/>
    <d v="2010-09-16T00:00:00"/>
    <n v="2010"/>
    <n v="2021"/>
    <x v="14"/>
    <n v="40418"/>
    <s v="VP Marketing"/>
    <x v="0"/>
    <s v="USA"/>
    <s v="Games &amp; Sports"/>
    <x v="0"/>
    <n v="485016"/>
    <n v="4041.8"/>
  </r>
  <r>
    <n v="317"/>
    <s v="Tucker"/>
    <s v="htucker8s@photobucket.com"/>
    <s v="M"/>
    <x v="4"/>
    <d v="2004-08-05T00:00:00"/>
    <n v="2004"/>
    <n v="2021"/>
    <x v="10"/>
    <n v="104844"/>
    <s v="Structural Analysis Engineer"/>
    <x v="1"/>
    <s v="USA"/>
    <s v="Domestic"/>
    <x v="0"/>
    <n v="1258128"/>
    <n v="10484.400000000001"/>
  </r>
  <r>
    <n v="318"/>
    <s v="Moore"/>
    <s v="jmoore8t@umich.edu"/>
    <s v="M"/>
    <x v="0"/>
    <d v="2003-04-27T00:00:00"/>
    <n v="2003"/>
    <n v="2021"/>
    <x v="6"/>
    <n v="139304"/>
    <s v="Help Desk Technician"/>
    <x v="1"/>
    <s v="USA"/>
    <s v="Electronic Equipment"/>
    <x v="0"/>
    <n v="1671648"/>
    <n v="13930.400000000001"/>
  </r>
  <r>
    <n v="319"/>
    <s v="Crawford"/>
    <s v="mcrawford8u@parallels.com"/>
    <s v="F"/>
    <x v="12"/>
    <d v="2024-12-20T00:00:00"/>
    <n v="2011"/>
    <n v="2021"/>
    <x v="9"/>
    <n v="140996"/>
    <s v="Software Engineer IV"/>
    <x v="1"/>
    <s v="USA"/>
    <s v="Domestic"/>
    <x v="0"/>
    <n v="1691952"/>
    <n v="14099.6"/>
  </r>
  <r>
    <n v="320"/>
    <s v="Gilbert"/>
    <s v="egilbert8v@nydailynews.com"/>
    <s v="M"/>
    <x v="15"/>
    <d v="2010-04-12T00:00:00"/>
    <n v="2010"/>
    <n v="2021"/>
    <x v="14"/>
    <n v="52430"/>
    <s v="Assistant Media Planner"/>
    <x v="6"/>
    <s v="Canada"/>
    <s v="Outdoors &amp; Garden"/>
    <x v="1"/>
    <n v="629160"/>
    <n v="5243"/>
  </r>
  <r>
    <n v="321"/>
    <s v="Wheeler"/>
    <s v="jwheeler8w@whitehouse.gov"/>
    <s v="F"/>
    <x v="16"/>
    <d v="2001-08-24T00:00:00"/>
    <n v="2001"/>
    <n v="2021"/>
    <x v="11"/>
    <n v="145284"/>
    <s v="Information Systems Manager"/>
    <x v="2"/>
    <s v="Canada"/>
    <s v="Library"/>
    <x v="1"/>
    <n v="1743408"/>
    <n v="14528.400000000001"/>
  </r>
  <r>
    <n v="322"/>
    <s v="Marshall"/>
    <s v="jmarshall8x@va.gov"/>
    <s v="M"/>
    <x v="0"/>
    <d v="2013-11-07T00:00:00"/>
    <n v="2013"/>
    <n v="2021"/>
    <x v="4"/>
    <n v="66063"/>
    <s v="Web Designer III"/>
    <x v="0"/>
    <s v="USA"/>
    <s v="Electronic Equipment"/>
    <x v="1"/>
    <n v="792756"/>
    <n v="6606.3"/>
  </r>
  <r>
    <n v="323"/>
    <s v="Robinson"/>
    <s v="rrobinson8y@businessinsider.com"/>
    <s v="M"/>
    <x v="13"/>
    <d v="2008-04-10T00:00:00"/>
    <n v="2008"/>
    <n v="2021"/>
    <x v="1"/>
    <n v="134422"/>
    <s v="Occupational Therapist"/>
    <x v="5"/>
    <s v="USA"/>
    <s v="Electronic Equipment"/>
    <x v="1"/>
    <n v="1613064"/>
    <n v="13442.2"/>
  </r>
  <r>
    <n v="324"/>
    <s v="Stevens"/>
    <s v="astevens8z@si.edu"/>
    <s v="F"/>
    <x v="0"/>
    <d v="2025-05-19T00:00:00"/>
    <n v="2012"/>
    <n v="2021"/>
    <x v="12"/>
    <n v="106229"/>
    <s v="Research Associate"/>
    <x v="5"/>
    <s v="USA"/>
    <s v="Electronic Equipment"/>
    <x v="1"/>
    <n v="1274748"/>
    <n v="10622.900000000001"/>
  </r>
  <r>
    <n v="325"/>
    <s v="Wright"/>
    <s v="kwright90@buzzfeed.com"/>
    <s v="F"/>
    <x v="8"/>
    <d v="2025-05-13T00:00:00"/>
    <n v="2012"/>
    <n v="2021"/>
    <x v="12"/>
    <n v="107727"/>
    <s v="Computer Systems Analyst I"/>
    <x v="0"/>
    <s v="USA"/>
    <s v="Domestic"/>
    <x v="1"/>
    <n v="1292724"/>
    <n v="10772.7"/>
  </r>
  <r>
    <n v="326"/>
    <s v="Castillo"/>
    <s v="bcastillo91@hc360.com"/>
    <s v="F"/>
    <x v="3"/>
    <d v="2020-12-12T00:00:00"/>
    <n v="2007"/>
    <n v="2021"/>
    <x v="8"/>
    <n v="130188"/>
    <s v="Social Worker"/>
    <x v="1"/>
    <s v="USA"/>
    <s v="Fashion"/>
    <x v="1"/>
    <n v="1562256"/>
    <n v="13018.800000000001"/>
  </r>
  <r>
    <n v="327"/>
    <s v="Edwards"/>
    <s v="medwards92@mail.ru"/>
    <s v="M"/>
    <x v="2"/>
    <d v="2002-10-04T00:00:00"/>
    <n v="2002"/>
    <n v="2021"/>
    <x v="3"/>
    <n v="140194"/>
    <s v="Programmer IV"/>
    <x v="6"/>
    <s v="Canada"/>
    <s v="Auto &amp; Hardware"/>
    <x v="1"/>
    <n v="1682328"/>
    <n v="14019.400000000001"/>
  </r>
  <r>
    <n v="328"/>
    <s v="Hanson"/>
    <s v="bhanson93@blinklist.com"/>
    <s v="F"/>
    <x v="0"/>
    <d v="2005-01-06T00:00:00"/>
    <n v="2005"/>
    <n v="2021"/>
    <x v="7"/>
    <n v="58719"/>
    <s v="Media Manager I"/>
    <x v="5"/>
    <s v="USA"/>
    <s v="Electronic Equipment"/>
    <x v="1"/>
    <n v="704628"/>
    <n v="5871.9000000000005"/>
  </r>
  <r>
    <n v="329"/>
    <s v="Mccoy"/>
    <s v="hmccoy94@miitbeian.gov.cn"/>
    <s v="F"/>
    <x v="21"/>
    <d v="2004-07-27T00:00:00"/>
    <n v="2004"/>
    <n v="2021"/>
    <x v="10"/>
    <n v="86803"/>
    <s v="Administrative Assistant III"/>
    <x v="5"/>
    <s v="USA"/>
    <s v="Domestic"/>
    <x v="1"/>
    <n v="1041636"/>
    <n v="8680.3000000000011"/>
  </r>
  <r>
    <n v="330"/>
    <s v="Dunn"/>
    <s v="cdunn95@ft.com"/>
    <s v="M"/>
    <x v="14"/>
    <d v="2010-06-23T00:00:00"/>
    <n v="2010"/>
    <n v="2021"/>
    <x v="14"/>
    <n v="68334"/>
    <s v="Administrative Officer"/>
    <x v="2"/>
    <s v="Canada"/>
    <s v="Auto &amp; Hardware"/>
    <x v="1"/>
    <n v="820008"/>
    <n v="6833.4000000000005"/>
  </r>
  <r>
    <n v="331"/>
    <s v="Hudson"/>
    <s v="jhudson96@thetimes.co.uk"/>
    <s v="F"/>
    <x v="1"/>
    <d v="2021-12-23T00:00:00"/>
    <n v="2008"/>
    <n v="2021"/>
    <x v="1"/>
    <n v="91906"/>
    <s v="Food Chemist"/>
    <x v="5"/>
    <s v="USA"/>
    <s v="Games &amp; Sports"/>
    <x v="0"/>
    <n v="1102872"/>
    <n v="9190.6"/>
  </r>
  <r>
    <n v="332"/>
    <s v="Garza"/>
    <s v="lgarza97@bing.com"/>
    <s v="F"/>
    <x v="10"/>
    <d v="2006-12-20T00:00:00"/>
    <n v="2006"/>
    <n v="2021"/>
    <x v="5"/>
    <n v="48064"/>
    <s v="Office Assistant II"/>
    <x v="6"/>
    <s v="Canada"/>
    <s v="Domestic"/>
    <x v="0"/>
    <n v="576768"/>
    <n v="4806.4000000000005"/>
  </r>
  <r>
    <n v="333"/>
    <s v="Garza"/>
    <s v="pgarza98@go.com"/>
    <s v="M"/>
    <x v="14"/>
    <d v="2004-06-30T00:00:00"/>
    <n v="2004"/>
    <n v="2021"/>
    <x v="10"/>
    <n v="75281"/>
    <s v="Data Coordiator"/>
    <x v="2"/>
    <s v="Canada"/>
    <s v="Auto &amp; Hardware"/>
    <x v="0"/>
    <n v="903372"/>
    <n v="7528.1"/>
  </r>
  <r>
    <n v="334"/>
    <s v="Mills"/>
    <s v="fmills99@ameblo.jp"/>
    <s v="M"/>
    <x v="14"/>
    <d v="2009-03-24T00:00:00"/>
    <n v="2009"/>
    <n v="2021"/>
    <x v="0"/>
    <n v="91659"/>
    <s v="VP Accounting"/>
    <x v="5"/>
    <s v="USA"/>
    <s v="Auto &amp; Hardware"/>
    <x v="0"/>
    <n v="1099908"/>
    <n v="9165.9"/>
  </r>
  <r>
    <n v="335"/>
    <s v="Gilbert"/>
    <s v="pgilbert9a@wiley.com"/>
    <s v="F"/>
    <x v="1"/>
    <d v="2001-10-03T00:00:00"/>
    <n v="2001"/>
    <n v="2021"/>
    <x v="11"/>
    <n v="52792"/>
    <s v="Pharmacist"/>
    <x v="0"/>
    <s v="USA"/>
    <s v="Games &amp; Sports"/>
    <x v="0"/>
    <n v="633504"/>
    <n v="5279.2000000000007"/>
  </r>
  <r>
    <n v="336"/>
    <s v="Campbell"/>
    <s v="pcampbell9b@istockphoto.com"/>
    <s v="F"/>
    <x v="12"/>
    <d v="2001-08-30T00:00:00"/>
    <n v="2001"/>
    <n v="2021"/>
    <x v="11"/>
    <n v="40415"/>
    <s v="Food Chemist"/>
    <x v="5"/>
    <s v="USA"/>
    <s v="Domestic"/>
    <x v="0"/>
    <n v="484980"/>
    <n v="4041.5"/>
  </r>
  <r>
    <n v="337"/>
    <s v="Spencer"/>
    <s v="dspencer9c@ed.gov"/>
    <s v="M"/>
    <x v="7"/>
    <d v="2008-06-16T00:00:00"/>
    <n v="2008"/>
    <n v="2021"/>
    <x v="1"/>
    <n v="83256"/>
    <s v="Senior Editor"/>
    <x v="6"/>
    <s v="Canada"/>
    <s v="Entertainment"/>
    <x v="0"/>
    <n v="999072"/>
    <n v="8325.6"/>
  </r>
  <r>
    <n v="338"/>
    <s v="Garrett"/>
    <s v="kgarrett9d@wordpress.com"/>
    <s v="F"/>
    <x v="13"/>
    <d v="2025-12-30T00:00:00"/>
    <n v="2012"/>
    <n v="2021"/>
    <x v="12"/>
    <n v="145181"/>
    <s v="Programmer Analyst III"/>
    <x v="3"/>
    <s v="USA"/>
    <s v="Electronic Equipment"/>
    <x v="0"/>
    <n v="1742172"/>
    <n v="14518.1"/>
  </r>
  <r>
    <n v="339"/>
    <s v="Hudson"/>
    <s v="rhudson9e@geocities.com"/>
    <s v="F"/>
    <x v="3"/>
    <d v="2004-07-23T00:00:00"/>
    <n v="2004"/>
    <n v="2021"/>
    <x v="10"/>
    <n v="78294"/>
    <s v="Software Consultant"/>
    <x v="5"/>
    <s v="USA"/>
    <s v="Fashion"/>
    <x v="0"/>
    <n v="939528"/>
    <n v="7829.4000000000005"/>
  </r>
  <r>
    <n v="340"/>
    <s v="Williams"/>
    <s v="jwilliams9f@canalblog.com"/>
    <s v="M"/>
    <x v="13"/>
    <d v="2007-07-03T00:00:00"/>
    <n v="2007"/>
    <n v="2021"/>
    <x v="8"/>
    <n v="90120"/>
    <s v="Biostatistician I"/>
    <x v="0"/>
    <s v="USA"/>
    <s v="Electronic Equipment"/>
    <x v="0"/>
    <n v="1081440"/>
    <n v="9012"/>
  </r>
  <r>
    <n v="341"/>
    <s v="Ellis"/>
    <s v="cellis9g@ibm.com"/>
    <s v="M"/>
    <x v="12"/>
    <d v="2008-09-24T00:00:00"/>
    <n v="2008"/>
    <n v="2021"/>
    <x v="1"/>
    <n v="80284"/>
    <s v="VP Accounting"/>
    <x v="1"/>
    <s v="USA"/>
    <s v="Domestic"/>
    <x v="0"/>
    <n v="963408"/>
    <n v="8028.4000000000005"/>
  </r>
  <r>
    <n v="342"/>
    <s v="Carroll"/>
    <s v="scarroll9h@yellowbook.com"/>
    <s v="F"/>
    <x v="21"/>
    <d v="2022-07-26T00:00:00"/>
    <n v="2009"/>
    <n v="2021"/>
    <x v="0"/>
    <n v="85511"/>
    <s v="Business Systems Development Analyst"/>
    <x v="6"/>
    <s v="Canada"/>
    <s v="Domestic"/>
    <x v="0"/>
    <n v="1026132"/>
    <n v="8551.1"/>
  </r>
  <r>
    <n v="343"/>
    <s v="Long"/>
    <s v="along9i@ocn.ne.jp"/>
    <s v="F"/>
    <x v="6"/>
    <d v="2021-06-13T00:00:00"/>
    <n v="2008"/>
    <n v="2021"/>
    <x v="1"/>
    <n v="40138"/>
    <s v="Payment Adjustment Coordinator"/>
    <x v="4"/>
    <s v="Canada"/>
    <s v="Games &amp; Sports"/>
    <x v="0"/>
    <n v="481656"/>
    <n v="4013.8"/>
  </r>
  <r>
    <n v="344"/>
    <s v="Owens"/>
    <s v="eowens9j@skyrock.com"/>
    <s v="M"/>
    <x v="16"/>
    <d v="2010-06-17T00:00:00"/>
    <n v="2010"/>
    <n v="2021"/>
    <x v="14"/>
    <n v="42714"/>
    <s v="Electrical Engineer"/>
    <x v="2"/>
    <s v="Canada"/>
    <s v="Library"/>
    <x v="0"/>
    <n v="512568"/>
    <n v="4271.4000000000005"/>
  </r>
  <r>
    <n v="345"/>
    <s v="Perez"/>
    <s v="jperez9k@bloglines.com"/>
    <s v="M"/>
    <x v="20"/>
    <d v="2005-06-21T00:00:00"/>
    <n v="2005"/>
    <n v="2021"/>
    <x v="7"/>
    <n v="65767"/>
    <s v="Programmer Analyst I"/>
    <x v="5"/>
    <s v="USA"/>
    <s v="Entertainment"/>
    <x v="0"/>
    <n v="789204"/>
    <n v="6576.7000000000007"/>
  </r>
  <r>
    <n v="346"/>
    <s v="Freeman"/>
    <s v="lfreeman9l@cpanel.net"/>
    <s v="F"/>
    <x v="11"/>
    <d v="2026-02-13T00:00:00"/>
    <n v="2013"/>
    <n v="2021"/>
    <x v="4"/>
    <n v="149351"/>
    <s v="Design Engineer"/>
    <x v="2"/>
    <s v="Canada"/>
    <s v="Domestic"/>
    <x v="0"/>
    <n v="1792212"/>
    <n v="14935.1"/>
  </r>
  <r>
    <n v="347"/>
    <s v="Frazier"/>
    <s v="dfrazier9m@amazon.co.uk"/>
    <s v="F"/>
    <x v="5"/>
    <d v="2025-01-03T00:00:00"/>
    <n v="2012"/>
    <n v="2021"/>
    <x v="12"/>
    <n v="88470"/>
    <s v="Associate Professor"/>
    <x v="3"/>
    <s v="USA"/>
    <s v="Auto &amp; Hardware"/>
    <x v="0"/>
    <n v="1061640"/>
    <n v="8847"/>
  </r>
  <r>
    <n v="348"/>
    <s v="Thomas"/>
    <s v="athomas9n@answers.com"/>
    <s v="F"/>
    <x v="13"/>
    <d v="2022-11-26T00:00:00"/>
    <n v="2009"/>
    <n v="2021"/>
    <x v="0"/>
    <n v="90317"/>
    <s v="Health Coach I"/>
    <x v="5"/>
    <s v="USA"/>
    <s v="Electronic Equipment"/>
    <x v="0"/>
    <n v="1083804"/>
    <n v="9031.7000000000007"/>
  </r>
  <r>
    <n v="349"/>
    <s v="Crawford"/>
    <s v="acrawford9o@cpanel.net"/>
    <s v="M"/>
    <x v="15"/>
    <d v="2012-10-10T00:00:00"/>
    <n v="2012"/>
    <n v="2021"/>
    <x v="12"/>
    <n v="142149"/>
    <s v="Compensation Analyst"/>
    <x v="0"/>
    <s v="USA"/>
    <s v="Outdoors &amp; Garden"/>
    <x v="0"/>
    <n v="1705788"/>
    <n v="14214.900000000001"/>
  </r>
  <r>
    <n v="350"/>
    <s v="Hawkins"/>
    <s v="ahawkins9p@hud.gov"/>
    <s v="M"/>
    <x v="13"/>
    <d v="2000-05-21T00:00:00"/>
    <n v="2000"/>
    <n v="2021"/>
    <x v="13"/>
    <n v="144073"/>
    <s v="Programmer I"/>
    <x v="3"/>
    <s v="USA"/>
    <s v="Electronic Equipment"/>
    <x v="0"/>
    <n v="1728876"/>
    <n v="14407.300000000001"/>
  </r>
  <r>
    <n v="351"/>
    <s v="Fuller"/>
    <s v="jfuller9q@merriam-webster.com"/>
    <s v="F"/>
    <x v="16"/>
    <d v="2001-08-17T00:00:00"/>
    <n v="2001"/>
    <n v="2021"/>
    <x v="11"/>
    <n v="54410"/>
    <s v="Programmer Analyst II"/>
    <x v="2"/>
    <s v="Canada"/>
    <s v="Library"/>
    <x v="0"/>
    <n v="652920"/>
    <n v="5441"/>
  </r>
  <r>
    <n v="352"/>
    <s v="Moreno"/>
    <s v="smoreno9r@slate.com"/>
    <s v="M"/>
    <x v="12"/>
    <d v="2000-06-28T00:00:00"/>
    <n v="2000"/>
    <n v="2021"/>
    <x v="13"/>
    <n v="107907"/>
    <s v="Financial Advisor"/>
    <x v="6"/>
    <s v="Canada"/>
    <s v="Domestic"/>
    <x v="0"/>
    <n v="1294884"/>
    <n v="10790.7"/>
  </r>
  <r>
    <n v="353"/>
    <s v="Gonzales"/>
    <s v="jgonzales9s@sourceforge.net"/>
    <s v="F"/>
    <x v="12"/>
    <d v="2023-07-10T00:00:00"/>
    <n v="2010"/>
    <n v="2021"/>
    <x v="14"/>
    <n v="91249"/>
    <s v="Mechanical Systems Engineer"/>
    <x v="0"/>
    <s v="USA"/>
    <s v="Domestic"/>
    <x v="0"/>
    <n v="1094988"/>
    <n v="9124.9"/>
  </r>
  <r>
    <n v="354"/>
    <s v="Hudson"/>
    <s v="shudson9t@shareasale.com"/>
    <s v="M"/>
    <x v="18"/>
    <d v="2005-12-20T00:00:00"/>
    <n v="2005"/>
    <n v="2021"/>
    <x v="7"/>
    <n v="78478"/>
    <s v="Compensation Analyst"/>
    <x v="6"/>
    <s v="Canada"/>
    <s v="Outdoors &amp; Garden"/>
    <x v="0"/>
    <n v="941736"/>
    <n v="7847.8"/>
  </r>
  <r>
    <n v="355"/>
    <s v="Murray"/>
    <s v="cmurray9u@reverbnation.com"/>
    <s v="M"/>
    <x v="1"/>
    <d v="2005-07-07T00:00:00"/>
    <n v="2005"/>
    <n v="2021"/>
    <x v="7"/>
    <n v="48812"/>
    <s v="Human Resources Assistant III"/>
    <x v="2"/>
    <s v="Canada"/>
    <s v="Games &amp; Sports"/>
    <x v="0"/>
    <n v="585744"/>
    <n v="4881.2"/>
  </r>
  <r>
    <n v="356"/>
    <s v="Stephens"/>
    <s v="estephens9v@bbc.co.uk"/>
    <s v="F"/>
    <x v="4"/>
    <d v="2000-04-27T00:00:00"/>
    <n v="2000"/>
    <n v="2021"/>
    <x v="13"/>
    <n v="147440"/>
    <s v="Sales Associate"/>
    <x v="0"/>
    <s v="USA"/>
    <s v="Domestic"/>
    <x v="0"/>
    <n v="1769280"/>
    <n v="14744"/>
  </r>
  <r>
    <n v="357"/>
    <s v="Reynolds"/>
    <s v="dreynolds9w@angelfire.com"/>
    <s v="M"/>
    <x v="18"/>
    <d v="2003-05-18T00:00:00"/>
    <n v="2003"/>
    <n v="2021"/>
    <x v="6"/>
    <n v="87978"/>
    <s v="Senior Financial Analyst"/>
    <x v="3"/>
    <s v="USA"/>
    <s v="Outdoors &amp; Garden"/>
    <x v="0"/>
    <n v="1055736"/>
    <n v="8797.8000000000011"/>
  </r>
  <r>
    <n v="358"/>
    <s v="Gutierrez"/>
    <s v="jgutierrez9x@telegraph.co.uk"/>
    <s v="M"/>
    <x v="2"/>
    <d v="2002-06-17T00:00:00"/>
    <n v="2002"/>
    <n v="2021"/>
    <x v="3"/>
    <n v="67800"/>
    <s v="Desktop Support Technician"/>
    <x v="0"/>
    <s v="USA"/>
    <s v="Auto &amp; Hardware"/>
    <x v="0"/>
    <n v="813600"/>
    <n v="6780"/>
  </r>
  <r>
    <n v="359"/>
    <s v="Tucker"/>
    <s v="gtucker9y@instagram.com"/>
    <s v="M"/>
    <x v="9"/>
    <d v="2010-05-14T00:00:00"/>
    <n v="2010"/>
    <n v="2021"/>
    <x v="14"/>
    <n v="42944"/>
    <s v="Tax Accountant"/>
    <x v="1"/>
    <s v="USA"/>
    <s v="Domestic"/>
    <x v="0"/>
    <n v="515328"/>
    <n v="4294.4000000000005"/>
  </r>
  <r>
    <n v="360"/>
    <s v="Jenkins"/>
    <s v="jjenkins9z@w3.org"/>
    <s v="F"/>
    <x v="2"/>
    <d v="2004-07-18T00:00:00"/>
    <n v="2004"/>
    <n v="2021"/>
    <x v="10"/>
    <n v="84356"/>
    <s v="Marketing Assistant"/>
    <x v="0"/>
    <s v="USA"/>
    <s v="Auto &amp; Hardware"/>
    <x v="0"/>
    <n v="1012272"/>
    <n v="8435.6"/>
  </r>
  <r>
    <n v="361"/>
    <s v="Rice"/>
    <s v="dricea0@hubpages.com"/>
    <s v="F"/>
    <x v="15"/>
    <d v="2006-12-06T00:00:00"/>
    <n v="2006"/>
    <n v="2021"/>
    <x v="5"/>
    <n v="144724"/>
    <s v="Senior Quality Engineer"/>
    <x v="2"/>
    <s v="Canada"/>
    <s v="Outdoors &amp; Garden"/>
    <x v="2"/>
    <n v="1736688"/>
    <n v="14472.400000000001"/>
  </r>
  <r>
    <n v="362"/>
    <s v="Burke"/>
    <s v="jburkea1@mayoclinic.com"/>
    <s v="M"/>
    <x v="4"/>
    <d v="2003-09-08T00:00:00"/>
    <n v="2003"/>
    <n v="2021"/>
    <x v="6"/>
    <n v="147290"/>
    <s v="Analyst Programmer"/>
    <x v="4"/>
    <s v="Canada"/>
    <s v="Domestic"/>
    <x v="2"/>
    <n v="1767480"/>
    <n v="14729"/>
  </r>
  <r>
    <n v="363"/>
    <s v="Hall"/>
    <s v="jhalla2@prweb.com"/>
    <s v="M"/>
    <x v="2"/>
    <d v="2001-12-28T00:00:00"/>
    <n v="2001"/>
    <n v="2021"/>
    <x v="11"/>
    <n v="83177"/>
    <s v="Community Outreach Specialist"/>
    <x v="1"/>
    <s v="USA"/>
    <s v="Auto &amp; Hardware"/>
    <x v="2"/>
    <n v="998124"/>
    <n v="8317.7000000000007"/>
  </r>
  <r>
    <n v="364"/>
    <s v="Ryan"/>
    <s v="rryana3@twitter.com"/>
    <s v="M"/>
    <x v="19"/>
    <d v="2014-05-31T00:00:00"/>
    <n v="2014"/>
    <n v="2021"/>
    <x v="2"/>
    <n v="83252"/>
    <s v="Civil Engineer"/>
    <x v="1"/>
    <s v="USA"/>
    <s v="Domestic"/>
    <x v="2"/>
    <n v="999024"/>
    <n v="8325.2000000000007"/>
  </r>
  <r>
    <n v="365"/>
    <s v="Gonzales"/>
    <s v="jgonzalesa4@cpanel.net"/>
    <s v="M"/>
    <x v="8"/>
    <d v="2000-08-30T00:00:00"/>
    <n v="2000"/>
    <n v="2021"/>
    <x v="13"/>
    <n v="127393"/>
    <s v="Help Desk Technician"/>
    <x v="2"/>
    <s v="Canada"/>
    <s v="Domestic"/>
    <x v="2"/>
    <n v="1528716"/>
    <n v="12739.300000000001"/>
  </r>
  <r>
    <n v="366"/>
    <s v="Jacobs"/>
    <s v="bjacobsa5@domainmarket.com"/>
    <s v="M"/>
    <x v="14"/>
    <d v="2006-01-29T00:00:00"/>
    <n v="2006"/>
    <n v="2021"/>
    <x v="5"/>
    <n v="67186"/>
    <s v="Research Nurse"/>
    <x v="3"/>
    <s v="USA"/>
    <s v="Auto &amp; Hardware"/>
    <x v="2"/>
    <n v="806232"/>
    <n v="6718.6"/>
  </r>
  <r>
    <n v="367"/>
    <s v="Ramos"/>
    <s v="jramosa6@cdbaby.com"/>
    <s v="F"/>
    <x v="17"/>
    <d v="2002-03-05T00:00:00"/>
    <n v="2002"/>
    <n v="2021"/>
    <x v="3"/>
    <n v="102361"/>
    <s v="Computer Systems Analyst III"/>
    <x v="6"/>
    <s v="Canada"/>
    <s v="Domestic"/>
    <x v="2"/>
    <n v="1228332"/>
    <n v="10236.1"/>
  </r>
  <r>
    <n v="368"/>
    <s v="Rivera"/>
    <s v="driveraa7@typepad.com"/>
    <s v="F"/>
    <x v="11"/>
    <d v="2001-08-15T00:00:00"/>
    <n v="2001"/>
    <n v="2021"/>
    <x v="11"/>
    <n v="60688"/>
    <s v="Paralegal"/>
    <x v="3"/>
    <s v="USA"/>
    <s v="Domestic"/>
    <x v="2"/>
    <n v="728256"/>
    <n v="6068.8"/>
  </r>
  <r>
    <n v="369"/>
    <s v="Lawrence"/>
    <s v="llawrencea8@mozilla.com"/>
    <s v="F"/>
    <x v="13"/>
    <d v="2026-04-24T00:00:00"/>
    <n v="2013"/>
    <n v="2021"/>
    <x v="4"/>
    <n v="44704"/>
    <s v="Data Coordiator"/>
    <x v="0"/>
    <s v="USA"/>
    <s v="Electronic Equipment"/>
    <x v="2"/>
    <n v="536448"/>
    <n v="4470.4000000000005"/>
  </r>
  <r>
    <n v="370"/>
    <s v="Austin"/>
    <s v="eaustina9@answers.com"/>
    <s v="M"/>
    <x v="12"/>
    <d v="2002-01-09T00:00:00"/>
    <n v="2002"/>
    <n v="2021"/>
    <x v="3"/>
    <n v="110627"/>
    <s v="Teacher"/>
    <x v="2"/>
    <s v="Canada"/>
    <s v="Domestic"/>
    <x v="2"/>
    <n v="1327524"/>
    <n v="11062.7"/>
  </r>
  <r>
    <n v="371"/>
    <s v="Sims"/>
    <s v="bsimsaa@privacy.gov.au"/>
    <s v="M"/>
    <x v="1"/>
    <d v="2000-06-04T00:00:00"/>
    <n v="2000"/>
    <n v="2021"/>
    <x v="13"/>
    <n v="127223"/>
    <s v="Operator"/>
    <x v="6"/>
    <s v="Canada"/>
    <s v="Games &amp; Sports"/>
    <x v="2"/>
    <n v="1526676"/>
    <n v="12722.300000000001"/>
  </r>
  <r>
    <n v="372"/>
    <s v="Harper"/>
    <s v="rharperab@china.com.cn"/>
    <s v="F"/>
    <x v="11"/>
    <d v="2001-08-31T00:00:00"/>
    <n v="2001"/>
    <n v="2021"/>
    <x v="11"/>
    <n v="96163"/>
    <s v="Safety Technician IV"/>
    <x v="1"/>
    <s v="USA"/>
    <s v="Domestic"/>
    <x v="2"/>
    <n v="1153956"/>
    <n v="9616.3000000000011"/>
  </r>
  <r>
    <n v="373"/>
    <s v="Sims"/>
    <s v="jsimsac@a8.net"/>
    <s v="M"/>
    <x v="3"/>
    <d v="2012-04-24T00:00:00"/>
    <n v="2012"/>
    <n v="2021"/>
    <x v="12"/>
    <n v="86524"/>
    <s v="Developer IV"/>
    <x v="6"/>
    <s v="Canada"/>
    <s v="Fashion"/>
    <x v="2"/>
    <n v="1038288"/>
    <n v="8652.4"/>
  </r>
  <r>
    <n v="374"/>
    <s v="Mcdonald"/>
    <s v="jmcdonaldad@sbwire.com"/>
    <s v="F"/>
    <x v="9"/>
    <d v="2005-09-19T00:00:00"/>
    <n v="2005"/>
    <n v="2021"/>
    <x v="7"/>
    <n v="141464"/>
    <s v="Programmer IV"/>
    <x v="5"/>
    <s v="USA"/>
    <s v="Domestic"/>
    <x v="0"/>
    <n v="1697568"/>
    <n v="14146.400000000001"/>
  </r>
  <r>
    <n v="375"/>
    <s v="Hudson"/>
    <s v="mhudsonae@ihg.com"/>
    <s v="F"/>
    <x v="14"/>
    <d v="2027-08-27T00:00:00"/>
    <n v="2014"/>
    <n v="2021"/>
    <x v="2"/>
    <n v="88029"/>
    <s v="Help Desk Operator"/>
    <x v="5"/>
    <s v="USA"/>
    <s v="Auto &amp; Hardware"/>
    <x v="0"/>
    <n v="1056348"/>
    <n v="8802.9"/>
  </r>
  <r>
    <n v="376"/>
    <s v="Harper"/>
    <s v="charperaf@google.pl"/>
    <s v="M"/>
    <x v="12"/>
    <d v="2007-03-21T00:00:00"/>
    <n v="2007"/>
    <n v="2021"/>
    <x v="8"/>
    <n v="47281"/>
    <s v="VP Quality Control"/>
    <x v="4"/>
    <s v="Canada"/>
    <s v="Domestic"/>
    <x v="0"/>
    <n v="567372"/>
    <n v="4728.1000000000004"/>
  </r>
  <r>
    <n v="377"/>
    <s v="Alexander"/>
    <s v="valexanderag@amazon.co.uk"/>
    <s v="F"/>
    <x v="13"/>
    <d v="2002-01-15T00:00:00"/>
    <n v="2002"/>
    <n v="2021"/>
    <x v="3"/>
    <n v="93245"/>
    <s v="Staff Scientist"/>
    <x v="3"/>
    <s v="USA"/>
    <s v="Electronic Equipment"/>
    <x v="0"/>
    <n v="1118940"/>
    <n v="9324.5"/>
  </r>
  <r>
    <n v="378"/>
    <s v="Nichols"/>
    <s v="bnicholsah@networkadvertising.org"/>
    <s v="M"/>
    <x v="2"/>
    <d v="2012-07-30T00:00:00"/>
    <n v="2012"/>
    <n v="2021"/>
    <x v="12"/>
    <n v="110589"/>
    <s v="Cost Accountant"/>
    <x v="2"/>
    <s v="Canada"/>
    <s v="Auto &amp; Hardware"/>
    <x v="0"/>
    <n v="1327068"/>
    <n v="11058.900000000001"/>
  </r>
  <r>
    <n v="379"/>
    <s v="Hicks"/>
    <s v="ghicksai@weibo.com"/>
    <s v="M"/>
    <x v="3"/>
    <d v="2003-04-03T00:00:00"/>
    <n v="2003"/>
    <n v="2021"/>
    <x v="6"/>
    <n v="63735"/>
    <s v="VP Accounting"/>
    <x v="4"/>
    <s v="Canada"/>
    <s v="Fashion"/>
    <x v="0"/>
    <n v="764820"/>
    <n v="6373.5"/>
  </r>
  <r>
    <n v="380"/>
    <s v="Turner"/>
    <s v="bturneraj@samsung.com"/>
    <s v="F"/>
    <x v="14"/>
    <d v="2026-11-23T00:00:00"/>
    <n v="2013"/>
    <n v="2021"/>
    <x v="4"/>
    <n v="91182"/>
    <s v="Compensation Analyst"/>
    <x v="6"/>
    <s v="Canada"/>
    <s v="Auto &amp; Hardware"/>
    <x v="0"/>
    <n v="1094184"/>
    <n v="9118.2000000000007"/>
  </r>
  <r>
    <n v="381"/>
    <s v="Welch"/>
    <s v="dwelchak@printfriendly.com"/>
    <s v="M"/>
    <x v="20"/>
    <d v="2012-09-09T00:00:00"/>
    <n v="2012"/>
    <n v="2021"/>
    <x v="12"/>
    <n v="133007"/>
    <s v="Software Test Engineer I"/>
    <x v="2"/>
    <s v="Canada"/>
    <s v="Entertainment"/>
    <x v="0"/>
    <n v="1596084"/>
    <n v="13300.7"/>
  </r>
  <r>
    <n v="382"/>
    <s v="Payne"/>
    <s v="jpayneal@comsenz.com"/>
    <s v="F"/>
    <x v="12"/>
    <d v="2025-08-10T00:00:00"/>
    <n v="2012"/>
    <n v="2021"/>
    <x v="12"/>
    <n v="92879"/>
    <s v="Nurse"/>
    <x v="0"/>
    <s v="USA"/>
    <s v="Domestic"/>
    <x v="0"/>
    <n v="1114548"/>
    <n v="9287.9"/>
  </r>
  <r>
    <n v="383"/>
    <s v="Young"/>
    <s v="pyoungam@theguardian.com"/>
    <s v="M"/>
    <x v="8"/>
    <d v="2002-12-10T00:00:00"/>
    <n v="2002"/>
    <n v="2021"/>
    <x v="3"/>
    <n v="104079"/>
    <s v="Systems Administrator IV"/>
    <x v="5"/>
    <s v="USA"/>
    <s v="Domestic"/>
    <x v="0"/>
    <n v="1248948"/>
    <n v="10407.900000000001"/>
  </r>
  <r>
    <n v="384"/>
    <s v="Butler"/>
    <s v="dbutleran@eventbrite.com"/>
    <s v="F"/>
    <x v="17"/>
    <d v="2005-11-01T00:00:00"/>
    <n v="2005"/>
    <n v="2021"/>
    <x v="7"/>
    <n v="63918"/>
    <s v="Structural Engineer"/>
    <x v="5"/>
    <s v="USA"/>
    <s v="Domestic"/>
    <x v="0"/>
    <n v="767016"/>
    <n v="6391.8"/>
  </r>
  <r>
    <n v="385"/>
    <s v="Carroll"/>
    <s v="ecarrollao@newsvine.com"/>
    <s v="F"/>
    <x v="2"/>
    <d v="2024-05-02T00:00:00"/>
    <n v="2011"/>
    <n v="2021"/>
    <x v="9"/>
    <n v="128885"/>
    <s v="Office Assistant III"/>
    <x v="6"/>
    <s v="Canada"/>
    <s v="Auto &amp; Hardware"/>
    <x v="0"/>
    <n v="1546620"/>
    <n v="12888.5"/>
  </r>
  <r>
    <n v="386"/>
    <s v="Griffin"/>
    <s v="tgriffinap@reddit.com"/>
    <s v="M"/>
    <x v="10"/>
    <d v="2011-02-27T00:00:00"/>
    <n v="2011"/>
    <n v="2021"/>
    <x v="9"/>
    <n v="140567"/>
    <s v="Research Associate"/>
    <x v="0"/>
    <s v="USA"/>
    <s v="Domestic"/>
    <x v="0"/>
    <n v="1686804"/>
    <n v="14056.7"/>
  </r>
  <r>
    <n v="387"/>
    <s v="Burke"/>
    <s v="mburkeaq@360.cn"/>
    <s v="F"/>
    <x v="15"/>
    <d v="2003-08-09T00:00:00"/>
    <n v="2003"/>
    <n v="2021"/>
    <x v="6"/>
    <n v="95726"/>
    <s v="Registered Nurse"/>
    <x v="5"/>
    <s v="USA"/>
    <s v="Outdoors &amp; Garden"/>
    <x v="0"/>
    <n v="1148712"/>
    <n v="9572.6"/>
  </r>
  <r>
    <n v="388"/>
    <s v="Kelley"/>
    <s v="akelleyar@list-manage.com"/>
    <s v="F"/>
    <x v="20"/>
    <d v="2021-01-24T00:00:00"/>
    <n v="2008"/>
    <n v="2021"/>
    <x v="1"/>
    <n v="84261"/>
    <s v="Senior Editor"/>
    <x v="6"/>
    <s v="Canada"/>
    <s v="Entertainment"/>
    <x v="0"/>
    <n v="1011132"/>
    <n v="8426.1"/>
  </r>
  <r>
    <n v="389"/>
    <s v="Ortiz"/>
    <s v="gortizas@w3.org"/>
    <s v="M"/>
    <x v="9"/>
    <d v="2013-06-22T00:00:00"/>
    <n v="2013"/>
    <n v="2021"/>
    <x v="4"/>
    <n v="42924"/>
    <s v="Marketing Assistant"/>
    <x v="0"/>
    <s v="USA"/>
    <s v="Domestic"/>
    <x v="0"/>
    <n v="515088"/>
    <n v="4292.4000000000005"/>
  </r>
  <r>
    <n v="390"/>
    <s v="Olson"/>
    <s v="aolsonat@cpanel.net"/>
    <s v="M"/>
    <x v="0"/>
    <d v="2008-09-14T00:00:00"/>
    <n v="2008"/>
    <n v="2021"/>
    <x v="1"/>
    <n v="86670"/>
    <s v="Web Designer II"/>
    <x v="0"/>
    <s v="USA"/>
    <s v="Electronic Equipment"/>
    <x v="0"/>
    <n v="1040040"/>
    <n v="8667"/>
  </r>
  <r>
    <n v="391"/>
    <s v="White"/>
    <s v="cwhiteau@amazon.de"/>
    <s v="F"/>
    <x v="8"/>
    <d v="2003-11-04T00:00:00"/>
    <n v="2003"/>
    <n v="2021"/>
    <x v="6"/>
    <n v="147702"/>
    <s v="VP Quality Control"/>
    <x v="5"/>
    <s v="USA"/>
    <s v="Domestic"/>
    <x v="0"/>
    <n v="1772424"/>
    <n v="14770.2"/>
  </r>
  <r>
    <n v="392"/>
    <s v="Peters"/>
    <s v="apetersav@loc.gov"/>
    <s v="F"/>
    <x v="17"/>
    <d v="2026-02-02T00:00:00"/>
    <n v="2013"/>
    <n v="2021"/>
    <x v="4"/>
    <n v="132470"/>
    <s v="Database Administrator II"/>
    <x v="4"/>
    <s v="Canada"/>
    <s v="Domestic"/>
    <x v="0"/>
    <n v="1589640"/>
    <n v="13247"/>
  </r>
  <r>
    <n v="393"/>
    <s v="Sullivan"/>
    <s v="ksullivanaw@slideshare.net"/>
    <s v="F"/>
    <x v="20"/>
    <d v="2000-09-11T00:00:00"/>
    <n v="2000"/>
    <n v="2021"/>
    <x v="13"/>
    <n v="63341"/>
    <s v="Research Associate"/>
    <x v="2"/>
    <s v="Canada"/>
    <s v="Entertainment"/>
    <x v="0"/>
    <n v="760092"/>
    <n v="6334.1"/>
  </r>
  <r>
    <n v="394"/>
    <s v="Washington"/>
    <s v="rwashingtonax@gmpg.org"/>
    <s v="F"/>
    <x v="17"/>
    <d v="2002-10-23T00:00:00"/>
    <n v="2002"/>
    <n v="2021"/>
    <x v="3"/>
    <n v="91651"/>
    <s v="Staff Accountant III"/>
    <x v="5"/>
    <s v="USA"/>
    <s v="Domestic"/>
    <x v="0"/>
    <n v="1099812"/>
    <n v="9165.1"/>
  </r>
  <r>
    <n v="395"/>
    <s v="Ward"/>
    <s v="jwarday@quantcast.com"/>
    <s v="M"/>
    <x v="9"/>
    <d v="2013-09-11T00:00:00"/>
    <n v="2013"/>
    <n v="2021"/>
    <x v="4"/>
    <n v="48927"/>
    <s v="Sales Representative"/>
    <x v="4"/>
    <s v="Canada"/>
    <s v="Domestic"/>
    <x v="0"/>
    <n v="587124"/>
    <n v="4892.7"/>
  </r>
  <r>
    <n v="396"/>
    <s v="Kelly"/>
    <s v="bkellyaz@bandcamp.com"/>
    <s v="F"/>
    <x v="11"/>
    <d v="2026-11-17T00:00:00"/>
    <n v="2013"/>
    <n v="2021"/>
    <x v="4"/>
    <n v="143433"/>
    <s v="Web Developer II"/>
    <x v="3"/>
    <s v="USA"/>
    <s v="Domestic"/>
    <x v="0"/>
    <n v="1721196"/>
    <n v="14343.300000000001"/>
  </r>
  <r>
    <n v="397"/>
    <s v="Martin"/>
    <s v="hmartinb0@homestead.com"/>
    <s v="M"/>
    <x v="6"/>
    <d v="2006-10-02T00:00:00"/>
    <n v="2006"/>
    <n v="2021"/>
    <x v="5"/>
    <n v="81998"/>
    <s v="Product Engineer"/>
    <x v="6"/>
    <s v="Canada"/>
    <s v="Games &amp; Sports"/>
    <x v="0"/>
    <n v="983976"/>
    <n v="8199.8000000000011"/>
  </r>
  <r>
    <n v="398"/>
    <s v="Cooper"/>
    <s v="scooperb1@cmu.edu"/>
    <s v="F"/>
    <x v="12"/>
    <d v="2001-05-08T00:00:00"/>
    <n v="2001"/>
    <n v="2021"/>
    <x v="11"/>
    <n v="68584"/>
    <s v="Quality Engineer"/>
    <x v="0"/>
    <s v="USA"/>
    <s v="Domestic"/>
    <x v="0"/>
    <n v="823008"/>
    <n v="6858.4000000000005"/>
  </r>
  <r>
    <n v="399"/>
    <s v="Holmes"/>
    <s v="jholmesb2@uol.com.br"/>
    <s v="F"/>
    <x v="0"/>
    <d v="2022-07-04T00:00:00"/>
    <n v="2009"/>
    <n v="2021"/>
    <x v="0"/>
    <n v="88216"/>
    <s v="Accountant III"/>
    <x v="1"/>
    <s v="USA"/>
    <s v="Electronic Equipment"/>
    <x v="0"/>
    <n v="1058592"/>
    <n v="8821.6"/>
  </r>
  <r>
    <n v="400"/>
    <s v="Harrison"/>
    <s v="jharrisonb3@google.de"/>
    <s v="M"/>
    <x v="19"/>
    <d v="2011-12-24T00:00:00"/>
    <n v="2011"/>
    <n v="2021"/>
    <x v="9"/>
    <n v="86046"/>
    <s v="Nuclear Power Engineer"/>
    <x v="6"/>
    <s v="Canada"/>
    <s v="Domestic"/>
    <x v="0"/>
    <n v="1032552"/>
    <n v="8604.6"/>
  </r>
  <r>
    <n v="401"/>
    <s v="Parker"/>
    <s v="jparkerb4@mit.edu"/>
    <s v="F"/>
    <x v="18"/>
    <d v="2021-03-05T00:00:00"/>
    <n v="2008"/>
    <n v="2021"/>
    <x v="1"/>
    <n v="148906"/>
    <s v="Project Manager"/>
    <x v="6"/>
    <s v="Canada"/>
    <s v="Outdoors &amp; Garden"/>
    <x v="0"/>
    <n v="1786872"/>
    <n v="14890.6"/>
  </r>
  <r>
    <n v="402"/>
    <s v="Marshall"/>
    <s v="emarshallb5@yahoo.co.jp"/>
    <s v="F"/>
    <x v="8"/>
    <d v="2020-11-10T00:00:00"/>
    <n v="2007"/>
    <n v="2021"/>
    <x v="8"/>
    <n v="93266"/>
    <s v="Recruiter"/>
    <x v="2"/>
    <s v="Canada"/>
    <s v="Domestic"/>
    <x v="0"/>
    <n v="1119192"/>
    <n v="9326.6"/>
  </r>
  <r>
    <n v="403"/>
    <s v="Chapman"/>
    <s v="schapmanb6@nhs.uk"/>
    <s v="F"/>
    <x v="12"/>
    <d v="2002-03-09T00:00:00"/>
    <n v="2002"/>
    <n v="2021"/>
    <x v="3"/>
    <n v="69702"/>
    <s v="Food Chemist"/>
    <x v="3"/>
    <s v="USA"/>
    <s v="Domestic"/>
    <x v="0"/>
    <n v="836424"/>
    <n v="6970.2000000000007"/>
  </r>
  <r>
    <n v="404"/>
    <s v="Harvey"/>
    <s v="aharveyb7@who.int"/>
    <s v="F"/>
    <x v="18"/>
    <d v="2023-12-28T00:00:00"/>
    <n v="2010"/>
    <n v="2021"/>
    <x v="14"/>
    <n v="43366"/>
    <s v="Administrative Assistant IV"/>
    <x v="5"/>
    <s v="USA"/>
    <s v="Outdoors &amp; Garden"/>
    <x v="0"/>
    <n v="520392"/>
    <n v="4336.6000000000004"/>
  </r>
  <r>
    <n v="405"/>
    <s v="Morgan"/>
    <s v="dmorganb8@moonfruit.com"/>
    <s v="M"/>
    <x v="14"/>
    <d v="2005-05-19T00:00:00"/>
    <n v="2005"/>
    <n v="2021"/>
    <x v="7"/>
    <n v="101945"/>
    <s v="Web Developer I"/>
    <x v="0"/>
    <s v="USA"/>
    <s v="Auto &amp; Hardware"/>
    <x v="0"/>
    <n v="1223340"/>
    <n v="10194.5"/>
  </r>
  <r>
    <n v="406"/>
    <s v="Foster"/>
    <s v="pfosterb9@intel.com"/>
    <s v="M"/>
    <x v="6"/>
    <d v="2003-02-01T00:00:00"/>
    <n v="2003"/>
    <n v="2021"/>
    <x v="6"/>
    <n v="54007"/>
    <s v="Geological Engineer"/>
    <x v="6"/>
    <s v="Canada"/>
    <s v="Games &amp; Sports"/>
    <x v="0"/>
    <n v="648084"/>
    <n v="5400.7000000000007"/>
  </r>
  <r>
    <n v="407"/>
    <s v="Vasquez"/>
    <s v="jvasquezba@dion.ne.jp"/>
    <s v="M"/>
    <x v="9"/>
    <d v="2013-04-09T00:00:00"/>
    <n v="2013"/>
    <n v="2021"/>
    <x v="4"/>
    <n v="54704"/>
    <s v="Analog Circuit Design manager"/>
    <x v="1"/>
    <s v="USA"/>
    <s v="Domestic"/>
    <x v="0"/>
    <n v="656448"/>
    <n v="5470.4000000000005"/>
  </r>
  <r>
    <n v="408"/>
    <s v="Moore"/>
    <s v="jmoorebb@liveinternet.ru"/>
    <s v="F"/>
    <x v="0"/>
    <d v="2020-11-13T00:00:00"/>
    <n v="2007"/>
    <n v="2021"/>
    <x v="8"/>
    <n v="93954"/>
    <s v="Project Manager"/>
    <x v="6"/>
    <s v="Canada"/>
    <s v="Electronic Equipment"/>
    <x v="0"/>
    <n v="1127448"/>
    <n v="9395.4"/>
  </r>
  <r>
    <n v="409"/>
    <s v="Williams"/>
    <s v="swilliamsbc@bing.com"/>
    <s v="F"/>
    <x v="12"/>
    <d v="2020-04-22T00:00:00"/>
    <n v="2007"/>
    <n v="2021"/>
    <x v="8"/>
    <n v="58235"/>
    <s v="Analog Circuit Design manager"/>
    <x v="4"/>
    <s v="Canada"/>
    <s v="Domestic"/>
    <x v="0"/>
    <n v="698820"/>
    <n v="5823.5"/>
  </r>
  <r>
    <n v="410"/>
    <s v="Harris"/>
    <s v="lharrisbd@ow.ly"/>
    <s v="F"/>
    <x v="5"/>
    <d v="2025-01-07T00:00:00"/>
    <n v="2012"/>
    <n v="2021"/>
    <x v="12"/>
    <n v="148940"/>
    <s v="Senior Financial Analyst"/>
    <x v="4"/>
    <s v="Canada"/>
    <s v="Auto &amp; Hardware"/>
    <x v="0"/>
    <n v="1787280"/>
    <n v="14894"/>
  </r>
  <r>
    <n v="411"/>
    <s v="Hayes"/>
    <s v="chayesbe@usnews.com"/>
    <s v="M"/>
    <x v="11"/>
    <d v="2003-04-09T00:00:00"/>
    <n v="2003"/>
    <n v="2021"/>
    <x v="6"/>
    <n v="110615"/>
    <s v="Paralegal"/>
    <x v="4"/>
    <s v="Canada"/>
    <s v="Domestic"/>
    <x v="0"/>
    <n v="1327380"/>
    <n v="11061.5"/>
  </r>
  <r>
    <n v="412"/>
    <s v="Vasquez"/>
    <s v="jvasquezbf@dailymail.co.uk"/>
    <s v="M"/>
    <x v="3"/>
    <d v="2012-01-14T00:00:00"/>
    <n v="2012"/>
    <n v="2021"/>
    <x v="12"/>
    <n v="94596"/>
    <s v="Web Developer I"/>
    <x v="3"/>
    <s v="USA"/>
    <s v="Fashion"/>
    <x v="0"/>
    <n v="1135152"/>
    <n v="9459.6"/>
  </r>
  <r>
    <n v="413"/>
    <s v="Brooks"/>
    <s v="lbrooksbg@storify.com"/>
    <s v="F"/>
    <x v="19"/>
    <d v="2021-09-19T00:00:00"/>
    <n v="2008"/>
    <n v="2021"/>
    <x v="1"/>
    <n v="94502"/>
    <s v="Executive Secretary"/>
    <x v="3"/>
    <s v="USA"/>
    <s v="Domestic"/>
    <x v="0"/>
    <n v="1134024"/>
    <n v="9450.2000000000007"/>
  </r>
  <r>
    <n v="414"/>
    <s v="Peterson"/>
    <s v="epetersonbh@reverbnation.com"/>
    <s v="M"/>
    <x v="10"/>
    <d v="2011-08-10T00:00:00"/>
    <n v="2011"/>
    <n v="2021"/>
    <x v="9"/>
    <n v="72505"/>
    <s v="Registered Nurse"/>
    <x v="1"/>
    <s v="USA"/>
    <s v="Domestic"/>
    <x v="0"/>
    <n v="870060"/>
    <n v="7250.5"/>
  </r>
  <r>
    <n v="415"/>
    <s v="Holmes"/>
    <s v="dholmesbi@jugem.jp"/>
    <s v="M"/>
    <x v="6"/>
    <d v="2001-06-18T00:00:00"/>
    <n v="2001"/>
    <n v="2021"/>
    <x v="11"/>
    <n v="147150"/>
    <s v="Analog Circuit Design manager"/>
    <x v="4"/>
    <s v="Canada"/>
    <s v="Games &amp; Sports"/>
    <x v="0"/>
    <n v="1765800"/>
    <n v="14715"/>
  </r>
  <r>
    <n v="416"/>
    <s v="Butler"/>
    <s v="dbutlerbj@wix.com"/>
    <s v="F"/>
    <x v="17"/>
    <d v="2002-02-09T00:00:00"/>
    <n v="2002"/>
    <n v="2021"/>
    <x v="3"/>
    <n v="66313"/>
    <s v="Food Chemist"/>
    <x v="6"/>
    <s v="Canada"/>
    <s v="Domestic"/>
    <x v="0"/>
    <n v="795756"/>
    <n v="6631.3"/>
  </r>
  <r>
    <n v="417"/>
    <s v="Hanson"/>
    <s v="shansonbk@ted.com"/>
    <s v="M"/>
    <x v="13"/>
    <d v="2002-11-04T00:00:00"/>
    <n v="2002"/>
    <n v="2021"/>
    <x v="3"/>
    <n v="97372"/>
    <s v="Systems Administrator I"/>
    <x v="4"/>
    <s v="Canada"/>
    <s v="Electronic Equipment"/>
    <x v="0"/>
    <n v="1168464"/>
    <n v="9737.2000000000007"/>
  </r>
  <r>
    <n v="418"/>
    <s v="Morales"/>
    <s v="dmoralesbl@mit.edu"/>
    <s v="F"/>
    <x v="12"/>
    <d v="2026-10-02T00:00:00"/>
    <n v="2013"/>
    <n v="2021"/>
    <x v="4"/>
    <n v="149598"/>
    <s v="VP Product Management"/>
    <x v="1"/>
    <s v="USA"/>
    <s v="Domestic"/>
    <x v="0"/>
    <n v="1795176"/>
    <n v="14959.800000000001"/>
  </r>
  <r>
    <n v="419"/>
    <s v="Dixon"/>
    <s v="jdixonbm@indiatimes.com"/>
    <s v="M"/>
    <x v="19"/>
    <d v="2008-02-22T00:00:00"/>
    <n v="2008"/>
    <n v="2021"/>
    <x v="1"/>
    <n v="104224"/>
    <s v="Clinical Specialist"/>
    <x v="6"/>
    <s v="Canada"/>
    <s v="Domestic"/>
    <x v="0"/>
    <n v="1250688"/>
    <n v="10422.400000000001"/>
  </r>
  <r>
    <n v="420"/>
    <s v="Henry"/>
    <s v="hhenrybn@privacy.gov.au"/>
    <s v="F"/>
    <x v="5"/>
    <d v="2020-09-24T00:00:00"/>
    <n v="2007"/>
    <n v="2021"/>
    <x v="8"/>
    <n v="95583"/>
    <s v="Civil Engineer"/>
    <x v="0"/>
    <s v="USA"/>
    <s v="Auto &amp; Hardware"/>
    <x v="0"/>
    <n v="1146996"/>
    <n v="9558.3000000000011"/>
  </r>
  <r>
    <n v="421"/>
    <s v="Harper"/>
    <s v="rharperbo@webeden.co.uk"/>
    <s v="F"/>
    <x v="20"/>
    <d v="2001-01-05T00:00:00"/>
    <n v="2001"/>
    <n v="2021"/>
    <x v="11"/>
    <n v="92043"/>
    <s v="Assistant Manager"/>
    <x v="1"/>
    <s v="USA"/>
    <s v="Entertainment"/>
    <x v="0"/>
    <n v="1104516"/>
    <n v="9204.3000000000011"/>
  </r>
  <r>
    <n v="422"/>
    <s v="Torres"/>
    <s v="ctorresbp@yahoo.com"/>
    <s v="F"/>
    <x v="0"/>
    <d v="2022-09-17T00:00:00"/>
    <n v="2009"/>
    <n v="2021"/>
    <x v="0"/>
    <n v="118307"/>
    <s v="Staff Accountant II"/>
    <x v="3"/>
    <s v="USA"/>
    <s v="Electronic Equipment"/>
    <x v="0"/>
    <n v="1419684"/>
    <n v="11830.7"/>
  </r>
  <r>
    <n v="423"/>
    <s v="Walker"/>
    <s v="awalkerbq@wsj.com"/>
    <s v="F"/>
    <x v="3"/>
    <d v="2024-05-11T00:00:00"/>
    <n v="2011"/>
    <n v="2021"/>
    <x v="9"/>
    <n v="145281"/>
    <s v="VP Accounting"/>
    <x v="5"/>
    <s v="USA"/>
    <s v="Fashion"/>
    <x v="0"/>
    <n v="1743372"/>
    <n v="14528.1"/>
  </r>
  <r>
    <n v="424"/>
    <s v="Berry"/>
    <s v="jberrybr@discuz.net"/>
    <s v="F"/>
    <x v="12"/>
    <d v="2026-08-20T00:00:00"/>
    <n v="2013"/>
    <n v="2021"/>
    <x v="4"/>
    <n v="148640"/>
    <s v="Internal Auditor"/>
    <x v="5"/>
    <s v="USA"/>
    <s v="Domestic"/>
    <x v="0"/>
    <n v="1783680"/>
    <n v="14864"/>
  </r>
  <r>
    <n v="425"/>
    <s v="Carpenter"/>
    <s v="lcarpenterbs@xrea.com"/>
    <s v="F"/>
    <x v="0"/>
    <d v="2000-09-07T00:00:00"/>
    <n v="2000"/>
    <n v="2021"/>
    <x v="13"/>
    <n v="125523"/>
    <s v="Financial Advisor"/>
    <x v="2"/>
    <s v="Canada"/>
    <s v="Electronic Equipment"/>
    <x v="0"/>
    <n v="1506276"/>
    <n v="12552.300000000001"/>
  </r>
  <r>
    <n v="426"/>
    <s v="Graham"/>
    <s v="tgrahambt@mediafire.com"/>
    <s v="M"/>
    <x v="11"/>
    <d v="2009-01-12T00:00:00"/>
    <n v="2009"/>
    <n v="2021"/>
    <x v="0"/>
    <n v="49503"/>
    <s v="Occupational Therapist"/>
    <x v="6"/>
    <s v="Canada"/>
    <s v="Domestic"/>
    <x v="0"/>
    <n v="594036"/>
    <n v="4950.3"/>
  </r>
  <r>
    <n v="427"/>
    <s v="Clark"/>
    <s v="aclarkbu@npr.org"/>
    <s v="F"/>
    <x v="1"/>
    <d v="2000-09-10T00:00:00"/>
    <n v="2000"/>
    <n v="2021"/>
    <x v="13"/>
    <n v="146611"/>
    <s v="Systems Administrator III"/>
    <x v="2"/>
    <s v="Canada"/>
    <s v="Games &amp; Sports"/>
    <x v="0"/>
    <n v="1759332"/>
    <n v="14661.1"/>
  </r>
  <r>
    <n v="428"/>
    <s v="Schmidt"/>
    <s v="rschmidtbv@tumblr.com"/>
    <s v="F"/>
    <x v="1"/>
    <d v="2025-02-08T00:00:00"/>
    <n v="2012"/>
    <n v="2021"/>
    <x v="12"/>
    <n v="125465"/>
    <s v="Teacher"/>
    <x v="3"/>
    <s v="USA"/>
    <s v="Games &amp; Sports"/>
    <x v="0"/>
    <n v="1505580"/>
    <n v="12546.5"/>
  </r>
  <r>
    <n v="429"/>
    <s v="Ortiz"/>
    <s v="jortizbw@t.co"/>
    <s v="F"/>
    <x v="8"/>
    <d v="2003-01-23T00:00:00"/>
    <n v="2003"/>
    <n v="2021"/>
    <x v="6"/>
    <n v="75024"/>
    <s v="Structural Analysis Engineer"/>
    <x v="4"/>
    <s v="Canada"/>
    <s v="Domestic"/>
    <x v="0"/>
    <n v="900288"/>
    <n v="7502.4000000000005"/>
  </r>
  <r>
    <n v="430"/>
    <s v="Hall"/>
    <s v="ehallbx@google.com.br"/>
    <s v="M"/>
    <x v="1"/>
    <d v="2011-10-25T00:00:00"/>
    <n v="2011"/>
    <n v="2021"/>
    <x v="9"/>
    <n v="60793"/>
    <s v="Registered Nurse"/>
    <x v="2"/>
    <s v="Canada"/>
    <s v="Games &amp; Sports"/>
    <x v="0"/>
    <n v="729516"/>
    <n v="6079.3"/>
  </r>
  <r>
    <n v="431"/>
    <s v="Bishop"/>
    <s v="kbishopby@loc.gov"/>
    <s v="F"/>
    <x v="5"/>
    <d v="2023-06-06T00:00:00"/>
    <n v="2010"/>
    <n v="2021"/>
    <x v="14"/>
    <n v="110744"/>
    <s v="Accountant I"/>
    <x v="0"/>
    <s v="USA"/>
    <s v="Auto &amp; Hardware"/>
    <x v="0"/>
    <n v="1328928"/>
    <n v="11074.400000000001"/>
  </r>
  <r>
    <n v="432"/>
    <s v="Murphy"/>
    <s v="nmurphybz@jiathis.com"/>
    <s v="F"/>
    <x v="3"/>
    <d v="2006-08-21T00:00:00"/>
    <n v="2006"/>
    <n v="2021"/>
    <x v="5"/>
    <n v="46653"/>
    <s v="Registered Nurse"/>
    <x v="5"/>
    <s v="USA"/>
    <s v="Fashion"/>
    <x v="0"/>
    <n v="559836"/>
    <n v="4665.3"/>
  </r>
  <r>
    <n v="433"/>
    <s v="Parker"/>
    <s v="dparkerc0@webeden.co.uk"/>
    <s v="M"/>
    <x v="10"/>
    <d v="2014-05-04T00:00:00"/>
    <n v="2014"/>
    <n v="2021"/>
    <x v="2"/>
    <n v="114919"/>
    <s v="Database Administrator III"/>
    <x v="2"/>
    <s v="Canada"/>
    <s v="Domestic"/>
    <x v="0"/>
    <n v="1379028"/>
    <n v="11491.900000000001"/>
  </r>
  <r>
    <n v="434"/>
    <s v="Lee"/>
    <s v="rleec1@ibm.com"/>
    <s v="F"/>
    <x v="0"/>
    <d v="2000-07-24T00:00:00"/>
    <n v="2000"/>
    <n v="2021"/>
    <x v="13"/>
    <n v="98733"/>
    <s v="Payment Adjustment Coordinator"/>
    <x v="5"/>
    <s v="USA"/>
    <s v="Electronic Equipment"/>
    <x v="0"/>
    <n v="1184796"/>
    <n v="9873.3000000000011"/>
  </r>
  <r>
    <n v="435"/>
    <s v="Ellis"/>
    <s v="kellisc2@cafepress.com"/>
    <s v="F"/>
    <x v="19"/>
    <d v="2021-08-23T00:00:00"/>
    <n v="2008"/>
    <n v="2021"/>
    <x v="1"/>
    <n v="139775"/>
    <s v="Chemical Engineer"/>
    <x v="3"/>
    <s v="USA"/>
    <s v="Domestic"/>
    <x v="0"/>
    <n v="1677300"/>
    <n v="13977.5"/>
  </r>
  <r>
    <n v="436"/>
    <s v="Bishop"/>
    <s v="abishopc3@e-recht24.de"/>
    <s v="F"/>
    <x v="3"/>
    <d v="2005-05-10T00:00:00"/>
    <n v="2005"/>
    <n v="2021"/>
    <x v="7"/>
    <n v="69559"/>
    <s v="Programmer Analyst III"/>
    <x v="1"/>
    <s v="USA"/>
    <s v="Fashion"/>
    <x v="0"/>
    <n v="834708"/>
    <n v="6955.9000000000005"/>
  </r>
  <r>
    <n v="437"/>
    <s v="Roberts"/>
    <s v="arobertsc4@businessweek.com"/>
    <s v="M"/>
    <x v="7"/>
    <d v="2007-07-10T00:00:00"/>
    <n v="2007"/>
    <n v="2021"/>
    <x v="8"/>
    <n v="48934"/>
    <s v="Electrical Engineer"/>
    <x v="4"/>
    <s v="Canada"/>
    <s v="Entertainment"/>
    <x v="0"/>
    <n v="587208"/>
    <n v="4893.4000000000005"/>
  </r>
  <r>
    <n v="438"/>
    <s v="Moreno"/>
    <s v="bmorenoc5@addtoany.com"/>
    <s v="M"/>
    <x v="4"/>
    <d v="2014-04-25T00:00:00"/>
    <n v="2014"/>
    <n v="2021"/>
    <x v="2"/>
    <n v="79980"/>
    <s v="Recruiter"/>
    <x v="6"/>
    <s v="Canada"/>
    <s v="Domestic"/>
    <x v="0"/>
    <n v="959760"/>
    <n v="7998"/>
  </r>
  <r>
    <n v="439"/>
    <s v="Boyd"/>
    <s v="eboydc6@unc.edu"/>
    <s v="M"/>
    <x v="8"/>
    <d v="2002-04-01T00:00:00"/>
    <n v="2002"/>
    <n v="2021"/>
    <x v="3"/>
    <n v="108854"/>
    <s v="Senior Editor"/>
    <x v="5"/>
    <s v="USA"/>
    <s v="Domestic"/>
    <x v="0"/>
    <n v="1306248"/>
    <n v="10885.400000000001"/>
  </r>
  <r>
    <n v="440"/>
    <s v="Murphy"/>
    <s v="amurphyc7@wikia.com"/>
    <s v="M"/>
    <x v="16"/>
    <d v="2007-01-23T00:00:00"/>
    <n v="2007"/>
    <n v="2021"/>
    <x v="8"/>
    <n v="128105"/>
    <s v="Help Desk Technician"/>
    <x v="2"/>
    <s v="Canada"/>
    <s v="Library"/>
    <x v="0"/>
    <n v="1537260"/>
    <n v="12810.5"/>
  </r>
  <r>
    <n v="441"/>
    <s v="Bailey"/>
    <s v="jbaileyc8@newsvine.com"/>
    <s v="M"/>
    <x v="16"/>
    <d v="2008-06-10T00:00:00"/>
    <n v="2008"/>
    <n v="2021"/>
    <x v="1"/>
    <n v="71676"/>
    <s v="GIS Technical Architect"/>
    <x v="5"/>
    <s v="USA"/>
    <s v="Library"/>
    <x v="0"/>
    <n v="860112"/>
    <n v="7167.6"/>
  </r>
  <r>
    <n v="442"/>
    <s v="Bryant"/>
    <s v="jbryantc9@zdnet.com"/>
    <s v="F"/>
    <x v="20"/>
    <d v="2020-09-11T00:00:00"/>
    <n v="2007"/>
    <n v="2021"/>
    <x v="8"/>
    <n v="139347"/>
    <s v="Data Coordiator"/>
    <x v="3"/>
    <s v="USA"/>
    <s v="Entertainment"/>
    <x v="0"/>
    <n v="1672164"/>
    <n v="13934.7"/>
  </r>
  <r>
    <n v="443"/>
    <s v="Powell"/>
    <s v="cpowellca@samsung.com"/>
    <s v="F"/>
    <x v="14"/>
    <d v="2002-02-28T00:00:00"/>
    <n v="2002"/>
    <n v="2021"/>
    <x v="3"/>
    <n v="80491"/>
    <s v="GIS Technical Architect"/>
    <x v="2"/>
    <s v="Canada"/>
    <s v="Auto &amp; Hardware"/>
    <x v="0"/>
    <n v="965892"/>
    <n v="8049.1"/>
  </r>
  <r>
    <n v="444"/>
    <s v="Ferguson"/>
    <s v="jfergusoncb@sphinn.com"/>
    <s v="F"/>
    <x v="5"/>
    <d v="2023-12-30T00:00:00"/>
    <n v="2010"/>
    <n v="2021"/>
    <x v="14"/>
    <n v="119385"/>
    <s v="Assistant Media Planner"/>
    <x v="5"/>
    <s v="USA"/>
    <s v="Auto &amp; Hardware"/>
    <x v="0"/>
    <n v="1432620"/>
    <n v="11938.5"/>
  </r>
  <r>
    <n v="445"/>
    <s v="Greene"/>
    <s v="dgreenecc@reuters.com"/>
    <s v="M"/>
    <x v="6"/>
    <d v="2002-03-23T00:00:00"/>
    <n v="2002"/>
    <n v="2021"/>
    <x v="3"/>
    <n v="149835"/>
    <s v="Geologist III"/>
    <x v="3"/>
    <s v="USA"/>
    <s v="Games &amp; Sports"/>
    <x v="0"/>
    <n v="1798020"/>
    <n v="14983.5"/>
  </r>
  <r>
    <n v="446"/>
    <s v="Kennedy"/>
    <s v="pkennedycd@google.cn"/>
    <s v="F"/>
    <x v="19"/>
    <d v="2021-12-02T00:00:00"/>
    <n v="2008"/>
    <n v="2021"/>
    <x v="1"/>
    <n v="80137"/>
    <s v="Business Systems Development Analyst"/>
    <x v="0"/>
    <s v="USA"/>
    <s v="Domestic"/>
    <x v="0"/>
    <n v="961644"/>
    <n v="8013.7000000000007"/>
  </r>
  <r>
    <n v="447"/>
    <s v="Brooks"/>
    <s v="cbrooksce@washingtonpost.com"/>
    <s v="M"/>
    <x v="12"/>
    <d v="2000-08-25T00:00:00"/>
    <n v="2000"/>
    <n v="2021"/>
    <x v="13"/>
    <n v="79724"/>
    <s v="Developer IV"/>
    <x v="2"/>
    <s v="Canada"/>
    <s v="Domestic"/>
    <x v="0"/>
    <n v="956688"/>
    <n v="7972.4000000000005"/>
  </r>
  <r>
    <n v="448"/>
    <s v="Brooks"/>
    <s v="jbrookscf@ucla.edu"/>
    <s v="M"/>
    <x v="16"/>
    <d v="2009-06-25T00:00:00"/>
    <n v="2009"/>
    <n v="2021"/>
    <x v="0"/>
    <n v="102458"/>
    <s v="Occupational Therapist"/>
    <x v="3"/>
    <s v="USA"/>
    <s v="Library"/>
    <x v="0"/>
    <n v="1229496"/>
    <n v="10245.800000000001"/>
  </r>
  <r>
    <n v="449"/>
    <s v="Gray"/>
    <s v="tgraycg@fotki.com"/>
    <s v="F"/>
    <x v="8"/>
    <d v="2027-04-20T00:00:00"/>
    <n v="2014"/>
    <n v="2021"/>
    <x v="2"/>
    <n v="134205"/>
    <s v="Biostatistician I"/>
    <x v="5"/>
    <s v="USA"/>
    <s v="Domestic"/>
    <x v="0"/>
    <n v="1610460"/>
    <n v="13420.5"/>
  </r>
  <r>
    <n v="450"/>
    <s v="Morgan"/>
    <s v="kmorganch@reddit.com"/>
    <s v="F"/>
    <x v="17"/>
    <d v="2004-05-21T00:00:00"/>
    <n v="2004"/>
    <n v="2021"/>
    <x v="10"/>
    <n v="76052"/>
    <s v="Technical Writer"/>
    <x v="6"/>
    <s v="Canada"/>
    <s v="Domestic"/>
    <x v="0"/>
    <n v="912624"/>
    <n v="7605.2000000000007"/>
  </r>
  <r>
    <n v="451"/>
    <s v="Robinson"/>
    <s v="arobinsonci@mapy.cz"/>
    <s v="F"/>
    <x v="20"/>
    <d v="2004-11-17T00:00:00"/>
    <n v="2004"/>
    <n v="2021"/>
    <x v="10"/>
    <n v="144608"/>
    <s v="Research Associate"/>
    <x v="5"/>
    <s v="USA"/>
    <s v="Entertainment"/>
    <x v="0"/>
    <n v="1735296"/>
    <n v="14460.800000000001"/>
  </r>
  <r>
    <n v="452"/>
    <s v="Kennedy"/>
    <s v="ckennedycj@boston.com"/>
    <s v="F"/>
    <x v="6"/>
    <d v="2000-05-10T00:00:00"/>
    <n v="2000"/>
    <n v="2021"/>
    <x v="13"/>
    <n v="111072"/>
    <s v="Senior Quality Engineer"/>
    <x v="5"/>
    <s v="USA"/>
    <s v="Games &amp; Sports"/>
    <x v="0"/>
    <n v="1332864"/>
    <n v="11107.2"/>
  </r>
  <r>
    <n v="453"/>
    <s v="Anderson"/>
    <s v="aandersonck@whitehouse.gov"/>
    <s v="M"/>
    <x v="2"/>
    <d v="2010-01-24T00:00:00"/>
    <n v="2010"/>
    <n v="2021"/>
    <x v="14"/>
    <n v="126485"/>
    <s v="Computer Systems Analyst I"/>
    <x v="4"/>
    <s v="Canada"/>
    <s v="Auto &amp; Hardware"/>
    <x v="0"/>
    <n v="1517820"/>
    <n v="12648.5"/>
  </r>
  <r>
    <n v="454"/>
    <s v="Price"/>
    <s v="jpricecl@liveinternet.ru"/>
    <s v="F"/>
    <x v="9"/>
    <d v="2006-09-22T00:00:00"/>
    <n v="2006"/>
    <n v="2021"/>
    <x v="5"/>
    <n v="96388"/>
    <s v="Graphic Designer"/>
    <x v="4"/>
    <s v="Canada"/>
    <s v="Domestic"/>
    <x v="0"/>
    <n v="1156656"/>
    <n v="9638.8000000000011"/>
  </r>
  <r>
    <n v="455"/>
    <s v="Hawkins"/>
    <s v="jhawkinscm@furl.net"/>
    <s v="F"/>
    <x v="2"/>
    <d v="2002-06-13T00:00:00"/>
    <n v="2002"/>
    <n v="2021"/>
    <x v="3"/>
    <n v="115506"/>
    <s v="Product Engineer"/>
    <x v="0"/>
    <s v="USA"/>
    <s v="Auto &amp; Hardware"/>
    <x v="0"/>
    <n v="1386072"/>
    <n v="11550.6"/>
  </r>
  <r>
    <n v="456"/>
    <s v="Watson"/>
    <s v="swatsoncn@wufoo.com"/>
    <s v="F"/>
    <x v="14"/>
    <d v="2025-03-10T00:00:00"/>
    <n v="2012"/>
    <n v="2021"/>
    <x v="12"/>
    <n v="115679"/>
    <s v="Editor"/>
    <x v="0"/>
    <s v="USA"/>
    <s v="Auto &amp; Hardware"/>
    <x v="0"/>
    <n v="1388148"/>
    <n v="11567.900000000001"/>
  </r>
  <r>
    <n v="457"/>
    <s v="Cole"/>
    <s v="bcoleco@parallels.com"/>
    <s v="F"/>
    <x v="3"/>
    <d v="2001-12-11T00:00:00"/>
    <n v="2001"/>
    <n v="2021"/>
    <x v="11"/>
    <n v="133040"/>
    <s v="Research Associate"/>
    <x v="4"/>
    <s v="Canada"/>
    <s v="Fashion"/>
    <x v="0"/>
    <n v="1596480"/>
    <n v="13304"/>
  </r>
  <r>
    <n v="458"/>
    <s v="Little"/>
    <s v="dlittlecp@usatoday.com"/>
    <s v="F"/>
    <x v="7"/>
    <d v="2000-05-14T00:00:00"/>
    <n v="2000"/>
    <n v="2021"/>
    <x v="13"/>
    <n v="91660"/>
    <s v="Research Assistant I"/>
    <x v="6"/>
    <s v="Canada"/>
    <s v="Entertainment"/>
    <x v="0"/>
    <n v="1099920"/>
    <n v="9166"/>
  </r>
  <r>
    <n v="459"/>
    <s v="Robertson"/>
    <s v="erobertsoncq@prweb.com"/>
    <s v="F"/>
    <x v="0"/>
    <d v="2022-09-20T00:00:00"/>
    <n v="2009"/>
    <n v="2021"/>
    <x v="0"/>
    <n v="136406"/>
    <s v="Chemical Engineer"/>
    <x v="2"/>
    <s v="Canada"/>
    <s v="Electronic Equipment"/>
    <x v="0"/>
    <n v="1636872"/>
    <n v="13640.6"/>
  </r>
  <r>
    <n v="460"/>
    <s v="Sanchez"/>
    <s v="lsanchezcr@rediff.com"/>
    <s v="M"/>
    <x v="2"/>
    <d v="2005-04-28T00:00:00"/>
    <n v="2005"/>
    <n v="2021"/>
    <x v="7"/>
    <n v="146167"/>
    <s v="Assistant Professor"/>
    <x v="6"/>
    <s v="Canada"/>
    <s v="Auto &amp; Hardware"/>
    <x v="0"/>
    <n v="1754004"/>
    <n v="14616.7"/>
  </r>
  <r>
    <n v="461"/>
    <s v="Lane"/>
    <s v="llanecs@free.fr"/>
    <s v="F"/>
    <x v="16"/>
    <d v="2003-04-04T00:00:00"/>
    <n v="2003"/>
    <n v="2021"/>
    <x v="6"/>
    <n v="94299"/>
    <s v="Media Manager III"/>
    <x v="5"/>
    <s v="USA"/>
    <s v="Library"/>
    <x v="0"/>
    <n v="1131588"/>
    <n v="9429.9"/>
  </r>
  <r>
    <n v="462"/>
    <s v="Perry"/>
    <s v="rperryct@answers.com"/>
    <s v="M"/>
    <x v="14"/>
    <d v="2004-07-31T00:00:00"/>
    <n v="2004"/>
    <n v="2021"/>
    <x v="10"/>
    <n v="56382"/>
    <s v="Executive Secretary"/>
    <x v="1"/>
    <s v="USA"/>
    <s v="Auto &amp; Hardware"/>
    <x v="0"/>
    <n v="676584"/>
    <n v="5638.2000000000007"/>
  </r>
  <r>
    <n v="463"/>
    <s v="Mason"/>
    <s v="dmasoncu@about.com"/>
    <s v="M"/>
    <x v="5"/>
    <d v="2010-12-21T00:00:00"/>
    <n v="2010"/>
    <n v="2021"/>
    <x v="14"/>
    <n v="120160"/>
    <s v="Database Administrator II"/>
    <x v="1"/>
    <s v="USA"/>
    <s v="Auto &amp; Hardware"/>
    <x v="0"/>
    <n v="1441920"/>
    <n v="12016"/>
  </r>
  <r>
    <n v="464"/>
    <s v="Brooks"/>
    <s v="dbrookscv@biblegateway.com"/>
    <s v="F"/>
    <x v="21"/>
    <d v="2021-04-23T00:00:00"/>
    <n v="2008"/>
    <n v="2021"/>
    <x v="1"/>
    <n v="77060"/>
    <s v="Marketing Manager"/>
    <x v="1"/>
    <s v="USA"/>
    <s v="Domestic"/>
    <x v="0"/>
    <n v="924720"/>
    <n v="7706"/>
  </r>
  <r>
    <n v="465"/>
    <s v="White"/>
    <s v="dwhitecw@exblog.jp"/>
    <s v="M"/>
    <x v="0"/>
    <d v="2007-10-17T00:00:00"/>
    <n v="2007"/>
    <n v="2021"/>
    <x v="8"/>
    <n v="122540"/>
    <s v="Administrative Officer"/>
    <x v="0"/>
    <s v="USA"/>
    <s v="Electronic Equipment"/>
    <x v="0"/>
    <n v="1470480"/>
    <n v="12254"/>
  </r>
  <r>
    <n v="466"/>
    <s v="Carroll"/>
    <s v="fcarrollcx@ucoz.ru"/>
    <s v="F"/>
    <x v="10"/>
    <d v="2021-05-29T00:00:00"/>
    <n v="2008"/>
    <n v="2021"/>
    <x v="1"/>
    <n v="128562"/>
    <s v="Senior Developer"/>
    <x v="2"/>
    <s v="Canada"/>
    <s v="Domestic"/>
    <x v="0"/>
    <n v="1542744"/>
    <n v="12856.2"/>
  </r>
  <r>
    <n v="467"/>
    <s v="Ford"/>
    <s v="efordcy@elpais.com"/>
    <s v="F"/>
    <x v="1"/>
    <d v="2002-03-15T00:00:00"/>
    <n v="2002"/>
    <n v="2021"/>
    <x v="3"/>
    <n v="60674"/>
    <s v="Software Engineer I"/>
    <x v="1"/>
    <s v="USA"/>
    <s v="Games &amp; Sports"/>
    <x v="0"/>
    <n v="728088"/>
    <n v="6067.4000000000005"/>
  </r>
  <r>
    <n v="468"/>
    <s v="Ross"/>
    <s v="grosscz@blogtalkradio.com"/>
    <s v="M"/>
    <x v="3"/>
    <d v="2005-04-16T00:00:00"/>
    <n v="2005"/>
    <n v="2021"/>
    <x v="7"/>
    <n v="93609"/>
    <s v="Environmental Specialist"/>
    <x v="4"/>
    <s v="Canada"/>
    <s v="Fashion"/>
    <x v="0"/>
    <n v="1123308"/>
    <n v="9360.9"/>
  </r>
  <r>
    <n v="469"/>
    <s v="Hicks"/>
    <s v="rhicksd0@histats.com"/>
    <s v="F"/>
    <x v="11"/>
    <d v="2023-08-08T00:00:00"/>
    <n v="2010"/>
    <n v="2021"/>
    <x v="14"/>
    <n v="97913"/>
    <s v="Occupational Therapist"/>
    <x v="1"/>
    <s v="USA"/>
    <s v="Domestic"/>
    <x v="0"/>
    <n v="1174956"/>
    <n v="9791.3000000000011"/>
  </r>
  <r>
    <n v="470"/>
    <s v="Rice"/>
    <s v="triced1@examiner.com"/>
    <s v="F"/>
    <x v="4"/>
    <d v="2005-08-13T00:00:00"/>
    <n v="2005"/>
    <n v="2021"/>
    <x v="7"/>
    <n v="108380"/>
    <s v="Data Coordiator"/>
    <x v="6"/>
    <s v="Canada"/>
    <s v="Domestic"/>
    <x v="0"/>
    <n v="1300560"/>
    <n v="10838"/>
  </r>
  <r>
    <n v="471"/>
    <s v="Lewis"/>
    <s v="plewisd2@businessinsider.com"/>
    <s v="F"/>
    <x v="9"/>
    <d v="2020-11-16T00:00:00"/>
    <n v="2007"/>
    <n v="2021"/>
    <x v="8"/>
    <n v="50448"/>
    <s v="Database Administrator III"/>
    <x v="5"/>
    <s v="USA"/>
    <s v="Domestic"/>
    <x v="0"/>
    <n v="605376"/>
    <n v="5044.8"/>
  </r>
  <r>
    <n v="472"/>
    <s v="Arnold"/>
    <s v="larnoldd3@webeden.co.uk"/>
    <s v="F"/>
    <x v="16"/>
    <d v="2025-02-25T00:00:00"/>
    <n v="2012"/>
    <n v="2021"/>
    <x v="12"/>
    <n v="133781"/>
    <s v="Office Assistant I"/>
    <x v="5"/>
    <s v="USA"/>
    <s v="Library"/>
    <x v="0"/>
    <n v="1605372"/>
    <n v="13378.1"/>
  </r>
  <r>
    <n v="473"/>
    <s v="Jordan"/>
    <s v="djordand4@trellian.com"/>
    <s v="F"/>
    <x v="16"/>
    <d v="2022-11-14T00:00:00"/>
    <n v="2009"/>
    <n v="2021"/>
    <x v="0"/>
    <n v="90409"/>
    <s v="Research Assistant II"/>
    <x v="1"/>
    <s v="USA"/>
    <s v="Library"/>
    <x v="0"/>
    <n v="1084908"/>
    <n v="9040.9"/>
  </r>
  <r>
    <n v="474"/>
    <s v="Reed"/>
    <s v="creedd5@bloglines.com"/>
    <s v="M"/>
    <x v="15"/>
    <d v="2004-01-07T00:00:00"/>
    <n v="2004"/>
    <n v="2021"/>
    <x v="10"/>
    <n v="144953"/>
    <s v="Registered Nurse"/>
    <x v="2"/>
    <s v="Canada"/>
    <s v="Outdoors &amp; Garden"/>
    <x v="0"/>
    <n v="1739436"/>
    <n v="14495.300000000001"/>
  </r>
  <r>
    <n v="475"/>
    <s v="Jenkins"/>
    <s v="sjenkinsd6@bloglovin.com"/>
    <s v="M"/>
    <x v="18"/>
    <d v="2001-12-22T00:00:00"/>
    <n v="2001"/>
    <n v="2021"/>
    <x v="11"/>
    <n v="46072"/>
    <s v="Nurse"/>
    <x v="0"/>
    <s v="USA"/>
    <s v="Outdoors &amp; Garden"/>
    <x v="0"/>
    <n v="552864"/>
    <n v="4607.2"/>
  </r>
  <r>
    <n v="476"/>
    <s v="Matthews"/>
    <s v="jmatthewsd7@economist.com"/>
    <s v="M"/>
    <x v="16"/>
    <d v="2012-02-01T00:00:00"/>
    <n v="2012"/>
    <n v="2021"/>
    <x v="12"/>
    <n v="119602"/>
    <s v="Actuary"/>
    <x v="6"/>
    <s v="Canada"/>
    <s v="Library"/>
    <x v="0"/>
    <n v="1435224"/>
    <n v="11960.2"/>
  </r>
  <r>
    <n v="477"/>
    <s v="Gonzalez"/>
    <s v="lgonzalezd8@fastcompany.com"/>
    <s v="M"/>
    <x v="0"/>
    <d v="2010-10-17T00:00:00"/>
    <n v="2010"/>
    <n v="2021"/>
    <x v="14"/>
    <n v="122231"/>
    <s v="Director of Sales"/>
    <x v="6"/>
    <s v="Canada"/>
    <s v="Electronic Equipment"/>
    <x v="0"/>
    <n v="1466772"/>
    <n v="12223.1"/>
  </r>
  <r>
    <n v="478"/>
    <s v="Mason"/>
    <s v="jmasond9@networkadvertising.org"/>
    <s v="M"/>
    <x v="1"/>
    <d v="2003-04-16T00:00:00"/>
    <n v="2003"/>
    <n v="2021"/>
    <x v="6"/>
    <n v="147166"/>
    <s v="Systems Administrator I"/>
    <x v="4"/>
    <s v="Canada"/>
    <s v="Games &amp; Sports"/>
    <x v="0"/>
    <n v="1765992"/>
    <n v="14716.6"/>
  </r>
  <r>
    <n v="479"/>
    <s v="Nelson"/>
    <s v="lnelsonda@example.com"/>
    <s v="M"/>
    <x v="4"/>
    <d v="2009-09-08T00:00:00"/>
    <n v="2009"/>
    <n v="2021"/>
    <x v="0"/>
    <n v="56465"/>
    <s v="Programmer IV"/>
    <x v="4"/>
    <s v="Canada"/>
    <s v="Domestic"/>
    <x v="0"/>
    <n v="677580"/>
    <n v="5646.5"/>
  </r>
  <r>
    <n v="480"/>
    <s v="Miller"/>
    <s v="amillerdb@reddit.com"/>
    <s v="M"/>
    <x v="13"/>
    <d v="2001-02-07T00:00:00"/>
    <n v="2001"/>
    <n v="2021"/>
    <x v="11"/>
    <n v="78158"/>
    <s v="Programmer Analyst I"/>
    <x v="6"/>
    <s v="Canada"/>
    <s v="Electronic Equipment"/>
    <x v="0"/>
    <n v="937896"/>
    <n v="7815.8"/>
  </r>
  <r>
    <n v="481"/>
    <s v="Moore"/>
    <s v="kmooredc@simplemachines.org"/>
    <s v="M"/>
    <x v="3"/>
    <d v="2013-06-05T00:00:00"/>
    <n v="2013"/>
    <n v="2021"/>
    <x v="4"/>
    <n v="62815"/>
    <s v="Compensation Analyst"/>
    <x v="5"/>
    <s v="USA"/>
    <s v="Fashion"/>
    <x v="0"/>
    <n v="753780"/>
    <n v="6281.5"/>
  </r>
  <r>
    <n v="482"/>
    <s v="Harris"/>
    <s v="rharrisdd@paypal.com"/>
    <s v="M"/>
    <x v="6"/>
    <d v="2007-06-10T00:00:00"/>
    <n v="2007"/>
    <n v="2021"/>
    <x v="8"/>
    <n v="126468"/>
    <s v="Budget/Accounting Analyst III"/>
    <x v="5"/>
    <s v="USA"/>
    <s v="Games &amp; Sports"/>
    <x v="0"/>
    <n v="1517616"/>
    <n v="12646.800000000001"/>
  </r>
  <r>
    <n v="483"/>
    <s v="Brown"/>
    <s v="mbrownde@bizjournals.com"/>
    <s v="F"/>
    <x v="17"/>
    <d v="2025-05-10T00:00:00"/>
    <n v="2012"/>
    <n v="2021"/>
    <x v="12"/>
    <n v="79419"/>
    <s v="Senior Developer"/>
    <x v="1"/>
    <s v="USA"/>
    <s v="Domestic"/>
    <x v="0"/>
    <n v="953028"/>
    <n v="7941.9000000000005"/>
  </r>
  <r>
    <n v="484"/>
    <s v="Little"/>
    <s v="glittledf@xrea.com"/>
    <s v="M"/>
    <x v="0"/>
    <d v="2009-03-23T00:00:00"/>
    <n v="2009"/>
    <n v="2021"/>
    <x v="0"/>
    <n v="83093"/>
    <s v="Registered Nurse"/>
    <x v="3"/>
    <s v="USA"/>
    <s v="Electronic Equipment"/>
    <x v="0"/>
    <n v="997116"/>
    <n v="8309.3000000000011"/>
  </r>
  <r>
    <n v="485"/>
    <s v="Austin"/>
    <s v="caustindg@pen.io"/>
    <s v="F"/>
    <x v="11"/>
    <d v="2027-11-03T00:00:00"/>
    <n v="2014"/>
    <n v="2021"/>
    <x v="2"/>
    <n v="90797"/>
    <s v="Help Desk Operator"/>
    <x v="3"/>
    <s v="USA"/>
    <s v="Domestic"/>
    <x v="0"/>
    <n v="1089564"/>
    <n v="9079.7000000000007"/>
  </r>
  <r>
    <n v="486"/>
    <s v="Young"/>
    <s v="fyoungdh@npr.org"/>
    <s v="F"/>
    <x v="11"/>
    <d v="2021-07-06T00:00:00"/>
    <n v="2008"/>
    <n v="2021"/>
    <x v="1"/>
    <n v="78755"/>
    <s v="Desktop Support Technician"/>
    <x v="6"/>
    <s v="Canada"/>
    <s v="Domestic"/>
    <x v="0"/>
    <n v="945060"/>
    <n v="7875.5"/>
  </r>
  <r>
    <n v="487"/>
    <s v="Fox"/>
    <s v="hfoxdi@acquirethisname.com"/>
    <s v="F"/>
    <x v="11"/>
    <d v="2003-04-18T00:00:00"/>
    <n v="2003"/>
    <n v="2021"/>
    <x v="6"/>
    <n v="128726"/>
    <s v="Business Systems Development Analyst"/>
    <x v="1"/>
    <s v="USA"/>
    <s v="Domestic"/>
    <x v="0"/>
    <n v="1544712"/>
    <n v="12872.6"/>
  </r>
  <r>
    <n v="488"/>
    <s v="Brooks"/>
    <s v="ebrooksdj@berkeley.edu"/>
    <s v="M"/>
    <x v="20"/>
    <d v="2011-12-15T00:00:00"/>
    <n v="2011"/>
    <n v="2021"/>
    <x v="9"/>
    <n v="69026"/>
    <s v="Nuclear Power Engineer"/>
    <x v="4"/>
    <s v="Canada"/>
    <s v="Entertainment"/>
    <x v="0"/>
    <n v="828312"/>
    <n v="6902.6"/>
  </r>
  <r>
    <n v="489"/>
    <s v="Parker"/>
    <s v="lparkerdk@salon.com"/>
    <s v="F"/>
    <x v="15"/>
    <d v="2027-01-16T00:00:00"/>
    <n v="2014"/>
    <n v="2021"/>
    <x v="2"/>
    <n v="78109"/>
    <s v="Research Nurse"/>
    <x v="6"/>
    <s v="Canada"/>
    <s v="Outdoors &amp; Garden"/>
    <x v="0"/>
    <n v="937308"/>
    <n v="7810.9000000000005"/>
  </r>
  <r>
    <n v="490"/>
    <s v="Griffin"/>
    <s v="bgriffindl@pbs.org"/>
    <s v="M"/>
    <x v="7"/>
    <d v="2000-04-08T00:00:00"/>
    <n v="2000"/>
    <n v="2021"/>
    <x v="13"/>
    <n v="116480"/>
    <s v="Nurse Practicioner"/>
    <x v="6"/>
    <s v="Canada"/>
    <s v="Entertainment"/>
    <x v="0"/>
    <n v="1397760"/>
    <n v="11648"/>
  </r>
  <r>
    <n v="491"/>
    <s v="Stevens"/>
    <s v="bstevensdm@aol.com"/>
    <s v="F"/>
    <x v="6"/>
    <d v="2004-06-13T00:00:00"/>
    <n v="2004"/>
    <n v="2021"/>
    <x v="10"/>
    <n v="108444"/>
    <s v="Environmental Tech"/>
    <x v="2"/>
    <s v="Canada"/>
    <s v="Games &amp; Sports"/>
    <x v="0"/>
    <n v="1301328"/>
    <n v="10844.400000000001"/>
  </r>
  <r>
    <n v="492"/>
    <s v="Evans"/>
    <s v="levansdn@house.gov"/>
    <s v="M"/>
    <x v="0"/>
    <d v="2010-02-08T00:00:00"/>
    <n v="2010"/>
    <n v="2021"/>
    <x v="14"/>
    <n v="106535"/>
    <s v="Staff Scientist"/>
    <x v="3"/>
    <s v="USA"/>
    <s v="Electronic Equipment"/>
    <x v="0"/>
    <n v="1278420"/>
    <n v="10653.5"/>
  </r>
  <r>
    <n v="493"/>
    <s v="Banks"/>
    <s v="bbanksdo@bravesites.com"/>
    <s v="M"/>
    <x v="0"/>
    <d v="2008-06-24T00:00:00"/>
    <n v="2008"/>
    <n v="2021"/>
    <x v="1"/>
    <n v="137025"/>
    <s v="Research Nurse"/>
    <x v="6"/>
    <s v="Canada"/>
    <s v="Electronic Equipment"/>
    <x v="0"/>
    <n v="1644300"/>
    <n v="13702.5"/>
  </r>
  <r>
    <n v="494"/>
    <s v="Sullivan"/>
    <s v="ksullivandp@ucoz.com"/>
    <s v="M"/>
    <x v="14"/>
    <d v="2005-03-03T00:00:00"/>
    <n v="2005"/>
    <n v="2021"/>
    <x v="7"/>
    <n v="71663"/>
    <s v="Analog Circuit Design manager"/>
    <x v="1"/>
    <s v="USA"/>
    <s v="Auto &amp; Hardware"/>
    <x v="0"/>
    <n v="859956"/>
    <n v="7166.3"/>
  </r>
  <r>
    <n v="495"/>
    <s v="Black"/>
    <s v="eblackdq@ihg.com"/>
    <s v="F"/>
    <x v="16"/>
    <d v="2004-10-08T00:00:00"/>
    <n v="2004"/>
    <n v="2021"/>
    <x v="10"/>
    <n v="80073"/>
    <s v="Senior Developer"/>
    <x v="1"/>
    <s v="USA"/>
    <s v="Library"/>
    <x v="0"/>
    <n v="960876"/>
    <n v="8007.3"/>
  </r>
  <r>
    <n v="496"/>
    <s v="Andrews"/>
    <s v="dandrewsdr@patch.com"/>
    <s v="M"/>
    <x v="17"/>
    <d v="2008-03-14T00:00:00"/>
    <n v="2008"/>
    <n v="2021"/>
    <x v="1"/>
    <n v="40254"/>
    <s v="Quality Control Specialist"/>
    <x v="6"/>
    <s v="Canada"/>
    <s v="Domestic"/>
    <x v="0"/>
    <n v="483048"/>
    <n v="4025.4"/>
  </r>
  <r>
    <n v="497"/>
    <s v="Jenkins"/>
    <s v="bjenkinsds@kickstarter.com"/>
    <s v="F"/>
    <x v="4"/>
    <d v="2024-03-10T00:00:00"/>
    <n v="2011"/>
    <n v="2021"/>
    <x v="9"/>
    <n v="80027"/>
    <s v="VP Sales"/>
    <x v="1"/>
    <s v="USA"/>
    <s v="Domestic"/>
    <x v="0"/>
    <n v="960324"/>
    <n v="8002.7000000000007"/>
  </r>
  <r>
    <n v="498"/>
    <s v="Gutierrez"/>
    <s v="jgutierrezdt@woothemes.com"/>
    <s v="F"/>
    <x v="15"/>
    <d v="2001-08-22T00:00:00"/>
    <n v="2001"/>
    <n v="2021"/>
    <x v="11"/>
    <n v="106994"/>
    <s v="Technical Writer"/>
    <x v="1"/>
    <s v="USA"/>
    <s v="Outdoors &amp; Garden"/>
    <x v="0"/>
    <n v="1283928"/>
    <n v="10699.400000000001"/>
  </r>
  <r>
    <n v="499"/>
    <s v="Hansen"/>
    <s v="jhansendu@timesonline.co.uk"/>
    <s v="M"/>
    <x v="6"/>
    <d v="2001-04-29T00:00:00"/>
    <n v="2001"/>
    <n v="2021"/>
    <x v="11"/>
    <n v="145559"/>
    <s v="Office Assistant III"/>
    <x v="0"/>
    <s v="USA"/>
    <s v="Games &amp; Sports"/>
    <x v="0"/>
    <n v="1746708"/>
    <n v="14555.900000000001"/>
  </r>
  <r>
    <n v="500"/>
    <s v="Rodriguez"/>
    <s v="drodriguezdv@histats.com"/>
    <s v="M"/>
    <x v="14"/>
    <d v="2001-03-21T00:00:00"/>
    <n v="2001"/>
    <n v="2021"/>
    <x v="11"/>
    <n v="91994"/>
    <s v="Actuary"/>
    <x v="6"/>
    <s v="Canada"/>
    <s v="Auto &amp; Hardware"/>
    <x v="0"/>
    <n v="1103928"/>
    <n v="9199.4"/>
  </r>
  <r>
    <n v="501"/>
    <s v="Bailey"/>
    <s v="hbaileydw@networksolutions.com"/>
    <s v="M"/>
    <x v="20"/>
    <d v="2001-08-05T00:00:00"/>
    <n v="2001"/>
    <n v="2021"/>
    <x v="11"/>
    <n v="138540"/>
    <s v="Geologist IV"/>
    <x v="2"/>
    <s v="Canada"/>
    <s v="Entertainment"/>
    <x v="0"/>
    <n v="1662480"/>
    <n v="13854"/>
  </r>
  <r>
    <n v="502"/>
    <s v="Banks"/>
    <s v="gbanksdx@berkeley.edu"/>
    <s v="F"/>
    <x v="0"/>
    <d v="2023-10-17T00:00:00"/>
    <n v="2010"/>
    <n v="2021"/>
    <x v="14"/>
    <n v="136034"/>
    <s v="Product Engineer"/>
    <x v="5"/>
    <s v="USA"/>
    <s v="Electronic Equipment"/>
    <x v="0"/>
    <n v="1632408"/>
    <n v="13603.400000000001"/>
  </r>
  <r>
    <n v="503"/>
    <s v="Rose"/>
    <s v="jrosedy@squarespace.com"/>
    <s v="F"/>
    <x v="9"/>
    <d v="2004-01-19T00:00:00"/>
    <n v="2004"/>
    <n v="2021"/>
    <x v="10"/>
    <n v="127291"/>
    <s v="Accounting Assistant III"/>
    <x v="2"/>
    <s v="Canada"/>
    <s v="Domestic"/>
    <x v="0"/>
    <n v="1527492"/>
    <n v="12729.1"/>
  </r>
  <r>
    <n v="504"/>
    <s v="Weaver"/>
    <s v="mweaverdz@ft.com"/>
    <s v="M"/>
    <x v="14"/>
    <d v="2000-03-19T00:00:00"/>
    <n v="2000"/>
    <n v="2021"/>
    <x v="13"/>
    <n v="131283"/>
    <s v="Staff Scientist"/>
    <x v="5"/>
    <s v="USA"/>
    <s v="Auto &amp; Hardware"/>
    <x v="0"/>
    <n v="1575396"/>
    <n v="13128.300000000001"/>
  </r>
  <r>
    <n v="505"/>
    <s v="Walker"/>
    <s v="jwalkere0@oakley.com"/>
    <s v="M"/>
    <x v="0"/>
    <d v="2005-06-20T00:00:00"/>
    <n v="2005"/>
    <n v="2021"/>
    <x v="7"/>
    <n v="122108"/>
    <s v="Analog Circuit Design manager"/>
    <x v="2"/>
    <s v="Canada"/>
    <s v="Electronic Equipment"/>
    <x v="0"/>
    <n v="1465296"/>
    <n v="12210.800000000001"/>
  </r>
  <r>
    <n v="506"/>
    <s v="Cox"/>
    <s v="ncoxe1@1und1.de"/>
    <s v="F"/>
    <x v="12"/>
    <d v="2021-01-01T00:00:00"/>
    <n v="2008"/>
    <n v="2021"/>
    <x v="1"/>
    <n v="49048"/>
    <s v="Sales Associate"/>
    <x v="3"/>
    <s v="USA"/>
    <s v="Domestic"/>
    <x v="0"/>
    <n v="588576"/>
    <n v="4904.8"/>
  </r>
  <r>
    <n v="507"/>
    <s v="Reed"/>
    <s v="preede2@who.int"/>
    <s v="F"/>
    <x v="9"/>
    <d v="2025-11-01T00:00:00"/>
    <n v="2012"/>
    <n v="2021"/>
    <x v="12"/>
    <n v="97427"/>
    <s v="Occupational Therapist"/>
    <x v="4"/>
    <s v="Canada"/>
    <s v="Domestic"/>
    <x v="0"/>
    <n v="1169124"/>
    <n v="9742.7000000000007"/>
  </r>
  <r>
    <n v="508"/>
    <s v="Marshall"/>
    <s v="dmarshalle3@about.me"/>
    <s v="M"/>
    <x v="0"/>
    <d v="2007-05-14T00:00:00"/>
    <n v="2007"/>
    <n v="2021"/>
    <x v="8"/>
    <n v="90960"/>
    <s v="Software Test Engineer II"/>
    <x v="2"/>
    <s v="Canada"/>
    <s v="Electronic Equipment"/>
    <x v="0"/>
    <n v="1091520"/>
    <n v="9096"/>
  </r>
  <r>
    <n v="509"/>
    <s v="Gonzalez"/>
    <s v="rgonzaleze4@furl.net"/>
    <s v="M"/>
    <x v="19"/>
    <d v="2011-12-30T00:00:00"/>
    <n v="2011"/>
    <n v="2021"/>
    <x v="9"/>
    <n v="43986"/>
    <s v="Geologist IV"/>
    <x v="1"/>
    <s v="USA"/>
    <s v="Domestic"/>
    <x v="0"/>
    <n v="527832"/>
    <n v="4398.6000000000004"/>
  </r>
  <r>
    <n v="510"/>
    <s v="Lawrence"/>
    <s v="rlawrencee5@hhs.gov"/>
    <s v="M"/>
    <x v="18"/>
    <d v="2014-11-21T00:00:00"/>
    <n v="2014"/>
    <n v="2021"/>
    <x v="2"/>
    <n v="108748"/>
    <s v="Senior Editor"/>
    <x v="5"/>
    <s v="USA"/>
    <s v="Outdoors &amp; Garden"/>
    <x v="0"/>
    <n v="1304976"/>
    <n v="10874.800000000001"/>
  </r>
  <r>
    <n v="511"/>
    <s v="Medina"/>
    <s v="tmedinae6@g.co"/>
    <s v="F"/>
    <x v="14"/>
    <d v="2006-12-03T00:00:00"/>
    <n v="2006"/>
    <n v="2021"/>
    <x v="5"/>
    <n v="102149"/>
    <s v="Sales Representative"/>
    <x v="6"/>
    <s v="Canada"/>
    <s v="Auto &amp; Hardware"/>
    <x v="0"/>
    <n v="1225788"/>
    <n v="10214.900000000001"/>
  </r>
  <r>
    <n v="512"/>
    <s v="Carpenter"/>
    <s v="rcarpentere7@blog.com"/>
    <s v="M"/>
    <x v="18"/>
    <d v="2008-06-13T00:00:00"/>
    <n v="2008"/>
    <n v="2021"/>
    <x v="1"/>
    <n v="133360"/>
    <s v="Research Nurse"/>
    <x v="2"/>
    <s v="Canada"/>
    <s v="Outdoors &amp; Garden"/>
    <x v="0"/>
    <n v="1600320"/>
    <n v="13336"/>
  </r>
  <r>
    <n v="513"/>
    <s v="Carter"/>
    <s v="mcartere8@twitpic.com"/>
    <s v="F"/>
    <x v="15"/>
    <d v="2004-07-09T00:00:00"/>
    <n v="2004"/>
    <n v="2021"/>
    <x v="10"/>
    <n v="70814"/>
    <s v="Account Representative I"/>
    <x v="5"/>
    <s v="USA"/>
    <s v="Outdoors &amp; Garden"/>
    <x v="0"/>
    <n v="849768"/>
    <n v="7081.4000000000005"/>
  </r>
  <r>
    <n v="514"/>
    <s v="Peters"/>
    <s v="gpeterse9@people.com.cn"/>
    <s v="M"/>
    <x v="4"/>
    <d v="2010-12-18T00:00:00"/>
    <n v="2010"/>
    <n v="2021"/>
    <x v="14"/>
    <n v="132037"/>
    <s v="Web Developer IV"/>
    <x v="4"/>
    <s v="Canada"/>
    <s v="Domestic"/>
    <x v="0"/>
    <n v="1584444"/>
    <n v="13203.7"/>
  </r>
  <r>
    <n v="515"/>
    <s v="Gomez"/>
    <s v="kgomezea@bloglovin.com"/>
    <s v="M"/>
    <x v="8"/>
    <d v="2002-05-01T00:00:00"/>
    <n v="2002"/>
    <n v="2021"/>
    <x v="3"/>
    <n v="55747"/>
    <s v="Human Resources Assistant I"/>
    <x v="3"/>
    <s v="USA"/>
    <s v="Domestic"/>
    <x v="0"/>
    <n v="668964"/>
    <n v="5574.7000000000007"/>
  </r>
  <r>
    <n v="516"/>
    <s v="Stanley"/>
    <s v="rstanleyeb@alibaba.com"/>
    <s v="F"/>
    <x v="6"/>
    <d v="2006-06-09T00:00:00"/>
    <n v="2006"/>
    <n v="2021"/>
    <x v="5"/>
    <n v="89324"/>
    <s v="Systems Administrator IV"/>
    <x v="1"/>
    <s v="USA"/>
    <s v="Games &amp; Sports"/>
    <x v="0"/>
    <n v="1071888"/>
    <n v="8932.4"/>
  </r>
  <r>
    <n v="517"/>
    <s v="Carpenter"/>
    <s v="lcarpenterec@technorati.com"/>
    <s v="M"/>
    <x v="0"/>
    <d v="2011-02-08T00:00:00"/>
    <n v="2011"/>
    <n v="2021"/>
    <x v="9"/>
    <n v="124418"/>
    <s v="Chief Design Engineer"/>
    <x v="2"/>
    <s v="Canada"/>
    <s v="Electronic Equipment"/>
    <x v="0"/>
    <n v="1493016"/>
    <n v="12441.800000000001"/>
  </r>
  <r>
    <n v="518"/>
    <s v="Peters"/>
    <s v="cpetersed@goo.ne.jp"/>
    <s v="F"/>
    <x v="4"/>
    <d v="2005-12-25T00:00:00"/>
    <n v="2005"/>
    <n v="2021"/>
    <x v="7"/>
    <n v="138093"/>
    <s v="Human Resources Assistant I"/>
    <x v="1"/>
    <s v="USA"/>
    <s v="Domestic"/>
    <x v="0"/>
    <n v="1657116"/>
    <n v="13809.300000000001"/>
  </r>
  <r>
    <n v="519"/>
    <s v="Hamilton"/>
    <s v="chamiltonee@google.es"/>
    <s v="M"/>
    <x v="13"/>
    <d v="2003-08-26T00:00:00"/>
    <n v="2003"/>
    <n v="2021"/>
    <x v="6"/>
    <n v="141340"/>
    <s v="Budget/Accounting Analyst III"/>
    <x v="5"/>
    <s v="USA"/>
    <s v="Electronic Equipment"/>
    <x v="0"/>
    <n v="1696080"/>
    <n v="14134"/>
  </r>
  <r>
    <n v="520"/>
    <s v="Owens"/>
    <s v="sowensef@ted.com"/>
    <s v="M"/>
    <x v="14"/>
    <d v="2006-06-02T00:00:00"/>
    <n v="2006"/>
    <n v="2021"/>
    <x v="5"/>
    <n v="54672"/>
    <s v="Structural Engineer"/>
    <x v="5"/>
    <s v="USA"/>
    <s v="Auto &amp; Hardware"/>
    <x v="0"/>
    <n v="656064"/>
    <n v="5467.2000000000007"/>
  </r>
  <r>
    <n v="521"/>
    <s v="Williamson"/>
    <s v="dwilliamsoneg@creativecommons.org"/>
    <s v="M"/>
    <x v="8"/>
    <d v="2003-10-06T00:00:00"/>
    <n v="2003"/>
    <n v="2021"/>
    <x v="6"/>
    <n v="118602"/>
    <s v="Director of Sales"/>
    <x v="6"/>
    <s v="Canada"/>
    <s v="Domestic"/>
    <x v="0"/>
    <n v="1423224"/>
    <n v="11860.2"/>
  </r>
  <r>
    <n v="522"/>
    <s v="Flores"/>
    <s v="lfloreseh@tinyurl.com"/>
    <s v="M"/>
    <x v="3"/>
    <d v="2000-02-04T00:00:00"/>
    <n v="2000"/>
    <n v="2021"/>
    <x v="13"/>
    <n v="97745"/>
    <s v="Electrical Engineer"/>
    <x v="2"/>
    <s v="Canada"/>
    <s v="Fashion"/>
    <x v="0"/>
    <n v="1172940"/>
    <n v="9774.5"/>
  </r>
  <r>
    <n v="523"/>
    <s v="Johnston"/>
    <s v="ajohnstonei@php.net"/>
    <s v="F"/>
    <x v="19"/>
    <d v="2025-06-10T00:00:00"/>
    <n v="2012"/>
    <n v="2021"/>
    <x v="12"/>
    <n v="143855"/>
    <s v="Internal Auditor"/>
    <x v="6"/>
    <s v="Canada"/>
    <s v="Domestic"/>
    <x v="0"/>
    <n v="1726260"/>
    <n v="14385.5"/>
  </r>
  <r>
    <n v="524"/>
    <s v="Edwards"/>
    <s v="pedwardsej@businessinsider.com"/>
    <s v="F"/>
    <x v="19"/>
    <d v="2022-06-15T00:00:00"/>
    <n v="2009"/>
    <n v="2021"/>
    <x v="0"/>
    <n v="43431"/>
    <s v="Physical Therapy Assistant"/>
    <x v="4"/>
    <s v="Canada"/>
    <s v="Domestic"/>
    <x v="0"/>
    <n v="521172"/>
    <n v="4343.1000000000004"/>
  </r>
  <r>
    <n v="525"/>
    <s v="Payne"/>
    <s v="tpayneek@newyorker.com"/>
    <s v="F"/>
    <x v="5"/>
    <d v="2002-03-01T00:00:00"/>
    <n v="2002"/>
    <n v="2021"/>
    <x v="3"/>
    <n v="94016"/>
    <s v="VP Quality Control"/>
    <x v="0"/>
    <s v="USA"/>
    <s v="Auto &amp; Hardware"/>
    <x v="0"/>
    <n v="1128192"/>
    <n v="9401.6"/>
  </r>
  <r>
    <n v="526"/>
    <s v="Allen"/>
    <s v="lallenel@nyu.edu"/>
    <s v="F"/>
    <x v="9"/>
    <d v="2024-09-09T00:00:00"/>
    <n v="2011"/>
    <n v="2021"/>
    <x v="9"/>
    <n v="66847"/>
    <s v="Assistant Media Planner"/>
    <x v="0"/>
    <s v="USA"/>
    <s v="Domestic"/>
    <x v="0"/>
    <n v="802164"/>
    <n v="6684.7000000000007"/>
  </r>
  <r>
    <n v="527"/>
    <s v="Richards"/>
    <s v="jrichardsem@1688.com"/>
    <s v="M"/>
    <x v="8"/>
    <d v="2005-04-20T00:00:00"/>
    <n v="2005"/>
    <n v="2021"/>
    <x v="7"/>
    <n v="69705"/>
    <s v="Senior Developer"/>
    <x v="1"/>
    <s v="USA"/>
    <s v="Domestic"/>
    <x v="0"/>
    <n v="836460"/>
    <n v="6970.5"/>
  </r>
  <r>
    <n v="528"/>
    <s v="Cole"/>
    <s v="fcoleen@msn.com"/>
    <s v="M"/>
    <x v="1"/>
    <d v="2012-02-08T00:00:00"/>
    <n v="2012"/>
    <n v="2021"/>
    <x v="12"/>
    <n v="96739"/>
    <s v="Product Engineer"/>
    <x v="0"/>
    <s v="USA"/>
    <s v="Games &amp; Sports"/>
    <x v="0"/>
    <n v="1160868"/>
    <n v="9673.9"/>
  </r>
  <r>
    <n v="529"/>
    <s v="Meyer"/>
    <s v="lmeyereo@storify.com"/>
    <s v="F"/>
    <x v="15"/>
    <d v="2006-09-01T00:00:00"/>
    <n v="2006"/>
    <n v="2021"/>
    <x v="5"/>
    <n v="52956"/>
    <s v="Senior Developer"/>
    <x v="1"/>
    <s v="USA"/>
    <s v="Outdoors &amp; Garden"/>
    <x v="0"/>
    <n v="635472"/>
    <n v="5295.6"/>
  </r>
  <r>
    <n v="530"/>
    <s v="Reyes"/>
    <s v="lreyesep@foxnews.com"/>
    <s v="F"/>
    <x v="0"/>
    <d v="2025-12-14T00:00:00"/>
    <n v="2012"/>
    <n v="2021"/>
    <x v="12"/>
    <n v="71559"/>
    <s v="Librarian"/>
    <x v="3"/>
    <s v="USA"/>
    <s v="Electronic Equipment"/>
    <x v="0"/>
    <n v="858708"/>
    <n v="7155.9000000000005"/>
  </r>
  <r>
    <n v="531"/>
    <s v="Hudson"/>
    <s v="rhudsoneq@fotki.com"/>
    <s v="M"/>
    <x v="12"/>
    <d v="2010-11-17T00:00:00"/>
    <n v="2010"/>
    <n v="2021"/>
    <x v="14"/>
    <n v="143226"/>
    <s v="Food Chemist"/>
    <x v="2"/>
    <s v="Canada"/>
    <s v="Domestic"/>
    <x v="0"/>
    <n v="1718712"/>
    <n v="14322.6"/>
  </r>
  <r>
    <n v="532"/>
    <s v="Rice"/>
    <s v="rriceer@wired.com"/>
    <s v="M"/>
    <x v="16"/>
    <d v="2011-02-14T00:00:00"/>
    <n v="2011"/>
    <n v="2021"/>
    <x v="9"/>
    <n v="145747"/>
    <s v="Financial Advisor"/>
    <x v="1"/>
    <s v="USA"/>
    <s v="Library"/>
    <x v="0"/>
    <n v="1748964"/>
    <n v="14574.7"/>
  </r>
  <r>
    <n v="533"/>
    <s v="Castillo"/>
    <s v="dcastilloes@cocolog-nifty.com"/>
    <s v="F"/>
    <x v="14"/>
    <d v="2026-10-15T00:00:00"/>
    <n v="2013"/>
    <n v="2021"/>
    <x v="4"/>
    <n v="72001"/>
    <s v="Automation Specialist IV"/>
    <x v="0"/>
    <s v="USA"/>
    <s v="Auto &amp; Hardware"/>
    <x v="0"/>
    <n v="864012"/>
    <n v="7200.1"/>
  </r>
  <r>
    <n v="534"/>
    <s v="Harrison"/>
    <s v="jharrisonet@mapquest.com"/>
    <s v="F"/>
    <x v="20"/>
    <d v="2000-09-20T00:00:00"/>
    <n v="2000"/>
    <n v="2021"/>
    <x v="13"/>
    <n v="50308"/>
    <s v="Compensation Analyst"/>
    <x v="4"/>
    <s v="Canada"/>
    <s v="Entertainment"/>
    <x v="0"/>
    <n v="603696"/>
    <n v="5030.8"/>
  </r>
  <r>
    <n v="535"/>
    <s v="Morris"/>
    <s v="rmorriseu@yahoo.com"/>
    <s v="F"/>
    <x v="12"/>
    <d v="2020-07-25T00:00:00"/>
    <n v="2007"/>
    <n v="2021"/>
    <x v="8"/>
    <n v="131662"/>
    <s v="Help Desk Operator"/>
    <x v="1"/>
    <s v="USA"/>
    <s v="Domestic"/>
    <x v="0"/>
    <n v="1579944"/>
    <n v="13166.2"/>
  </r>
  <r>
    <n v="536"/>
    <s v="Castillo"/>
    <s v="acastilloev@cnet.com"/>
    <s v="F"/>
    <x v="11"/>
    <d v="2024-05-19T00:00:00"/>
    <n v="2011"/>
    <n v="2021"/>
    <x v="9"/>
    <n v="55730"/>
    <s v="Speech Pathologist"/>
    <x v="2"/>
    <s v="Canada"/>
    <s v="Domestic"/>
    <x v="0"/>
    <n v="668760"/>
    <n v="5573"/>
  </r>
  <r>
    <n v="537"/>
    <s v="Webb"/>
    <s v="rwebbew@twitter.com"/>
    <s v="F"/>
    <x v="10"/>
    <d v="2005-02-12T00:00:00"/>
    <n v="2005"/>
    <n v="2021"/>
    <x v="7"/>
    <n v="63836"/>
    <s v="Occupational Therapist"/>
    <x v="3"/>
    <s v="USA"/>
    <s v="Domestic"/>
    <x v="0"/>
    <n v="766032"/>
    <n v="6383.6"/>
  </r>
  <r>
    <n v="538"/>
    <s v="Freeman"/>
    <s v="gfreemanex@nps.gov"/>
    <s v="M"/>
    <x v="21"/>
    <d v="2005-10-24T00:00:00"/>
    <n v="2005"/>
    <n v="2021"/>
    <x v="7"/>
    <n v="121296"/>
    <s v="Civil Engineer"/>
    <x v="0"/>
    <s v="USA"/>
    <s v="Domestic"/>
    <x v="0"/>
    <n v="1455552"/>
    <n v="12129.6"/>
  </r>
  <r>
    <n v="539"/>
    <s v="Kelley"/>
    <s v="rkelleyey@feedburner.com"/>
    <s v="M"/>
    <x v="7"/>
    <d v="2012-03-20T00:00:00"/>
    <n v="2012"/>
    <n v="2021"/>
    <x v="12"/>
    <n v="110660"/>
    <s v="Senior Financial Analyst"/>
    <x v="5"/>
    <s v="USA"/>
    <s v="Entertainment"/>
    <x v="0"/>
    <n v="1327920"/>
    <n v="11066"/>
  </r>
  <r>
    <n v="540"/>
    <s v="Matthews"/>
    <s v="lmatthewsez@edublogs.org"/>
    <s v="M"/>
    <x v="10"/>
    <d v="2001-12-19T00:00:00"/>
    <n v="2001"/>
    <n v="2021"/>
    <x v="11"/>
    <n v="89114"/>
    <s v="GIS Technical Architect"/>
    <x v="6"/>
    <s v="Canada"/>
    <s v="Domestic"/>
    <x v="0"/>
    <n v="1069368"/>
    <n v="8911.4"/>
  </r>
  <r>
    <n v="541"/>
    <s v="Mendoza"/>
    <s v="tmendozaf0@google.nl"/>
    <s v="F"/>
    <x v="20"/>
    <d v="2020-08-28T00:00:00"/>
    <n v="2007"/>
    <n v="2021"/>
    <x v="8"/>
    <n v="48769"/>
    <s v="Nurse"/>
    <x v="6"/>
    <s v="Canada"/>
    <s v="Entertainment"/>
    <x v="0"/>
    <n v="585228"/>
    <n v="4876.9000000000005"/>
  </r>
  <r>
    <n v="542"/>
    <s v="Rice"/>
    <s v="ericef1@cpanel.net"/>
    <s v="M"/>
    <x v="20"/>
    <d v="2008-02-01T00:00:00"/>
    <n v="2008"/>
    <n v="2021"/>
    <x v="1"/>
    <n v="90069"/>
    <s v="Assistant Professor"/>
    <x v="6"/>
    <s v="Canada"/>
    <s v="Entertainment"/>
    <x v="0"/>
    <n v="1080828"/>
    <n v="9006.9"/>
  </r>
  <r>
    <n v="543"/>
    <s v="Walker"/>
    <s v="kwalkerf2@vinaora.com"/>
    <s v="F"/>
    <x v="12"/>
    <d v="2026-09-07T00:00:00"/>
    <n v="2013"/>
    <n v="2021"/>
    <x v="4"/>
    <n v="120085"/>
    <s v="Human Resources Assistant III"/>
    <x v="4"/>
    <s v="Canada"/>
    <s v="Domestic"/>
    <x v="0"/>
    <n v="1441020"/>
    <n v="12008.5"/>
  </r>
  <r>
    <n v="544"/>
    <s v="Moore"/>
    <s v="mmooref3@oakley.com"/>
    <s v="F"/>
    <x v="13"/>
    <d v="2020-11-15T00:00:00"/>
    <n v="2007"/>
    <n v="2021"/>
    <x v="8"/>
    <n v="41697"/>
    <s v="Automation Specialist I"/>
    <x v="2"/>
    <s v="Canada"/>
    <s v="Electronic Equipment"/>
    <x v="0"/>
    <n v="500364"/>
    <n v="4169.7"/>
  </r>
  <r>
    <n v="545"/>
    <s v="Lynch"/>
    <s v="jlynchf4@jimdo.com"/>
    <s v="M"/>
    <x v="11"/>
    <d v="2009-05-04T00:00:00"/>
    <n v="2009"/>
    <n v="2021"/>
    <x v="0"/>
    <n v="44093"/>
    <s v="Health Coach IV"/>
    <x v="6"/>
    <s v="Canada"/>
    <s v="Domestic"/>
    <x v="0"/>
    <n v="529116"/>
    <n v="4409.3"/>
  </r>
  <r>
    <n v="546"/>
    <s v="Fox"/>
    <s v="mfoxf5@jimdo.com"/>
    <s v="F"/>
    <x v="3"/>
    <d v="2006-11-01T00:00:00"/>
    <n v="2006"/>
    <n v="2021"/>
    <x v="5"/>
    <n v="59294"/>
    <s v="Senior Editor"/>
    <x v="4"/>
    <s v="Canada"/>
    <s v="Fashion"/>
    <x v="0"/>
    <n v="711528"/>
    <n v="5929.4000000000005"/>
  </r>
  <r>
    <n v="547"/>
    <s v="Moreno"/>
    <s v="bmorenof6@vkontakte.ru"/>
    <s v="M"/>
    <x v="14"/>
    <d v="2013-08-21T00:00:00"/>
    <n v="2013"/>
    <n v="2021"/>
    <x v="4"/>
    <n v="140858"/>
    <s v="Cost Accountant"/>
    <x v="2"/>
    <s v="Canada"/>
    <s v="Auto &amp; Hardware"/>
    <x v="0"/>
    <n v="1690296"/>
    <n v="14085.800000000001"/>
  </r>
  <r>
    <n v="548"/>
    <s v="Simpson"/>
    <s v="dsimpsonf7@engadget.com"/>
    <s v="F"/>
    <x v="6"/>
    <d v="2022-01-10T00:00:00"/>
    <n v="2009"/>
    <n v="2021"/>
    <x v="0"/>
    <n v="46444"/>
    <s v="Desktop Support Technician"/>
    <x v="4"/>
    <s v="Canada"/>
    <s v="Games &amp; Sports"/>
    <x v="0"/>
    <n v="557328"/>
    <n v="4644.4000000000005"/>
  </r>
  <r>
    <n v="549"/>
    <s v="Reynolds"/>
    <s v="kreynoldsf8@vistaprint.com"/>
    <s v="F"/>
    <x v="16"/>
    <d v="2025-09-26T00:00:00"/>
    <n v="2012"/>
    <n v="2021"/>
    <x v="12"/>
    <n v="85855"/>
    <s v="Financial Advisor"/>
    <x v="5"/>
    <s v="USA"/>
    <s v="Library"/>
    <x v="0"/>
    <n v="1030260"/>
    <n v="8585.5"/>
  </r>
  <r>
    <n v="550"/>
    <s v="Watson"/>
    <s v="lwatsonf9@alexa.com"/>
    <s v="M"/>
    <x v="21"/>
    <d v="2000-05-01T00:00:00"/>
    <n v="2000"/>
    <n v="2021"/>
    <x v="13"/>
    <n v="72334"/>
    <s v="Developer IV"/>
    <x v="1"/>
    <s v="USA"/>
    <s v="Domestic"/>
    <x v="0"/>
    <n v="868008"/>
    <n v="7233.4000000000005"/>
  </r>
  <r>
    <n v="551"/>
    <s v="Cruz"/>
    <s v="bcruzfa@nbcnews.com"/>
    <s v="M"/>
    <x v="20"/>
    <d v="2011-10-04T00:00:00"/>
    <n v="2011"/>
    <n v="2021"/>
    <x v="9"/>
    <n v="69246"/>
    <s v="Web Developer III"/>
    <x v="4"/>
    <s v="Canada"/>
    <s v="Entertainment"/>
    <x v="0"/>
    <n v="830952"/>
    <n v="6924.6"/>
  </r>
  <r>
    <n v="552"/>
    <s v="Gomez"/>
    <s v="cgomezfb@reddit.com"/>
    <s v="M"/>
    <x v="17"/>
    <d v="2011-03-18T00:00:00"/>
    <n v="2011"/>
    <n v="2021"/>
    <x v="9"/>
    <n v="107389"/>
    <s v="Community Outreach Specialist"/>
    <x v="0"/>
    <s v="USA"/>
    <s v="Domestic"/>
    <x v="0"/>
    <n v="1288668"/>
    <n v="10738.900000000001"/>
  </r>
  <r>
    <n v="553"/>
    <s v="George"/>
    <s v="rgeorgefc@youtube.com"/>
    <s v="M"/>
    <x v="2"/>
    <d v="2009-12-16T00:00:00"/>
    <n v="2009"/>
    <n v="2021"/>
    <x v="0"/>
    <n v="141505"/>
    <s v="Associate Professor"/>
    <x v="4"/>
    <s v="Canada"/>
    <s v="Auto &amp; Hardware"/>
    <x v="0"/>
    <n v="1698060"/>
    <n v="14150.5"/>
  </r>
  <r>
    <n v="554"/>
    <s v="Frazier"/>
    <s v="mfrazierfd@tripod.com"/>
    <s v="M"/>
    <x v="6"/>
    <d v="2008-01-06T00:00:00"/>
    <n v="2008"/>
    <n v="2021"/>
    <x v="1"/>
    <n v="60318"/>
    <s v="Engineer I"/>
    <x v="6"/>
    <s v="Canada"/>
    <s v="Games &amp; Sports"/>
    <x v="0"/>
    <n v="723816"/>
    <n v="6031.8"/>
  </r>
  <r>
    <n v="555"/>
    <s v="Bryant"/>
    <s v="cbryantfe@phpbb.com"/>
    <s v="F"/>
    <x v="18"/>
    <d v="2027-06-12T00:00:00"/>
    <n v="2014"/>
    <n v="2021"/>
    <x v="2"/>
    <n v="148260"/>
    <s v="Executive Secretary"/>
    <x v="2"/>
    <s v="Canada"/>
    <s v="Outdoors &amp; Garden"/>
    <x v="0"/>
    <n v="1779120"/>
    <n v="14826"/>
  </r>
  <r>
    <n v="556"/>
    <s v="Ferguson"/>
    <s v="mfergusonff@trellian.com"/>
    <s v="F"/>
    <x v="13"/>
    <d v="2006-12-20T00:00:00"/>
    <n v="2006"/>
    <n v="2021"/>
    <x v="5"/>
    <n v="73199"/>
    <s v="Payment Adjustment Coordinator"/>
    <x v="0"/>
    <s v="USA"/>
    <s v="Electronic Equipment"/>
    <x v="0"/>
    <n v="878388"/>
    <n v="7319.9000000000005"/>
  </r>
  <r>
    <n v="557"/>
    <s v="Frazier"/>
    <s v="dfrazierfg@twitter.com"/>
    <s v="M"/>
    <x v="11"/>
    <d v="2002-08-26T00:00:00"/>
    <n v="2002"/>
    <n v="2021"/>
    <x v="3"/>
    <n v="111244"/>
    <s v="Environmental Specialist"/>
    <x v="4"/>
    <s v="Canada"/>
    <s v="Domestic"/>
    <x v="0"/>
    <n v="1334928"/>
    <n v="11124.400000000001"/>
  </r>
  <r>
    <n v="558"/>
    <s v="Hudson"/>
    <s v="jhudsonfh@soundcloud.com"/>
    <s v="M"/>
    <x v="9"/>
    <d v="2012-03-21T00:00:00"/>
    <n v="2012"/>
    <n v="2021"/>
    <x v="12"/>
    <n v="103845"/>
    <s v="Nurse Practicioner"/>
    <x v="3"/>
    <s v="USA"/>
    <s v="Domestic"/>
    <x v="0"/>
    <n v="1246140"/>
    <n v="10384.5"/>
  </r>
  <r>
    <n v="559"/>
    <s v="Murphy"/>
    <s v="jmurphyfi@naver.com"/>
    <s v="F"/>
    <x v="0"/>
    <d v="2021-10-19T00:00:00"/>
    <n v="2008"/>
    <n v="2021"/>
    <x v="1"/>
    <n v="88666"/>
    <s v="Senior Editor"/>
    <x v="2"/>
    <s v="Canada"/>
    <s v="Electronic Equipment"/>
    <x v="0"/>
    <n v="1063992"/>
    <n v="8866.6"/>
  </r>
  <r>
    <n v="560"/>
    <s v="Kim"/>
    <s v="jkimfj@dropbox.com"/>
    <s v="M"/>
    <x v="8"/>
    <d v="2014-01-22T00:00:00"/>
    <n v="2014"/>
    <n v="2021"/>
    <x v="2"/>
    <n v="67845"/>
    <s v="Administrative Officer"/>
    <x v="2"/>
    <s v="Canada"/>
    <s v="Domestic"/>
    <x v="0"/>
    <n v="814140"/>
    <n v="6784.5"/>
  </r>
  <r>
    <n v="561"/>
    <s v="Rodriguez"/>
    <s v="jrodriguezfk@cafepress.com"/>
    <s v="M"/>
    <x v="1"/>
    <d v="2004-04-08T00:00:00"/>
    <n v="2004"/>
    <n v="2021"/>
    <x v="10"/>
    <n v="62527"/>
    <s v="Recruiter"/>
    <x v="3"/>
    <s v="USA"/>
    <s v="Games &amp; Sports"/>
    <x v="0"/>
    <n v="750324"/>
    <n v="6252.7000000000007"/>
  </r>
  <r>
    <n v="562"/>
    <s v="Perez"/>
    <s v="jperezfl@seesaa.net"/>
    <s v="M"/>
    <x v="5"/>
    <d v="2003-05-17T00:00:00"/>
    <n v="2003"/>
    <n v="2021"/>
    <x v="6"/>
    <n v="73412"/>
    <s v="Librarian"/>
    <x v="6"/>
    <s v="Canada"/>
    <s v="Auto &amp; Hardware"/>
    <x v="0"/>
    <n v="880944"/>
    <n v="7341.2000000000007"/>
  </r>
  <r>
    <n v="563"/>
    <s v="Graham"/>
    <s v="bgrahamfm@usatoday.com"/>
    <s v="M"/>
    <x v="17"/>
    <d v="2011-04-21T00:00:00"/>
    <n v="2011"/>
    <n v="2021"/>
    <x v="9"/>
    <n v="123391"/>
    <s v="Financial Advisor"/>
    <x v="2"/>
    <s v="Canada"/>
    <s v="Domestic"/>
    <x v="0"/>
    <n v="1480692"/>
    <n v="12339.1"/>
  </r>
  <r>
    <n v="564"/>
    <s v="Martinez"/>
    <s v="amartinezfn@people.com.cn"/>
    <s v="F"/>
    <x v="19"/>
    <d v="2005-02-23T00:00:00"/>
    <n v="2005"/>
    <n v="2021"/>
    <x v="7"/>
    <n v="99508"/>
    <s v="VP Quality Control"/>
    <x v="6"/>
    <s v="Canada"/>
    <s v="Domestic"/>
    <x v="0"/>
    <n v="1194096"/>
    <n v="9950.8000000000011"/>
  </r>
  <r>
    <n v="565"/>
    <s v="Pierce"/>
    <s v="jpiercefo@cnet.com"/>
    <s v="F"/>
    <x v="3"/>
    <d v="2027-04-17T00:00:00"/>
    <n v="2014"/>
    <n v="2021"/>
    <x v="2"/>
    <n v="55726"/>
    <s v="Geologist III"/>
    <x v="2"/>
    <s v="Canada"/>
    <s v="Fashion"/>
    <x v="0"/>
    <n v="668712"/>
    <n v="5572.6"/>
  </r>
  <r>
    <n v="566"/>
    <s v="Lynch"/>
    <s v="mlynchfp@reverbnation.com"/>
    <s v="M"/>
    <x v="13"/>
    <d v="2011-12-10T00:00:00"/>
    <n v="2011"/>
    <n v="2021"/>
    <x v="9"/>
    <n v="67140"/>
    <s v="Systems Administrator III"/>
    <x v="1"/>
    <s v="USA"/>
    <s v="Electronic Equipment"/>
    <x v="0"/>
    <n v="805680"/>
    <n v="6714"/>
  </r>
  <r>
    <n v="567"/>
    <s v="Myers"/>
    <s v="dmyersfq@amazon.com"/>
    <s v="F"/>
    <x v="12"/>
    <d v="2023-05-27T00:00:00"/>
    <n v="2010"/>
    <n v="2021"/>
    <x v="14"/>
    <n v="139060"/>
    <s v="Assistant Professor"/>
    <x v="2"/>
    <s v="Canada"/>
    <s v="Domestic"/>
    <x v="0"/>
    <n v="1668720"/>
    <n v="13906"/>
  </r>
  <r>
    <n v="568"/>
    <s v="Day"/>
    <s v="kdayfr@wix.com"/>
    <s v="M"/>
    <x v="12"/>
    <d v="2004-07-20T00:00:00"/>
    <n v="2004"/>
    <n v="2021"/>
    <x v="10"/>
    <n v="135993"/>
    <s v="Geologist IV"/>
    <x v="5"/>
    <s v="USA"/>
    <s v="Domestic"/>
    <x v="0"/>
    <n v="1631916"/>
    <n v="13599.300000000001"/>
  </r>
  <r>
    <n v="569"/>
    <s v="Little"/>
    <s v="jlittlefs@bravesites.com"/>
    <s v="F"/>
    <x v="16"/>
    <d v="2023-11-12T00:00:00"/>
    <n v="2010"/>
    <n v="2021"/>
    <x v="14"/>
    <n v="80788"/>
    <s v="Programmer I"/>
    <x v="5"/>
    <s v="USA"/>
    <s v="Library"/>
    <x v="0"/>
    <n v="969456"/>
    <n v="8078.8"/>
  </r>
  <r>
    <n v="570"/>
    <s v="James"/>
    <s v="rjamesft@jiathis.com"/>
    <s v="F"/>
    <x v="8"/>
    <d v="2001-03-21T00:00:00"/>
    <n v="2001"/>
    <n v="2021"/>
    <x v="11"/>
    <n v="136377"/>
    <s v="Software Engineer I"/>
    <x v="2"/>
    <s v="Canada"/>
    <s v="Domestic"/>
    <x v="0"/>
    <n v="1636524"/>
    <n v="13637.7"/>
  </r>
  <r>
    <n v="571"/>
    <s v="Ortiz"/>
    <s v="eortizfu@java.com"/>
    <s v="F"/>
    <x v="13"/>
    <d v="2022-06-19T00:00:00"/>
    <n v="2009"/>
    <n v="2021"/>
    <x v="0"/>
    <n v="46247"/>
    <s v="VP Accounting"/>
    <x v="1"/>
    <s v="USA"/>
    <s v="Electronic Equipment"/>
    <x v="0"/>
    <n v="554964"/>
    <n v="4624.7"/>
  </r>
  <r>
    <n v="572"/>
    <s v="Duncan"/>
    <s v="jduncanfv@etsy.com"/>
    <s v="M"/>
    <x v="2"/>
    <d v="2014-03-17T00:00:00"/>
    <n v="2014"/>
    <n v="2021"/>
    <x v="2"/>
    <n v="45774"/>
    <s v="Electrical Engineer"/>
    <x v="0"/>
    <s v="USA"/>
    <s v="Auto &amp; Hardware"/>
    <x v="0"/>
    <n v="549288"/>
    <n v="4577.4000000000005"/>
  </r>
  <r>
    <n v="573"/>
    <s v="Kennedy"/>
    <s v="jkennedyfw@nasa.gov"/>
    <s v="F"/>
    <x v="1"/>
    <d v="2023-04-23T00:00:00"/>
    <n v="2010"/>
    <n v="2021"/>
    <x v="14"/>
    <n v="100741"/>
    <s v="Senior Cost Accountant"/>
    <x v="3"/>
    <s v="USA"/>
    <s v="Games &amp; Sports"/>
    <x v="0"/>
    <n v="1208892"/>
    <n v="10074.1"/>
  </r>
  <r>
    <n v="574"/>
    <s v="Pierce"/>
    <s v="dpiercefx@marketwatch.com"/>
    <s v="M"/>
    <x v="4"/>
    <d v="2005-09-20T00:00:00"/>
    <n v="2005"/>
    <n v="2021"/>
    <x v="7"/>
    <n v="45534"/>
    <s v="Senior Sales Associate"/>
    <x v="3"/>
    <s v="USA"/>
    <s v="Domestic"/>
    <x v="0"/>
    <n v="546408"/>
    <n v="4553.4000000000005"/>
  </r>
  <r>
    <n v="575"/>
    <s v="Bowman"/>
    <s v="abowmanfy@devhub.com"/>
    <s v="M"/>
    <x v="10"/>
    <d v="2002-04-26T00:00:00"/>
    <n v="2002"/>
    <n v="2021"/>
    <x v="3"/>
    <n v="75399"/>
    <s v="VP Quality Control"/>
    <x v="2"/>
    <s v="Canada"/>
    <s v="Domestic"/>
    <x v="0"/>
    <n v="904788"/>
    <n v="7539.9000000000005"/>
  </r>
  <r>
    <n v="576"/>
    <s v="Taylor"/>
    <s v="staylorfz@issuu.com"/>
    <s v="M"/>
    <x v="8"/>
    <d v="2006-07-13T00:00:00"/>
    <n v="2006"/>
    <n v="2021"/>
    <x v="5"/>
    <n v="50235"/>
    <s v="Assistant Media Planner"/>
    <x v="3"/>
    <s v="USA"/>
    <s v="Domestic"/>
    <x v="0"/>
    <n v="602820"/>
    <n v="5023.5"/>
  </r>
  <r>
    <n v="577"/>
    <s v="Jones"/>
    <s v="jjonesg0@g.co"/>
    <s v="M"/>
    <x v="9"/>
    <d v="2011-01-27T00:00:00"/>
    <n v="2011"/>
    <n v="2021"/>
    <x v="9"/>
    <n v="128048"/>
    <s v="Programmer III"/>
    <x v="6"/>
    <s v="Canada"/>
    <s v="Domestic"/>
    <x v="0"/>
    <n v="1536576"/>
    <n v="12804.800000000001"/>
  </r>
  <r>
    <n v="578"/>
    <s v="Lynch"/>
    <s v="hlynchg1@washingtonpost.com"/>
    <s v="M"/>
    <x v="8"/>
    <d v="2006-05-02T00:00:00"/>
    <n v="2006"/>
    <n v="2021"/>
    <x v="5"/>
    <n v="111318"/>
    <s v="Technical Writer"/>
    <x v="1"/>
    <s v="USA"/>
    <s v="Domestic"/>
    <x v="0"/>
    <n v="1335816"/>
    <n v="11131.800000000001"/>
  </r>
  <r>
    <n v="579"/>
    <s v="Barnes"/>
    <s v="jbarnesg2@hubpages.com"/>
    <s v="F"/>
    <x v="15"/>
    <d v="2000-12-23T00:00:00"/>
    <n v="2000"/>
    <n v="2021"/>
    <x v="13"/>
    <n v="100763"/>
    <s v="Database Administrator I"/>
    <x v="2"/>
    <s v="Canada"/>
    <s v="Outdoors &amp; Garden"/>
    <x v="0"/>
    <n v="1209156"/>
    <n v="10076.300000000001"/>
  </r>
  <r>
    <n v="580"/>
    <s v="Weaver"/>
    <s v="kweaverg3@wikia.com"/>
    <s v="M"/>
    <x v="0"/>
    <d v="2012-05-23T00:00:00"/>
    <n v="2012"/>
    <n v="2021"/>
    <x v="12"/>
    <n v="54231"/>
    <s v="Accounting Assistant II"/>
    <x v="1"/>
    <s v="USA"/>
    <s v="Electronic Equipment"/>
    <x v="0"/>
    <n v="650772"/>
    <n v="5423.1"/>
  </r>
  <r>
    <n v="581"/>
    <s v="Cunningham"/>
    <s v="pcunninghamg4@example.com"/>
    <s v="F"/>
    <x v="1"/>
    <d v="2023-03-25T00:00:00"/>
    <n v="2010"/>
    <n v="2021"/>
    <x v="14"/>
    <n v="92334"/>
    <s v="GIS Technical Architect"/>
    <x v="1"/>
    <s v="USA"/>
    <s v="Games &amp; Sports"/>
    <x v="0"/>
    <n v="1108008"/>
    <n v="9233.4"/>
  </r>
  <r>
    <n v="582"/>
    <s v="Ramirez"/>
    <s v="hramirezg5@merriam-webster.com"/>
    <s v="M"/>
    <x v="3"/>
    <d v="2005-03-16T00:00:00"/>
    <n v="2005"/>
    <n v="2021"/>
    <x v="7"/>
    <n v="58111"/>
    <s v="Research Associate"/>
    <x v="6"/>
    <s v="Canada"/>
    <s v="Fashion"/>
    <x v="0"/>
    <n v="697332"/>
    <n v="5811.1"/>
  </r>
  <r>
    <n v="583"/>
    <s v="Hunter"/>
    <s v="ehunterg6@ucsd.edu"/>
    <s v="F"/>
    <x v="21"/>
    <d v="2000-12-12T00:00:00"/>
    <n v="2000"/>
    <n v="2021"/>
    <x v="13"/>
    <n v="112048"/>
    <s v="Software Engineer II"/>
    <x v="6"/>
    <s v="Canada"/>
    <s v="Domestic"/>
    <x v="0"/>
    <n v="1344576"/>
    <n v="11204.800000000001"/>
  </r>
  <r>
    <n v="584"/>
    <s v="Cook"/>
    <s v="ccookg7@blog.com"/>
    <s v="F"/>
    <x v="20"/>
    <d v="2021-05-13T00:00:00"/>
    <n v="2008"/>
    <n v="2021"/>
    <x v="1"/>
    <n v="109404"/>
    <s v="Chief Design Engineer"/>
    <x v="4"/>
    <s v="Canada"/>
    <s v="Entertainment"/>
    <x v="0"/>
    <n v="1312848"/>
    <n v="10940.400000000001"/>
  </r>
  <r>
    <n v="585"/>
    <s v="Lopez"/>
    <s v="nlopezg8@fema.gov"/>
    <s v="M"/>
    <x v="15"/>
    <d v="2007-07-19T00:00:00"/>
    <n v="2007"/>
    <n v="2021"/>
    <x v="8"/>
    <n v="138776"/>
    <s v="Senior Editor"/>
    <x v="0"/>
    <s v="USA"/>
    <s v="Outdoors &amp; Garden"/>
    <x v="0"/>
    <n v="1665312"/>
    <n v="13877.6"/>
  </r>
  <r>
    <n v="586"/>
    <s v="Olson"/>
    <s v="folsong9@acquirethisname.com"/>
    <s v="F"/>
    <x v="12"/>
    <d v="2003-07-01T00:00:00"/>
    <n v="2003"/>
    <n v="2021"/>
    <x v="6"/>
    <n v="110411"/>
    <s v="Compensation Analyst"/>
    <x v="1"/>
    <s v="USA"/>
    <s v="Domestic"/>
    <x v="0"/>
    <n v="1324932"/>
    <n v="11041.1"/>
  </r>
  <r>
    <n v="587"/>
    <s v="Martin"/>
    <s v="pmartinga@webnode.com"/>
    <s v="F"/>
    <x v="6"/>
    <d v="2002-09-07T00:00:00"/>
    <n v="2002"/>
    <n v="2021"/>
    <x v="3"/>
    <n v="74973"/>
    <s v="General Manager"/>
    <x v="2"/>
    <s v="Canada"/>
    <s v="Games &amp; Sports"/>
    <x v="0"/>
    <n v="899676"/>
    <n v="7497.3"/>
  </r>
  <r>
    <n v="588"/>
    <s v="Day"/>
    <s v="edaygb@google.nl"/>
    <s v="F"/>
    <x v="5"/>
    <d v="2002-10-15T00:00:00"/>
    <n v="2002"/>
    <n v="2021"/>
    <x v="3"/>
    <n v="129890"/>
    <s v="Software Consultant"/>
    <x v="5"/>
    <s v="USA"/>
    <s v="Auto &amp; Hardware"/>
    <x v="0"/>
    <n v="1558680"/>
    <n v="12989"/>
  </r>
  <r>
    <n v="589"/>
    <s v="Arnold"/>
    <s v="sarnoldgc@parallels.com"/>
    <s v="M"/>
    <x v="7"/>
    <d v="2005-01-27T00:00:00"/>
    <n v="2005"/>
    <n v="2021"/>
    <x v="7"/>
    <n v="135786"/>
    <s v="Account Representative I"/>
    <x v="2"/>
    <s v="Canada"/>
    <s v="Entertainment"/>
    <x v="0"/>
    <n v="1629432"/>
    <n v="13578.6"/>
  </r>
  <r>
    <n v="590"/>
    <s v="Allen"/>
    <s v="rallengd@cnet.com"/>
    <s v="F"/>
    <x v="4"/>
    <d v="2020-06-15T00:00:00"/>
    <n v="2007"/>
    <n v="2021"/>
    <x v="8"/>
    <n v="132998"/>
    <s v="Business Systems Development Analyst"/>
    <x v="1"/>
    <s v="USA"/>
    <s v="Domestic"/>
    <x v="0"/>
    <n v="1595976"/>
    <n v="13299.800000000001"/>
  </r>
  <r>
    <n v="591"/>
    <s v="Sims"/>
    <s v="wsimsge@vinaora.com"/>
    <s v="F"/>
    <x v="9"/>
    <d v="2027-02-28T00:00:00"/>
    <n v="2014"/>
    <n v="2021"/>
    <x v="2"/>
    <n v="84318"/>
    <s v="Software Test Engineer I"/>
    <x v="0"/>
    <s v="USA"/>
    <s v="Domestic"/>
    <x v="0"/>
    <n v="1011816"/>
    <n v="8431.8000000000011"/>
  </r>
  <r>
    <n v="592"/>
    <s v="Duncan"/>
    <s v="aduncangf@behance.net"/>
    <s v="M"/>
    <x v="21"/>
    <d v="2004-04-11T00:00:00"/>
    <n v="2004"/>
    <n v="2021"/>
    <x v="10"/>
    <n v="110407"/>
    <s v="Sales Associate"/>
    <x v="6"/>
    <s v="Canada"/>
    <s v="Domestic"/>
    <x v="0"/>
    <n v="1324884"/>
    <n v="11040.7"/>
  </r>
  <r>
    <n v="593"/>
    <s v="Evans"/>
    <s v="aevansgg@wordpress.org"/>
    <s v="F"/>
    <x v="12"/>
    <d v="2000-06-15T00:00:00"/>
    <n v="2000"/>
    <n v="2021"/>
    <x v="13"/>
    <n v="94980"/>
    <s v="Financial Advisor"/>
    <x v="5"/>
    <s v="USA"/>
    <s v="Domestic"/>
    <x v="0"/>
    <n v="1139760"/>
    <n v="9498"/>
  </r>
  <r>
    <n v="594"/>
    <s v="Chapman"/>
    <s v="schapmangh@arstechnica.com"/>
    <s v="F"/>
    <x v="14"/>
    <d v="2004-03-07T00:00:00"/>
    <n v="2004"/>
    <n v="2021"/>
    <x v="10"/>
    <n v="125843"/>
    <s v="Web Designer II"/>
    <x v="5"/>
    <s v="USA"/>
    <s v="Auto &amp; Hardware"/>
    <x v="0"/>
    <n v="1510116"/>
    <n v="12584.300000000001"/>
  </r>
  <r>
    <n v="595"/>
    <s v="Price"/>
    <s v="rpricegi@flavors.me"/>
    <s v="F"/>
    <x v="4"/>
    <d v="2000-01-27T00:00:00"/>
    <n v="2000"/>
    <n v="2021"/>
    <x v="13"/>
    <n v="66180"/>
    <s v="Staff Scientist"/>
    <x v="6"/>
    <s v="Canada"/>
    <s v="Domestic"/>
    <x v="0"/>
    <n v="794160"/>
    <n v="6618"/>
  </r>
  <r>
    <n v="596"/>
    <s v="Ford"/>
    <s v="jfordgj@nyu.edu"/>
    <s v="F"/>
    <x v="3"/>
    <d v="2027-11-27T00:00:00"/>
    <n v="2014"/>
    <n v="2021"/>
    <x v="2"/>
    <n v="88854"/>
    <s v="Account Representative I"/>
    <x v="5"/>
    <s v="USA"/>
    <s v="Fashion"/>
    <x v="0"/>
    <n v="1066248"/>
    <n v="8885.4"/>
  </r>
  <r>
    <n v="597"/>
    <s v="Lynch"/>
    <s v="alynchgk@tumblr.com"/>
    <s v="F"/>
    <x v="17"/>
    <d v="2004-02-10T00:00:00"/>
    <n v="2004"/>
    <n v="2021"/>
    <x v="10"/>
    <n v="71448"/>
    <s v="Electrical Engineer"/>
    <x v="3"/>
    <s v="USA"/>
    <s v="Domestic"/>
    <x v="0"/>
    <n v="857376"/>
    <n v="7144.8"/>
  </r>
  <r>
    <n v="598"/>
    <s v="Diaz"/>
    <s v="jdiazgl@hhs.gov"/>
    <s v="F"/>
    <x v="1"/>
    <d v="2002-11-02T00:00:00"/>
    <n v="2002"/>
    <n v="2021"/>
    <x v="3"/>
    <n v="60547"/>
    <s v="Community Outreach Specialist"/>
    <x v="0"/>
    <s v="USA"/>
    <s v="Games &amp; Sports"/>
    <x v="0"/>
    <n v="726564"/>
    <n v="6054.7000000000007"/>
  </r>
  <r>
    <n v="599"/>
    <s v="Watkins"/>
    <s v="rwatkinsgm@independent.co.uk"/>
    <s v="F"/>
    <x v="18"/>
    <d v="2023-11-21T00:00:00"/>
    <n v="2010"/>
    <n v="2021"/>
    <x v="14"/>
    <n v="128805"/>
    <s v="Occupational Therapist"/>
    <x v="6"/>
    <s v="Canada"/>
    <s v="Outdoors &amp; Garden"/>
    <x v="0"/>
    <n v="1545660"/>
    <n v="12880.5"/>
  </r>
  <r>
    <n v="600"/>
    <s v="Ruiz"/>
    <s v="sruizgn@reddit.com"/>
    <s v="F"/>
    <x v="18"/>
    <d v="2006-05-11T00:00:00"/>
    <n v="2006"/>
    <n v="2021"/>
    <x v="5"/>
    <n v="96782"/>
    <s v="Database Administrator II"/>
    <x v="6"/>
    <s v="Canada"/>
    <s v="Outdoors &amp; Garden"/>
    <x v="0"/>
    <n v="1161384"/>
    <n v="9678.2000000000007"/>
  </r>
  <r>
    <n v="601"/>
    <s v="Lopez"/>
    <s v="blopezgo@sourceforge.net"/>
    <s v="M"/>
    <x v="19"/>
    <d v="2001-03-12T00:00:00"/>
    <n v="2001"/>
    <n v="2021"/>
    <x v="11"/>
    <n v="125944"/>
    <s v="Office Assistant II"/>
    <x v="0"/>
    <s v="USA"/>
    <s v="Domestic"/>
    <x v="0"/>
    <n v="1511328"/>
    <n v="12594.400000000001"/>
  </r>
  <r>
    <n v="602"/>
    <s v="Henderson"/>
    <s v="chendersongp@sina.com.cn"/>
    <s v="M"/>
    <x v="5"/>
    <d v="2011-09-17T00:00:00"/>
    <n v="2011"/>
    <n v="2021"/>
    <x v="9"/>
    <n v="101937"/>
    <s v="Teacher"/>
    <x v="2"/>
    <s v="Canada"/>
    <s v="Auto &amp; Hardware"/>
    <x v="0"/>
    <n v="1223244"/>
    <n v="10193.700000000001"/>
  </r>
  <r>
    <n v="603"/>
    <s v="Webb"/>
    <s v="lwebbgq@last.fm"/>
    <s v="M"/>
    <x v="3"/>
    <d v="2000-12-06T00:00:00"/>
    <n v="2000"/>
    <n v="2021"/>
    <x v="13"/>
    <n v="127569"/>
    <s v="Analyst Programmer"/>
    <x v="2"/>
    <s v="Canada"/>
    <s v="Fashion"/>
    <x v="0"/>
    <n v="1530828"/>
    <n v="12756.900000000001"/>
  </r>
  <r>
    <n v="604"/>
    <s v="Greene"/>
    <s v="agreenegr@cmu.edu"/>
    <s v="M"/>
    <x v="8"/>
    <d v="2004-06-30T00:00:00"/>
    <n v="2004"/>
    <n v="2021"/>
    <x v="10"/>
    <n v="104517"/>
    <s v="Research Assistant III"/>
    <x v="0"/>
    <s v="USA"/>
    <s v="Domestic"/>
    <x v="0"/>
    <n v="1254204"/>
    <n v="10451.700000000001"/>
  </r>
  <r>
    <n v="605"/>
    <s v="Stephens"/>
    <s v="estephensgs@phoca.cz"/>
    <s v="F"/>
    <x v="4"/>
    <d v="2023-12-11T00:00:00"/>
    <n v="2010"/>
    <n v="2021"/>
    <x v="14"/>
    <n v="110366"/>
    <s v="Research Nurse"/>
    <x v="4"/>
    <s v="Canada"/>
    <s v="Domestic"/>
    <x v="0"/>
    <n v="1324392"/>
    <n v="11036.6"/>
  </r>
  <r>
    <n v="606"/>
    <s v="Parker"/>
    <s v="rparkergt@1688.com"/>
    <s v="F"/>
    <x v="14"/>
    <d v="2003-02-08T00:00:00"/>
    <n v="2003"/>
    <n v="2021"/>
    <x v="6"/>
    <n v="136917"/>
    <s v="Assistant Professor"/>
    <x v="5"/>
    <s v="USA"/>
    <s v="Auto &amp; Hardware"/>
    <x v="0"/>
    <n v="1643004"/>
    <n v="13691.7"/>
  </r>
  <r>
    <n v="607"/>
    <s v="Reyes"/>
    <s v="hreyesgu@gnu.org"/>
    <s v="M"/>
    <x v="1"/>
    <d v="2007-07-21T00:00:00"/>
    <n v="2007"/>
    <n v="2021"/>
    <x v="8"/>
    <n v="130563"/>
    <s v="Nuclear Power Engineer"/>
    <x v="2"/>
    <s v="Canada"/>
    <s v="Games &amp; Sports"/>
    <x v="0"/>
    <n v="1566756"/>
    <n v="13056.300000000001"/>
  </r>
  <r>
    <n v="608"/>
    <s v="Garza"/>
    <s v="hgarzagv@webmd.com"/>
    <s v="M"/>
    <x v="19"/>
    <d v="2004-11-13T00:00:00"/>
    <n v="2004"/>
    <n v="2021"/>
    <x v="10"/>
    <n v="73553"/>
    <s v="Accountant IV"/>
    <x v="4"/>
    <s v="Canada"/>
    <s v="Domestic"/>
    <x v="0"/>
    <n v="882636"/>
    <n v="7355.3"/>
  </r>
  <r>
    <n v="609"/>
    <s v="Fisher"/>
    <s v="dfishergw@myspace.com"/>
    <s v="M"/>
    <x v="13"/>
    <d v="2007-01-21T00:00:00"/>
    <n v="2007"/>
    <n v="2021"/>
    <x v="8"/>
    <n v="93995"/>
    <s v="Teacher"/>
    <x v="0"/>
    <s v="USA"/>
    <s v="Electronic Equipment"/>
    <x v="0"/>
    <n v="1127940"/>
    <n v="9399.5"/>
  </r>
  <r>
    <n v="610"/>
    <s v="Hicks"/>
    <s v="hhicksgx@ifeng.com"/>
    <s v="M"/>
    <x v="19"/>
    <d v="2009-08-23T00:00:00"/>
    <n v="2009"/>
    <n v="2021"/>
    <x v="0"/>
    <n v="45270"/>
    <s v="VP Marketing"/>
    <x v="2"/>
    <s v="Canada"/>
    <s v="Domestic"/>
    <x v="0"/>
    <n v="543240"/>
    <n v="4527"/>
  </r>
  <r>
    <n v="611"/>
    <s v="Ford"/>
    <s v="jfordgy@earthlink.net"/>
    <s v="F"/>
    <x v="21"/>
    <d v="2022-10-29T00:00:00"/>
    <n v="2009"/>
    <n v="2021"/>
    <x v="0"/>
    <n v="147739"/>
    <s v="Safety Technician I"/>
    <x v="6"/>
    <s v="Canada"/>
    <s v="Domestic"/>
    <x v="0"/>
    <n v="1772868"/>
    <n v="14773.900000000001"/>
  </r>
  <r>
    <n v="612"/>
    <s v="Fowler"/>
    <s v="cfowlergz@joomla.org"/>
    <s v="F"/>
    <x v="19"/>
    <d v="2003-09-10T00:00:00"/>
    <n v="2003"/>
    <n v="2021"/>
    <x v="6"/>
    <n v="142211"/>
    <s v="Software Test Engineer IV"/>
    <x v="5"/>
    <s v="USA"/>
    <s v="Domestic"/>
    <x v="0"/>
    <n v="1706532"/>
    <n v="14221.1"/>
  </r>
  <r>
    <n v="613"/>
    <s v="Coleman"/>
    <s v="hcolemanh0@feedburner.com"/>
    <s v="F"/>
    <x v="17"/>
    <d v="2006-09-26T00:00:00"/>
    <n v="2006"/>
    <n v="2021"/>
    <x v="5"/>
    <n v="48791"/>
    <s v="Teacher"/>
    <x v="3"/>
    <s v="USA"/>
    <s v="Domestic"/>
    <x v="0"/>
    <n v="585492"/>
    <n v="4879.1000000000004"/>
  </r>
  <r>
    <n v="614"/>
    <s v="Ramirez"/>
    <s v="jramirezh1@php.net"/>
    <s v="F"/>
    <x v="13"/>
    <d v="2021-11-02T00:00:00"/>
    <n v="2008"/>
    <n v="2021"/>
    <x v="1"/>
    <n v="112929"/>
    <s v="Account Coordinator"/>
    <x v="6"/>
    <s v="Canada"/>
    <s v="Electronic Equipment"/>
    <x v="0"/>
    <n v="1355148"/>
    <n v="11292.900000000001"/>
  </r>
  <r>
    <n v="615"/>
    <s v="Alexander"/>
    <s v="falexanderh2@irs.gov"/>
    <s v="F"/>
    <x v="8"/>
    <d v="2022-12-25T00:00:00"/>
    <n v="2009"/>
    <n v="2021"/>
    <x v="0"/>
    <n v="72854"/>
    <s v="Marketing Assistant"/>
    <x v="2"/>
    <s v="Canada"/>
    <s v="Domestic"/>
    <x v="0"/>
    <n v="874248"/>
    <n v="7285.4000000000005"/>
  </r>
  <r>
    <n v="616"/>
    <s v="Marshall"/>
    <s v="hmarshallh3@com.com"/>
    <s v="F"/>
    <x v="2"/>
    <d v="2006-10-10T00:00:00"/>
    <n v="2006"/>
    <n v="2021"/>
    <x v="5"/>
    <n v="47281"/>
    <s v="VP Sales"/>
    <x v="4"/>
    <s v="Canada"/>
    <s v="Auto &amp; Hardware"/>
    <x v="0"/>
    <n v="567372"/>
    <n v="4728.1000000000004"/>
  </r>
  <r>
    <n v="617"/>
    <s v="Mills"/>
    <s v="hmillsh4@lulu.com"/>
    <s v="F"/>
    <x v="19"/>
    <d v="2026-06-12T00:00:00"/>
    <n v="2013"/>
    <n v="2021"/>
    <x v="4"/>
    <n v="49410"/>
    <s v="Account Representative II"/>
    <x v="3"/>
    <s v="USA"/>
    <s v="Domestic"/>
    <x v="0"/>
    <n v="592920"/>
    <n v="4941"/>
  </r>
  <r>
    <n v="618"/>
    <s v="Phillips"/>
    <s v="wphillipsh5@economist.com"/>
    <s v="M"/>
    <x v="8"/>
    <d v="2001-06-07T00:00:00"/>
    <n v="2001"/>
    <n v="2021"/>
    <x v="11"/>
    <n v="128205"/>
    <s v="Sales Representative"/>
    <x v="4"/>
    <s v="Canada"/>
    <s v="Domestic"/>
    <x v="0"/>
    <n v="1538460"/>
    <n v="12820.5"/>
  </r>
  <r>
    <n v="619"/>
    <s v="Cole"/>
    <s v="jcoleh6@php.net"/>
    <s v="M"/>
    <x v="5"/>
    <d v="2014-06-02T00:00:00"/>
    <n v="2014"/>
    <n v="2021"/>
    <x v="2"/>
    <n v="133190"/>
    <s v="Research Nurse"/>
    <x v="2"/>
    <s v="Canada"/>
    <s v="Auto &amp; Hardware"/>
    <x v="0"/>
    <n v="1598280"/>
    <n v="13319"/>
  </r>
  <r>
    <n v="620"/>
    <s v="Olson"/>
    <s v="aolsonh7@psu.edu"/>
    <s v="F"/>
    <x v="16"/>
    <d v="2022-08-14T00:00:00"/>
    <n v="2009"/>
    <n v="2021"/>
    <x v="0"/>
    <n v="59644"/>
    <s v="Systems Administrator III"/>
    <x v="3"/>
    <s v="USA"/>
    <s v="Library"/>
    <x v="0"/>
    <n v="715728"/>
    <n v="5964.4000000000005"/>
  </r>
  <r>
    <n v="621"/>
    <s v="Reynolds"/>
    <s v="nreynoldsh8@redcross.org"/>
    <s v="M"/>
    <x v="11"/>
    <d v="2004-10-31T00:00:00"/>
    <n v="2004"/>
    <n v="2021"/>
    <x v="10"/>
    <n v="111427"/>
    <s v="Programmer I"/>
    <x v="5"/>
    <s v="USA"/>
    <s v="Domestic"/>
    <x v="0"/>
    <n v="1337124"/>
    <n v="11142.7"/>
  </r>
  <r>
    <n v="622"/>
    <s v="Wright"/>
    <s v="rwrighth9@jimdo.com"/>
    <s v="M"/>
    <x v="13"/>
    <d v="2002-03-15T00:00:00"/>
    <n v="2002"/>
    <n v="2021"/>
    <x v="3"/>
    <n v="98339"/>
    <s v="Assistant Manager"/>
    <x v="1"/>
    <s v="USA"/>
    <s v="Electronic Equipment"/>
    <x v="0"/>
    <n v="1180068"/>
    <n v="9833.9000000000015"/>
  </r>
  <r>
    <n v="623"/>
    <s v="Ford"/>
    <s v="mfordha@youku.com"/>
    <s v="M"/>
    <x v="17"/>
    <d v="2006-02-27T00:00:00"/>
    <n v="2006"/>
    <n v="2021"/>
    <x v="5"/>
    <n v="72948"/>
    <s v="Teacher"/>
    <x v="4"/>
    <s v="Canada"/>
    <s v="Domestic"/>
    <x v="0"/>
    <n v="875376"/>
    <n v="7294.8"/>
  </r>
  <r>
    <n v="624"/>
    <s v="Garza"/>
    <s v="mgarzahb@elegantthemes.com"/>
    <s v="M"/>
    <x v="16"/>
    <d v="2008-11-26T00:00:00"/>
    <n v="2008"/>
    <n v="2021"/>
    <x v="1"/>
    <n v="60203"/>
    <s v="Product Engineer"/>
    <x v="0"/>
    <s v="USA"/>
    <s v="Library"/>
    <x v="0"/>
    <n v="722436"/>
    <n v="6020.3"/>
  </r>
  <r>
    <n v="625"/>
    <s v="Andrews"/>
    <s v="handrewshc@salon.com"/>
    <s v="F"/>
    <x v="18"/>
    <d v="2020-12-02T00:00:00"/>
    <n v="2007"/>
    <n v="2021"/>
    <x v="8"/>
    <n v="147003"/>
    <s v="Chemical Engineer"/>
    <x v="3"/>
    <s v="USA"/>
    <s v="Outdoors &amp; Garden"/>
    <x v="0"/>
    <n v="1764036"/>
    <n v="14700.300000000001"/>
  </r>
  <r>
    <n v="626"/>
    <s v="Ruiz"/>
    <s v="sruizhd@slashdot.org"/>
    <s v="F"/>
    <x v="15"/>
    <d v="2022-01-12T00:00:00"/>
    <n v="2009"/>
    <n v="2021"/>
    <x v="0"/>
    <n v="83706"/>
    <s v="Assistant Media Planner"/>
    <x v="0"/>
    <s v="USA"/>
    <s v="Outdoors &amp; Garden"/>
    <x v="0"/>
    <n v="1004472"/>
    <n v="8370.6"/>
  </r>
  <r>
    <n v="627"/>
    <s v="Watkins"/>
    <s v="swatkinshe@wunderground.com"/>
    <s v="F"/>
    <x v="4"/>
    <d v="2000-01-21T00:00:00"/>
    <n v="2000"/>
    <n v="2021"/>
    <x v="13"/>
    <n v="80245"/>
    <s v="VP Product Management"/>
    <x v="4"/>
    <s v="Canada"/>
    <s v="Domestic"/>
    <x v="0"/>
    <n v="962940"/>
    <n v="8024.5"/>
  </r>
  <r>
    <n v="628"/>
    <s v="Diaz"/>
    <s v="rdiazhf@nih.gov"/>
    <s v="M"/>
    <x v="3"/>
    <d v="2008-08-11T00:00:00"/>
    <n v="2008"/>
    <n v="2021"/>
    <x v="1"/>
    <n v="65110"/>
    <s v="Compensation Analyst"/>
    <x v="6"/>
    <s v="Canada"/>
    <s v="Fashion"/>
    <x v="0"/>
    <n v="781320"/>
    <n v="6511"/>
  </r>
  <r>
    <n v="629"/>
    <s v="Watkins"/>
    <s v="mwatkinshg@bbb.org"/>
    <s v="M"/>
    <x v="3"/>
    <d v="2011-07-29T00:00:00"/>
    <n v="2011"/>
    <n v="2021"/>
    <x v="9"/>
    <n v="128617"/>
    <s v="Senior Editor"/>
    <x v="5"/>
    <s v="USA"/>
    <s v="Fashion"/>
    <x v="0"/>
    <n v="1543404"/>
    <n v="12861.7"/>
  </r>
  <r>
    <n v="630"/>
    <s v="Pierce"/>
    <s v="spiercehh@google.nl"/>
    <s v="M"/>
    <x v="18"/>
    <d v="2002-02-09T00:00:00"/>
    <n v="2002"/>
    <n v="2021"/>
    <x v="3"/>
    <n v="96107"/>
    <s v="Actuary"/>
    <x v="6"/>
    <s v="Canada"/>
    <s v="Outdoors &amp; Garden"/>
    <x v="0"/>
    <n v="1153284"/>
    <n v="9610.7000000000007"/>
  </r>
  <r>
    <n v="631"/>
    <s v="Perez"/>
    <s v="wperezhi@yahoo.co.jp"/>
    <s v="F"/>
    <x v="5"/>
    <d v="2027-06-14T00:00:00"/>
    <n v="2014"/>
    <n v="2021"/>
    <x v="2"/>
    <n v="44788"/>
    <s v="Project Manager"/>
    <x v="0"/>
    <s v="USA"/>
    <s v="Auto &amp; Hardware"/>
    <x v="0"/>
    <n v="537456"/>
    <n v="4478.8"/>
  </r>
  <r>
    <n v="632"/>
    <s v="Lopez"/>
    <s v="clopezhj@mediafire.com"/>
    <s v="F"/>
    <x v="15"/>
    <d v="2004-01-01T00:00:00"/>
    <n v="2004"/>
    <n v="2021"/>
    <x v="10"/>
    <n v="86207"/>
    <s v="Accountant II"/>
    <x v="5"/>
    <s v="USA"/>
    <s v="Outdoors &amp; Garden"/>
    <x v="0"/>
    <n v="1034484"/>
    <n v="8620.7000000000007"/>
  </r>
  <r>
    <n v="633"/>
    <s v="Freeman"/>
    <s v="mfreemanhk@walmart.com"/>
    <s v="M"/>
    <x v="21"/>
    <d v="2000-10-25T00:00:00"/>
    <n v="2000"/>
    <n v="2021"/>
    <x v="13"/>
    <n v="79845"/>
    <s v="Teacher"/>
    <x v="3"/>
    <s v="USA"/>
    <s v="Domestic"/>
    <x v="0"/>
    <n v="958140"/>
    <n v="7984.5"/>
  </r>
  <r>
    <n v="634"/>
    <s v="Fowler"/>
    <s v="wfowlerhl@people.com.cn"/>
    <s v="F"/>
    <x v="18"/>
    <d v="2024-04-06T00:00:00"/>
    <n v="2011"/>
    <n v="2021"/>
    <x v="9"/>
    <n v="104264"/>
    <s v="Staff Scientist"/>
    <x v="4"/>
    <s v="Canada"/>
    <s v="Outdoors &amp; Garden"/>
    <x v="0"/>
    <n v="1251168"/>
    <n v="10426.400000000001"/>
  </r>
  <r>
    <n v="635"/>
    <s v="Rodriguez"/>
    <s v="mrodriguezhm@wiley.com"/>
    <s v="F"/>
    <x v="5"/>
    <d v="2023-12-27T00:00:00"/>
    <n v="2010"/>
    <n v="2021"/>
    <x v="14"/>
    <n v="77005"/>
    <s v="Systems Administrator IV"/>
    <x v="3"/>
    <s v="USA"/>
    <s v="Auto &amp; Hardware"/>
    <x v="0"/>
    <n v="924060"/>
    <n v="7700.5"/>
  </r>
  <r>
    <n v="636"/>
    <s v="Wheeler"/>
    <s v="lwheelerhn@skyrock.com"/>
    <s v="F"/>
    <x v="14"/>
    <d v="2024-09-25T00:00:00"/>
    <n v="2011"/>
    <n v="2021"/>
    <x v="9"/>
    <n v="69564"/>
    <s v="Senior Editor"/>
    <x v="4"/>
    <s v="Canada"/>
    <s v="Auto &amp; Hardware"/>
    <x v="0"/>
    <n v="834768"/>
    <n v="6956.4000000000005"/>
  </r>
  <r>
    <n v="637"/>
    <s v="Knight"/>
    <s v="dknightho@buzzfeed.com"/>
    <s v="F"/>
    <x v="21"/>
    <d v="2020-07-25T00:00:00"/>
    <n v="2007"/>
    <n v="2021"/>
    <x v="8"/>
    <n v="84549"/>
    <s v="Senior Cost Accountant"/>
    <x v="6"/>
    <s v="Canada"/>
    <s v="Domestic"/>
    <x v="0"/>
    <n v="1014588"/>
    <n v="8454.9"/>
  </r>
  <r>
    <n v="638"/>
    <s v="Walker"/>
    <s v="bwalkerhp@dropbox.com"/>
    <s v="M"/>
    <x v="10"/>
    <d v="2006-06-09T00:00:00"/>
    <n v="2006"/>
    <n v="2021"/>
    <x v="5"/>
    <n v="134488"/>
    <s v="Software Consultant"/>
    <x v="3"/>
    <s v="USA"/>
    <s v="Domestic"/>
    <x v="0"/>
    <n v="1613856"/>
    <n v="13448.800000000001"/>
  </r>
  <r>
    <n v="639"/>
    <s v="Porter"/>
    <s v="eporterhq@amazon.com"/>
    <s v="M"/>
    <x v="21"/>
    <d v="2007-02-13T00:00:00"/>
    <n v="2007"/>
    <n v="2021"/>
    <x v="8"/>
    <n v="140243"/>
    <s v="Financial Advisor"/>
    <x v="6"/>
    <s v="Canada"/>
    <s v="Domestic"/>
    <x v="0"/>
    <n v="1682916"/>
    <n v="14024.300000000001"/>
  </r>
  <r>
    <n v="640"/>
    <s v="Washington"/>
    <s v="hwashingtonhr@bbc.co.uk"/>
    <s v="M"/>
    <x v="3"/>
    <d v="2003-02-22T00:00:00"/>
    <n v="2003"/>
    <n v="2021"/>
    <x v="6"/>
    <n v="44096"/>
    <s v="Geologist IV"/>
    <x v="5"/>
    <s v="USA"/>
    <s v="Fashion"/>
    <x v="0"/>
    <n v="529152"/>
    <n v="4409.6000000000004"/>
  </r>
  <r>
    <n v="641"/>
    <s v="Hayes"/>
    <s v="rhayeshs@loc.gov"/>
    <s v="F"/>
    <x v="19"/>
    <d v="2023-04-07T00:00:00"/>
    <n v="2010"/>
    <n v="2021"/>
    <x v="14"/>
    <n v="69454"/>
    <s v="Web Designer II"/>
    <x v="3"/>
    <s v="USA"/>
    <s v="Domestic"/>
    <x v="0"/>
    <n v="833448"/>
    <n v="6945.4000000000005"/>
  </r>
  <r>
    <n v="642"/>
    <s v="Warren"/>
    <s v="awarrenht@addthis.com"/>
    <s v="F"/>
    <x v="7"/>
    <d v="2022-05-15T00:00:00"/>
    <n v="2009"/>
    <n v="2021"/>
    <x v="0"/>
    <n v="126201"/>
    <s v="Electrical Engineer"/>
    <x v="0"/>
    <s v="USA"/>
    <s v="Entertainment"/>
    <x v="0"/>
    <n v="1514412"/>
    <n v="12620.1"/>
  </r>
  <r>
    <n v="643"/>
    <s v="Johnston"/>
    <s v="cjohnstonhu@psu.edu"/>
    <s v="M"/>
    <x v="3"/>
    <d v="2014-03-21T00:00:00"/>
    <n v="2014"/>
    <n v="2021"/>
    <x v="2"/>
    <n v="123820"/>
    <s v="Computer Systems Analyst IV"/>
    <x v="5"/>
    <s v="USA"/>
    <s v="Fashion"/>
    <x v="0"/>
    <n v="1485840"/>
    <n v="12382"/>
  </r>
  <r>
    <n v="644"/>
    <s v="Carroll"/>
    <s v="jcarrollhv@over-blog.com"/>
    <s v="M"/>
    <x v="4"/>
    <d v="2002-04-06T00:00:00"/>
    <n v="2002"/>
    <n v="2021"/>
    <x v="3"/>
    <n v="52956"/>
    <s v="Compensation Analyst"/>
    <x v="2"/>
    <s v="Canada"/>
    <s v="Domestic"/>
    <x v="0"/>
    <n v="635472"/>
    <n v="5295.6"/>
  </r>
  <r>
    <n v="645"/>
    <s v="Webb"/>
    <s v="twebbhw@google.com.br"/>
    <s v="M"/>
    <x v="5"/>
    <d v="2007-06-01T00:00:00"/>
    <n v="2007"/>
    <n v="2021"/>
    <x v="8"/>
    <n v="143595"/>
    <s v="Geological Engineer"/>
    <x v="4"/>
    <s v="Canada"/>
    <s v="Auto &amp; Hardware"/>
    <x v="0"/>
    <n v="1723140"/>
    <n v="14359.5"/>
  </r>
  <r>
    <n v="646"/>
    <s v="Harvey"/>
    <s v="lharveyhx@plala.or.jp"/>
    <s v="M"/>
    <x v="17"/>
    <d v="2014-08-14T00:00:00"/>
    <n v="2014"/>
    <n v="2021"/>
    <x v="2"/>
    <n v="124707"/>
    <s v="Registered Nurse"/>
    <x v="4"/>
    <s v="Canada"/>
    <s v="Domestic"/>
    <x v="0"/>
    <n v="1496484"/>
    <n v="12470.7"/>
  </r>
  <r>
    <n v="647"/>
    <s v="Washington"/>
    <s v="mwashingtonhy@icio.us"/>
    <s v="M"/>
    <x v="13"/>
    <d v="2009-10-15T00:00:00"/>
    <n v="2009"/>
    <n v="2021"/>
    <x v="0"/>
    <n v="57092"/>
    <s v="Internal Auditor"/>
    <x v="0"/>
    <s v="USA"/>
    <s v="Electronic Equipment"/>
    <x v="0"/>
    <n v="685104"/>
    <n v="5709.2000000000007"/>
  </r>
  <r>
    <n v="648"/>
    <s v="Long"/>
    <s v="rlonghz@list-manage.com"/>
    <s v="M"/>
    <x v="17"/>
    <d v="2007-02-12T00:00:00"/>
    <n v="2007"/>
    <n v="2021"/>
    <x v="8"/>
    <n v="149099"/>
    <s v="Executive Secretary"/>
    <x v="1"/>
    <s v="USA"/>
    <s v="Domestic"/>
    <x v="0"/>
    <n v="1789188"/>
    <n v="14909.900000000001"/>
  </r>
  <r>
    <n v="649"/>
    <s v="Russell"/>
    <s v="krusselli0@posterous.com"/>
    <s v="M"/>
    <x v="21"/>
    <d v="2007-11-18T00:00:00"/>
    <n v="2007"/>
    <n v="2021"/>
    <x v="8"/>
    <n v="99352"/>
    <s v="Recruiting Manager"/>
    <x v="3"/>
    <s v="USA"/>
    <s v="Domestic"/>
    <x v="0"/>
    <n v="1192224"/>
    <n v="9935.2000000000007"/>
  </r>
  <r>
    <n v="650"/>
    <s v="Frazier"/>
    <s v="rfrazieri1@github.com"/>
    <s v="M"/>
    <x v="4"/>
    <d v="2013-01-22T00:00:00"/>
    <n v="2013"/>
    <n v="2021"/>
    <x v="4"/>
    <n v="44919"/>
    <s v="Quality Engineer"/>
    <x v="2"/>
    <s v="Canada"/>
    <s v="Domestic"/>
    <x v="0"/>
    <n v="539028"/>
    <n v="4491.9000000000005"/>
  </r>
  <r>
    <n v="651"/>
    <s v="Freeman"/>
    <s v="tfreemani2@soundcloud.com"/>
    <s v="F"/>
    <x v="19"/>
    <d v="2006-08-28T00:00:00"/>
    <n v="2006"/>
    <n v="2021"/>
    <x v="5"/>
    <n v="55034"/>
    <s v="Administrative Officer"/>
    <x v="5"/>
    <s v="USA"/>
    <s v="Domestic"/>
    <x v="0"/>
    <n v="660408"/>
    <n v="5503.4000000000005"/>
  </r>
  <r>
    <n v="652"/>
    <s v="Rivera"/>
    <s v="criverai3@github.io"/>
    <s v="M"/>
    <x v="3"/>
    <d v="2006-06-16T00:00:00"/>
    <n v="2006"/>
    <n v="2021"/>
    <x v="5"/>
    <n v="60396"/>
    <s v="Senior Quality Engineer"/>
    <x v="2"/>
    <s v="Canada"/>
    <s v="Fashion"/>
    <x v="0"/>
    <n v="724752"/>
    <n v="6039.6"/>
  </r>
  <r>
    <n v="653"/>
    <s v="Ramirez"/>
    <s v="vramirezi4@yellowpages.com"/>
    <s v="M"/>
    <x v="6"/>
    <d v="2013-07-06T00:00:00"/>
    <n v="2013"/>
    <n v="2021"/>
    <x v="4"/>
    <n v="147862"/>
    <s v="Chemical Engineer"/>
    <x v="6"/>
    <s v="Canada"/>
    <s v="Games &amp; Sports"/>
    <x v="0"/>
    <n v="1774344"/>
    <n v="14786.2"/>
  </r>
  <r>
    <n v="654"/>
    <s v="Mcdonald"/>
    <s v="hmcdonaldi5@4shared.com"/>
    <s v="M"/>
    <x v="2"/>
    <d v="2002-11-03T00:00:00"/>
    <n v="2002"/>
    <n v="2021"/>
    <x v="3"/>
    <n v="69594"/>
    <s v="Recruiting Manager"/>
    <x v="1"/>
    <s v="USA"/>
    <s v="Auto &amp; Hardware"/>
    <x v="0"/>
    <n v="835128"/>
    <n v="6959.4000000000005"/>
  </r>
  <r>
    <n v="655"/>
    <s v="Meyer"/>
    <s v="emeyeri6@friendfeed.com"/>
    <s v="F"/>
    <x v="1"/>
    <d v="2027-06-08T00:00:00"/>
    <n v="2014"/>
    <n v="2021"/>
    <x v="2"/>
    <n v="145363"/>
    <s v="GIS Technical Architect"/>
    <x v="1"/>
    <s v="USA"/>
    <s v="Games &amp; Sports"/>
    <x v="0"/>
    <n v="1744356"/>
    <n v="14536.300000000001"/>
  </r>
  <r>
    <n v="656"/>
    <s v="Campbell"/>
    <s v="kcampbelli7@prnewswire.com"/>
    <s v="M"/>
    <x v="16"/>
    <d v="2008-04-03T00:00:00"/>
    <n v="2008"/>
    <n v="2021"/>
    <x v="1"/>
    <n v="70804"/>
    <s v="Quality Engineer"/>
    <x v="0"/>
    <s v="USA"/>
    <s v="Library"/>
    <x v="0"/>
    <n v="849648"/>
    <n v="7080.4000000000005"/>
  </r>
  <r>
    <n v="657"/>
    <s v="Reid"/>
    <s v="areidi8@wunderground.com"/>
    <s v="F"/>
    <x v="8"/>
    <d v="2026-06-29T00:00:00"/>
    <n v="2013"/>
    <n v="2021"/>
    <x v="4"/>
    <n v="65154"/>
    <s v="Sales Representative"/>
    <x v="6"/>
    <s v="Canada"/>
    <s v="Domestic"/>
    <x v="0"/>
    <n v="781848"/>
    <n v="6515.4000000000005"/>
  </r>
  <r>
    <n v="658"/>
    <s v="Gilbert"/>
    <s v="agilberti9@parallels.com"/>
    <s v="M"/>
    <x v="13"/>
    <d v="2013-10-08T00:00:00"/>
    <n v="2013"/>
    <n v="2021"/>
    <x v="4"/>
    <n v="61332"/>
    <s v="Marketing Assistant"/>
    <x v="1"/>
    <s v="USA"/>
    <s v="Electronic Equipment"/>
    <x v="0"/>
    <n v="735984"/>
    <n v="6133.2000000000007"/>
  </r>
  <r>
    <n v="659"/>
    <s v="Ramos"/>
    <s v="kramosia@ed.gov"/>
    <s v="F"/>
    <x v="18"/>
    <d v="2003-09-07T00:00:00"/>
    <n v="2003"/>
    <n v="2021"/>
    <x v="6"/>
    <n v="72319"/>
    <s v="Quality Control Specialist"/>
    <x v="3"/>
    <s v="USA"/>
    <s v="Outdoors &amp; Garden"/>
    <x v="0"/>
    <n v="867828"/>
    <n v="7231.9000000000005"/>
  </r>
  <r>
    <n v="660"/>
    <s v="Nelson"/>
    <s v="mnelsonib@ibm.com"/>
    <s v="M"/>
    <x v="21"/>
    <d v="2001-12-08T00:00:00"/>
    <n v="2001"/>
    <n v="2021"/>
    <x v="11"/>
    <n v="139564"/>
    <s v="Pharmacist"/>
    <x v="2"/>
    <s v="Canada"/>
    <s v="Domestic"/>
    <x v="0"/>
    <n v="1674768"/>
    <n v="13956.400000000001"/>
  </r>
  <r>
    <n v="661"/>
    <s v="Foster"/>
    <s v="pfosteric@smugmug.com"/>
    <s v="F"/>
    <x v="2"/>
    <d v="2004-09-21T00:00:00"/>
    <n v="2004"/>
    <n v="2021"/>
    <x v="10"/>
    <n v="63364"/>
    <s v="Community Outreach Specialist"/>
    <x v="5"/>
    <s v="USA"/>
    <s v="Auto &amp; Hardware"/>
    <x v="0"/>
    <n v="760368"/>
    <n v="6336.4000000000005"/>
  </r>
  <r>
    <n v="662"/>
    <s v="Scott"/>
    <s v="bscottid@mashable.com"/>
    <s v="M"/>
    <x v="9"/>
    <d v="2000-01-18T00:00:00"/>
    <n v="2000"/>
    <n v="2021"/>
    <x v="13"/>
    <n v="86497"/>
    <s v="Administrative Officer"/>
    <x v="4"/>
    <s v="Canada"/>
    <s v="Domestic"/>
    <x v="0"/>
    <n v="1037964"/>
    <n v="8649.7000000000007"/>
  </r>
  <r>
    <n v="663"/>
    <s v="Lynch"/>
    <s v="tlynchie@bloglovin.com"/>
    <s v="F"/>
    <x v="18"/>
    <d v="2003-01-25T00:00:00"/>
    <n v="2003"/>
    <n v="2021"/>
    <x v="6"/>
    <n v="117248"/>
    <s v="Staff Accountant III"/>
    <x v="3"/>
    <s v="USA"/>
    <s v="Outdoors &amp; Garden"/>
    <x v="0"/>
    <n v="1406976"/>
    <n v="11724.800000000001"/>
  </r>
  <r>
    <n v="664"/>
    <s v="Watkins"/>
    <s v="ewatkinsif@ask.com"/>
    <s v="F"/>
    <x v="1"/>
    <d v="2026-02-09T00:00:00"/>
    <n v="2013"/>
    <n v="2021"/>
    <x v="4"/>
    <n v="133507"/>
    <s v="Budget/Accounting Analyst II"/>
    <x v="3"/>
    <s v="USA"/>
    <s v="Games &amp; Sports"/>
    <x v="0"/>
    <n v="1602084"/>
    <n v="13350.7"/>
  </r>
  <r>
    <n v="665"/>
    <s v="Garcia"/>
    <s v="pgarciaig@macromedia.com"/>
    <s v="F"/>
    <x v="19"/>
    <d v="2021-11-04T00:00:00"/>
    <n v="2008"/>
    <n v="2021"/>
    <x v="1"/>
    <n v="135132"/>
    <s v="Research Assistant III"/>
    <x v="2"/>
    <s v="Canada"/>
    <s v="Domestic"/>
    <x v="0"/>
    <n v="1621584"/>
    <n v="13513.2"/>
  </r>
  <r>
    <n v="666"/>
    <s v="Arnold"/>
    <s v="jarnoldih@tripod.com"/>
    <s v="F"/>
    <x v="21"/>
    <d v="2026-04-22T00:00:00"/>
    <n v="2013"/>
    <n v="2021"/>
    <x v="4"/>
    <n v="52041"/>
    <s v="Database Administrator I"/>
    <x v="0"/>
    <s v="USA"/>
    <s v="Domestic"/>
    <x v="0"/>
    <n v="624492"/>
    <n v="5204.1000000000004"/>
  </r>
  <r>
    <n v="667"/>
    <s v="Willis"/>
    <s v="nwillisii@sohu.com"/>
    <s v="F"/>
    <x v="20"/>
    <d v="2025-03-12T00:00:00"/>
    <n v="2012"/>
    <n v="2021"/>
    <x v="12"/>
    <n v="73425"/>
    <s v="Human Resources Manager"/>
    <x v="1"/>
    <s v="USA"/>
    <s v="Entertainment"/>
    <x v="0"/>
    <n v="881100"/>
    <n v="7342.5"/>
  </r>
  <r>
    <n v="668"/>
    <s v="Burton"/>
    <s v="jburtonij@webmd.com"/>
    <s v="F"/>
    <x v="0"/>
    <d v="2001-03-17T00:00:00"/>
    <n v="2001"/>
    <n v="2021"/>
    <x v="11"/>
    <n v="46960"/>
    <s v="Financial Advisor"/>
    <x v="5"/>
    <s v="USA"/>
    <s v="Electronic Equipment"/>
    <x v="0"/>
    <n v="563520"/>
    <n v="4696"/>
  </r>
  <r>
    <n v="669"/>
    <s v="Owens"/>
    <s v="sowensik@prlog.org"/>
    <s v="M"/>
    <x v="6"/>
    <d v="2001-05-06T00:00:00"/>
    <n v="2001"/>
    <n v="2021"/>
    <x v="11"/>
    <n v="104373"/>
    <s v="Graphic Designer"/>
    <x v="4"/>
    <s v="Canada"/>
    <s v="Games &amp; Sports"/>
    <x v="0"/>
    <n v="1252476"/>
    <n v="10437.300000000001"/>
  </r>
  <r>
    <n v="670"/>
    <s v="Moreno"/>
    <s v="rmorenoil@gizmodo.com"/>
    <s v="F"/>
    <x v="21"/>
    <d v="2027-09-17T00:00:00"/>
    <n v="2014"/>
    <n v="2021"/>
    <x v="2"/>
    <n v="102493"/>
    <s v="Senior Quality Engineer"/>
    <x v="6"/>
    <s v="Canada"/>
    <s v="Domestic"/>
    <x v="0"/>
    <n v="1229916"/>
    <n v="10249.300000000001"/>
  </r>
  <r>
    <n v="671"/>
    <s v="Fuller"/>
    <s v="jfullerim@theguardian.com"/>
    <s v="M"/>
    <x v="21"/>
    <d v="2007-12-11T00:00:00"/>
    <n v="2007"/>
    <n v="2021"/>
    <x v="8"/>
    <n v="55568"/>
    <s v="Senior Cost Accountant"/>
    <x v="2"/>
    <s v="Canada"/>
    <s v="Domestic"/>
    <x v="0"/>
    <n v="666816"/>
    <n v="5556.8"/>
  </r>
  <r>
    <n v="672"/>
    <s v="Fowler"/>
    <s v="cfowlerin@yelp.com"/>
    <s v="M"/>
    <x v="1"/>
    <d v="2006-05-05T00:00:00"/>
    <n v="2006"/>
    <n v="2021"/>
    <x v="5"/>
    <n v="75159"/>
    <s v="Biostatistician III"/>
    <x v="0"/>
    <s v="USA"/>
    <s v="Games &amp; Sports"/>
    <x v="0"/>
    <n v="901908"/>
    <n v="7515.9000000000005"/>
  </r>
  <r>
    <n v="673"/>
    <s v="Thomas"/>
    <s v="lthomasio@pagesperso-orange.fr"/>
    <s v="M"/>
    <x v="19"/>
    <d v="2014-10-27T00:00:00"/>
    <n v="2014"/>
    <n v="2021"/>
    <x v="2"/>
    <n v="51782"/>
    <s v="Operator"/>
    <x v="4"/>
    <s v="Canada"/>
    <s v="Domestic"/>
    <x v="0"/>
    <n v="621384"/>
    <n v="5178.2000000000007"/>
  </r>
  <r>
    <n v="674"/>
    <s v="Adams"/>
    <s v="jadamsip@cisco.com"/>
    <s v="M"/>
    <x v="6"/>
    <d v="2009-08-28T00:00:00"/>
    <n v="2009"/>
    <n v="2021"/>
    <x v="0"/>
    <n v="41855"/>
    <s v="Payment Adjustment Coordinator"/>
    <x v="2"/>
    <s v="Canada"/>
    <s v="Games &amp; Sports"/>
    <x v="0"/>
    <n v="502260"/>
    <n v="4185.5"/>
  </r>
  <r>
    <n v="675"/>
    <s v="Snyder"/>
    <s v="ssnyderiq@vkontakte.ru"/>
    <s v="M"/>
    <x v="10"/>
    <d v="2005-06-22T00:00:00"/>
    <n v="2005"/>
    <n v="2021"/>
    <x v="7"/>
    <n v="143846"/>
    <s v="Web Developer III"/>
    <x v="1"/>
    <s v="USA"/>
    <s v="Domestic"/>
    <x v="0"/>
    <n v="1726152"/>
    <n v="14384.6"/>
  </r>
  <r>
    <n v="676"/>
    <s v="Sullivan"/>
    <s v="rsullivanir@xinhuanet.com"/>
    <s v="M"/>
    <x v="20"/>
    <d v="2013-09-29T00:00:00"/>
    <n v="2013"/>
    <n v="2021"/>
    <x v="4"/>
    <n v="101756"/>
    <s v="Programmer IV"/>
    <x v="6"/>
    <s v="Canada"/>
    <s v="Entertainment"/>
    <x v="0"/>
    <n v="1221072"/>
    <n v="10175.6"/>
  </r>
  <r>
    <n v="677"/>
    <s v="Robertson"/>
    <s v="lrobertsonis@forbes.com"/>
    <s v="M"/>
    <x v="0"/>
    <d v="2014-08-04T00:00:00"/>
    <n v="2014"/>
    <n v="2021"/>
    <x v="2"/>
    <n v="136492"/>
    <s v="Compensation Analyst"/>
    <x v="5"/>
    <s v="USA"/>
    <s v="Electronic Equipment"/>
    <x v="0"/>
    <n v="1637904"/>
    <n v="13649.2"/>
  </r>
  <r>
    <n v="678"/>
    <s v="Mills"/>
    <s v="jmillsit@webs.com"/>
    <s v="M"/>
    <x v="20"/>
    <d v="2011-04-17T00:00:00"/>
    <n v="2011"/>
    <n v="2021"/>
    <x v="9"/>
    <n v="82979"/>
    <s v="Senior Quality Engineer"/>
    <x v="4"/>
    <s v="Canada"/>
    <s v="Entertainment"/>
    <x v="0"/>
    <n v="995748"/>
    <n v="8297.9"/>
  </r>
  <r>
    <n v="679"/>
    <s v="Stone"/>
    <s v="pstoneiu@narod.ru"/>
    <s v="M"/>
    <x v="13"/>
    <d v="2014-05-15T00:00:00"/>
    <n v="2014"/>
    <n v="2021"/>
    <x v="2"/>
    <n v="40218"/>
    <s v="Paralegal"/>
    <x v="0"/>
    <s v="USA"/>
    <s v="Electronic Equipment"/>
    <x v="0"/>
    <n v="482616"/>
    <n v="4021.8"/>
  </r>
  <r>
    <n v="680"/>
    <s v="Simmons"/>
    <s v="gsimmonsiv@cocolog-nifty.com"/>
    <s v="F"/>
    <x v="10"/>
    <d v="2001-12-09T00:00:00"/>
    <n v="2001"/>
    <n v="2021"/>
    <x v="11"/>
    <n v="60695"/>
    <s v="Chemical Engineer"/>
    <x v="0"/>
    <s v="USA"/>
    <s v="Domestic"/>
    <x v="0"/>
    <n v="728340"/>
    <n v="6069.5"/>
  </r>
  <r>
    <n v="681"/>
    <s v="Butler"/>
    <s v="dbutleriw@discuz.net"/>
    <s v="M"/>
    <x v="12"/>
    <d v="2008-11-30T00:00:00"/>
    <n v="2008"/>
    <n v="2021"/>
    <x v="1"/>
    <n v="47994"/>
    <s v="Senior Quality Engineer"/>
    <x v="5"/>
    <s v="USA"/>
    <s v="Domestic"/>
    <x v="0"/>
    <n v="575928"/>
    <n v="4799.4000000000005"/>
  </r>
  <r>
    <n v="682"/>
    <s v="Scott"/>
    <s v="kscottix@ycombinator.com"/>
    <s v="M"/>
    <x v="15"/>
    <d v="2004-09-03T00:00:00"/>
    <n v="2004"/>
    <n v="2021"/>
    <x v="10"/>
    <n v="50057"/>
    <s v="Account Executive"/>
    <x v="0"/>
    <s v="USA"/>
    <s v="Outdoors &amp; Garden"/>
    <x v="0"/>
    <n v="600684"/>
    <n v="5005.7000000000007"/>
  </r>
  <r>
    <n v="683"/>
    <s v="Torres"/>
    <s v="jtorresiy@4shared.com"/>
    <s v="F"/>
    <x v="10"/>
    <d v="2006-03-11T00:00:00"/>
    <n v="2006"/>
    <n v="2021"/>
    <x v="5"/>
    <n v="135886"/>
    <s v="Assistant Media Planner"/>
    <x v="1"/>
    <s v="USA"/>
    <s v="Domestic"/>
    <x v="0"/>
    <n v="1630632"/>
    <n v="13588.6"/>
  </r>
  <r>
    <n v="684"/>
    <s v="Hall"/>
    <s v="lhalliz@smh.com.au"/>
    <s v="M"/>
    <x v="3"/>
    <d v="2009-07-15T00:00:00"/>
    <n v="2009"/>
    <n v="2021"/>
    <x v="0"/>
    <n v="77924"/>
    <s v="Senior Sales Associate"/>
    <x v="2"/>
    <s v="Canada"/>
    <s v="Fashion"/>
    <x v="0"/>
    <n v="935088"/>
    <n v="7792.4000000000005"/>
  </r>
  <r>
    <n v="685"/>
    <s v="White"/>
    <s v="jwhitej0@usnews.com"/>
    <s v="F"/>
    <x v="17"/>
    <d v="2021-12-07T00:00:00"/>
    <n v="2008"/>
    <n v="2021"/>
    <x v="1"/>
    <n v="136356"/>
    <s v="Office Assistant IV"/>
    <x v="3"/>
    <s v="USA"/>
    <s v="Domestic"/>
    <x v="0"/>
    <n v="1636272"/>
    <n v="13635.6"/>
  </r>
  <r>
    <n v="686"/>
    <s v="Watkins"/>
    <s v="mwatkinsj1@myspace.com"/>
    <s v="M"/>
    <x v="6"/>
    <d v="2004-03-24T00:00:00"/>
    <n v="2004"/>
    <n v="2021"/>
    <x v="10"/>
    <n v="104444"/>
    <s v="Business Systems Development Analyst"/>
    <x v="0"/>
    <s v="USA"/>
    <s v="Games &amp; Sports"/>
    <x v="0"/>
    <n v="1253328"/>
    <n v="10444.400000000001"/>
  </r>
  <r>
    <n v="687"/>
    <s v="Gardner"/>
    <s v="agardnerj2@blogs.com"/>
    <s v="F"/>
    <x v="0"/>
    <d v="2000-12-03T00:00:00"/>
    <n v="2000"/>
    <n v="2021"/>
    <x v="13"/>
    <n v="49693"/>
    <s v="Chemical Engineer"/>
    <x v="0"/>
    <s v="USA"/>
    <s v="Electronic Equipment"/>
    <x v="0"/>
    <n v="596316"/>
    <n v="4969.3"/>
  </r>
  <r>
    <n v="688"/>
    <s v="Cruz"/>
    <s v="kcruzj3@shinystat.com"/>
    <s v="M"/>
    <x v="12"/>
    <d v="2012-06-29T00:00:00"/>
    <n v="2012"/>
    <n v="2021"/>
    <x v="12"/>
    <n v="90829"/>
    <s v="Recruiter"/>
    <x v="4"/>
    <s v="Canada"/>
    <s v="Domestic"/>
    <x v="0"/>
    <n v="1089948"/>
    <n v="9082.9"/>
  </r>
  <r>
    <n v="689"/>
    <s v="Austin"/>
    <s v="aaustinj4@walmart.com"/>
    <s v="F"/>
    <x v="13"/>
    <d v="2020-10-31T00:00:00"/>
    <n v="2007"/>
    <n v="2021"/>
    <x v="8"/>
    <n v="62293"/>
    <s v="Administrative Officer"/>
    <x v="5"/>
    <s v="USA"/>
    <s v="Electronic Equipment"/>
    <x v="0"/>
    <n v="747516"/>
    <n v="6229.3"/>
  </r>
  <r>
    <n v="690"/>
    <s v="Perkins"/>
    <s v="rperkinsj5@ehow.com"/>
    <s v="M"/>
    <x v="20"/>
    <d v="2000-05-09T00:00:00"/>
    <n v="2000"/>
    <n v="2021"/>
    <x v="13"/>
    <n v="57988"/>
    <s v="Web Developer I"/>
    <x v="5"/>
    <s v="USA"/>
    <s v="Entertainment"/>
    <x v="0"/>
    <n v="695856"/>
    <n v="5798.8"/>
  </r>
  <r>
    <n v="691"/>
    <s v="Hansen"/>
    <s v="chansenj6@uiuc.edu"/>
    <s v="F"/>
    <x v="17"/>
    <d v="2023-02-04T00:00:00"/>
    <n v="2010"/>
    <n v="2021"/>
    <x v="14"/>
    <n v="113893"/>
    <s v="Clinical Specialist"/>
    <x v="2"/>
    <s v="Canada"/>
    <s v="Domestic"/>
    <x v="0"/>
    <n v="1366716"/>
    <n v="11389.300000000001"/>
  </r>
  <r>
    <n v="692"/>
    <s v="Owens"/>
    <s v="dowensj7@hibu.com"/>
    <s v="M"/>
    <x v="21"/>
    <d v="2013-03-11T00:00:00"/>
    <n v="2013"/>
    <n v="2021"/>
    <x v="4"/>
    <n v="58265"/>
    <s v="Nurse Practicioner"/>
    <x v="1"/>
    <s v="USA"/>
    <s v="Domestic"/>
    <x v="0"/>
    <n v="699180"/>
    <n v="5826.5"/>
  </r>
  <r>
    <n v="693"/>
    <s v="Carr"/>
    <s v="hcarrj8@latimes.com"/>
    <s v="M"/>
    <x v="15"/>
    <d v="2005-01-17T00:00:00"/>
    <n v="2005"/>
    <n v="2021"/>
    <x v="7"/>
    <n v="143570"/>
    <s v="Actuary"/>
    <x v="5"/>
    <s v="USA"/>
    <s v="Outdoors &amp; Garden"/>
    <x v="0"/>
    <n v="1722840"/>
    <n v="14357"/>
  </r>
  <r>
    <n v="694"/>
    <s v="Chavez"/>
    <s v="rchavezj9@uiuc.edu"/>
    <s v="F"/>
    <x v="4"/>
    <d v="2020-04-19T00:00:00"/>
    <n v="2007"/>
    <n v="2021"/>
    <x v="8"/>
    <n v="116894"/>
    <s v="Chief Design Engineer"/>
    <x v="4"/>
    <s v="Canada"/>
    <s v="Domestic"/>
    <x v="0"/>
    <n v="1402728"/>
    <n v="11689.400000000001"/>
  </r>
  <r>
    <n v="695"/>
    <s v="Morales"/>
    <s v="rmoralesja@vinaora.com"/>
    <s v="F"/>
    <x v="2"/>
    <d v="2006-01-24T00:00:00"/>
    <n v="2006"/>
    <n v="2021"/>
    <x v="5"/>
    <n v="82244"/>
    <s v="Administrative Assistant III"/>
    <x v="0"/>
    <s v="USA"/>
    <s v="Auto &amp; Hardware"/>
    <x v="0"/>
    <n v="986928"/>
    <n v="8224.4"/>
  </r>
  <r>
    <n v="696"/>
    <s v="Anderson"/>
    <s v="dandersonjb@linkedin.com"/>
    <s v="M"/>
    <x v="10"/>
    <d v="2012-10-07T00:00:00"/>
    <n v="2012"/>
    <n v="2021"/>
    <x v="12"/>
    <n v="92640"/>
    <s v="Executive Secretary"/>
    <x v="2"/>
    <s v="Canada"/>
    <s v="Domestic"/>
    <x v="0"/>
    <n v="1111680"/>
    <n v="9264"/>
  </r>
  <r>
    <n v="697"/>
    <s v="Woods"/>
    <s v="twoodsjc@ucoz.ru"/>
    <s v="M"/>
    <x v="17"/>
    <d v="2000-06-23T00:00:00"/>
    <n v="2000"/>
    <n v="2021"/>
    <x v="13"/>
    <n v="123995"/>
    <s v="Assistant Media Planner"/>
    <x v="6"/>
    <s v="Canada"/>
    <s v="Domestic"/>
    <x v="0"/>
    <n v="1487940"/>
    <n v="12399.5"/>
  </r>
  <r>
    <n v="698"/>
    <s v="Cook"/>
    <s v="tcookjd@blinklist.com"/>
    <s v="M"/>
    <x v="15"/>
    <d v="2005-12-12T00:00:00"/>
    <n v="2005"/>
    <n v="2021"/>
    <x v="7"/>
    <n v="97351"/>
    <s v="Health Coach I"/>
    <x v="5"/>
    <s v="USA"/>
    <s v="Outdoors &amp; Garden"/>
    <x v="0"/>
    <n v="1168212"/>
    <n v="9735.1"/>
  </r>
  <r>
    <n v="699"/>
    <s v="Price"/>
    <s v="bpriceje@icio.us"/>
    <s v="F"/>
    <x v="8"/>
    <d v="2003-01-25T00:00:00"/>
    <n v="2003"/>
    <n v="2021"/>
    <x v="6"/>
    <n v="133091"/>
    <s v="VP Accounting"/>
    <x v="2"/>
    <s v="Canada"/>
    <s v="Domestic"/>
    <x v="0"/>
    <n v="1597092"/>
    <n v="13309.1"/>
  </r>
  <r>
    <n v="700"/>
    <s v="Stone"/>
    <s v="tstonejf@com.com"/>
    <s v="M"/>
    <x v="15"/>
    <d v="2004-07-15T00:00:00"/>
    <n v="2004"/>
    <n v="2021"/>
    <x v="10"/>
    <n v="100746"/>
    <s v="VP Quality Control"/>
    <x v="4"/>
    <s v="Canada"/>
    <s v="Outdoors &amp; Garden"/>
    <x v="0"/>
    <n v="1208952"/>
    <n v="10074.6"/>
  </r>
  <r>
    <n v="701"/>
    <s v="Williams"/>
    <s v="jwilliamsjg@rediff.com"/>
    <s v="M"/>
    <x v="3"/>
    <d v="2002-10-13T00:00:00"/>
    <n v="2002"/>
    <n v="2021"/>
    <x v="3"/>
    <n v="101599"/>
    <s v="Developer II"/>
    <x v="2"/>
    <s v="Canada"/>
    <s v="Fashion"/>
    <x v="0"/>
    <n v="1219188"/>
    <n v="10159.900000000001"/>
  </r>
  <r>
    <n v="702"/>
    <s v="Wells"/>
    <s v="dwellsjh@is.gd"/>
    <s v="M"/>
    <x v="1"/>
    <d v="2014-06-02T00:00:00"/>
    <n v="2014"/>
    <n v="2021"/>
    <x v="2"/>
    <n v="77293"/>
    <s v="Structural Analysis Engineer"/>
    <x v="6"/>
    <s v="Canada"/>
    <s v="Games &amp; Sports"/>
    <x v="0"/>
    <n v="927516"/>
    <n v="7729.3"/>
  </r>
  <r>
    <n v="703"/>
    <s v="Hernandez"/>
    <s v="ahernandezji@ucoz.ru"/>
    <s v="F"/>
    <x v="10"/>
    <d v="2027-03-04T00:00:00"/>
    <n v="2014"/>
    <n v="2021"/>
    <x v="2"/>
    <n v="119787"/>
    <s v="Speech Pathologist"/>
    <x v="3"/>
    <s v="USA"/>
    <s v="Domestic"/>
    <x v="0"/>
    <n v="1437444"/>
    <n v="11978.7"/>
  </r>
  <r>
    <n v="704"/>
    <s v="Burke"/>
    <s v="eburkejj@godaddy.com"/>
    <s v="M"/>
    <x v="0"/>
    <d v="2013-06-12T00:00:00"/>
    <n v="2013"/>
    <n v="2021"/>
    <x v="4"/>
    <n v="114690"/>
    <s v="Staff Scientist"/>
    <x v="0"/>
    <s v="USA"/>
    <s v="Electronic Equipment"/>
    <x v="0"/>
    <n v="1376280"/>
    <n v="11469"/>
  </r>
  <r>
    <n v="705"/>
    <s v="Clark"/>
    <s v="pclarkjk@joomla.org"/>
    <s v="M"/>
    <x v="7"/>
    <d v="2009-10-25T00:00:00"/>
    <n v="2009"/>
    <n v="2021"/>
    <x v="0"/>
    <n v="97150"/>
    <s v="VP Accounting"/>
    <x v="4"/>
    <s v="Canada"/>
    <s v="Entertainment"/>
    <x v="0"/>
    <n v="1165800"/>
    <n v="9715"/>
  </r>
  <r>
    <n v="706"/>
    <s v="Mendoza"/>
    <s v="rmendozajl@g.co"/>
    <s v="F"/>
    <x v="12"/>
    <d v="2024-12-05T00:00:00"/>
    <n v="2011"/>
    <n v="2021"/>
    <x v="9"/>
    <n v="91655"/>
    <s v="Cost Accountant"/>
    <x v="6"/>
    <s v="Canada"/>
    <s v="Domestic"/>
    <x v="0"/>
    <n v="1099860"/>
    <n v="9165.5"/>
  </r>
  <r>
    <n v="707"/>
    <s v="Perry"/>
    <s v="jperryjm@home.pl"/>
    <s v="M"/>
    <x v="14"/>
    <d v="2006-11-08T00:00:00"/>
    <n v="2006"/>
    <n v="2021"/>
    <x v="5"/>
    <n v="124296"/>
    <s v="Developer III"/>
    <x v="3"/>
    <s v="USA"/>
    <s v="Auto &amp; Hardware"/>
    <x v="0"/>
    <n v="1491552"/>
    <n v="12429.6"/>
  </r>
  <r>
    <n v="708"/>
    <s v="Rose"/>
    <s v="crosejn@cnbc.com"/>
    <s v="F"/>
    <x v="2"/>
    <d v="2024-12-24T00:00:00"/>
    <n v="2011"/>
    <n v="2021"/>
    <x v="9"/>
    <n v="66063"/>
    <s v="Software Test Engineer I"/>
    <x v="2"/>
    <s v="Canada"/>
    <s v="Auto &amp; Hardware"/>
    <x v="0"/>
    <n v="792756"/>
    <n v="6606.3"/>
  </r>
  <r>
    <n v="709"/>
    <s v="Payne"/>
    <s v="cpaynejo@tinyurl.com"/>
    <s v="F"/>
    <x v="16"/>
    <d v="2020-01-12T00:00:00"/>
    <n v="2007"/>
    <n v="2021"/>
    <x v="8"/>
    <n v="138137"/>
    <s v="Developer IV"/>
    <x v="0"/>
    <s v="USA"/>
    <s v="Library"/>
    <x v="0"/>
    <n v="1657644"/>
    <n v="13813.7"/>
  </r>
  <r>
    <n v="710"/>
    <s v="Mills"/>
    <s v="jmillsjp@yahoo.com"/>
    <s v="F"/>
    <x v="20"/>
    <d v="2005-01-22T00:00:00"/>
    <n v="2005"/>
    <n v="2021"/>
    <x v="7"/>
    <n v="49326"/>
    <s v="Chemical Engineer"/>
    <x v="2"/>
    <s v="Canada"/>
    <s v="Entertainment"/>
    <x v="0"/>
    <n v="591912"/>
    <n v="4932.6000000000004"/>
  </r>
  <r>
    <n v="711"/>
    <s v="Roberts"/>
    <s v="jrobertsjq@ed.gov"/>
    <s v="M"/>
    <x v="8"/>
    <d v="2009-08-21T00:00:00"/>
    <n v="2009"/>
    <n v="2021"/>
    <x v="0"/>
    <n v="80743"/>
    <s v="Geological Engineer"/>
    <x v="5"/>
    <s v="USA"/>
    <s v="Domestic"/>
    <x v="0"/>
    <n v="968916"/>
    <n v="8074.3"/>
  </r>
  <r>
    <n v="712"/>
    <s v="Torres"/>
    <s v="dtorresjr@state.tx.us"/>
    <s v="M"/>
    <x v="3"/>
    <d v="2007-12-23T00:00:00"/>
    <n v="2007"/>
    <n v="2021"/>
    <x v="8"/>
    <n v="105686"/>
    <s v="Senior Developer"/>
    <x v="4"/>
    <s v="Canada"/>
    <s v="Fashion"/>
    <x v="0"/>
    <n v="1268232"/>
    <n v="10568.6"/>
  </r>
  <r>
    <n v="713"/>
    <s v="Hicks"/>
    <s v="ahicksjs@arstechnica.com"/>
    <s v="F"/>
    <x v="1"/>
    <d v="2026-12-23T00:00:00"/>
    <n v="2013"/>
    <n v="2021"/>
    <x v="4"/>
    <n v="65650"/>
    <s v="Project Manager"/>
    <x v="3"/>
    <s v="USA"/>
    <s v="Games &amp; Sports"/>
    <x v="0"/>
    <n v="787800"/>
    <n v="6565"/>
  </r>
  <r>
    <n v="714"/>
    <s v="Cooper"/>
    <s v="kcooperjt@salon.com"/>
    <s v="M"/>
    <x v="10"/>
    <d v="2003-09-26T00:00:00"/>
    <n v="2003"/>
    <n v="2021"/>
    <x v="6"/>
    <n v="86446"/>
    <s v="Statistician II"/>
    <x v="5"/>
    <s v="USA"/>
    <s v="Domestic"/>
    <x v="0"/>
    <n v="1037352"/>
    <n v="8644.6"/>
  </r>
  <r>
    <n v="715"/>
    <s v="Henry"/>
    <s v="rhenryju@answers.com"/>
    <s v="F"/>
    <x v="10"/>
    <d v="2023-06-26T00:00:00"/>
    <n v="2010"/>
    <n v="2021"/>
    <x v="14"/>
    <n v="132421"/>
    <s v="Human Resources Manager"/>
    <x v="3"/>
    <s v="USA"/>
    <s v="Domestic"/>
    <x v="0"/>
    <n v="1589052"/>
    <n v="13242.1"/>
  </r>
  <r>
    <n v="716"/>
    <s v="Jacobs"/>
    <s v="bjacobsjv@thetimes.co.uk"/>
    <s v="M"/>
    <x v="13"/>
    <d v="2004-06-18T00:00:00"/>
    <n v="2004"/>
    <n v="2021"/>
    <x v="10"/>
    <n v="69855"/>
    <s v="Payment Adjustment Coordinator"/>
    <x v="5"/>
    <s v="USA"/>
    <s v="Electronic Equipment"/>
    <x v="0"/>
    <n v="838260"/>
    <n v="6985.5"/>
  </r>
  <r>
    <n v="717"/>
    <s v="Greene"/>
    <s v="rgreenejw@so-net.ne.jp"/>
    <s v="F"/>
    <x v="18"/>
    <d v="2020-07-08T00:00:00"/>
    <n v="2007"/>
    <n v="2021"/>
    <x v="8"/>
    <n v="80999"/>
    <s v="Staff Accountant II"/>
    <x v="4"/>
    <s v="Canada"/>
    <s v="Outdoors &amp; Garden"/>
    <x v="0"/>
    <n v="971988"/>
    <n v="8099.9000000000005"/>
  </r>
  <r>
    <n v="718"/>
    <s v="Armstrong"/>
    <s v="darmstrongjx@cafepress.com"/>
    <s v="M"/>
    <x v="19"/>
    <d v="2003-01-03T00:00:00"/>
    <n v="2003"/>
    <n v="2021"/>
    <x v="6"/>
    <n v="66447"/>
    <s v="Account Coordinator"/>
    <x v="0"/>
    <s v="USA"/>
    <s v="Domestic"/>
    <x v="0"/>
    <n v="797364"/>
    <n v="6644.7000000000007"/>
  </r>
  <r>
    <n v="719"/>
    <s v="Wagner"/>
    <s v="ewagnerjy@jalbum.net"/>
    <s v="M"/>
    <x v="17"/>
    <d v="2013-01-04T00:00:00"/>
    <n v="2013"/>
    <n v="2021"/>
    <x v="4"/>
    <n v="135445"/>
    <s v="Operator"/>
    <x v="0"/>
    <s v="USA"/>
    <s v="Domestic"/>
    <x v="0"/>
    <n v="1625340"/>
    <n v="13544.5"/>
  </r>
  <r>
    <n v="720"/>
    <s v="Rice"/>
    <s v="hricejz@blinklist.com"/>
    <s v="F"/>
    <x v="3"/>
    <d v="2023-11-08T00:00:00"/>
    <n v="2010"/>
    <n v="2021"/>
    <x v="14"/>
    <n v="57781"/>
    <s v="Dental Hygienist"/>
    <x v="5"/>
    <s v="USA"/>
    <s v="Fashion"/>
    <x v="0"/>
    <n v="693372"/>
    <n v="5778.1"/>
  </r>
  <r>
    <n v="721"/>
    <s v="Smith"/>
    <s v="hsmithk0@4shared.com"/>
    <s v="F"/>
    <x v="19"/>
    <d v="2005-09-21T00:00:00"/>
    <n v="2005"/>
    <n v="2021"/>
    <x v="7"/>
    <n v="83802"/>
    <s v="Research Assistant II"/>
    <x v="2"/>
    <s v="Canada"/>
    <s v="Domestic"/>
    <x v="0"/>
    <n v="1005624"/>
    <n v="8380.2000000000007"/>
  </r>
  <r>
    <n v="722"/>
    <s v="Hill"/>
    <s v="khillk1@about.me"/>
    <s v="F"/>
    <x v="8"/>
    <d v="2002-08-31T00:00:00"/>
    <n v="2002"/>
    <n v="2021"/>
    <x v="3"/>
    <n v="73262"/>
    <s v="Information Systems Manager"/>
    <x v="6"/>
    <s v="Canada"/>
    <s v="Domestic"/>
    <x v="0"/>
    <n v="879144"/>
    <n v="7326.2000000000007"/>
  </r>
  <r>
    <n v="723"/>
    <s v="Howard"/>
    <s v="rhowardk2@cnet.com"/>
    <s v="F"/>
    <x v="9"/>
    <d v="2002-03-03T00:00:00"/>
    <n v="2002"/>
    <n v="2021"/>
    <x v="3"/>
    <n v="89035"/>
    <s v="Senior Editor"/>
    <x v="6"/>
    <s v="Canada"/>
    <s v="Domestic"/>
    <x v="0"/>
    <n v="1068420"/>
    <n v="8903.5"/>
  </r>
  <r>
    <n v="724"/>
    <s v="Elliott"/>
    <s v="delliottk3@who.int"/>
    <s v="M"/>
    <x v="14"/>
    <d v="2001-05-20T00:00:00"/>
    <n v="2001"/>
    <n v="2021"/>
    <x v="11"/>
    <n v="125115"/>
    <s v="Senior Quality Engineer"/>
    <x v="1"/>
    <s v="USA"/>
    <s v="Auto &amp; Hardware"/>
    <x v="0"/>
    <n v="1501380"/>
    <n v="12511.5"/>
  </r>
  <r>
    <n v="725"/>
    <s v="Richards"/>
    <s v="krichardsk4@bloglines.com"/>
    <s v="M"/>
    <x v="9"/>
    <d v="2003-10-02T00:00:00"/>
    <n v="2003"/>
    <n v="2021"/>
    <x v="6"/>
    <n v="80939"/>
    <s v="Analyst Programmer"/>
    <x v="3"/>
    <s v="USA"/>
    <s v="Domestic"/>
    <x v="0"/>
    <n v="971268"/>
    <n v="8093.9000000000005"/>
  </r>
  <r>
    <n v="726"/>
    <s v="Welch"/>
    <s v="dwelchk5@mapquest.com"/>
    <s v="M"/>
    <x v="12"/>
    <d v="2008-09-11T00:00:00"/>
    <n v="2008"/>
    <n v="2021"/>
    <x v="1"/>
    <n v="49463"/>
    <s v="Research Nurse"/>
    <x v="3"/>
    <s v="USA"/>
    <s v="Domestic"/>
    <x v="0"/>
    <n v="593556"/>
    <n v="4946.3"/>
  </r>
  <r>
    <n v="727"/>
    <s v="Johnson"/>
    <s v="mjohnsonk6@sciencedaily.com"/>
    <s v="M"/>
    <x v="7"/>
    <d v="2012-05-21T00:00:00"/>
    <n v="2012"/>
    <n v="2021"/>
    <x v="12"/>
    <n v="83165"/>
    <s v="Account Representative I"/>
    <x v="6"/>
    <s v="Canada"/>
    <s v="Entertainment"/>
    <x v="0"/>
    <n v="997980"/>
    <n v="8316.5"/>
  </r>
  <r>
    <n v="728"/>
    <s v="Larson"/>
    <s v="slarsonk7@sakura.ne.jp"/>
    <s v="F"/>
    <x v="18"/>
    <d v="2006-04-21T00:00:00"/>
    <n v="2006"/>
    <n v="2021"/>
    <x v="5"/>
    <n v="125574"/>
    <s v="Research Associate"/>
    <x v="3"/>
    <s v="USA"/>
    <s v="Outdoors &amp; Garden"/>
    <x v="0"/>
    <n v="1506888"/>
    <n v="12557.400000000001"/>
  </r>
  <r>
    <n v="729"/>
    <s v="Banks"/>
    <s v="hbanksk8@nifty.com"/>
    <s v="M"/>
    <x v="3"/>
    <d v="2013-11-15T00:00:00"/>
    <n v="2013"/>
    <n v="2021"/>
    <x v="4"/>
    <n v="119747"/>
    <s v="Graphic Designer"/>
    <x v="6"/>
    <s v="Canada"/>
    <s v="Fashion"/>
    <x v="0"/>
    <n v="1436964"/>
    <n v="11974.7"/>
  </r>
  <r>
    <n v="730"/>
    <s v="Johnston"/>
    <s v="ejohnstonk9@liveinternet.ru"/>
    <s v="F"/>
    <x v="1"/>
    <d v="2021-11-24T00:00:00"/>
    <n v="2008"/>
    <n v="2021"/>
    <x v="1"/>
    <n v="57651"/>
    <s v="Help Desk Operator"/>
    <x v="4"/>
    <s v="Canada"/>
    <s v="Games &amp; Sports"/>
    <x v="0"/>
    <n v="691812"/>
    <n v="5765.1"/>
  </r>
  <r>
    <n v="731"/>
    <s v="Ferguson"/>
    <s v="gfergusonka@geocities.jp"/>
    <s v="F"/>
    <x v="12"/>
    <d v="2022-06-28T00:00:00"/>
    <n v="2009"/>
    <n v="2021"/>
    <x v="0"/>
    <n v="70524"/>
    <s v="VP Accounting"/>
    <x v="0"/>
    <s v="USA"/>
    <s v="Domestic"/>
    <x v="0"/>
    <n v="846288"/>
    <n v="7052.4000000000005"/>
  </r>
  <r>
    <n v="732"/>
    <s v="Murray"/>
    <s v="amurraykb@blinklist.com"/>
    <s v="M"/>
    <x v="8"/>
    <d v="2004-08-15T00:00:00"/>
    <n v="2004"/>
    <n v="2021"/>
    <x v="10"/>
    <n v="50511"/>
    <s v="Senior Cost Accountant"/>
    <x v="1"/>
    <s v="USA"/>
    <s v="Domestic"/>
    <x v="0"/>
    <n v="606132"/>
    <n v="5051.1000000000004"/>
  </r>
  <r>
    <n v="733"/>
    <s v="Diaz"/>
    <s v="jdiazkc@china.com.cn"/>
    <s v="M"/>
    <x v="12"/>
    <d v="2000-11-20T00:00:00"/>
    <n v="2000"/>
    <n v="2021"/>
    <x v="13"/>
    <n v="58847"/>
    <s v="Community Outreach Specialist"/>
    <x v="5"/>
    <s v="USA"/>
    <s v="Domestic"/>
    <x v="0"/>
    <n v="706164"/>
    <n v="5884.7000000000007"/>
  </r>
  <r>
    <n v="734"/>
    <s v="Simmons"/>
    <s v="tsimmonskd@chicagotribune.com"/>
    <s v="F"/>
    <x v="2"/>
    <d v="2005-02-20T00:00:00"/>
    <n v="2005"/>
    <n v="2021"/>
    <x v="7"/>
    <n v="58555"/>
    <s v="Biostatistician I"/>
    <x v="0"/>
    <s v="USA"/>
    <s v="Auto &amp; Hardware"/>
    <x v="0"/>
    <n v="702660"/>
    <n v="5855.5"/>
  </r>
  <r>
    <n v="735"/>
    <s v="Richards"/>
    <s v="jrichardske@hatena.ne.jp"/>
    <s v="M"/>
    <x v="8"/>
    <d v="2014-11-14T00:00:00"/>
    <n v="2014"/>
    <n v="2021"/>
    <x v="2"/>
    <n v="116333"/>
    <s v="Legal Assistant"/>
    <x v="6"/>
    <s v="Canada"/>
    <s v="Domestic"/>
    <x v="0"/>
    <n v="1395996"/>
    <n v="11633.300000000001"/>
  </r>
  <r>
    <n v="736"/>
    <s v="Morgan"/>
    <s v="emorgankf@businessinsider.com"/>
    <s v="M"/>
    <x v="9"/>
    <d v="2009-08-27T00:00:00"/>
    <n v="2009"/>
    <n v="2021"/>
    <x v="0"/>
    <n v="80813"/>
    <s v="Senior Quality Engineer"/>
    <x v="4"/>
    <s v="Canada"/>
    <s v="Domestic"/>
    <x v="0"/>
    <n v="969756"/>
    <n v="8081.3"/>
  </r>
  <r>
    <n v="737"/>
    <s v="Price"/>
    <s v="bpricekg@xinhuanet.com"/>
    <s v="M"/>
    <x v="19"/>
    <d v="2004-07-26T00:00:00"/>
    <n v="2004"/>
    <n v="2021"/>
    <x v="10"/>
    <n v="142794"/>
    <s v="Recruiting Manager"/>
    <x v="3"/>
    <s v="USA"/>
    <s v="Domestic"/>
    <x v="0"/>
    <n v="1713528"/>
    <n v="14279.400000000001"/>
  </r>
  <r>
    <n v="738"/>
    <s v="Hudson"/>
    <s v="chudsonkh@google.co.uk"/>
    <s v="F"/>
    <x v="0"/>
    <d v="2003-01-04T00:00:00"/>
    <n v="2003"/>
    <n v="2021"/>
    <x v="6"/>
    <n v="65083"/>
    <s v="Marketing Assistant"/>
    <x v="4"/>
    <s v="Canada"/>
    <s v="Electronic Equipment"/>
    <x v="0"/>
    <n v="780996"/>
    <n v="6508.3"/>
  </r>
  <r>
    <n v="739"/>
    <s v="Carroll"/>
    <s v="lcarrollki@example.com"/>
    <s v="F"/>
    <x v="9"/>
    <d v="2027-03-13T00:00:00"/>
    <n v="2014"/>
    <n v="2021"/>
    <x v="2"/>
    <n v="125398"/>
    <s v="Assistant Professor"/>
    <x v="0"/>
    <s v="USA"/>
    <s v="Domestic"/>
    <x v="0"/>
    <n v="1504776"/>
    <n v="12539.800000000001"/>
  </r>
  <r>
    <n v="740"/>
    <s v="Long"/>
    <s v="jlongkj@dailymail.co.uk"/>
    <s v="F"/>
    <x v="11"/>
    <d v="2021-01-13T00:00:00"/>
    <n v="2008"/>
    <n v="2021"/>
    <x v="1"/>
    <n v="98502"/>
    <s v="Structural Analysis Engineer"/>
    <x v="2"/>
    <s v="Canada"/>
    <s v="Domestic"/>
    <x v="0"/>
    <n v="1182024"/>
    <n v="9850.2000000000007"/>
  </r>
  <r>
    <n v="741"/>
    <s v="Parker"/>
    <s v="cparkerkk@foxnews.com"/>
    <s v="F"/>
    <x v="21"/>
    <d v="2002-12-31T00:00:00"/>
    <n v="2002"/>
    <n v="2021"/>
    <x v="3"/>
    <n v="90086"/>
    <s v="Research Associate"/>
    <x v="5"/>
    <s v="USA"/>
    <s v="Domestic"/>
    <x v="0"/>
    <n v="1081032"/>
    <n v="9008.6"/>
  </r>
  <r>
    <n v="742"/>
    <s v="Nguyen"/>
    <s v="lnguyenkl@goodreads.com"/>
    <s v="M"/>
    <x v="1"/>
    <d v="2007-12-03T00:00:00"/>
    <n v="2007"/>
    <n v="2021"/>
    <x v="8"/>
    <n v="77382"/>
    <s v="Design Engineer"/>
    <x v="4"/>
    <s v="Canada"/>
    <s v="Games &amp; Sports"/>
    <x v="0"/>
    <n v="928584"/>
    <n v="7738.2000000000007"/>
  </r>
  <r>
    <n v="743"/>
    <s v="Garza"/>
    <s v="agarzakm@miitbeian.gov.cn"/>
    <s v="F"/>
    <x v="13"/>
    <d v="2027-12-23T00:00:00"/>
    <n v="2014"/>
    <n v="2021"/>
    <x v="2"/>
    <n v="113278"/>
    <s v="Statistician IV"/>
    <x v="0"/>
    <s v="USA"/>
    <s v="Electronic Equipment"/>
    <x v="0"/>
    <n v="1359336"/>
    <n v="11327.800000000001"/>
  </r>
  <r>
    <n v="744"/>
    <s v="Gordon"/>
    <s v="pgordonkn@mac.com"/>
    <s v="M"/>
    <x v="2"/>
    <d v="2001-09-18T00:00:00"/>
    <n v="2001"/>
    <n v="2021"/>
    <x v="11"/>
    <n v="129324"/>
    <s v="Developer I"/>
    <x v="5"/>
    <s v="USA"/>
    <s v="Auto &amp; Hardware"/>
    <x v="0"/>
    <n v="1551888"/>
    <n v="12932.400000000001"/>
  </r>
  <r>
    <n v="745"/>
    <s v="Reed"/>
    <s v="lreedko@wikipedia.org"/>
    <s v="F"/>
    <x v="18"/>
    <d v="2005-11-21T00:00:00"/>
    <n v="2005"/>
    <n v="2021"/>
    <x v="7"/>
    <n v="108504"/>
    <s v="Pharmacist"/>
    <x v="3"/>
    <s v="USA"/>
    <s v="Outdoors &amp; Garden"/>
    <x v="0"/>
    <n v="1302048"/>
    <n v="10850.400000000001"/>
  </r>
  <r>
    <n v="746"/>
    <s v="Baker"/>
    <s v="bbakerkp@list-manage.com"/>
    <s v="M"/>
    <x v="14"/>
    <d v="2001-10-04T00:00:00"/>
    <n v="2001"/>
    <n v="2021"/>
    <x v="11"/>
    <n v="145283"/>
    <s v="Payment Adjustment Coordinator"/>
    <x v="3"/>
    <s v="USA"/>
    <s v="Auto &amp; Hardware"/>
    <x v="0"/>
    <n v="1743396"/>
    <n v="14528.300000000001"/>
  </r>
  <r>
    <n v="747"/>
    <s v="Carroll"/>
    <s v="mcarrollkq@whitehouse.gov"/>
    <s v="M"/>
    <x v="11"/>
    <d v="2006-07-30T00:00:00"/>
    <n v="2006"/>
    <n v="2021"/>
    <x v="5"/>
    <n v="82674"/>
    <s v="Junior Executive"/>
    <x v="5"/>
    <s v="USA"/>
    <s v="Domestic"/>
    <x v="0"/>
    <n v="992088"/>
    <n v="8267.4"/>
  </r>
  <r>
    <n v="748"/>
    <s v="Elliott"/>
    <s v="delliottkr@dot.gov"/>
    <s v="M"/>
    <x v="8"/>
    <d v="2009-12-09T00:00:00"/>
    <n v="2009"/>
    <n v="2021"/>
    <x v="0"/>
    <n v="119097"/>
    <s v="Administrative Assistant I"/>
    <x v="0"/>
    <s v="USA"/>
    <s v="Domestic"/>
    <x v="0"/>
    <n v="1429164"/>
    <n v="11909.7"/>
  </r>
  <r>
    <n v="749"/>
    <s v="Parker"/>
    <s v="aparkerks@godaddy.com"/>
    <s v="F"/>
    <x v="3"/>
    <d v="2025-09-05T00:00:00"/>
    <n v="2012"/>
    <n v="2021"/>
    <x v="12"/>
    <n v="60498"/>
    <s v="Accountant I"/>
    <x v="5"/>
    <s v="USA"/>
    <s v="Fashion"/>
    <x v="0"/>
    <n v="725976"/>
    <n v="6049.8"/>
  </r>
  <r>
    <n v="750"/>
    <s v="Ward"/>
    <s v="kwardkt@wikipedia.org"/>
    <s v="M"/>
    <x v="20"/>
    <d v="2014-07-16T00:00:00"/>
    <n v="2014"/>
    <n v="2021"/>
    <x v="2"/>
    <n v="108228"/>
    <s v="VP Sales"/>
    <x v="1"/>
    <s v="USA"/>
    <s v="Entertainment"/>
    <x v="0"/>
    <n v="1298736"/>
    <n v="10822.800000000001"/>
  </r>
  <r>
    <n v="751"/>
    <s v="Kelley"/>
    <s v="ckelleyku@gravatar.com"/>
    <s v="M"/>
    <x v="13"/>
    <d v="2005-05-07T00:00:00"/>
    <n v="2005"/>
    <n v="2021"/>
    <x v="7"/>
    <n v="106602"/>
    <s v="Occupational Therapist"/>
    <x v="0"/>
    <s v="USA"/>
    <s v="Electronic Equipment"/>
    <x v="0"/>
    <n v="1279224"/>
    <n v="10660.2"/>
  </r>
  <r>
    <n v="752"/>
    <s v="Gonzales"/>
    <s v="rgonzaleskv@meetup.com"/>
    <s v="F"/>
    <x v="12"/>
    <d v="2024-01-24T00:00:00"/>
    <n v="2011"/>
    <n v="2021"/>
    <x v="9"/>
    <n v="95810"/>
    <s v="Food Chemist"/>
    <x v="5"/>
    <s v="USA"/>
    <s v="Domestic"/>
    <x v="0"/>
    <n v="1149720"/>
    <n v="9581"/>
  </r>
  <r>
    <n v="753"/>
    <s v="King"/>
    <s v="bkingkw@friendfeed.com"/>
    <s v="F"/>
    <x v="13"/>
    <d v="2005-02-05T00:00:00"/>
    <n v="2005"/>
    <n v="2021"/>
    <x v="7"/>
    <n v="149597"/>
    <s v="Structural Analysis Engineer"/>
    <x v="3"/>
    <s v="USA"/>
    <s v="Electronic Equipment"/>
    <x v="0"/>
    <n v="1795164"/>
    <n v="14959.7"/>
  </r>
  <r>
    <n v="754"/>
    <s v="Mendoza"/>
    <s v="smendozakx@java.com"/>
    <s v="F"/>
    <x v="13"/>
    <d v="2000-03-17T00:00:00"/>
    <n v="2000"/>
    <n v="2021"/>
    <x v="13"/>
    <n v="57331"/>
    <s v="Occupational Therapist"/>
    <x v="1"/>
    <s v="USA"/>
    <s v="Electronic Equipment"/>
    <x v="0"/>
    <n v="687972"/>
    <n v="5733.1"/>
  </r>
  <r>
    <n v="755"/>
    <s v="Tucker"/>
    <s v="ctuckerky@1688.com"/>
    <s v="M"/>
    <x v="14"/>
    <d v="2011-08-17T00:00:00"/>
    <n v="2011"/>
    <n v="2021"/>
    <x v="9"/>
    <n v="49113"/>
    <s v="Business Systems Development Analyst"/>
    <x v="2"/>
    <s v="Canada"/>
    <s v="Auto &amp; Hardware"/>
    <x v="0"/>
    <n v="589356"/>
    <n v="4911.3"/>
  </r>
  <r>
    <n v="756"/>
    <s v="Fox"/>
    <s v="dfoxkz@foxnews.com"/>
    <s v="F"/>
    <x v="4"/>
    <d v="2005-07-17T00:00:00"/>
    <n v="2005"/>
    <n v="2021"/>
    <x v="7"/>
    <n v="80417"/>
    <s v="Assistant Media Planner"/>
    <x v="2"/>
    <s v="Canada"/>
    <s v="Domestic"/>
    <x v="0"/>
    <n v="965004"/>
    <n v="8041.7000000000007"/>
  </r>
  <r>
    <n v="757"/>
    <s v="Evans"/>
    <s v="aevansl0@nba.com"/>
    <s v="M"/>
    <x v="10"/>
    <d v="2012-04-05T00:00:00"/>
    <n v="2012"/>
    <n v="2021"/>
    <x v="12"/>
    <n v="122595"/>
    <s v="Automation Specialist I"/>
    <x v="4"/>
    <s v="Canada"/>
    <s v="Domestic"/>
    <x v="0"/>
    <n v="1471140"/>
    <n v="12259.5"/>
  </r>
  <r>
    <n v="758"/>
    <s v="Ray"/>
    <s v="nrayl1@mail.ru"/>
    <s v="M"/>
    <x v="6"/>
    <d v="2013-10-23T00:00:00"/>
    <n v="2013"/>
    <n v="2021"/>
    <x v="4"/>
    <n v="126661"/>
    <s v="Systems Administrator I"/>
    <x v="0"/>
    <s v="USA"/>
    <s v="Games &amp; Sports"/>
    <x v="0"/>
    <n v="1519932"/>
    <n v="12666.1"/>
  </r>
  <r>
    <n v="759"/>
    <s v="Vasquez"/>
    <s v="jvasquezl2@edublogs.org"/>
    <s v="M"/>
    <x v="15"/>
    <d v="2000-04-02T00:00:00"/>
    <n v="2000"/>
    <n v="2021"/>
    <x v="13"/>
    <n v="127695"/>
    <s v="Systems Administrator I"/>
    <x v="2"/>
    <s v="Canada"/>
    <s v="Outdoors &amp; Garden"/>
    <x v="0"/>
    <n v="1532340"/>
    <n v="12769.5"/>
  </r>
  <r>
    <n v="760"/>
    <s v="Bell"/>
    <s v="sbelll3@goo.gl"/>
    <s v="M"/>
    <x v="9"/>
    <d v="2008-07-24T00:00:00"/>
    <n v="2008"/>
    <n v="2021"/>
    <x v="1"/>
    <n v="66608"/>
    <s v="General Manager"/>
    <x v="3"/>
    <s v="USA"/>
    <s v="Domestic"/>
    <x v="0"/>
    <n v="799296"/>
    <n v="6660.8"/>
  </r>
  <r>
    <n v="761"/>
    <s v="Burke"/>
    <s v="eburkel4@newsvine.com"/>
    <s v="F"/>
    <x v="12"/>
    <d v="2027-12-14T00:00:00"/>
    <n v="2014"/>
    <n v="2021"/>
    <x v="2"/>
    <n v="106033"/>
    <s v="Quality Control Specialist"/>
    <x v="3"/>
    <s v="USA"/>
    <s v="Domestic"/>
    <x v="0"/>
    <n v="1272396"/>
    <n v="10603.300000000001"/>
  </r>
  <r>
    <n v="762"/>
    <s v="Stanley"/>
    <s v="cstanleyl5@springer.com"/>
    <s v="M"/>
    <x v="13"/>
    <d v="2013-08-09T00:00:00"/>
    <n v="2013"/>
    <n v="2021"/>
    <x v="4"/>
    <n v="103237"/>
    <s v="Account Executive"/>
    <x v="2"/>
    <s v="Canada"/>
    <s v="Electronic Equipment"/>
    <x v="0"/>
    <n v="1238844"/>
    <n v="10323.700000000001"/>
  </r>
  <r>
    <n v="763"/>
    <s v="Bell"/>
    <s v="dbelll6@wisc.edu"/>
    <s v="M"/>
    <x v="0"/>
    <d v="2002-04-22T00:00:00"/>
    <n v="2002"/>
    <n v="2021"/>
    <x v="3"/>
    <n v="122843"/>
    <s v="Accountant IV"/>
    <x v="0"/>
    <s v="USA"/>
    <s v="Electronic Equipment"/>
    <x v="0"/>
    <n v="1474116"/>
    <n v="12284.300000000001"/>
  </r>
  <r>
    <n v="764"/>
    <s v="Jacobs"/>
    <s v="mjacobsl7@ibm.com"/>
    <s v="F"/>
    <x v="20"/>
    <d v="2004-07-06T00:00:00"/>
    <n v="2004"/>
    <n v="2021"/>
    <x v="10"/>
    <n v="51771"/>
    <s v="Accountant III"/>
    <x v="1"/>
    <s v="USA"/>
    <s v="Entertainment"/>
    <x v="0"/>
    <n v="621252"/>
    <n v="5177.1000000000004"/>
  </r>
  <r>
    <n v="765"/>
    <s v="Williams"/>
    <s v="dwilliamsl8@google.com.br"/>
    <s v="M"/>
    <x v="5"/>
    <d v="2009-11-07T00:00:00"/>
    <n v="2009"/>
    <n v="2021"/>
    <x v="0"/>
    <n v="107709"/>
    <s v="Nuclear Power Engineer"/>
    <x v="3"/>
    <s v="USA"/>
    <s v="Auto &amp; Hardware"/>
    <x v="0"/>
    <n v="1292508"/>
    <n v="10770.900000000001"/>
  </r>
  <r>
    <n v="766"/>
    <s v="Elliott"/>
    <s v="kelliottl9@hhs.gov"/>
    <s v="M"/>
    <x v="16"/>
    <d v="2009-12-18T00:00:00"/>
    <n v="2009"/>
    <n v="2021"/>
    <x v="0"/>
    <n v="104149"/>
    <s v="Food Chemist"/>
    <x v="0"/>
    <s v="USA"/>
    <s v="Library"/>
    <x v="0"/>
    <n v="1249788"/>
    <n v="10414.900000000001"/>
  </r>
  <r>
    <n v="767"/>
    <s v="Hall"/>
    <s v="jhallla@hao123.com"/>
    <s v="M"/>
    <x v="16"/>
    <d v="2004-08-02T00:00:00"/>
    <n v="2004"/>
    <n v="2021"/>
    <x v="10"/>
    <n v="91501"/>
    <s v="Editor"/>
    <x v="2"/>
    <s v="Canada"/>
    <s v="Library"/>
    <x v="0"/>
    <n v="1098012"/>
    <n v="9150.1"/>
  </r>
  <r>
    <n v="768"/>
    <s v="Meyer"/>
    <s v="jmeyerlb@yandex.ru"/>
    <s v="F"/>
    <x v="2"/>
    <d v="2027-07-24T00:00:00"/>
    <n v="2014"/>
    <n v="2021"/>
    <x v="2"/>
    <n v="42602"/>
    <s v="Programmer IV"/>
    <x v="0"/>
    <s v="USA"/>
    <s v="Auto &amp; Hardware"/>
    <x v="0"/>
    <n v="511224"/>
    <n v="4260.2"/>
  </r>
  <r>
    <n v="769"/>
    <s v="Kelly"/>
    <s v="jkellylc@linkedin.com"/>
    <s v="F"/>
    <x v="11"/>
    <d v="2026-11-24T00:00:00"/>
    <n v="2013"/>
    <n v="2021"/>
    <x v="4"/>
    <n v="132676"/>
    <s v="Dental Hygienist"/>
    <x v="5"/>
    <s v="USA"/>
    <s v="Domestic"/>
    <x v="0"/>
    <n v="1592112"/>
    <n v="13267.6"/>
  </r>
  <r>
    <n v="770"/>
    <s v="Burton"/>
    <s v="jburtonld@delicious.com"/>
    <s v="F"/>
    <x v="10"/>
    <d v="2006-05-04T00:00:00"/>
    <n v="2006"/>
    <n v="2021"/>
    <x v="5"/>
    <n v="140688"/>
    <s v="Programmer Analyst III"/>
    <x v="1"/>
    <s v="USA"/>
    <s v="Domestic"/>
    <x v="0"/>
    <n v="1688256"/>
    <n v="14068.800000000001"/>
  </r>
  <r>
    <n v="771"/>
    <s v="Clark"/>
    <s v="rclarkle@ted.com"/>
    <s v="F"/>
    <x v="15"/>
    <d v="2027-09-09T00:00:00"/>
    <n v="2014"/>
    <n v="2021"/>
    <x v="2"/>
    <n v="51792"/>
    <s v="Software Consultant"/>
    <x v="5"/>
    <s v="USA"/>
    <s v="Outdoors &amp; Garden"/>
    <x v="0"/>
    <n v="621504"/>
    <n v="5179.2000000000007"/>
  </r>
  <r>
    <n v="772"/>
    <s v="Elliott"/>
    <s v="delliottlf@fda.gov"/>
    <s v="M"/>
    <x v="7"/>
    <d v="2004-10-13T00:00:00"/>
    <n v="2004"/>
    <n v="2021"/>
    <x v="10"/>
    <n v="100570"/>
    <s v="Senior Financial Analyst"/>
    <x v="6"/>
    <s v="Canada"/>
    <s v="Entertainment"/>
    <x v="0"/>
    <n v="1206840"/>
    <n v="10057"/>
  </r>
  <r>
    <n v="773"/>
    <s v="Dixon"/>
    <s v="rdixonlg@parallels.com"/>
    <s v="M"/>
    <x v="5"/>
    <d v="2007-07-02T00:00:00"/>
    <n v="2007"/>
    <n v="2021"/>
    <x v="8"/>
    <n v="60383"/>
    <s v="VP Product Management"/>
    <x v="3"/>
    <s v="USA"/>
    <s v="Auto &amp; Hardware"/>
    <x v="0"/>
    <n v="724596"/>
    <n v="6038.3"/>
  </r>
  <r>
    <n v="774"/>
    <s v="Richards"/>
    <s v="vrichardslh@forbes.com"/>
    <s v="M"/>
    <x v="21"/>
    <d v="2006-03-21T00:00:00"/>
    <n v="2006"/>
    <n v="2021"/>
    <x v="5"/>
    <n v="68761"/>
    <s v="Graphic Designer"/>
    <x v="3"/>
    <s v="USA"/>
    <s v="Domestic"/>
    <x v="0"/>
    <n v="825132"/>
    <n v="6876.1"/>
  </r>
  <r>
    <n v="775"/>
    <s v="Gonzalez"/>
    <s v="egonzalezli@naver.com"/>
    <s v="F"/>
    <x v="5"/>
    <d v="2022-10-14T00:00:00"/>
    <n v="2009"/>
    <n v="2021"/>
    <x v="0"/>
    <n v="131830"/>
    <s v="GIS Technical Architect"/>
    <x v="0"/>
    <s v="USA"/>
    <s v="Auto &amp; Hardware"/>
    <x v="0"/>
    <n v="1581960"/>
    <n v="13183"/>
  </r>
  <r>
    <n v="776"/>
    <s v="Olson"/>
    <s v="kolsonlj@friendfeed.com"/>
    <s v="F"/>
    <x v="8"/>
    <d v="2026-09-27T00:00:00"/>
    <n v="2013"/>
    <n v="2021"/>
    <x v="4"/>
    <n v="107535"/>
    <s v="Office Assistant III"/>
    <x v="2"/>
    <s v="Canada"/>
    <s v="Domestic"/>
    <x v="0"/>
    <n v="1290420"/>
    <n v="10753.5"/>
  </r>
  <r>
    <n v="777"/>
    <s v="Sims"/>
    <s v="jsimslk@angelfire.com"/>
    <s v="M"/>
    <x v="14"/>
    <d v="2001-11-15T00:00:00"/>
    <n v="2001"/>
    <n v="2021"/>
    <x v="11"/>
    <n v="95548"/>
    <s v="Sales Associate"/>
    <x v="1"/>
    <s v="USA"/>
    <s v="Auto &amp; Hardware"/>
    <x v="0"/>
    <n v="1146576"/>
    <n v="9554.8000000000011"/>
  </r>
  <r>
    <n v="778"/>
    <s v="Thomas"/>
    <s v="ethomasll@aol.com"/>
    <s v="M"/>
    <x v="2"/>
    <d v="2013-05-16T00:00:00"/>
    <n v="2013"/>
    <n v="2021"/>
    <x v="4"/>
    <n v="116487"/>
    <s v="Graphic Designer"/>
    <x v="3"/>
    <s v="USA"/>
    <s v="Auto &amp; Hardware"/>
    <x v="0"/>
    <n v="1397844"/>
    <n v="11648.7"/>
  </r>
  <r>
    <n v="779"/>
    <s v="Gonzalez"/>
    <s v="mgonzalezlm@illinois.edu"/>
    <s v="M"/>
    <x v="4"/>
    <d v="2005-02-03T00:00:00"/>
    <n v="2005"/>
    <n v="2021"/>
    <x v="7"/>
    <n v="148106"/>
    <s v="Sales Representative"/>
    <x v="0"/>
    <s v="USA"/>
    <s v="Domestic"/>
    <x v="0"/>
    <n v="1777272"/>
    <n v="14810.6"/>
  </r>
  <r>
    <n v="780"/>
    <s v="Cox"/>
    <s v="dcoxln@studiopress.com"/>
    <s v="M"/>
    <x v="10"/>
    <d v="2007-04-04T00:00:00"/>
    <n v="2007"/>
    <n v="2021"/>
    <x v="8"/>
    <n v="135719"/>
    <s v="Database Administrator I"/>
    <x v="6"/>
    <s v="Canada"/>
    <s v="Domestic"/>
    <x v="0"/>
    <n v="1628628"/>
    <n v="13571.900000000001"/>
  </r>
  <r>
    <n v="781"/>
    <s v="Schmidt"/>
    <s v="rschmidtlo@harvard.edu"/>
    <s v="F"/>
    <x v="2"/>
    <d v="2023-04-04T00:00:00"/>
    <n v="2010"/>
    <n v="2021"/>
    <x v="14"/>
    <n v="121300"/>
    <s v="Human Resources Assistant II"/>
    <x v="6"/>
    <s v="Canada"/>
    <s v="Auto &amp; Hardware"/>
    <x v="0"/>
    <n v="1455600"/>
    <n v="12130"/>
  </r>
  <r>
    <n v="782"/>
    <s v="Weaver"/>
    <s v="jweaverlp@unblog.fr"/>
    <s v="M"/>
    <x v="7"/>
    <d v="2011-11-09T00:00:00"/>
    <n v="2011"/>
    <n v="2021"/>
    <x v="9"/>
    <n v="120226"/>
    <s v="Software Engineer II"/>
    <x v="5"/>
    <s v="USA"/>
    <s v="Entertainment"/>
    <x v="0"/>
    <n v="1442712"/>
    <n v="12022.6"/>
  </r>
  <r>
    <n v="783"/>
    <s v="Burns"/>
    <s v="kburnslq@163.com"/>
    <s v="M"/>
    <x v="2"/>
    <d v="2004-08-13T00:00:00"/>
    <n v="2004"/>
    <n v="2021"/>
    <x v="10"/>
    <n v="44377"/>
    <s v="Technical Writer"/>
    <x v="5"/>
    <s v="USA"/>
    <s v="Auto &amp; Hardware"/>
    <x v="0"/>
    <n v="532524"/>
    <n v="4437.7"/>
  </r>
  <r>
    <n v="784"/>
    <s v="Burns"/>
    <s v="aburnslr@squidoo.com"/>
    <s v="M"/>
    <x v="13"/>
    <d v="2008-02-15T00:00:00"/>
    <n v="2008"/>
    <n v="2021"/>
    <x v="1"/>
    <n v="102001"/>
    <s v="Developer III"/>
    <x v="5"/>
    <s v="USA"/>
    <s v="Electronic Equipment"/>
    <x v="0"/>
    <n v="1224012"/>
    <n v="10200.1"/>
  </r>
  <r>
    <n v="785"/>
    <s v="Miller"/>
    <s v="nmillerls@behance.net"/>
    <s v="M"/>
    <x v="20"/>
    <d v="2009-03-10T00:00:00"/>
    <n v="2009"/>
    <n v="2021"/>
    <x v="0"/>
    <n v="99151"/>
    <s v="Information Systems Manager"/>
    <x v="3"/>
    <s v="USA"/>
    <s v="Entertainment"/>
    <x v="0"/>
    <n v="1189812"/>
    <n v="9915.1"/>
  </r>
  <r>
    <n v="786"/>
    <s v="Willis"/>
    <s v="jwillislt@instagram.com"/>
    <s v="M"/>
    <x v="15"/>
    <d v="2000-10-08T00:00:00"/>
    <n v="2000"/>
    <n v="2021"/>
    <x v="13"/>
    <n v="123427"/>
    <s v="General Manager"/>
    <x v="5"/>
    <s v="USA"/>
    <s v="Outdoors &amp; Garden"/>
    <x v="0"/>
    <n v="1481124"/>
    <n v="12342.7"/>
  </r>
  <r>
    <n v="787"/>
    <s v="Williamson"/>
    <s v="twilliamsonlu@ow.ly"/>
    <s v="F"/>
    <x v="5"/>
    <d v="2003-03-09T00:00:00"/>
    <n v="2003"/>
    <n v="2021"/>
    <x v="6"/>
    <n v="135695"/>
    <s v="Budget/Accounting Analyst III"/>
    <x v="4"/>
    <s v="Canada"/>
    <s v="Auto &amp; Hardware"/>
    <x v="0"/>
    <n v="1628340"/>
    <n v="13569.5"/>
  </r>
  <r>
    <n v="788"/>
    <s v="Phillips"/>
    <s v="dphillipslv@domainmarket.com"/>
    <s v="F"/>
    <x v="6"/>
    <d v="2004-04-29T00:00:00"/>
    <n v="2004"/>
    <n v="2021"/>
    <x v="10"/>
    <n v="102793"/>
    <s v="Editor"/>
    <x v="5"/>
    <s v="USA"/>
    <s v="Games &amp; Sports"/>
    <x v="0"/>
    <n v="1233516"/>
    <n v="10279.300000000001"/>
  </r>
  <r>
    <n v="789"/>
    <s v="James"/>
    <s v="kjameslw@yellowbook.com"/>
    <s v="M"/>
    <x v="8"/>
    <d v="2005-03-20T00:00:00"/>
    <n v="2005"/>
    <n v="2021"/>
    <x v="7"/>
    <n v="130188"/>
    <s v="Structural Analysis Engineer"/>
    <x v="3"/>
    <s v="USA"/>
    <s v="Domestic"/>
    <x v="0"/>
    <n v="1562256"/>
    <n v="13018.800000000001"/>
  </r>
  <r>
    <n v="790"/>
    <s v="Murray"/>
    <s v="cmurraylx@icio.us"/>
    <s v="F"/>
    <x v="12"/>
    <d v="2026-04-25T00:00:00"/>
    <n v="2013"/>
    <n v="2021"/>
    <x v="4"/>
    <n v="97607"/>
    <s v="Accountant IV"/>
    <x v="1"/>
    <s v="USA"/>
    <s v="Domestic"/>
    <x v="0"/>
    <n v="1171284"/>
    <n v="9760.7000000000007"/>
  </r>
  <r>
    <n v="791"/>
    <s v="Phillips"/>
    <s v="tphillipsly@globo.com"/>
    <s v="F"/>
    <x v="1"/>
    <d v="2026-12-11T00:00:00"/>
    <n v="2013"/>
    <n v="2021"/>
    <x v="4"/>
    <n v="93534"/>
    <s v="Health Coach IV"/>
    <x v="3"/>
    <s v="USA"/>
    <s v="Games &amp; Sports"/>
    <x v="0"/>
    <n v="1122408"/>
    <n v="9353.4"/>
  </r>
  <r>
    <n v="792"/>
    <s v="Mccoy"/>
    <s v="jmccoylz@samsung.com"/>
    <s v="M"/>
    <x v="14"/>
    <d v="2007-09-20T00:00:00"/>
    <n v="2007"/>
    <n v="2021"/>
    <x v="8"/>
    <n v="95787"/>
    <s v="Engineer IV"/>
    <x v="0"/>
    <s v="USA"/>
    <s v="Auto &amp; Hardware"/>
    <x v="0"/>
    <n v="1149444"/>
    <n v="9578.7000000000007"/>
  </r>
  <r>
    <n v="793"/>
    <s v="Kelly"/>
    <s v="akellym0@unblog.fr"/>
    <s v="F"/>
    <x v="10"/>
    <d v="2024-04-16T00:00:00"/>
    <n v="2011"/>
    <n v="2021"/>
    <x v="9"/>
    <n v="120086"/>
    <s v="Professor"/>
    <x v="4"/>
    <s v="Canada"/>
    <s v="Domestic"/>
    <x v="0"/>
    <n v="1441032"/>
    <n v="12008.6"/>
  </r>
  <r>
    <n v="794"/>
    <s v="Larson"/>
    <s v="mlarsonm1@blinklist.com"/>
    <s v="F"/>
    <x v="18"/>
    <d v="2022-01-01T00:00:00"/>
    <n v="2009"/>
    <n v="2021"/>
    <x v="0"/>
    <n v="119414"/>
    <s v="Research Assistant II"/>
    <x v="3"/>
    <s v="USA"/>
    <s v="Outdoors &amp; Garden"/>
    <x v="0"/>
    <n v="1432968"/>
    <n v="11941.400000000001"/>
  </r>
  <r>
    <n v="795"/>
    <s v="Hansen"/>
    <s v="dhansenm2@thetimes.co.uk"/>
    <s v="F"/>
    <x v="15"/>
    <d v="2021-09-12T00:00:00"/>
    <n v="2008"/>
    <n v="2021"/>
    <x v="1"/>
    <n v="79952"/>
    <s v="Compensation Analyst"/>
    <x v="5"/>
    <s v="USA"/>
    <s v="Outdoors &amp; Garden"/>
    <x v="0"/>
    <n v="959424"/>
    <n v="7995.2000000000007"/>
  </r>
  <r>
    <n v="796"/>
    <s v="Owens"/>
    <s v="jowensm3@mail.ru"/>
    <s v="M"/>
    <x v="17"/>
    <d v="2004-08-17T00:00:00"/>
    <n v="2004"/>
    <n v="2021"/>
    <x v="10"/>
    <n v="138682"/>
    <s v="Analyst Programmer"/>
    <x v="2"/>
    <s v="Canada"/>
    <s v="Domestic"/>
    <x v="0"/>
    <n v="1664184"/>
    <n v="13868.2"/>
  </r>
  <r>
    <n v="797"/>
    <s v="Ramos"/>
    <s v="aramosm4@issuu.com"/>
    <s v="F"/>
    <x v="19"/>
    <d v="2003-05-20T00:00:00"/>
    <n v="2003"/>
    <n v="2021"/>
    <x v="6"/>
    <n v="49667"/>
    <s v="Help Desk Technician"/>
    <x v="4"/>
    <s v="Canada"/>
    <s v="Domestic"/>
    <x v="0"/>
    <n v="596004"/>
    <n v="4966.7000000000007"/>
  </r>
  <r>
    <n v="798"/>
    <s v="Kim"/>
    <s v="akimm5@vimeo.com"/>
    <s v="M"/>
    <x v="15"/>
    <d v="2008-07-13T00:00:00"/>
    <n v="2008"/>
    <n v="2021"/>
    <x v="1"/>
    <n v="83798"/>
    <s v="Technical Writer"/>
    <x v="6"/>
    <s v="Canada"/>
    <s v="Outdoors &amp; Garden"/>
    <x v="0"/>
    <n v="1005576"/>
    <n v="8379.8000000000011"/>
  </r>
  <r>
    <n v="799"/>
    <s v="Sims"/>
    <s v="asimsm6@lycos.com"/>
    <s v="F"/>
    <x v="8"/>
    <d v="2026-03-09T00:00:00"/>
    <n v="2013"/>
    <n v="2021"/>
    <x v="4"/>
    <n v="146024"/>
    <s v="Actuary"/>
    <x v="2"/>
    <s v="Canada"/>
    <s v="Domestic"/>
    <x v="0"/>
    <n v="1752288"/>
    <n v="14602.400000000001"/>
  </r>
  <r>
    <n v="800"/>
    <s v="Peterson"/>
    <s v="apetersonm7@eepurl.com"/>
    <s v="M"/>
    <x v="18"/>
    <d v="2000-09-08T00:00:00"/>
    <n v="2000"/>
    <n v="2021"/>
    <x v="13"/>
    <n v="144841"/>
    <s v="Web Developer I"/>
    <x v="5"/>
    <s v="USA"/>
    <s v="Outdoors &amp; Garden"/>
    <x v="0"/>
    <n v="1738092"/>
    <n v="14484.1"/>
  </r>
  <r>
    <n v="801"/>
    <s v="Gomez"/>
    <s v="tgomezm8@ucoz.ru"/>
    <s v="F"/>
    <x v="7"/>
    <d v="2025-09-20T00:00:00"/>
    <n v="2012"/>
    <n v="2021"/>
    <x v="12"/>
    <n v="101582"/>
    <s v="Biostatistician II"/>
    <x v="2"/>
    <s v="Canada"/>
    <s v="Entertainment"/>
    <x v="0"/>
    <n v="1218984"/>
    <n v="10158.200000000001"/>
  </r>
  <r>
    <n v="802"/>
    <s v="Knight"/>
    <s v="dknightm9@quantcast.com"/>
    <s v="F"/>
    <x v="7"/>
    <d v="2006-05-30T00:00:00"/>
    <n v="2006"/>
    <n v="2021"/>
    <x v="5"/>
    <n v="100716"/>
    <s v="Help Desk Operator"/>
    <x v="1"/>
    <s v="USA"/>
    <s v="Entertainment"/>
    <x v="0"/>
    <n v="1208592"/>
    <n v="10071.6"/>
  </r>
  <r>
    <n v="803"/>
    <s v="Hunt"/>
    <s v="ahuntma@g.co"/>
    <s v="F"/>
    <x v="17"/>
    <d v="2024-03-16T00:00:00"/>
    <n v="2011"/>
    <n v="2021"/>
    <x v="9"/>
    <n v="72016"/>
    <s v="Computer Systems Analyst I"/>
    <x v="5"/>
    <s v="USA"/>
    <s v="Domestic"/>
    <x v="0"/>
    <n v="864192"/>
    <n v="7201.6"/>
  </r>
  <r>
    <n v="804"/>
    <s v="Hunter"/>
    <s v="hhuntermb@reverbnation.com"/>
    <s v="F"/>
    <x v="16"/>
    <d v="2005-07-31T00:00:00"/>
    <n v="2005"/>
    <n v="2021"/>
    <x v="7"/>
    <n v="123156"/>
    <s v="Social Worker"/>
    <x v="3"/>
    <s v="USA"/>
    <s v="Library"/>
    <x v="0"/>
    <n v="1477872"/>
    <n v="12315.6"/>
  </r>
  <r>
    <n v="805"/>
    <s v="Gordon"/>
    <s v="pgordonmc@creativecommons.org"/>
    <s v="M"/>
    <x v="9"/>
    <d v="2014-08-13T00:00:00"/>
    <n v="2014"/>
    <n v="2021"/>
    <x v="2"/>
    <n v="110058"/>
    <s v="Business Systems Development Analyst"/>
    <x v="3"/>
    <s v="USA"/>
    <s v="Domestic"/>
    <x v="0"/>
    <n v="1320696"/>
    <n v="11005.800000000001"/>
  </r>
  <r>
    <n v="806"/>
    <s v="Hill"/>
    <s v="shillmd@ca.gov"/>
    <s v="M"/>
    <x v="21"/>
    <d v="2011-12-15T00:00:00"/>
    <n v="2011"/>
    <n v="2021"/>
    <x v="9"/>
    <n v="117092"/>
    <s v="VP Product Management"/>
    <x v="6"/>
    <s v="Canada"/>
    <s v="Domestic"/>
    <x v="0"/>
    <n v="1405104"/>
    <n v="11709.2"/>
  </r>
  <r>
    <n v="807"/>
    <s v="Gibson"/>
    <s v="hgibsonme@ox.ac.uk"/>
    <s v="M"/>
    <x v="14"/>
    <d v="2005-12-15T00:00:00"/>
    <n v="2005"/>
    <n v="2021"/>
    <x v="7"/>
    <n v="148816"/>
    <s v="Operator"/>
    <x v="5"/>
    <s v="USA"/>
    <s v="Auto &amp; Hardware"/>
    <x v="0"/>
    <n v="1785792"/>
    <n v="14881.6"/>
  </r>
  <r>
    <n v="808"/>
    <s v="Mills"/>
    <s v="jmillsmf@seesaa.net"/>
    <s v="F"/>
    <x v="10"/>
    <d v="2022-04-14T00:00:00"/>
    <n v="2009"/>
    <n v="2021"/>
    <x v="0"/>
    <n v="79031"/>
    <s v="Electrical Engineer"/>
    <x v="1"/>
    <s v="USA"/>
    <s v="Domestic"/>
    <x v="0"/>
    <n v="948372"/>
    <n v="7903.1"/>
  </r>
  <r>
    <n v="809"/>
    <s v="Butler"/>
    <s v="rbutlermg@netvibes.com"/>
    <s v="M"/>
    <x v="2"/>
    <d v="2006-08-09T00:00:00"/>
    <n v="2006"/>
    <n v="2021"/>
    <x v="5"/>
    <n v="128448"/>
    <s v="Technical Writer"/>
    <x v="1"/>
    <s v="USA"/>
    <s v="Auto &amp; Hardware"/>
    <x v="0"/>
    <n v="1541376"/>
    <n v="12844.800000000001"/>
  </r>
  <r>
    <n v="810"/>
    <s v="Foster"/>
    <s v="lfostermh@blog.com"/>
    <s v="F"/>
    <x v="19"/>
    <d v="2026-01-07T00:00:00"/>
    <n v="2013"/>
    <n v="2021"/>
    <x v="4"/>
    <n v="138478"/>
    <s v="Software Test Engineer IV"/>
    <x v="5"/>
    <s v="USA"/>
    <s v="Domestic"/>
    <x v="0"/>
    <n v="1661736"/>
    <n v="13847.800000000001"/>
  </r>
  <r>
    <n v="811"/>
    <s v="Harrison"/>
    <s v="eharrisonmi@cdbaby.com"/>
    <s v="M"/>
    <x v="3"/>
    <d v="2010-10-08T00:00:00"/>
    <n v="2010"/>
    <n v="2021"/>
    <x v="14"/>
    <n v="41026"/>
    <s v="Professor"/>
    <x v="3"/>
    <s v="USA"/>
    <s v="Fashion"/>
    <x v="0"/>
    <n v="492312"/>
    <n v="4102.6000000000004"/>
  </r>
  <r>
    <n v="812"/>
    <s v="Harvey"/>
    <s v="jharveymj@yandex.ru"/>
    <s v="M"/>
    <x v="17"/>
    <d v="2006-09-25T00:00:00"/>
    <n v="2006"/>
    <n v="2021"/>
    <x v="5"/>
    <n v="131816"/>
    <s v="Sales Representative"/>
    <x v="3"/>
    <s v="USA"/>
    <s v="Domestic"/>
    <x v="0"/>
    <n v="1581792"/>
    <n v="13181.6"/>
  </r>
  <r>
    <n v="813"/>
    <s v="Collins"/>
    <s v="dcollinsmk@salon.com"/>
    <s v="F"/>
    <x v="4"/>
    <d v="2026-11-11T00:00:00"/>
    <n v="2013"/>
    <n v="2021"/>
    <x v="4"/>
    <n v="85647"/>
    <s v="Speech Pathologist"/>
    <x v="4"/>
    <s v="Canada"/>
    <s v="Domestic"/>
    <x v="0"/>
    <n v="1027764"/>
    <n v="8564.7000000000007"/>
  </r>
  <r>
    <n v="814"/>
    <s v="Hayes"/>
    <s v="shayesml@usda.gov"/>
    <s v="M"/>
    <x v="3"/>
    <d v="2000-02-28T00:00:00"/>
    <n v="2000"/>
    <n v="2021"/>
    <x v="13"/>
    <n v="49457"/>
    <s v="Compensation Analyst"/>
    <x v="5"/>
    <s v="USA"/>
    <s v="Fashion"/>
    <x v="0"/>
    <n v="593484"/>
    <n v="4945.7000000000007"/>
  </r>
  <r>
    <n v="815"/>
    <s v="Burton"/>
    <s v="rburtonmm@ow.ly"/>
    <s v="F"/>
    <x v="15"/>
    <d v="2027-10-01T00:00:00"/>
    <n v="2014"/>
    <n v="2021"/>
    <x v="2"/>
    <n v="80763"/>
    <s v="Community Outreach Specialist"/>
    <x v="1"/>
    <s v="USA"/>
    <s v="Outdoors &amp; Garden"/>
    <x v="0"/>
    <n v="969156"/>
    <n v="8076.3"/>
  </r>
  <r>
    <n v="816"/>
    <s v="Jackson"/>
    <s v="pjacksonmn@dailymotion.com"/>
    <s v="F"/>
    <x v="17"/>
    <d v="2026-12-29T00:00:00"/>
    <n v="2013"/>
    <n v="2021"/>
    <x v="4"/>
    <n v="107093"/>
    <s v="Electrical Engineer"/>
    <x v="1"/>
    <s v="USA"/>
    <s v="Domestic"/>
    <x v="0"/>
    <n v="1285116"/>
    <n v="10709.300000000001"/>
  </r>
  <r>
    <n v="817"/>
    <s v="Dixon"/>
    <s v="sdixonmo@marriott.com"/>
    <s v="M"/>
    <x v="9"/>
    <d v="2008-01-15T00:00:00"/>
    <n v="2008"/>
    <n v="2021"/>
    <x v="1"/>
    <n v="138970"/>
    <s v="Structural Analysis Engineer"/>
    <x v="2"/>
    <s v="Canada"/>
    <s v="Domestic"/>
    <x v="0"/>
    <n v="1667640"/>
    <n v="13897"/>
  </r>
  <r>
    <n v="818"/>
    <s v="Rice"/>
    <s v="jricemp@columbia.edu"/>
    <s v="F"/>
    <x v="7"/>
    <d v="2002-04-05T00:00:00"/>
    <n v="2002"/>
    <n v="2021"/>
    <x v="3"/>
    <n v="82077"/>
    <s v="Data Coordiator"/>
    <x v="5"/>
    <s v="USA"/>
    <s v="Entertainment"/>
    <x v="0"/>
    <n v="984924"/>
    <n v="8207.7000000000007"/>
  </r>
  <r>
    <n v="819"/>
    <s v="Murray"/>
    <s v="jmurraymq@spiegel.de"/>
    <s v="M"/>
    <x v="14"/>
    <d v="2014-12-06T00:00:00"/>
    <n v="2014"/>
    <n v="2021"/>
    <x v="2"/>
    <n v="83237"/>
    <s v="Editor"/>
    <x v="5"/>
    <s v="USA"/>
    <s v="Auto &amp; Hardware"/>
    <x v="0"/>
    <n v="998844"/>
    <n v="8323.7000000000007"/>
  </r>
  <r>
    <n v="820"/>
    <s v="Baker"/>
    <s v="jbakermr@cafepress.com"/>
    <s v="M"/>
    <x v="6"/>
    <d v="2002-01-20T00:00:00"/>
    <n v="2002"/>
    <n v="2021"/>
    <x v="3"/>
    <n v="107749"/>
    <s v="Graphic Designer"/>
    <x v="0"/>
    <s v="USA"/>
    <s v="Games &amp; Sports"/>
    <x v="0"/>
    <n v="1292988"/>
    <n v="10774.900000000001"/>
  </r>
  <r>
    <n v="821"/>
    <s v="Riley"/>
    <s v="rrileyms@uiuc.edu"/>
    <s v="M"/>
    <x v="3"/>
    <d v="2012-06-19T00:00:00"/>
    <n v="2012"/>
    <n v="2021"/>
    <x v="12"/>
    <n v="149114"/>
    <s v="Business Systems Development Analyst"/>
    <x v="2"/>
    <s v="Canada"/>
    <s v="Fashion"/>
    <x v="0"/>
    <n v="1789368"/>
    <n v="14911.400000000001"/>
  </r>
  <r>
    <n v="822"/>
    <s v="Gonzalez"/>
    <s v="jgonzalezmt@nsw.gov.au"/>
    <s v="M"/>
    <x v="19"/>
    <d v="2007-08-09T00:00:00"/>
    <n v="2007"/>
    <n v="2021"/>
    <x v="8"/>
    <n v="107240"/>
    <s v="Financial Analyst"/>
    <x v="5"/>
    <s v="USA"/>
    <s v="Domestic"/>
    <x v="0"/>
    <n v="1286880"/>
    <n v="10724"/>
  </r>
  <r>
    <n v="823"/>
    <s v="Harrison"/>
    <s v="mharrisonmu@guardian.co.uk"/>
    <s v="F"/>
    <x v="9"/>
    <d v="2021-05-30T00:00:00"/>
    <n v="2008"/>
    <n v="2021"/>
    <x v="1"/>
    <n v="134334"/>
    <s v="Accountant II"/>
    <x v="2"/>
    <s v="Canada"/>
    <s v="Domestic"/>
    <x v="0"/>
    <n v="1612008"/>
    <n v="13433.400000000001"/>
  </r>
  <r>
    <n v="824"/>
    <s v="Morris"/>
    <s v="mmorrismv@tumblr.com"/>
    <s v="M"/>
    <x v="4"/>
    <d v="2002-09-26T00:00:00"/>
    <n v="2002"/>
    <n v="2021"/>
    <x v="3"/>
    <n v="72008"/>
    <s v="GIS Technical Architect"/>
    <x v="0"/>
    <s v="USA"/>
    <s v="Domestic"/>
    <x v="0"/>
    <n v="864096"/>
    <n v="7200.8"/>
  </r>
  <r>
    <n v="825"/>
    <s v="Turner"/>
    <s v="jturnermw@mapy.cz"/>
    <s v="M"/>
    <x v="16"/>
    <d v="2000-04-03T00:00:00"/>
    <n v="2000"/>
    <n v="2021"/>
    <x v="13"/>
    <n v="89285"/>
    <s v="Community Outreach Specialist"/>
    <x v="6"/>
    <s v="Canada"/>
    <s v="Library"/>
    <x v="0"/>
    <n v="1071420"/>
    <n v="8928.5"/>
  </r>
  <r>
    <n v="826"/>
    <s v="Garcia"/>
    <s v="cgarciamx@vistaprint.com"/>
    <s v="F"/>
    <x v="4"/>
    <d v="2003-08-10T00:00:00"/>
    <n v="2003"/>
    <n v="2021"/>
    <x v="6"/>
    <n v="131075"/>
    <s v="Help Desk Operator"/>
    <x v="0"/>
    <s v="USA"/>
    <s v="Domestic"/>
    <x v="0"/>
    <n v="1572900"/>
    <n v="13107.5"/>
  </r>
  <r>
    <n v="827"/>
    <s v="Fowler"/>
    <s v="hfowlermy@nps.gov"/>
    <s v="M"/>
    <x v="9"/>
    <d v="2009-05-07T00:00:00"/>
    <n v="2009"/>
    <n v="2021"/>
    <x v="0"/>
    <n v="110383"/>
    <s v="Chief Design Engineer"/>
    <x v="5"/>
    <s v="USA"/>
    <s v="Domestic"/>
    <x v="0"/>
    <n v="1324596"/>
    <n v="11038.300000000001"/>
  </r>
  <r>
    <n v="828"/>
    <s v="Allen"/>
    <s v="wallenmz@gnu.org"/>
    <s v="F"/>
    <x v="5"/>
    <d v="2005-07-18T00:00:00"/>
    <n v="2005"/>
    <n v="2021"/>
    <x v="7"/>
    <n v="149586"/>
    <s v="Account Coordinator"/>
    <x v="3"/>
    <s v="USA"/>
    <s v="Auto &amp; Hardware"/>
    <x v="0"/>
    <n v="1795032"/>
    <n v="14958.6"/>
  </r>
  <r>
    <n v="829"/>
    <s v="Parker"/>
    <s v="bparkern0@weibo.com"/>
    <s v="M"/>
    <x v="19"/>
    <d v="2002-11-27T00:00:00"/>
    <n v="2002"/>
    <n v="2021"/>
    <x v="3"/>
    <n v="89503"/>
    <s v="Research Associate"/>
    <x v="0"/>
    <s v="USA"/>
    <s v="Domestic"/>
    <x v="0"/>
    <n v="1074036"/>
    <n v="8950.3000000000011"/>
  </r>
  <r>
    <n v="830"/>
    <s v="Stewart"/>
    <s v="cstewartn1@hugedomains.com"/>
    <s v="F"/>
    <x v="0"/>
    <d v="2023-03-14T00:00:00"/>
    <n v="2010"/>
    <n v="2021"/>
    <x v="14"/>
    <n v="149336"/>
    <s v="Senior Sales Associate"/>
    <x v="3"/>
    <s v="USA"/>
    <s v="Electronic Equipment"/>
    <x v="0"/>
    <n v="1792032"/>
    <n v="14933.6"/>
  </r>
  <r>
    <n v="831"/>
    <s v="Rodriguez"/>
    <s v="drodriguezn2@guardian.co.uk"/>
    <s v="F"/>
    <x v="18"/>
    <d v="2006-08-30T00:00:00"/>
    <n v="2006"/>
    <n v="2021"/>
    <x v="5"/>
    <n v="140276"/>
    <s v="Electrical Engineer"/>
    <x v="6"/>
    <s v="Canada"/>
    <s v="Outdoors &amp; Garden"/>
    <x v="0"/>
    <n v="1683312"/>
    <n v="14027.6"/>
  </r>
  <r>
    <n v="832"/>
    <s v="Turner"/>
    <s v="hturnern3@tumblr.com"/>
    <s v="F"/>
    <x v="10"/>
    <d v="2001-04-08T00:00:00"/>
    <n v="2001"/>
    <n v="2021"/>
    <x v="11"/>
    <n v="127875"/>
    <s v="Accountant III"/>
    <x v="2"/>
    <s v="Canada"/>
    <s v="Domestic"/>
    <x v="0"/>
    <n v="1534500"/>
    <n v="12787.5"/>
  </r>
  <r>
    <n v="833"/>
    <s v="Chavez"/>
    <s v="rchavezn4@tamu.edu"/>
    <s v="F"/>
    <x v="20"/>
    <d v="2022-05-29T00:00:00"/>
    <n v="2009"/>
    <n v="2021"/>
    <x v="0"/>
    <n v="137704"/>
    <s v="Help Desk Technician"/>
    <x v="5"/>
    <s v="USA"/>
    <s v="Entertainment"/>
    <x v="0"/>
    <n v="1652448"/>
    <n v="13770.400000000001"/>
  </r>
  <r>
    <n v="834"/>
    <s v="Cox"/>
    <s v="kcoxn5@dyndns.org"/>
    <s v="F"/>
    <x v="10"/>
    <d v="2026-01-17T00:00:00"/>
    <n v="2013"/>
    <n v="2021"/>
    <x v="4"/>
    <n v="149221"/>
    <s v="Senior Financial Analyst"/>
    <x v="0"/>
    <s v="USA"/>
    <s v="Domestic"/>
    <x v="0"/>
    <n v="1790652"/>
    <n v="14922.1"/>
  </r>
  <r>
    <n v="835"/>
    <s v="Tucker"/>
    <s v="btuckern6@ovh.net"/>
    <s v="M"/>
    <x v="9"/>
    <d v="2014-06-04T00:00:00"/>
    <n v="2014"/>
    <n v="2021"/>
    <x v="2"/>
    <n v="148573"/>
    <s v="Nurse Practicioner"/>
    <x v="5"/>
    <s v="USA"/>
    <s v="Domestic"/>
    <x v="0"/>
    <n v="1782876"/>
    <n v="14857.300000000001"/>
  </r>
  <r>
    <n v="836"/>
    <s v="Vasquez"/>
    <s v="svasquezn7@1und1.de"/>
    <s v="F"/>
    <x v="10"/>
    <d v="2002-09-20T00:00:00"/>
    <n v="2002"/>
    <n v="2021"/>
    <x v="3"/>
    <n v="125378"/>
    <s v="Senior Developer"/>
    <x v="5"/>
    <s v="USA"/>
    <s v="Domestic"/>
    <x v="0"/>
    <n v="1504536"/>
    <n v="12537.800000000001"/>
  </r>
  <r>
    <n v="837"/>
    <s v="Cole"/>
    <s v="wcolen8@php.net"/>
    <s v="F"/>
    <x v="3"/>
    <d v="2006-09-12T00:00:00"/>
    <n v="2006"/>
    <n v="2021"/>
    <x v="5"/>
    <n v="66420"/>
    <s v="Clinical Specialist"/>
    <x v="2"/>
    <s v="Canada"/>
    <s v="Fashion"/>
    <x v="0"/>
    <n v="797040"/>
    <n v="6642"/>
  </r>
  <r>
    <n v="838"/>
    <s v="Black"/>
    <s v="rblackn9@sun.com"/>
    <s v="M"/>
    <x v="6"/>
    <d v="2008-09-28T00:00:00"/>
    <n v="2008"/>
    <n v="2021"/>
    <x v="1"/>
    <n v="117171"/>
    <s v="Electrical Engineer"/>
    <x v="5"/>
    <s v="USA"/>
    <s v="Games &amp; Sports"/>
    <x v="0"/>
    <n v="1406052"/>
    <n v="11717.1"/>
  </r>
  <r>
    <n v="839"/>
    <s v="Richardson"/>
    <s v="trichardsonna@cbsnews.com"/>
    <s v="F"/>
    <x v="19"/>
    <d v="2021-10-23T00:00:00"/>
    <n v="2008"/>
    <n v="2021"/>
    <x v="1"/>
    <n v="145962"/>
    <s v="Cost Accountant"/>
    <x v="1"/>
    <s v="USA"/>
    <s v="Domestic"/>
    <x v="0"/>
    <n v="1751544"/>
    <n v="14596.2"/>
  </r>
  <r>
    <n v="840"/>
    <s v="Hamilton"/>
    <s v="phamiltonnb@earthlink.net"/>
    <s v="M"/>
    <x v="16"/>
    <d v="2001-10-19T00:00:00"/>
    <n v="2001"/>
    <n v="2021"/>
    <x v="11"/>
    <n v="73778"/>
    <s v="Sales Representative"/>
    <x v="0"/>
    <s v="USA"/>
    <s v="Library"/>
    <x v="0"/>
    <n v="885336"/>
    <n v="7377.8"/>
  </r>
  <r>
    <n v="841"/>
    <s v="Sullivan"/>
    <s v="ssullivannc@clickbank.net"/>
    <s v="M"/>
    <x v="11"/>
    <d v="2008-03-04T00:00:00"/>
    <n v="2008"/>
    <n v="2021"/>
    <x v="1"/>
    <n v="76731"/>
    <s v="Accounting Assistant II"/>
    <x v="0"/>
    <s v="USA"/>
    <s v="Domestic"/>
    <x v="0"/>
    <n v="920772"/>
    <n v="7673.1"/>
  </r>
  <r>
    <n v="842"/>
    <s v="Carpenter"/>
    <s v="acarpenternd@prlog.org"/>
    <s v="F"/>
    <x v="17"/>
    <d v="2021-07-13T00:00:00"/>
    <n v="2008"/>
    <n v="2021"/>
    <x v="1"/>
    <n v="101653"/>
    <s v="Web Designer II"/>
    <x v="4"/>
    <s v="Canada"/>
    <s v="Domestic"/>
    <x v="0"/>
    <n v="1219836"/>
    <n v="10165.300000000001"/>
  </r>
  <r>
    <n v="843"/>
    <s v="Ross"/>
    <s v="rrossne@salon.com"/>
    <s v="M"/>
    <x v="15"/>
    <d v="2001-01-11T00:00:00"/>
    <n v="2001"/>
    <n v="2021"/>
    <x v="11"/>
    <n v="62534"/>
    <s v="Senior Editor"/>
    <x v="1"/>
    <s v="USA"/>
    <s v="Outdoors &amp; Garden"/>
    <x v="0"/>
    <n v="750408"/>
    <n v="6253.4000000000005"/>
  </r>
  <r>
    <n v="844"/>
    <s v="Hall"/>
    <s v="jhallnf@1und1.de"/>
    <s v="M"/>
    <x v="18"/>
    <d v="2013-04-30T00:00:00"/>
    <n v="2013"/>
    <n v="2021"/>
    <x v="4"/>
    <n v="100428"/>
    <s v="Web Designer I"/>
    <x v="1"/>
    <s v="USA"/>
    <s v="Outdoors &amp; Garden"/>
    <x v="0"/>
    <n v="1205136"/>
    <n v="10042.800000000001"/>
  </r>
  <r>
    <n v="845"/>
    <s v="Washington"/>
    <s v="iwashingtonng@freewebs.com"/>
    <s v="M"/>
    <x v="11"/>
    <d v="2001-12-02T00:00:00"/>
    <n v="2001"/>
    <n v="2021"/>
    <x v="11"/>
    <n v="109828"/>
    <s v="VP Quality Control"/>
    <x v="4"/>
    <s v="Canada"/>
    <s v="Domestic"/>
    <x v="0"/>
    <n v="1317936"/>
    <n v="10982.800000000001"/>
  </r>
  <r>
    <n v="846"/>
    <s v="Moreno"/>
    <s v="dmorenonh@webs.com"/>
    <s v="F"/>
    <x v="3"/>
    <d v="2001-03-21T00:00:00"/>
    <n v="2001"/>
    <n v="2021"/>
    <x v="11"/>
    <n v="63133"/>
    <s v="Clinical Specialist"/>
    <x v="6"/>
    <s v="Canada"/>
    <s v="Fashion"/>
    <x v="0"/>
    <n v="757596"/>
    <n v="6313.3"/>
  </r>
  <r>
    <n v="847"/>
    <s v="Knight"/>
    <s v="dknightni@unc.edu"/>
    <s v="F"/>
    <x v="8"/>
    <d v="2021-03-22T00:00:00"/>
    <n v="2008"/>
    <n v="2021"/>
    <x v="1"/>
    <n v="91532"/>
    <s v="Operator"/>
    <x v="5"/>
    <s v="USA"/>
    <s v="Domestic"/>
    <x v="0"/>
    <n v="1098384"/>
    <n v="9153.2000000000007"/>
  </r>
  <r>
    <n v="848"/>
    <s v="Austin"/>
    <s v="jaustinnj@gov.uk"/>
    <s v="F"/>
    <x v="21"/>
    <d v="2005-01-26T00:00:00"/>
    <n v="2005"/>
    <n v="2021"/>
    <x v="7"/>
    <n v="101646"/>
    <s v="Environmental Tech"/>
    <x v="3"/>
    <s v="USA"/>
    <s v="Domestic"/>
    <x v="0"/>
    <n v="1219752"/>
    <n v="10164.6"/>
  </r>
  <r>
    <n v="849"/>
    <s v="Rice"/>
    <s v="kricenk@cyberchimps.com"/>
    <s v="M"/>
    <x v="4"/>
    <d v="2002-08-02T00:00:00"/>
    <n v="2002"/>
    <n v="2021"/>
    <x v="3"/>
    <n v="68034"/>
    <s v="Senior Financial Analyst"/>
    <x v="5"/>
    <s v="USA"/>
    <s v="Domestic"/>
    <x v="0"/>
    <n v="816408"/>
    <n v="6803.4000000000005"/>
  </r>
  <r>
    <n v="850"/>
    <s v="Kelley"/>
    <s v="pkelleynl@biglobe.ne.jp"/>
    <s v="M"/>
    <x v="11"/>
    <d v="2012-04-04T00:00:00"/>
    <n v="2012"/>
    <n v="2021"/>
    <x v="12"/>
    <n v="55214"/>
    <s v="Senior Quality Engineer"/>
    <x v="0"/>
    <s v="USA"/>
    <s v="Domestic"/>
    <x v="0"/>
    <n v="662568"/>
    <n v="5521.4000000000005"/>
  </r>
  <r>
    <n v="851"/>
    <s v="Gordon"/>
    <s v="bgordonnm@imdb.com"/>
    <s v="F"/>
    <x v="2"/>
    <d v="2002-12-29T00:00:00"/>
    <n v="2002"/>
    <n v="2021"/>
    <x v="3"/>
    <n v="136448"/>
    <s v="Media Manager II"/>
    <x v="5"/>
    <s v="USA"/>
    <s v="Auto &amp; Hardware"/>
    <x v="0"/>
    <n v="1637376"/>
    <n v="13644.800000000001"/>
  </r>
  <r>
    <n v="852"/>
    <s v="Rose"/>
    <s v="srosenn@flavors.me"/>
    <s v="M"/>
    <x v="21"/>
    <d v="2010-05-01T00:00:00"/>
    <n v="2010"/>
    <n v="2021"/>
    <x v="14"/>
    <n v="76086"/>
    <s v="Statistician I"/>
    <x v="2"/>
    <s v="Canada"/>
    <s v="Domestic"/>
    <x v="0"/>
    <n v="913032"/>
    <n v="7608.6"/>
  </r>
  <r>
    <n v="853"/>
    <s v="Mendoza"/>
    <s v="emendozano@edublogs.org"/>
    <s v="M"/>
    <x v="17"/>
    <d v="2013-08-03T00:00:00"/>
    <n v="2013"/>
    <n v="2021"/>
    <x v="4"/>
    <n v="128947"/>
    <s v="Help Desk Operator"/>
    <x v="6"/>
    <s v="Canada"/>
    <s v="Domestic"/>
    <x v="0"/>
    <n v="1547364"/>
    <n v="12894.7"/>
  </r>
  <r>
    <n v="854"/>
    <s v="Hanson"/>
    <s v="ghansonnp@free.fr"/>
    <s v="M"/>
    <x v="5"/>
    <d v="2006-10-14T00:00:00"/>
    <n v="2006"/>
    <n v="2021"/>
    <x v="5"/>
    <n v="113354"/>
    <s v="VP Quality Control"/>
    <x v="5"/>
    <s v="USA"/>
    <s v="Auto &amp; Hardware"/>
    <x v="0"/>
    <n v="1360248"/>
    <n v="11335.400000000001"/>
  </r>
  <r>
    <n v="855"/>
    <s v="Perry"/>
    <s v="eperrynq@imdb.com"/>
    <s v="M"/>
    <x v="15"/>
    <d v="2012-05-21T00:00:00"/>
    <n v="2012"/>
    <n v="2021"/>
    <x v="12"/>
    <n v="75125"/>
    <s v="VP Marketing"/>
    <x v="2"/>
    <s v="Canada"/>
    <s v="Outdoors &amp; Garden"/>
    <x v="0"/>
    <n v="901500"/>
    <n v="7512.5"/>
  </r>
  <r>
    <n v="856"/>
    <s v="Roberts"/>
    <s v="trobertsnr@over-blog.com"/>
    <s v="F"/>
    <x v="8"/>
    <d v="2004-02-21T00:00:00"/>
    <n v="2004"/>
    <n v="2021"/>
    <x v="10"/>
    <n v="139714"/>
    <s v="Help Desk Operator"/>
    <x v="0"/>
    <s v="USA"/>
    <s v="Domestic"/>
    <x v="0"/>
    <n v="1676568"/>
    <n v="13971.400000000001"/>
  </r>
  <r>
    <n v="857"/>
    <s v="Nichols"/>
    <s v="dnicholsns@ifeng.com"/>
    <s v="M"/>
    <x v="6"/>
    <d v="2003-10-20T00:00:00"/>
    <n v="2003"/>
    <n v="2021"/>
    <x v="6"/>
    <n v="43537"/>
    <s v="Help Desk Operator"/>
    <x v="5"/>
    <s v="USA"/>
    <s v="Games &amp; Sports"/>
    <x v="0"/>
    <n v="522444"/>
    <n v="4353.7"/>
  </r>
  <r>
    <n v="858"/>
    <s v="Wright"/>
    <s v="lwrightnt@house.gov"/>
    <s v="F"/>
    <x v="2"/>
    <d v="2001-11-23T00:00:00"/>
    <n v="2001"/>
    <n v="2021"/>
    <x v="11"/>
    <n v="127521"/>
    <s v="Nurse"/>
    <x v="5"/>
    <s v="USA"/>
    <s v="Auto &amp; Hardware"/>
    <x v="0"/>
    <n v="1530252"/>
    <n v="12752.1"/>
  </r>
  <r>
    <n v="859"/>
    <s v="Clark"/>
    <s v="mclarknu@bigcartel.com"/>
    <s v="M"/>
    <x v="19"/>
    <d v="2007-02-19T00:00:00"/>
    <n v="2007"/>
    <n v="2021"/>
    <x v="8"/>
    <n v="112510"/>
    <s v="Information Systems Manager"/>
    <x v="5"/>
    <s v="USA"/>
    <s v="Domestic"/>
    <x v="0"/>
    <n v="1350120"/>
    <n v="11251"/>
  </r>
  <r>
    <n v="860"/>
    <s v="Anderson"/>
    <s v="landersonnv@sakura.ne.jp"/>
    <s v="M"/>
    <x v="1"/>
    <d v="2004-12-26T00:00:00"/>
    <n v="2004"/>
    <n v="2021"/>
    <x v="10"/>
    <n v="115009"/>
    <s v="Structural Engineer"/>
    <x v="5"/>
    <s v="USA"/>
    <s v="Games &amp; Sports"/>
    <x v="0"/>
    <n v="1380108"/>
    <n v="11500.900000000001"/>
  </r>
  <r>
    <n v="861"/>
    <s v="Foster"/>
    <s v="kfosternw@a8.net"/>
    <s v="F"/>
    <x v="13"/>
    <d v="2026-05-01T00:00:00"/>
    <n v="2013"/>
    <n v="2021"/>
    <x v="4"/>
    <n v="64381"/>
    <s v="Professor"/>
    <x v="2"/>
    <s v="Canada"/>
    <s v="Electronic Equipment"/>
    <x v="0"/>
    <n v="772572"/>
    <n v="6438.1"/>
  </r>
  <r>
    <n v="862"/>
    <s v="Stanley"/>
    <s v="bstanleynx@phoca.cz"/>
    <s v="F"/>
    <x v="4"/>
    <d v="2001-02-10T00:00:00"/>
    <n v="2001"/>
    <n v="2021"/>
    <x v="11"/>
    <n v="149929"/>
    <s v="Director of Sales"/>
    <x v="4"/>
    <s v="Canada"/>
    <s v="Domestic"/>
    <x v="0"/>
    <n v="1799148"/>
    <n v="14992.900000000001"/>
  </r>
  <r>
    <n v="863"/>
    <s v="Gonzales"/>
    <s v="fgonzalesny@squarespace.com"/>
    <s v="F"/>
    <x v="2"/>
    <d v="2001-09-07T00:00:00"/>
    <n v="2001"/>
    <n v="2021"/>
    <x v="11"/>
    <n v="101006"/>
    <s v="Sales Associate"/>
    <x v="0"/>
    <s v="USA"/>
    <s v="Auto &amp; Hardware"/>
    <x v="0"/>
    <n v="1212072"/>
    <n v="10100.6"/>
  </r>
  <r>
    <n v="864"/>
    <s v="Jones"/>
    <s v="sjonesnz@chron.com"/>
    <s v="F"/>
    <x v="17"/>
    <d v="2026-09-01T00:00:00"/>
    <n v="2013"/>
    <n v="2021"/>
    <x v="4"/>
    <n v="47716"/>
    <s v="Quality Engineer"/>
    <x v="0"/>
    <s v="USA"/>
    <s v="Domestic"/>
    <x v="0"/>
    <n v="572592"/>
    <n v="4771.6000000000004"/>
  </r>
  <r>
    <n v="865"/>
    <s v="Dixon"/>
    <s v="mdixono0@cbc.ca"/>
    <s v="F"/>
    <x v="1"/>
    <d v="2021-12-29T00:00:00"/>
    <n v="2008"/>
    <n v="2021"/>
    <x v="1"/>
    <n v="126420"/>
    <s v="Structural Analysis Engineer"/>
    <x v="4"/>
    <s v="Canada"/>
    <s v="Games &amp; Sports"/>
    <x v="0"/>
    <n v="1517040"/>
    <n v="12642"/>
  </r>
  <r>
    <n v="866"/>
    <s v="Kelly"/>
    <s v="jkellyo1@ameblo.jp"/>
    <s v="F"/>
    <x v="1"/>
    <d v="2024-09-01T00:00:00"/>
    <n v="2011"/>
    <n v="2021"/>
    <x v="9"/>
    <n v="55265"/>
    <s v="Paralegal"/>
    <x v="3"/>
    <s v="USA"/>
    <s v="Games &amp; Sports"/>
    <x v="0"/>
    <n v="663180"/>
    <n v="5526.5"/>
  </r>
  <r>
    <n v="867"/>
    <s v="Johnson"/>
    <s v="bjohnsono2@toplist.cz"/>
    <s v="F"/>
    <x v="16"/>
    <d v="2025-03-18T00:00:00"/>
    <n v="2012"/>
    <n v="2021"/>
    <x v="12"/>
    <n v="95679"/>
    <s v="Associate Professor"/>
    <x v="1"/>
    <s v="USA"/>
    <s v="Library"/>
    <x v="0"/>
    <n v="1148148"/>
    <n v="9567.9"/>
  </r>
  <r>
    <n v="868"/>
    <s v="Price"/>
    <s v="jpriceo3@google.it"/>
    <s v="M"/>
    <x v="7"/>
    <d v="2003-01-24T00:00:00"/>
    <n v="2003"/>
    <n v="2021"/>
    <x v="6"/>
    <n v="52612"/>
    <s v="Analyst Programmer"/>
    <x v="2"/>
    <s v="Canada"/>
    <s v="Entertainment"/>
    <x v="0"/>
    <n v="631344"/>
    <n v="5261.2000000000007"/>
  </r>
  <r>
    <n v="869"/>
    <s v="Turner"/>
    <s v="pturnero4@tamu.edu"/>
    <s v="F"/>
    <x v="21"/>
    <d v="2023-12-10T00:00:00"/>
    <n v="2010"/>
    <n v="2021"/>
    <x v="14"/>
    <n v="130849"/>
    <s v="Desktop Support Technician"/>
    <x v="6"/>
    <s v="Canada"/>
    <s v="Domestic"/>
    <x v="0"/>
    <n v="1570188"/>
    <n v="13084.900000000001"/>
  </r>
  <r>
    <n v="870"/>
    <s v="Howard"/>
    <s v="ghowardo5@ow.ly"/>
    <s v="M"/>
    <x v="18"/>
    <d v="2006-08-21T00:00:00"/>
    <n v="2006"/>
    <n v="2021"/>
    <x v="5"/>
    <n v="141753"/>
    <s v="Assistant Professor"/>
    <x v="1"/>
    <s v="USA"/>
    <s v="Outdoors &amp; Garden"/>
    <x v="0"/>
    <n v="1701036"/>
    <n v="14175.300000000001"/>
  </r>
  <r>
    <n v="871"/>
    <s v="Hanson"/>
    <s v="thansono6@paginegialle.it"/>
    <s v="M"/>
    <x v="19"/>
    <d v="2007-08-27T00:00:00"/>
    <n v="2007"/>
    <n v="2021"/>
    <x v="8"/>
    <n v="133492"/>
    <s v="Accountant II"/>
    <x v="1"/>
    <s v="USA"/>
    <s v="Domestic"/>
    <x v="0"/>
    <n v="1601904"/>
    <n v="13349.2"/>
  </r>
  <r>
    <n v="872"/>
    <s v="Hall"/>
    <s v="thallo7@hud.gov"/>
    <s v="M"/>
    <x v="11"/>
    <d v="2004-12-28T00:00:00"/>
    <n v="2004"/>
    <n v="2021"/>
    <x v="10"/>
    <n v="112126"/>
    <s v="Information Systems Manager"/>
    <x v="1"/>
    <s v="USA"/>
    <s v="Domestic"/>
    <x v="0"/>
    <n v="1345512"/>
    <n v="11212.6"/>
  </r>
  <r>
    <n v="873"/>
    <s v="Alexander"/>
    <s v="aalexandero8@histats.com"/>
    <s v="F"/>
    <x v="6"/>
    <d v="2006-07-05T00:00:00"/>
    <n v="2006"/>
    <n v="2021"/>
    <x v="5"/>
    <n v="140078"/>
    <s v="Environmental Specialist"/>
    <x v="1"/>
    <s v="USA"/>
    <s v="Games &amp; Sports"/>
    <x v="0"/>
    <n v="1680936"/>
    <n v="14007.800000000001"/>
  </r>
  <r>
    <n v="874"/>
    <s v="Spencer"/>
    <s v="kspencero9@eventbrite.com"/>
    <s v="M"/>
    <x v="16"/>
    <d v="2012-09-29T00:00:00"/>
    <n v="2012"/>
    <n v="2021"/>
    <x v="12"/>
    <n v="119769"/>
    <s v="Director of Sales"/>
    <x v="0"/>
    <s v="USA"/>
    <s v="Library"/>
    <x v="0"/>
    <n v="1437228"/>
    <n v="11976.900000000001"/>
  </r>
  <r>
    <n v="875"/>
    <s v="Jenkins"/>
    <s v="rjenkinsoa@answers.com"/>
    <s v="F"/>
    <x v="19"/>
    <d v="2020-02-15T00:00:00"/>
    <n v="2007"/>
    <n v="2021"/>
    <x v="8"/>
    <n v="115911"/>
    <s v="Civil Engineer"/>
    <x v="2"/>
    <s v="Canada"/>
    <s v="Domestic"/>
    <x v="0"/>
    <n v="1390932"/>
    <n v="11591.1"/>
  </r>
  <r>
    <n v="876"/>
    <s v="Montgomery"/>
    <s v="amontgomeryob@dmoz.org"/>
    <s v="M"/>
    <x v="21"/>
    <d v="2003-12-22T00:00:00"/>
    <n v="2003"/>
    <n v="2021"/>
    <x v="6"/>
    <n v="75676"/>
    <s v="Recruiting Manager"/>
    <x v="1"/>
    <s v="USA"/>
    <s v="Domestic"/>
    <x v="0"/>
    <n v="908112"/>
    <n v="7567.6"/>
  </r>
  <r>
    <n v="877"/>
    <s v="Webb"/>
    <s v="rwebboc@a8.net"/>
    <s v="M"/>
    <x v="18"/>
    <d v="2005-04-13T00:00:00"/>
    <n v="2005"/>
    <n v="2021"/>
    <x v="7"/>
    <n v="144932"/>
    <s v="Marketing Assistant"/>
    <x v="5"/>
    <s v="USA"/>
    <s v="Outdoors &amp; Garden"/>
    <x v="0"/>
    <n v="1739184"/>
    <n v="14493.2"/>
  </r>
  <r>
    <n v="878"/>
    <s v="Williamson"/>
    <s v="pwilliamsonod@utexas.edu"/>
    <s v="M"/>
    <x v="14"/>
    <d v="2010-10-25T00:00:00"/>
    <n v="2010"/>
    <n v="2021"/>
    <x v="14"/>
    <n v="80102"/>
    <s v="Graphic Designer"/>
    <x v="0"/>
    <s v="USA"/>
    <s v="Auto &amp; Hardware"/>
    <x v="0"/>
    <n v="961224"/>
    <n v="8010.2000000000007"/>
  </r>
  <r>
    <n v="879"/>
    <s v="Hill"/>
    <s v="shilloe@ft.com"/>
    <s v="M"/>
    <x v="5"/>
    <d v="2011-10-03T00:00:00"/>
    <n v="2011"/>
    <n v="2021"/>
    <x v="9"/>
    <n v="144661"/>
    <s v="Registered Nurse"/>
    <x v="1"/>
    <s v="USA"/>
    <s v="Auto &amp; Hardware"/>
    <x v="0"/>
    <n v="1735932"/>
    <n v="14466.1"/>
  </r>
  <r>
    <n v="880"/>
    <s v="Grant"/>
    <s v="kgrantof@phoca.cz"/>
    <s v="F"/>
    <x v="20"/>
    <d v="2001-09-26T00:00:00"/>
    <n v="2001"/>
    <n v="2021"/>
    <x v="11"/>
    <n v="60268"/>
    <s v="Registered Nurse"/>
    <x v="1"/>
    <s v="USA"/>
    <s v="Entertainment"/>
    <x v="0"/>
    <n v="723216"/>
    <n v="6026.8"/>
  </r>
  <r>
    <n v="881"/>
    <s v="Wright"/>
    <s v="cwrightog@trellian.com"/>
    <s v="F"/>
    <x v="5"/>
    <d v="2027-09-10T00:00:00"/>
    <n v="2014"/>
    <n v="2021"/>
    <x v="2"/>
    <n v="94072"/>
    <s v="Social Worker"/>
    <x v="1"/>
    <s v="USA"/>
    <s v="Auto &amp; Hardware"/>
    <x v="0"/>
    <n v="1128864"/>
    <n v="9407.2000000000007"/>
  </r>
  <r>
    <n v="882"/>
    <s v="George"/>
    <s v="wgeorgeoh@mail.ru"/>
    <s v="M"/>
    <x v="21"/>
    <d v="2006-02-23T00:00:00"/>
    <n v="2006"/>
    <n v="2021"/>
    <x v="5"/>
    <n v="85249"/>
    <s v="Engineer I"/>
    <x v="0"/>
    <s v="USA"/>
    <s v="Domestic"/>
    <x v="0"/>
    <n v="1022988"/>
    <n v="8524.9"/>
  </r>
  <r>
    <n v="883"/>
    <s v="George"/>
    <s v="lgeorgeoi@jigsy.com"/>
    <s v="M"/>
    <x v="4"/>
    <d v="2007-10-12T00:00:00"/>
    <n v="2007"/>
    <n v="2021"/>
    <x v="8"/>
    <n v="66059"/>
    <s v="Software Test Engineer IV"/>
    <x v="6"/>
    <s v="Canada"/>
    <s v="Domestic"/>
    <x v="0"/>
    <n v="792708"/>
    <n v="6605.9000000000005"/>
  </r>
  <r>
    <n v="884"/>
    <s v="Ford"/>
    <s v="bfordoj@spiegel.de"/>
    <s v="F"/>
    <x v="13"/>
    <d v="2005-11-26T00:00:00"/>
    <n v="2005"/>
    <n v="2021"/>
    <x v="7"/>
    <n v="80931"/>
    <s v="Cost Accountant"/>
    <x v="3"/>
    <s v="USA"/>
    <s v="Electronic Equipment"/>
    <x v="0"/>
    <n v="971172"/>
    <n v="8093.1"/>
  </r>
  <r>
    <n v="885"/>
    <s v="Wallace"/>
    <s v="mwallaceok@abc.net.au"/>
    <s v="F"/>
    <x v="6"/>
    <d v="2024-09-17T00:00:00"/>
    <n v="2011"/>
    <n v="2021"/>
    <x v="9"/>
    <n v="118793"/>
    <s v="Research Assistant III"/>
    <x v="1"/>
    <s v="USA"/>
    <s v="Games &amp; Sports"/>
    <x v="0"/>
    <n v="1425516"/>
    <n v="11879.300000000001"/>
  </r>
  <r>
    <n v="886"/>
    <s v="Murphy"/>
    <s v="fmurphyol@tumblr.com"/>
    <s v="F"/>
    <x v="9"/>
    <d v="2027-09-26T00:00:00"/>
    <n v="2014"/>
    <n v="2021"/>
    <x v="2"/>
    <n v="62114"/>
    <s v="Analyst Programmer"/>
    <x v="2"/>
    <s v="Canada"/>
    <s v="Domestic"/>
    <x v="0"/>
    <n v="745368"/>
    <n v="6211.4000000000005"/>
  </r>
  <r>
    <n v="887"/>
    <s v="Vasquez"/>
    <s v="jvasquezom@networksolutions.com"/>
    <s v="M"/>
    <x v="17"/>
    <d v="2014-05-03T00:00:00"/>
    <n v="2014"/>
    <n v="2021"/>
    <x v="2"/>
    <n v="131811"/>
    <s v="Social Worker"/>
    <x v="5"/>
    <s v="USA"/>
    <s v="Domestic"/>
    <x v="0"/>
    <n v="1581732"/>
    <n v="13181.1"/>
  </r>
  <r>
    <n v="888"/>
    <s v="Collins"/>
    <s v="bcollinson@google.pl"/>
    <s v="F"/>
    <x v="18"/>
    <d v="2020-09-30T00:00:00"/>
    <n v="2007"/>
    <n v="2021"/>
    <x v="8"/>
    <n v="143034"/>
    <s v="Budget/Accounting Analyst III"/>
    <x v="1"/>
    <s v="USA"/>
    <s v="Outdoors &amp; Garden"/>
    <x v="0"/>
    <n v="1716408"/>
    <n v="14303.400000000001"/>
  </r>
  <r>
    <n v="889"/>
    <s v="Jackson"/>
    <s v="ajacksonoo@slate.com"/>
    <s v="M"/>
    <x v="10"/>
    <d v="2013-05-07T00:00:00"/>
    <n v="2013"/>
    <n v="2021"/>
    <x v="4"/>
    <n v="41516"/>
    <s v="Nurse"/>
    <x v="3"/>
    <s v="USA"/>
    <s v="Domestic"/>
    <x v="0"/>
    <n v="498192"/>
    <n v="4151.6000000000004"/>
  </r>
  <r>
    <n v="890"/>
    <s v="Howell"/>
    <s v="ehowellop@dailymotion.com"/>
    <s v="F"/>
    <x v="9"/>
    <d v="2025-11-26T00:00:00"/>
    <n v="2012"/>
    <n v="2021"/>
    <x v="12"/>
    <n v="72534"/>
    <s v="Account Executive"/>
    <x v="5"/>
    <s v="USA"/>
    <s v="Domestic"/>
    <x v="0"/>
    <n v="870408"/>
    <n v="7253.4000000000005"/>
  </r>
  <r>
    <n v="891"/>
    <s v="Richards"/>
    <s v="arichardsoq@so-net.ne.jp"/>
    <s v="M"/>
    <x v="9"/>
    <d v="2011-06-09T00:00:00"/>
    <n v="2011"/>
    <n v="2021"/>
    <x v="9"/>
    <n v="140004"/>
    <s v="Design Engineer"/>
    <x v="2"/>
    <s v="Canada"/>
    <s v="Domestic"/>
    <x v="0"/>
    <n v="1680048"/>
    <n v="14000.400000000001"/>
  </r>
  <r>
    <n v="892"/>
    <s v="Crawford"/>
    <s v="pcrawfordor@gnu.org"/>
    <s v="M"/>
    <x v="17"/>
    <d v="2004-06-23T00:00:00"/>
    <n v="2004"/>
    <n v="2021"/>
    <x v="10"/>
    <n v="114436"/>
    <s v="Account Representative IV"/>
    <x v="6"/>
    <s v="Canada"/>
    <s v="Domestic"/>
    <x v="0"/>
    <n v="1373232"/>
    <n v="11443.6"/>
  </r>
  <r>
    <n v="893"/>
    <s v="Dixon"/>
    <s v="jdixonos@msu.edu"/>
    <s v="M"/>
    <x v="4"/>
    <d v="2009-03-31T00:00:00"/>
    <n v="2009"/>
    <n v="2021"/>
    <x v="0"/>
    <n v="68684"/>
    <s v="Staff Scientist"/>
    <x v="1"/>
    <s v="USA"/>
    <s v="Domestic"/>
    <x v="0"/>
    <n v="824208"/>
    <n v="6868.4000000000005"/>
  </r>
  <r>
    <n v="894"/>
    <s v="Owens"/>
    <s v="jowensot@gmpg.org"/>
    <s v="M"/>
    <x v="2"/>
    <d v="2000-09-18T00:00:00"/>
    <n v="2000"/>
    <n v="2021"/>
    <x v="13"/>
    <n v="135326"/>
    <s v="Graphic Designer"/>
    <x v="3"/>
    <s v="USA"/>
    <s v="Auto &amp; Hardware"/>
    <x v="0"/>
    <n v="1623912"/>
    <n v="13532.6"/>
  </r>
  <r>
    <n v="895"/>
    <s v="Moore"/>
    <s v="kmooreou@slate.com"/>
    <s v="M"/>
    <x v="14"/>
    <d v="2014-02-23T00:00:00"/>
    <n v="2014"/>
    <n v="2021"/>
    <x v="2"/>
    <n v="40194"/>
    <s v="Environmental Specialist"/>
    <x v="6"/>
    <s v="Canada"/>
    <s v="Auto &amp; Hardware"/>
    <x v="0"/>
    <n v="482328"/>
    <n v="4019.4"/>
  </r>
  <r>
    <n v="896"/>
    <s v="Carpenter"/>
    <s v="rcarpenterov@pagesperso-orange.fr"/>
    <s v="F"/>
    <x v="12"/>
    <d v="2023-10-28T00:00:00"/>
    <n v="2010"/>
    <n v="2021"/>
    <x v="14"/>
    <n v="134813"/>
    <s v="Health Coach I"/>
    <x v="2"/>
    <s v="Canada"/>
    <s v="Domestic"/>
    <x v="0"/>
    <n v="1617756"/>
    <n v="13481.300000000001"/>
  </r>
  <r>
    <n v="897"/>
    <s v="Reid"/>
    <s v="sreidow@smugmug.com"/>
    <s v="M"/>
    <x v="17"/>
    <d v="2002-03-09T00:00:00"/>
    <n v="2002"/>
    <n v="2021"/>
    <x v="3"/>
    <n v="79718"/>
    <s v="Marketing Manager"/>
    <x v="5"/>
    <s v="USA"/>
    <s v="Domestic"/>
    <x v="0"/>
    <n v="956616"/>
    <n v="7971.8"/>
  </r>
  <r>
    <n v="898"/>
    <s v="Lee"/>
    <s v="kleeox@nature.com"/>
    <s v="F"/>
    <x v="14"/>
    <d v="2023-12-09T00:00:00"/>
    <n v="2010"/>
    <n v="2021"/>
    <x v="14"/>
    <n v="115085"/>
    <s v="Senior Quality Engineer"/>
    <x v="2"/>
    <s v="Canada"/>
    <s v="Auto &amp; Hardware"/>
    <x v="0"/>
    <n v="1381020"/>
    <n v="11508.5"/>
  </r>
  <r>
    <n v="899"/>
    <s v="Burton"/>
    <s v="kburtonoy@army.mil"/>
    <s v="F"/>
    <x v="21"/>
    <d v="2005-03-05T00:00:00"/>
    <n v="2005"/>
    <n v="2021"/>
    <x v="7"/>
    <n v="67758"/>
    <s v="Chemical Engineer"/>
    <x v="0"/>
    <s v="USA"/>
    <s v="Domestic"/>
    <x v="0"/>
    <n v="813096"/>
    <n v="6775.8"/>
  </r>
  <r>
    <n v="900"/>
    <s v="Jordan"/>
    <s v="tjordanoz@instagram.com"/>
    <s v="M"/>
    <x v="6"/>
    <d v="2012-02-23T00:00:00"/>
    <n v="2012"/>
    <n v="2021"/>
    <x v="12"/>
    <n v="115776"/>
    <s v="Database Administrator I"/>
    <x v="0"/>
    <s v="USA"/>
    <s v="Games &amp; Sports"/>
    <x v="0"/>
    <n v="1389312"/>
    <n v="11577.6"/>
  </r>
  <r>
    <n v="901"/>
    <s v="Perry"/>
    <s v="kperryp0@chron.com"/>
    <s v="M"/>
    <x v="16"/>
    <d v="2013-12-15T00:00:00"/>
    <n v="2013"/>
    <n v="2021"/>
    <x v="4"/>
    <n v="146701"/>
    <s v="Research Assistant II"/>
    <x v="2"/>
    <s v="Canada"/>
    <s v="Library"/>
    <x v="0"/>
    <n v="1760412"/>
    <n v="14670.1"/>
  </r>
  <r>
    <n v="902"/>
    <s v="Wright"/>
    <s v="bwrightp1@deviantart.com"/>
    <s v="M"/>
    <x v="21"/>
    <d v="2011-12-16T00:00:00"/>
    <n v="2011"/>
    <n v="2021"/>
    <x v="9"/>
    <n v="109233"/>
    <s v="Mechanical Systems Engineer"/>
    <x v="5"/>
    <s v="USA"/>
    <s v="Domestic"/>
    <x v="0"/>
    <n v="1310796"/>
    <n v="10923.300000000001"/>
  </r>
  <r>
    <n v="903"/>
    <s v="Burns"/>
    <s v="eburnsp2@discuz.net"/>
    <s v="F"/>
    <x v="18"/>
    <d v="2020-01-07T00:00:00"/>
    <n v="2007"/>
    <n v="2021"/>
    <x v="8"/>
    <n v="113654"/>
    <s v="Health Coach IV"/>
    <x v="3"/>
    <s v="USA"/>
    <s v="Outdoors &amp; Garden"/>
    <x v="0"/>
    <n v="1363848"/>
    <n v="11365.400000000001"/>
  </r>
  <r>
    <n v="904"/>
    <s v="Roberts"/>
    <s v="drobertsp3@ed.gov"/>
    <s v="F"/>
    <x v="5"/>
    <d v="2004-08-25T00:00:00"/>
    <n v="2004"/>
    <n v="2021"/>
    <x v="10"/>
    <n v="90937"/>
    <s v="Cost Accountant"/>
    <x v="4"/>
    <s v="Canada"/>
    <s v="Auto &amp; Hardware"/>
    <x v="0"/>
    <n v="1091244"/>
    <n v="9093.7000000000007"/>
  </r>
  <r>
    <n v="905"/>
    <s v="Webb"/>
    <s v="dwebbp4@about.com"/>
    <s v="M"/>
    <x v="2"/>
    <d v="2007-10-10T00:00:00"/>
    <n v="2007"/>
    <n v="2021"/>
    <x v="8"/>
    <n v="111689"/>
    <s v="GIS Technical Architect"/>
    <x v="6"/>
    <s v="Canada"/>
    <s v="Auto &amp; Hardware"/>
    <x v="0"/>
    <n v="1340268"/>
    <n v="11168.900000000001"/>
  </r>
  <r>
    <n v="906"/>
    <s v="Spencer"/>
    <s v="sspencerp5@mtv.com"/>
    <s v="M"/>
    <x v="13"/>
    <d v="2014-04-18T00:00:00"/>
    <n v="2014"/>
    <n v="2021"/>
    <x v="2"/>
    <n v="110881"/>
    <s v="Electrical Engineer"/>
    <x v="3"/>
    <s v="USA"/>
    <s v="Electronic Equipment"/>
    <x v="0"/>
    <n v="1330572"/>
    <n v="11088.1"/>
  </r>
  <r>
    <n v="907"/>
    <s v="Frazier"/>
    <s v="kfrazierp6@dailymail.co.uk"/>
    <s v="F"/>
    <x v="5"/>
    <d v="2022-09-22T00:00:00"/>
    <n v="2009"/>
    <n v="2021"/>
    <x v="0"/>
    <n v="104326"/>
    <s v="Assistant Manager"/>
    <x v="6"/>
    <s v="Canada"/>
    <s v="Auto &amp; Hardware"/>
    <x v="0"/>
    <n v="1251912"/>
    <n v="10432.6"/>
  </r>
  <r>
    <n v="908"/>
    <s v="Hanson"/>
    <s v="jhansonp7@1688.com"/>
    <s v="F"/>
    <x v="13"/>
    <d v="2003-11-27T00:00:00"/>
    <n v="2003"/>
    <n v="2021"/>
    <x v="6"/>
    <n v="144767"/>
    <s v="Executive Secretary"/>
    <x v="6"/>
    <s v="Canada"/>
    <s v="Electronic Equipment"/>
    <x v="0"/>
    <n v="1737204"/>
    <n v="14476.7"/>
  </r>
  <r>
    <n v="909"/>
    <s v="Mcdonald"/>
    <s v="hmcdonaldp8@facebook.com"/>
    <s v="M"/>
    <x v="2"/>
    <d v="2009-12-26T00:00:00"/>
    <n v="2009"/>
    <n v="2021"/>
    <x v="0"/>
    <n v="111041"/>
    <s v="Research Assistant II"/>
    <x v="4"/>
    <s v="Canada"/>
    <s v="Auto &amp; Hardware"/>
    <x v="0"/>
    <n v="1332492"/>
    <n v="11104.1"/>
  </r>
  <r>
    <n v="910"/>
    <s v="Reyes"/>
    <s v="freyesp9@ft.com"/>
    <s v="F"/>
    <x v="15"/>
    <d v="2005-12-21T00:00:00"/>
    <n v="2005"/>
    <n v="2021"/>
    <x v="7"/>
    <n v="148860"/>
    <s v="Product Engineer"/>
    <x v="5"/>
    <s v="USA"/>
    <s v="Outdoors &amp; Garden"/>
    <x v="0"/>
    <n v="1786320"/>
    <n v="14886"/>
  </r>
  <r>
    <n v="911"/>
    <s v="Peterson"/>
    <s v="jpetersonpa@unblog.fr"/>
    <s v="M"/>
    <x v="2"/>
    <d v="2002-01-20T00:00:00"/>
    <n v="2002"/>
    <n v="2021"/>
    <x v="3"/>
    <n v="53964"/>
    <s v="Pharmacist"/>
    <x v="3"/>
    <s v="USA"/>
    <s v="Auto &amp; Hardware"/>
    <x v="0"/>
    <n v="647568"/>
    <n v="5396.4000000000005"/>
  </r>
  <r>
    <n v="912"/>
    <s v="Fisher"/>
    <s v="sfisherpb@answers.com"/>
    <s v="F"/>
    <x v="17"/>
    <d v="2020-03-01T00:00:00"/>
    <n v="2007"/>
    <n v="2021"/>
    <x v="8"/>
    <n v="131152"/>
    <s v="Database Administrator IV"/>
    <x v="0"/>
    <s v="USA"/>
    <s v="Domestic"/>
    <x v="0"/>
    <n v="1573824"/>
    <n v="13115.2"/>
  </r>
  <r>
    <n v="913"/>
    <s v="Kelley"/>
    <s v="mkelleypc@sourceforge.net"/>
    <s v="F"/>
    <x v="8"/>
    <d v="2025-02-20T00:00:00"/>
    <n v="2012"/>
    <n v="2021"/>
    <x v="12"/>
    <n v="116266"/>
    <s v="Marketing Assistant"/>
    <x v="4"/>
    <s v="Canada"/>
    <s v="Domestic"/>
    <x v="0"/>
    <n v="1395192"/>
    <n v="11626.6"/>
  </r>
  <r>
    <n v="914"/>
    <s v="Armstrong"/>
    <s v="carmstrongpd@4shared.com"/>
    <s v="F"/>
    <x v="17"/>
    <d v="2006-06-07T00:00:00"/>
    <n v="2006"/>
    <n v="2021"/>
    <x v="5"/>
    <n v="143853"/>
    <s v="Design Engineer"/>
    <x v="0"/>
    <s v="USA"/>
    <s v="Domestic"/>
    <x v="0"/>
    <n v="1726236"/>
    <n v="14385.300000000001"/>
  </r>
  <r>
    <n v="915"/>
    <s v="Bell"/>
    <s v="cbellpe@npr.org"/>
    <s v="M"/>
    <x v="5"/>
    <d v="2010-05-26T00:00:00"/>
    <n v="2010"/>
    <n v="2021"/>
    <x v="14"/>
    <n v="92561"/>
    <s v="Senior Sales Associate"/>
    <x v="3"/>
    <s v="USA"/>
    <s v="Auto &amp; Hardware"/>
    <x v="0"/>
    <n v="1110732"/>
    <n v="9256.1"/>
  </r>
  <r>
    <n v="916"/>
    <s v="Payne"/>
    <s v="bpaynepf@cbsnews.com"/>
    <s v="F"/>
    <x v="4"/>
    <d v="2006-08-10T00:00:00"/>
    <n v="2006"/>
    <n v="2021"/>
    <x v="5"/>
    <n v="45486"/>
    <s v="GIS Technical Architect"/>
    <x v="3"/>
    <s v="USA"/>
    <s v="Domestic"/>
    <x v="0"/>
    <n v="545832"/>
    <n v="4548.6000000000004"/>
  </r>
  <r>
    <n v="917"/>
    <s v="Gutierrez"/>
    <s v="sgutierrezpg@bloglovin.com"/>
    <s v="M"/>
    <x v="17"/>
    <d v="2004-12-11T00:00:00"/>
    <n v="2004"/>
    <n v="2021"/>
    <x v="10"/>
    <n v="95424"/>
    <s v="VP Product Management"/>
    <x v="0"/>
    <s v="USA"/>
    <s v="Domestic"/>
    <x v="0"/>
    <n v="1145088"/>
    <n v="9542.4"/>
  </r>
  <r>
    <n v="918"/>
    <s v="Miller"/>
    <s v="amillerph@skype.com"/>
    <s v="F"/>
    <x v="9"/>
    <d v="2004-09-30T00:00:00"/>
    <n v="2004"/>
    <n v="2021"/>
    <x v="10"/>
    <n v="73905"/>
    <s v="Design Engineer"/>
    <x v="2"/>
    <s v="Canada"/>
    <s v="Domestic"/>
    <x v="0"/>
    <n v="886860"/>
    <n v="7390.5"/>
  </r>
  <r>
    <n v="919"/>
    <s v="Bishop"/>
    <s v="kbishoppi@ovh.net"/>
    <s v="F"/>
    <x v="7"/>
    <d v="2023-12-18T00:00:00"/>
    <n v="2010"/>
    <n v="2021"/>
    <x v="14"/>
    <n v="53798"/>
    <s v="Mechanical Systems Engineer"/>
    <x v="3"/>
    <s v="USA"/>
    <s v="Entertainment"/>
    <x v="0"/>
    <n v="645576"/>
    <n v="5379.8"/>
  </r>
  <r>
    <n v="920"/>
    <s v="Cole"/>
    <s v="scolepj@odnoklassniki.ru"/>
    <s v="F"/>
    <x v="5"/>
    <d v="2023-05-02T00:00:00"/>
    <n v="2010"/>
    <n v="2021"/>
    <x v="14"/>
    <n v="116766"/>
    <s v="Account Representative IV"/>
    <x v="5"/>
    <s v="USA"/>
    <s v="Auto &amp; Hardware"/>
    <x v="0"/>
    <n v="1401192"/>
    <n v="11676.6"/>
  </r>
  <r>
    <n v="921"/>
    <s v="Moore"/>
    <s v="jmoorepk@home.pl"/>
    <s v="F"/>
    <x v="17"/>
    <d v="2026-06-23T00:00:00"/>
    <n v="2013"/>
    <n v="2021"/>
    <x v="4"/>
    <n v="142101"/>
    <s v="Paralegal"/>
    <x v="0"/>
    <s v="USA"/>
    <s v="Domestic"/>
    <x v="0"/>
    <n v="1705212"/>
    <n v="14210.1"/>
  </r>
  <r>
    <n v="922"/>
    <s v="Watkins"/>
    <s v="swatkinspl@google.fr"/>
    <s v="F"/>
    <x v="17"/>
    <d v="2000-04-19T00:00:00"/>
    <n v="2000"/>
    <n v="2021"/>
    <x v="13"/>
    <n v="41299"/>
    <s v="Computer Systems Analyst IV"/>
    <x v="6"/>
    <s v="Canada"/>
    <s v="Domestic"/>
    <x v="0"/>
    <n v="495588"/>
    <n v="4129.9000000000005"/>
  </r>
  <r>
    <n v="923"/>
    <s v="White"/>
    <s v="jwhitepm@elpais.com"/>
    <s v="M"/>
    <x v="4"/>
    <d v="2003-01-07T00:00:00"/>
    <n v="2003"/>
    <n v="2021"/>
    <x v="6"/>
    <n v="122130"/>
    <s v="Project Manager"/>
    <x v="3"/>
    <s v="USA"/>
    <s v="Domestic"/>
    <x v="0"/>
    <n v="1465560"/>
    <n v="12213"/>
  </r>
  <r>
    <n v="924"/>
    <s v="Wilson"/>
    <s v="bwilsonpn@chron.com"/>
    <s v="M"/>
    <x v="17"/>
    <d v="2003-03-06T00:00:00"/>
    <n v="2003"/>
    <n v="2021"/>
    <x v="6"/>
    <n v="122446"/>
    <s v="Systems Administrator II"/>
    <x v="4"/>
    <s v="Canada"/>
    <s v="Domestic"/>
    <x v="0"/>
    <n v="1469352"/>
    <n v="12244.6"/>
  </r>
  <r>
    <n v="925"/>
    <s v="Phillips"/>
    <s v="dphillipspo@adobe.com"/>
    <s v="F"/>
    <x v="15"/>
    <d v="2024-10-03T00:00:00"/>
    <n v="2011"/>
    <n v="2021"/>
    <x v="9"/>
    <n v="127367"/>
    <s v="Recruiting Manager"/>
    <x v="5"/>
    <s v="USA"/>
    <s v="Outdoors &amp; Garden"/>
    <x v="0"/>
    <n v="1528404"/>
    <n v="12736.7"/>
  </r>
  <r>
    <n v="926"/>
    <s v="Austin"/>
    <s v="raustinpp@house.gov"/>
    <s v="M"/>
    <x v="6"/>
    <d v="2014-04-01T00:00:00"/>
    <n v="2014"/>
    <n v="2021"/>
    <x v="2"/>
    <n v="50161"/>
    <s v="Account Executive"/>
    <x v="1"/>
    <s v="USA"/>
    <s v="Games &amp; Sports"/>
    <x v="0"/>
    <n v="601932"/>
    <n v="5016.1000000000004"/>
  </r>
  <r>
    <n v="927"/>
    <s v="Howard"/>
    <s v="dhowardpq@ocn.ne.jp"/>
    <s v="M"/>
    <x v="20"/>
    <d v="2003-11-10T00:00:00"/>
    <n v="2003"/>
    <n v="2021"/>
    <x v="6"/>
    <n v="82080"/>
    <s v="Analog Circuit Design manager"/>
    <x v="0"/>
    <s v="USA"/>
    <s v="Entertainment"/>
    <x v="0"/>
    <n v="984960"/>
    <n v="8208"/>
  </r>
  <r>
    <n v="928"/>
    <s v="Young"/>
    <s v="lyoungpr@psu.edu"/>
    <s v="F"/>
    <x v="11"/>
    <d v="2022-12-21T00:00:00"/>
    <n v="2009"/>
    <n v="2021"/>
    <x v="0"/>
    <n v="62799"/>
    <s v="Operator"/>
    <x v="3"/>
    <s v="USA"/>
    <s v="Domestic"/>
    <x v="0"/>
    <n v="753588"/>
    <n v="6279.9000000000005"/>
  </r>
  <r>
    <n v="929"/>
    <s v="Rice"/>
    <s v="ericeps@reference.com"/>
    <s v="F"/>
    <x v="8"/>
    <d v="2003-08-08T00:00:00"/>
    <n v="2003"/>
    <n v="2021"/>
    <x v="6"/>
    <n v="66357"/>
    <s v="Cost Accountant"/>
    <x v="1"/>
    <s v="USA"/>
    <s v="Domestic"/>
    <x v="0"/>
    <n v="796284"/>
    <n v="6635.7000000000007"/>
  </r>
  <r>
    <n v="930"/>
    <s v="Hansen"/>
    <s v="jhansenpt@slate.com"/>
    <s v="F"/>
    <x v="15"/>
    <d v="2026-04-26T00:00:00"/>
    <n v="2013"/>
    <n v="2021"/>
    <x v="4"/>
    <n v="129746"/>
    <s v="Geological Engineer"/>
    <x v="3"/>
    <s v="USA"/>
    <s v="Outdoors &amp; Garden"/>
    <x v="0"/>
    <n v="1556952"/>
    <n v="12974.6"/>
  </r>
  <r>
    <n v="931"/>
    <s v="Burton"/>
    <s v="jburtonpu@wufoo.com"/>
    <s v="F"/>
    <x v="6"/>
    <d v="2004-08-24T00:00:00"/>
    <n v="2004"/>
    <n v="2021"/>
    <x v="10"/>
    <n v="63682"/>
    <s v="Recruiting Manager"/>
    <x v="6"/>
    <s v="Canada"/>
    <s v="Games &amp; Sports"/>
    <x v="0"/>
    <n v="764184"/>
    <n v="6368.2000000000007"/>
  </r>
  <r>
    <n v="932"/>
    <s v="Reyes"/>
    <s v="lreyespv@tuttocitta.it"/>
    <s v="F"/>
    <x v="15"/>
    <d v="2022-05-27T00:00:00"/>
    <n v="2009"/>
    <n v="2021"/>
    <x v="0"/>
    <n v="134114"/>
    <s v="Accounting Assistant IV"/>
    <x v="0"/>
    <s v="USA"/>
    <s v="Outdoors &amp; Garden"/>
    <x v="0"/>
    <n v="1609368"/>
    <n v="13411.400000000001"/>
  </r>
  <r>
    <n v="933"/>
    <s v="Williams"/>
    <s v="gwilliamspw@columbia.edu"/>
    <s v="M"/>
    <x v="9"/>
    <d v="2014-03-23T00:00:00"/>
    <n v="2014"/>
    <n v="2021"/>
    <x v="2"/>
    <n v="131273"/>
    <s v="Web Developer IV"/>
    <x v="4"/>
    <s v="Canada"/>
    <s v="Domestic"/>
    <x v="0"/>
    <n v="1575276"/>
    <n v="13127.300000000001"/>
  </r>
  <r>
    <n v="934"/>
    <s v="Morrison"/>
    <s v="tmorrisonpx@free.fr"/>
    <s v="M"/>
    <x v="6"/>
    <d v="2005-09-22T00:00:00"/>
    <n v="2005"/>
    <n v="2021"/>
    <x v="7"/>
    <n v="93714"/>
    <s v="Social Worker"/>
    <x v="6"/>
    <s v="Canada"/>
    <s v="Games &amp; Sports"/>
    <x v="0"/>
    <n v="1124568"/>
    <n v="9371.4"/>
  </r>
  <r>
    <n v="935"/>
    <s v="Hudson"/>
    <s v="mhudsonpy@altervista.org"/>
    <s v="M"/>
    <x v="16"/>
    <d v="2001-12-08T00:00:00"/>
    <n v="2001"/>
    <n v="2021"/>
    <x v="11"/>
    <n v="146745"/>
    <s v="Assistant Media Planner"/>
    <x v="3"/>
    <s v="USA"/>
    <s v="Library"/>
    <x v="0"/>
    <n v="1760940"/>
    <n v="14674.5"/>
  </r>
  <r>
    <n v="936"/>
    <s v="Weaver"/>
    <s v="mweaverpz@delicious.com"/>
    <s v="F"/>
    <x v="0"/>
    <d v="2023-12-20T00:00:00"/>
    <n v="2010"/>
    <n v="2021"/>
    <x v="14"/>
    <n v="126307"/>
    <s v="Professor"/>
    <x v="5"/>
    <s v="USA"/>
    <s v="Electronic Equipment"/>
    <x v="0"/>
    <n v="1515684"/>
    <n v="12630.7"/>
  </r>
  <r>
    <n v="937"/>
    <s v="Hawkins"/>
    <s v="chawkinsq0@bravesites.com"/>
    <s v="M"/>
    <x v="1"/>
    <d v="2011-09-25T00:00:00"/>
    <n v="2011"/>
    <n v="2021"/>
    <x v="9"/>
    <n v="134931"/>
    <s v="Tax Accountant"/>
    <x v="3"/>
    <s v="USA"/>
    <s v="Games &amp; Sports"/>
    <x v="0"/>
    <n v="1619172"/>
    <n v="13493.1"/>
  </r>
  <r>
    <n v="938"/>
    <s v="Jones"/>
    <s v="djonesq1@tamu.edu"/>
    <s v="F"/>
    <x v="12"/>
    <d v="2002-02-10T00:00:00"/>
    <n v="2002"/>
    <n v="2021"/>
    <x v="3"/>
    <n v="73668"/>
    <s v="Environmental Specialist"/>
    <x v="0"/>
    <s v="USA"/>
    <s v="Domestic"/>
    <x v="0"/>
    <n v="884016"/>
    <n v="7366.8"/>
  </r>
  <r>
    <n v="939"/>
    <s v="Austin"/>
    <s v="kaustinq2@soup.io"/>
    <s v="M"/>
    <x v="14"/>
    <d v="2012-01-19T00:00:00"/>
    <n v="2012"/>
    <n v="2021"/>
    <x v="12"/>
    <n v="48840"/>
    <s v="Product Engineer"/>
    <x v="3"/>
    <s v="USA"/>
    <s v="Auto &amp; Hardware"/>
    <x v="0"/>
    <n v="586080"/>
    <n v="4884"/>
  </r>
  <r>
    <n v="940"/>
    <s v="Turner"/>
    <s v="lturnerq3@ycombinator.com"/>
    <s v="M"/>
    <x v="4"/>
    <d v="2014-03-09T00:00:00"/>
    <n v="2014"/>
    <n v="2021"/>
    <x v="2"/>
    <n v="146952"/>
    <s v="Dental Hygienist"/>
    <x v="0"/>
    <s v="USA"/>
    <s v="Domestic"/>
    <x v="0"/>
    <n v="1763424"/>
    <n v="14695.2"/>
  </r>
  <r>
    <n v="941"/>
    <s v="Cunningham"/>
    <s v="gcunninghamq4@webmd.com"/>
    <s v="F"/>
    <x v="15"/>
    <d v="2006-05-07T00:00:00"/>
    <n v="2006"/>
    <n v="2021"/>
    <x v="5"/>
    <n v="73565"/>
    <s v="Mechanical Systems Engineer"/>
    <x v="2"/>
    <s v="Canada"/>
    <s v="Outdoors &amp; Garden"/>
    <x v="0"/>
    <n v="882780"/>
    <n v="7356.5"/>
  </r>
  <r>
    <n v="942"/>
    <s v="Lopez"/>
    <s v="llopezq5@usgs.gov"/>
    <s v="M"/>
    <x v="21"/>
    <d v="2010-06-07T00:00:00"/>
    <n v="2010"/>
    <n v="2021"/>
    <x v="14"/>
    <n v="64443"/>
    <s v="Senior Sales Associate"/>
    <x v="4"/>
    <s v="Canada"/>
    <s v="Domestic"/>
    <x v="0"/>
    <n v="773316"/>
    <n v="6444.3"/>
  </r>
  <r>
    <n v="943"/>
    <s v="Phillips"/>
    <s v="kphillipsq6@soup.io"/>
    <s v="F"/>
    <x v="13"/>
    <d v="2021-01-05T00:00:00"/>
    <n v="2008"/>
    <n v="2021"/>
    <x v="1"/>
    <n v="127171"/>
    <s v="Cost Accountant"/>
    <x v="5"/>
    <s v="USA"/>
    <s v="Electronic Equipment"/>
    <x v="0"/>
    <n v="1526052"/>
    <n v="12717.1"/>
  </r>
  <r>
    <n v="944"/>
    <s v="Adams"/>
    <s v="jadamsq7@aol.com"/>
    <s v="F"/>
    <x v="2"/>
    <d v="2002-02-11T00:00:00"/>
    <n v="2002"/>
    <n v="2021"/>
    <x v="3"/>
    <n v="79045"/>
    <s v="VP Product Management"/>
    <x v="1"/>
    <s v="USA"/>
    <s v="Auto &amp; Hardware"/>
    <x v="0"/>
    <n v="948540"/>
    <n v="7904.5"/>
  </r>
  <r>
    <n v="945"/>
    <s v="Lee"/>
    <s v="pleeq8@noaa.gov"/>
    <s v="F"/>
    <x v="3"/>
    <d v="2006-03-16T00:00:00"/>
    <n v="2006"/>
    <n v="2021"/>
    <x v="5"/>
    <n v="117147"/>
    <s v="Staff Accountant III"/>
    <x v="3"/>
    <s v="USA"/>
    <s v="Fashion"/>
    <x v="0"/>
    <n v="1405764"/>
    <n v="11714.7"/>
  </r>
  <r>
    <n v="946"/>
    <s v="Phillips"/>
    <s v="dphillipsq9@stanford.edu"/>
    <s v="F"/>
    <x v="18"/>
    <d v="2027-01-06T00:00:00"/>
    <n v="2014"/>
    <n v="2021"/>
    <x v="2"/>
    <n v="69807"/>
    <s v="Account Representative IV"/>
    <x v="1"/>
    <s v="USA"/>
    <s v="Outdoors &amp; Garden"/>
    <x v="0"/>
    <n v="837684"/>
    <n v="6980.7000000000007"/>
  </r>
  <r>
    <n v="947"/>
    <s v="Kelly"/>
    <s v="ckellyqa@boston.com"/>
    <s v="F"/>
    <x v="21"/>
    <d v="2004-01-09T00:00:00"/>
    <n v="2004"/>
    <n v="2021"/>
    <x v="10"/>
    <n v="128646"/>
    <s v="Senior Editor"/>
    <x v="3"/>
    <s v="USA"/>
    <s v="Domestic"/>
    <x v="0"/>
    <n v="1543752"/>
    <n v="12864.6"/>
  </r>
  <r>
    <n v="948"/>
    <s v="James"/>
    <s v="bjamesqb@hubpages.com"/>
    <s v="M"/>
    <x v="5"/>
    <d v="2008-02-13T00:00:00"/>
    <n v="2008"/>
    <n v="2021"/>
    <x v="1"/>
    <n v="47271"/>
    <s v="Programmer Analyst IV"/>
    <x v="3"/>
    <s v="USA"/>
    <s v="Auto &amp; Hardware"/>
    <x v="0"/>
    <n v="567252"/>
    <n v="4727.1000000000004"/>
  </r>
  <r>
    <n v="949"/>
    <s v="Woods"/>
    <s v="jwoodsqc@patch.com"/>
    <s v="M"/>
    <x v="21"/>
    <d v="2005-12-25T00:00:00"/>
    <n v="2005"/>
    <n v="2021"/>
    <x v="7"/>
    <n v="59363"/>
    <s v="Programmer Analyst IV"/>
    <x v="3"/>
    <s v="USA"/>
    <s v="Domestic"/>
    <x v="0"/>
    <n v="712356"/>
    <n v="5936.3"/>
  </r>
  <r>
    <n v="950"/>
    <s v="Kennedy"/>
    <s v="jkennedyqd@nba.com"/>
    <s v="F"/>
    <x v="21"/>
    <d v="2021-07-22T00:00:00"/>
    <n v="2008"/>
    <n v="2021"/>
    <x v="1"/>
    <n v="68364"/>
    <s v="Professor"/>
    <x v="6"/>
    <s v="Canada"/>
    <s v="Domestic"/>
    <x v="0"/>
    <n v="820368"/>
    <n v="6836.4000000000005"/>
  </r>
  <r>
    <n v="951"/>
    <s v="Lewis"/>
    <s v="jlewisqe@etsy.com"/>
    <s v="F"/>
    <x v="6"/>
    <d v="2025-12-17T00:00:00"/>
    <n v="2012"/>
    <n v="2021"/>
    <x v="12"/>
    <n v="115975"/>
    <s v="Social Worker"/>
    <x v="2"/>
    <s v="Canada"/>
    <s v="Games &amp; Sports"/>
    <x v="0"/>
    <n v="1391700"/>
    <n v="11597.5"/>
  </r>
  <r>
    <n v="952"/>
    <s v="Cole"/>
    <s v="acoleqf@unblog.fr"/>
    <s v="F"/>
    <x v="21"/>
    <d v="2021-10-21T00:00:00"/>
    <n v="2008"/>
    <n v="2021"/>
    <x v="1"/>
    <n v="53905"/>
    <s v="Editor"/>
    <x v="2"/>
    <s v="Canada"/>
    <s v="Domestic"/>
    <x v="0"/>
    <n v="646860"/>
    <n v="5390.5"/>
  </r>
  <r>
    <n v="953"/>
    <s v="Edwards"/>
    <s v="pedwardsqg@cnbc.com"/>
    <s v="M"/>
    <x v="4"/>
    <d v="2003-09-03T00:00:00"/>
    <n v="2003"/>
    <n v="2021"/>
    <x v="6"/>
    <n v="115360"/>
    <s v="Social Worker"/>
    <x v="4"/>
    <s v="Canada"/>
    <s v="Domestic"/>
    <x v="0"/>
    <n v="1384320"/>
    <n v="11536"/>
  </r>
  <r>
    <n v="954"/>
    <s v="Cooper"/>
    <s v="ncooperqh@wp.com"/>
    <s v="F"/>
    <x v="13"/>
    <d v="2024-07-19T00:00:00"/>
    <n v="2011"/>
    <n v="2021"/>
    <x v="9"/>
    <n v="120108"/>
    <s v="Computer Systems Analyst II"/>
    <x v="6"/>
    <s v="Canada"/>
    <s v="Electronic Equipment"/>
    <x v="0"/>
    <n v="1441296"/>
    <n v="12010.800000000001"/>
  </r>
  <r>
    <n v="955"/>
    <s v="Marshall"/>
    <s v="wmarshallqi@fastcompany.com"/>
    <s v="M"/>
    <x v="8"/>
    <d v="2005-04-18T00:00:00"/>
    <n v="2005"/>
    <n v="2021"/>
    <x v="7"/>
    <n v="59234"/>
    <s v="VP Product Management"/>
    <x v="2"/>
    <s v="Canada"/>
    <s v="Domestic"/>
    <x v="0"/>
    <n v="710808"/>
    <n v="5923.4000000000005"/>
  </r>
  <r>
    <n v="956"/>
    <s v="Austin"/>
    <s v="saustinqj@vimeo.com"/>
    <s v="F"/>
    <x v="4"/>
    <d v="2020-01-28T00:00:00"/>
    <n v="2007"/>
    <n v="2021"/>
    <x v="8"/>
    <n v="76812"/>
    <s v="Biostatistician III"/>
    <x v="2"/>
    <s v="Canada"/>
    <s v="Domestic"/>
    <x v="0"/>
    <n v="921744"/>
    <n v="7681.2000000000007"/>
  </r>
  <r>
    <n v="957"/>
    <s v="Franklin"/>
    <s v="cfranklinqk@dyndns.org"/>
    <s v="F"/>
    <x v="10"/>
    <d v="2025-05-08T00:00:00"/>
    <n v="2012"/>
    <n v="2021"/>
    <x v="12"/>
    <n v="42347"/>
    <s v="VP Product Management"/>
    <x v="1"/>
    <s v="USA"/>
    <s v="Domestic"/>
    <x v="0"/>
    <n v="508164"/>
    <n v="4234.7"/>
  </r>
  <r>
    <n v="958"/>
    <s v="Wood"/>
    <s v="bwoodql@epa.gov"/>
    <s v="M"/>
    <x v="5"/>
    <d v="2003-12-05T00:00:00"/>
    <n v="2003"/>
    <n v="2021"/>
    <x v="6"/>
    <n v="82164"/>
    <s v="Compensation Analyst"/>
    <x v="3"/>
    <s v="USA"/>
    <s v="Auto &amp; Hardware"/>
    <x v="0"/>
    <n v="985968"/>
    <n v="8216.4"/>
  </r>
  <r>
    <n v="959"/>
    <s v="Young"/>
    <s v="jyoungqm@xing.com"/>
    <s v="M"/>
    <x v="20"/>
    <d v="2000-11-29T00:00:00"/>
    <n v="2000"/>
    <n v="2021"/>
    <x v="13"/>
    <n v="114695"/>
    <s v="Statistician IV"/>
    <x v="3"/>
    <s v="USA"/>
    <s v="Entertainment"/>
    <x v="0"/>
    <n v="1376340"/>
    <n v="11469.5"/>
  </r>
  <r>
    <n v="960"/>
    <s v="Lane"/>
    <s v="glaneqn@google.fr"/>
    <s v="M"/>
    <x v="0"/>
    <d v="2002-12-31T00:00:00"/>
    <n v="2002"/>
    <n v="2021"/>
    <x v="3"/>
    <n v="47541"/>
    <s v="Payment Adjustment Coordinator"/>
    <x v="0"/>
    <s v="USA"/>
    <s v="Electronic Equipment"/>
    <x v="0"/>
    <n v="570492"/>
    <n v="4754.1000000000004"/>
  </r>
  <r>
    <n v="961"/>
    <s v="Bowman"/>
    <s v="rbowmanqo@auda.org.au"/>
    <s v="F"/>
    <x v="9"/>
    <d v="2024-11-14T00:00:00"/>
    <n v="2011"/>
    <n v="2021"/>
    <x v="9"/>
    <n v="116355"/>
    <s v="Structural Engineer"/>
    <x v="6"/>
    <s v="Canada"/>
    <s v="Domestic"/>
    <x v="0"/>
    <n v="1396260"/>
    <n v="11635.5"/>
  </r>
  <r>
    <n v="962"/>
    <s v="Hayes"/>
    <s v="ahayesqp@npr.org"/>
    <s v="F"/>
    <x v="19"/>
    <d v="2000-10-13T00:00:00"/>
    <n v="2000"/>
    <n v="2021"/>
    <x v="13"/>
    <n v="48339"/>
    <s v="Engineer III"/>
    <x v="6"/>
    <s v="Canada"/>
    <s v="Domestic"/>
    <x v="0"/>
    <n v="580068"/>
    <n v="4833.9000000000005"/>
  </r>
  <r>
    <n v="963"/>
    <s v="Burton"/>
    <s v="cburtonqq@github.io"/>
    <s v="F"/>
    <x v="8"/>
    <d v="2025-06-20T00:00:00"/>
    <n v="2012"/>
    <n v="2021"/>
    <x v="12"/>
    <n v="58697"/>
    <s v="Teacher"/>
    <x v="5"/>
    <s v="USA"/>
    <s v="Domestic"/>
    <x v="0"/>
    <n v="704364"/>
    <n v="5869.7000000000007"/>
  </r>
  <r>
    <n v="964"/>
    <s v="Ramos"/>
    <s v="mramosqr@is.gd"/>
    <s v="M"/>
    <x v="15"/>
    <d v="2002-03-02T00:00:00"/>
    <n v="2002"/>
    <n v="2021"/>
    <x v="3"/>
    <n v="127268"/>
    <s v="Nurse Practicioner"/>
    <x v="5"/>
    <s v="USA"/>
    <s v="Outdoors &amp; Garden"/>
    <x v="0"/>
    <n v="1527216"/>
    <n v="12726.800000000001"/>
  </r>
  <r>
    <n v="965"/>
    <s v="Butler"/>
    <s v="sbutlerqs@ow.ly"/>
    <s v="M"/>
    <x v="10"/>
    <d v="2014-04-02T00:00:00"/>
    <n v="2014"/>
    <n v="2021"/>
    <x v="2"/>
    <n v="115541"/>
    <s v="Pharmacist"/>
    <x v="4"/>
    <s v="Canada"/>
    <s v="Domestic"/>
    <x v="0"/>
    <n v="1386492"/>
    <n v="11554.1"/>
  </r>
  <r>
    <n v="966"/>
    <s v="Kelly"/>
    <s v="ckellyqt@canalblog.com"/>
    <s v="F"/>
    <x v="14"/>
    <d v="2021-02-13T00:00:00"/>
    <n v="2008"/>
    <n v="2021"/>
    <x v="1"/>
    <n v="54876"/>
    <s v="Research Associate"/>
    <x v="0"/>
    <s v="USA"/>
    <s v="Auto &amp; Hardware"/>
    <x v="0"/>
    <n v="658512"/>
    <n v="5487.6"/>
  </r>
  <r>
    <n v="967"/>
    <s v="Lawson"/>
    <s v="clawsonqu@cargocollective.com"/>
    <s v="F"/>
    <x v="17"/>
    <d v="2025-08-13T00:00:00"/>
    <n v="2012"/>
    <n v="2021"/>
    <x v="12"/>
    <n v="55081"/>
    <s v="Mechanical Systems Engineer"/>
    <x v="6"/>
    <s v="Canada"/>
    <s v="Domestic"/>
    <x v="0"/>
    <n v="660972"/>
    <n v="5508.1"/>
  </r>
  <r>
    <n v="968"/>
    <s v="Moreno"/>
    <s v="nmorenoqv@chronoengine.com"/>
    <s v="M"/>
    <x v="17"/>
    <d v="2009-09-26T00:00:00"/>
    <n v="2009"/>
    <n v="2021"/>
    <x v="0"/>
    <n v="123017"/>
    <s v="Speech Pathologist"/>
    <x v="4"/>
    <s v="Canada"/>
    <s v="Domestic"/>
    <x v="0"/>
    <n v="1476204"/>
    <n v="12301.7"/>
  </r>
  <r>
    <n v="969"/>
    <s v="Richards"/>
    <s v="jrichardsqw@blog.com"/>
    <s v="M"/>
    <x v="8"/>
    <d v="2014-07-05T00:00:00"/>
    <n v="2014"/>
    <n v="2021"/>
    <x v="2"/>
    <n v="85294"/>
    <s v="Media Manager I"/>
    <x v="5"/>
    <s v="USA"/>
    <s v="Domestic"/>
    <x v="0"/>
    <n v="1023528"/>
    <n v="8529.4"/>
  </r>
  <r>
    <n v="970"/>
    <s v="James"/>
    <s v="pjamesqx@nymag.com"/>
    <s v="M"/>
    <x v="11"/>
    <d v="2004-08-05T00:00:00"/>
    <n v="2004"/>
    <n v="2021"/>
    <x v="10"/>
    <n v="54470"/>
    <s v="Accounting Assistant IV"/>
    <x v="0"/>
    <s v="USA"/>
    <s v="Domestic"/>
    <x v="0"/>
    <n v="653640"/>
    <n v="5447"/>
  </r>
  <r>
    <n v="971"/>
    <s v="Dunn"/>
    <s v="mdunnqy@chronoengine.com"/>
    <s v="F"/>
    <x v="18"/>
    <d v="2024-06-11T00:00:00"/>
    <n v="2011"/>
    <n v="2021"/>
    <x v="9"/>
    <n v="148889"/>
    <s v="Help Desk Operator"/>
    <x v="5"/>
    <s v="USA"/>
    <s v="Outdoors &amp; Garden"/>
    <x v="0"/>
    <n v="1786668"/>
    <n v="14888.900000000001"/>
  </r>
  <r>
    <n v="972"/>
    <s v="Bailey"/>
    <s v="mbaileyqz@howstuffworks.com"/>
    <s v="F"/>
    <x v="9"/>
    <d v="2021-01-10T00:00:00"/>
    <n v="2008"/>
    <n v="2021"/>
    <x v="1"/>
    <n v="94049"/>
    <s v="Senior Financial Analyst"/>
    <x v="2"/>
    <s v="Canada"/>
    <s v="Domestic"/>
    <x v="0"/>
    <n v="1128588"/>
    <n v="9404.9"/>
  </r>
  <r>
    <n v="973"/>
    <s v="Walker"/>
    <s v="swalkerr0@sina.com.cn"/>
    <s v="F"/>
    <x v="7"/>
    <d v="2022-05-11T00:00:00"/>
    <n v="2009"/>
    <n v="2021"/>
    <x v="0"/>
    <n v="51132"/>
    <s v="Assistant Manager"/>
    <x v="5"/>
    <s v="USA"/>
    <s v="Entertainment"/>
    <x v="0"/>
    <n v="613584"/>
    <n v="5113.2000000000007"/>
  </r>
  <r>
    <n v="974"/>
    <s v="Welch"/>
    <s v="rwelchr1@eventbrite.com"/>
    <s v="M"/>
    <x v="6"/>
    <d v="2002-06-14T00:00:00"/>
    <n v="2002"/>
    <n v="2021"/>
    <x v="3"/>
    <n v="87422"/>
    <s v="Research Nurse"/>
    <x v="1"/>
    <s v="Canada"/>
    <s v="Games &amp; Sports"/>
    <x v="0"/>
    <n v="1049064"/>
    <n v="8742.2000000000007"/>
  </r>
  <r>
    <n v="975"/>
    <s v="Fowler"/>
    <s v="kfowlerr2@wp.com"/>
    <s v="F"/>
    <x v="15"/>
    <d v="2027-09-15T00:00:00"/>
    <n v="2014"/>
    <n v="2021"/>
    <x v="2"/>
    <n v="88439"/>
    <s v="Media Manager III"/>
    <x v="0"/>
    <s v="USA"/>
    <s v="Outdoors &amp; Garden"/>
    <x v="0"/>
    <n v="1061268"/>
    <n v="8843.9"/>
  </r>
  <r>
    <n v="976"/>
    <s v="Chapman"/>
    <s v="achapmanr3@list-manage.com"/>
    <s v="M"/>
    <x v="17"/>
    <d v="2005-02-25T00:00:00"/>
    <n v="2005"/>
    <n v="2021"/>
    <x v="7"/>
    <n v="110749"/>
    <s v="Legal Assistant"/>
    <x v="2"/>
    <s v="Canada"/>
    <s v="Domestic"/>
    <x v="0"/>
    <n v="1328988"/>
    <n v="11074.900000000001"/>
  </r>
  <r>
    <n v="977"/>
    <s v="Collins"/>
    <s v="acollinsr4@jiathis.com"/>
    <s v="M"/>
    <x v="17"/>
    <d v="2006-10-26T00:00:00"/>
    <n v="2006"/>
    <n v="2021"/>
    <x v="5"/>
    <n v="137911"/>
    <s v="Accountant IV"/>
    <x v="5"/>
    <s v="USA"/>
    <s v="Domestic"/>
    <x v="0"/>
    <n v="1654932"/>
    <n v="13791.1"/>
  </r>
  <r>
    <n v="978"/>
    <s v="Hunt"/>
    <s v="ghuntr5@moonfruit.com"/>
    <s v="M"/>
    <x v="13"/>
    <d v="2009-06-18T00:00:00"/>
    <n v="2009"/>
    <n v="2021"/>
    <x v="0"/>
    <n v="93665"/>
    <s v="Health Coach I"/>
    <x v="1"/>
    <s v="USA"/>
    <s v="Electronic Equipment"/>
    <x v="0"/>
    <n v="1123980"/>
    <n v="9366.5"/>
  </r>
  <r>
    <n v="979"/>
    <s v="Medina"/>
    <s v="bmedinar6@1688.com"/>
    <s v="M"/>
    <x v="9"/>
    <d v="2009-12-31T00:00:00"/>
    <n v="2009"/>
    <n v="2021"/>
    <x v="0"/>
    <n v="90068"/>
    <s v="Quality Control Specialist"/>
    <x v="4"/>
    <s v="Canada"/>
    <s v="Domestic"/>
    <x v="0"/>
    <n v="1080816"/>
    <n v="9006.8000000000011"/>
  </r>
  <r>
    <n v="980"/>
    <s v="Sanchez"/>
    <s v="tsanchezr7@lycos.com"/>
    <s v="F"/>
    <x v="12"/>
    <d v="2027-12-19T00:00:00"/>
    <n v="2014"/>
    <n v="2021"/>
    <x v="2"/>
    <n v="83704"/>
    <s v="Editor"/>
    <x v="6"/>
    <s v="Canada"/>
    <s v="Domestic"/>
    <x v="0"/>
    <n v="1004448"/>
    <n v="8370.4"/>
  </r>
  <r>
    <n v="981"/>
    <s v="Simmons"/>
    <s v="dsimmonsr8@craigslist.org"/>
    <s v="M"/>
    <x v="17"/>
    <d v="2011-06-27T00:00:00"/>
    <n v="2011"/>
    <n v="2021"/>
    <x v="9"/>
    <n v="116767"/>
    <s v="Environmental Tech"/>
    <x v="1"/>
    <s v="USA"/>
    <s v="Domestic"/>
    <x v="0"/>
    <n v="1401204"/>
    <n v="11676.7"/>
  </r>
  <r>
    <n v="982"/>
    <s v="Mendoza"/>
    <s v="bmendozar9@reference.com"/>
    <s v="F"/>
    <x v="6"/>
    <d v="2000-08-26T00:00:00"/>
    <n v="2000"/>
    <n v="2021"/>
    <x v="13"/>
    <n v="54599"/>
    <s v="Assistant Media Planner"/>
    <x v="1"/>
    <s v="USA"/>
    <s v="Games &amp; Sports"/>
    <x v="0"/>
    <n v="655188"/>
    <n v="5459.9000000000005"/>
  </r>
  <r>
    <n v="983"/>
    <s v="Lopez"/>
    <s v="llopezra@blogger.com"/>
    <s v="F"/>
    <x v="1"/>
    <d v="2027-02-17T00:00:00"/>
    <n v="2014"/>
    <n v="2021"/>
    <x v="2"/>
    <n v="94685"/>
    <s v="Research Nurse"/>
    <x v="5"/>
    <s v="USA"/>
    <s v="Games &amp; Sports"/>
    <x v="0"/>
    <n v="1136220"/>
    <n v="9468.5"/>
  </r>
  <r>
    <n v="984"/>
    <s v="Williams"/>
    <s v="hwilliamsrb@webnode.com"/>
    <s v="M"/>
    <x v="3"/>
    <d v="2004-10-20T00:00:00"/>
    <n v="2004"/>
    <n v="2021"/>
    <x v="10"/>
    <n v="91608"/>
    <s v="Staff Scientist"/>
    <x v="6"/>
    <s v="Canada"/>
    <s v="Fashion"/>
    <x v="0"/>
    <n v="1099296"/>
    <n v="9160.8000000000011"/>
  </r>
  <r>
    <n v="985"/>
    <s v="Stevens"/>
    <s v="hstevensrc@hugedomains.com"/>
    <s v="M"/>
    <x v="13"/>
    <d v="2006-02-28T00:00:00"/>
    <n v="2006"/>
    <n v="2021"/>
    <x v="5"/>
    <n v="118791"/>
    <s v="Safety Technician IV"/>
    <x v="3"/>
    <s v="USA"/>
    <s v="Electronic Equipment"/>
    <x v="0"/>
    <n v="1425492"/>
    <n v="11879.1"/>
  </r>
  <r>
    <n v="986"/>
    <s v="Ryan"/>
    <s v="hryanrd@networkadvertising.org"/>
    <s v="M"/>
    <x v="17"/>
    <d v="2002-11-27T00:00:00"/>
    <n v="2002"/>
    <n v="2021"/>
    <x v="3"/>
    <n v="115888"/>
    <s v="Librarian"/>
    <x v="4"/>
    <s v="Canada"/>
    <s v="Domestic"/>
    <x v="0"/>
    <n v="1390656"/>
    <n v="11588.800000000001"/>
  </r>
  <r>
    <n v="987"/>
    <s v="Lawrence"/>
    <s v="slawrencere@cdbaby.com"/>
    <s v="F"/>
    <x v="5"/>
    <d v="2000-12-17T00:00:00"/>
    <n v="2000"/>
    <n v="2021"/>
    <x v="13"/>
    <n v="60743"/>
    <s v="Civil Engineer"/>
    <x v="6"/>
    <s v="Canada"/>
    <s v="Auto &amp; Hardware"/>
    <x v="0"/>
    <n v="728916"/>
    <n v="6074.3"/>
  </r>
  <r>
    <n v="988"/>
    <s v="Cole"/>
    <s v="ecolerf@scientificamerican.com"/>
    <s v="F"/>
    <x v="17"/>
    <d v="2005-04-17T00:00:00"/>
    <n v="2005"/>
    <n v="2021"/>
    <x v="7"/>
    <n v="117962"/>
    <s v="Accountant III"/>
    <x v="2"/>
    <s v="Canada"/>
    <s v="Domestic"/>
    <x v="0"/>
    <n v="1415544"/>
    <n v="11796.2"/>
  </r>
  <r>
    <n v="989"/>
    <s v="Fields"/>
    <s v="dfieldsrg@examiner.com"/>
    <s v="F"/>
    <x v="20"/>
    <d v="2004-03-07T00:00:00"/>
    <n v="2004"/>
    <n v="2021"/>
    <x v="10"/>
    <n v="67817"/>
    <s v="Registered Nurse"/>
    <x v="2"/>
    <s v="Canada"/>
    <s v="Entertainment"/>
    <x v="0"/>
    <n v="813804"/>
    <n v="6781.7000000000007"/>
  </r>
  <r>
    <n v="990"/>
    <s v="Thomas"/>
    <s v="lthomasrh@elegantthemes.com"/>
    <s v="M"/>
    <x v="11"/>
    <d v="2003-08-06T00:00:00"/>
    <n v="2003"/>
    <n v="2021"/>
    <x v="6"/>
    <n v="76229"/>
    <s v="Business Systems Development Analyst"/>
    <x v="5"/>
    <s v="USA"/>
    <s v="Domestic"/>
    <x v="0"/>
    <n v="914748"/>
    <n v="7622.9000000000005"/>
  </r>
  <r>
    <n v="991"/>
    <s v="Turner"/>
    <s v="rturnerri@a8.net"/>
    <s v="F"/>
    <x v="13"/>
    <d v="2022-12-13T00:00:00"/>
    <n v="2009"/>
    <n v="2021"/>
    <x v="0"/>
    <n v="62286"/>
    <s v="Senior Sales Associate"/>
    <x v="0"/>
    <s v="USA"/>
    <s v="Electronic Equipment"/>
    <x v="0"/>
    <n v="747432"/>
    <n v="6228.6"/>
  </r>
  <r>
    <n v="992"/>
    <s v="Edwards"/>
    <s v="nedwardsrj@wikimedia.org"/>
    <s v="M"/>
    <x v="18"/>
    <d v="2006-10-30T00:00:00"/>
    <n v="2006"/>
    <n v="2021"/>
    <x v="5"/>
    <n v="121713"/>
    <s v="Director of Sales"/>
    <x v="6"/>
    <s v="Canada"/>
    <s v="Outdoors &amp; Garden"/>
    <x v="0"/>
    <n v="1460556"/>
    <n v="12171.300000000001"/>
  </r>
  <r>
    <n v="993"/>
    <s v="Anderson"/>
    <s v="sandersonrk@businesswire.com"/>
    <s v="F"/>
    <x v="16"/>
    <d v="2022-03-07T00:00:00"/>
    <n v="2009"/>
    <n v="2021"/>
    <x v="0"/>
    <n v="139486"/>
    <s v="Product Engineer"/>
    <x v="2"/>
    <s v="Canada"/>
    <s v="Library"/>
    <x v="0"/>
    <n v="1673832"/>
    <n v="13948.6"/>
  </r>
  <r>
    <n v="994"/>
    <s v="Hamilton"/>
    <s v="rhamiltonrl@skype.com"/>
    <s v="F"/>
    <x v="19"/>
    <d v="2002-10-29T00:00:00"/>
    <n v="2002"/>
    <n v="2021"/>
    <x v="3"/>
    <n v="141375"/>
    <s v="Desktop Support Technician"/>
    <x v="2"/>
    <s v="Canada"/>
    <s v="Domestic"/>
    <x v="0"/>
    <n v="1696500"/>
    <n v="14137.5"/>
  </r>
  <r>
    <n v="995"/>
    <s v="Wood"/>
    <s v="kwoodrm@indiegogo.com"/>
    <s v="F"/>
    <x v="3"/>
    <d v="2023-04-05T00:00:00"/>
    <n v="2010"/>
    <n v="2021"/>
    <x v="14"/>
    <n v="83404"/>
    <s v="Pharmacist"/>
    <x v="0"/>
    <s v="USA"/>
    <s v="Fashion"/>
    <x v="0"/>
    <n v="1000848"/>
    <n v="8340.4"/>
  </r>
  <r>
    <n v="996"/>
    <s v="James"/>
    <s v="tjamesrn@soundcloud.com"/>
    <s v="F"/>
    <x v="10"/>
    <d v="2026-11-17T00:00:00"/>
    <n v="2013"/>
    <n v="2021"/>
    <x v="4"/>
    <n v="78433"/>
    <s v="Accountant II"/>
    <x v="2"/>
    <s v="Canada"/>
    <s v="Domestic"/>
    <x v="0"/>
    <n v="941196"/>
    <n v="7843.3"/>
  </r>
  <r>
    <n v="997"/>
    <s v="Reynolds"/>
    <s v="dreynoldsro@blogtalkradio.com"/>
    <s v="F"/>
    <x v="0"/>
    <d v="2020-04-16T00:00:00"/>
    <n v="2007"/>
    <n v="2021"/>
    <x v="8"/>
    <n v="120138"/>
    <s v="Statistician IV"/>
    <x v="3"/>
    <s v="USA"/>
    <s v="Electronic Equipment"/>
    <x v="0"/>
    <n v="1441656"/>
    <n v="12013.800000000001"/>
  </r>
  <r>
    <n v="998"/>
    <s v="Walker"/>
    <s v="kwalkerrp@unicef.org"/>
    <s v="F"/>
    <x v="10"/>
    <d v="2023-02-13T00:00:00"/>
    <n v="2010"/>
    <n v="2021"/>
    <x v="14"/>
    <n v="60363"/>
    <s v="Account Coordinator"/>
    <x v="3"/>
    <s v="USA"/>
    <s v="Domestic"/>
    <x v="0"/>
    <n v="724356"/>
    <n v="6036.3"/>
  </r>
  <r>
    <n v="999"/>
    <s v="Kennedy"/>
    <s v="lkennedyrq@edublogs.org"/>
    <s v="M"/>
    <x v="14"/>
    <d v="2004-09-22T00:00:00"/>
    <n v="2004"/>
    <n v="2021"/>
    <x v="10"/>
    <n v="48050"/>
    <s v="Graphic Designer"/>
    <x v="0"/>
    <s v="USA"/>
    <s v="Auto &amp; Hardware"/>
    <x v="0"/>
    <n v="576600"/>
    <n v="4805"/>
  </r>
  <r>
    <n v="1000"/>
    <s v="Howard"/>
    <s v="showardrr@addtoany.com"/>
    <s v="M"/>
    <x v="9"/>
    <d v="2003-11-07T00:00:00"/>
    <n v="2003"/>
    <n v="2021"/>
    <x v="6"/>
    <n v="148687"/>
    <s v="General Manager"/>
    <x v="1"/>
    <s v="USA"/>
    <s v="Domestic"/>
    <x v="0"/>
    <n v="1784244"/>
    <n v="1486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249C5-D599-4FD2-9EC1-349DF836DE9E}" name="employees by department"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6">
  <location ref="A3:C25" firstHeaderRow="0" firstDataRow="1" firstDataCol="1"/>
  <pivotFields count="17">
    <pivotField dataField="1" showAll="0"/>
    <pivotField showAll="0"/>
    <pivotField showAll="0"/>
    <pivotField showAll="0"/>
    <pivotField axis="axisRow" showAll="0">
      <items count="23">
        <item x="2"/>
        <item x="9"/>
        <item x="17"/>
        <item x="16"/>
        <item x="8"/>
        <item x="0"/>
        <item x="13"/>
        <item x="10"/>
        <item x="15"/>
        <item x="4"/>
        <item x="19"/>
        <item x="12"/>
        <item x="14"/>
        <item x="3"/>
        <item x="11"/>
        <item x="7"/>
        <item x="20"/>
        <item x="18"/>
        <item x="21"/>
        <item x="1"/>
        <item x="5"/>
        <item x="6"/>
        <item t="default"/>
      </items>
    </pivotField>
    <pivotField numFmtId="14" showAll="0"/>
    <pivotField numFmtId="2" showAll="0"/>
    <pivotField showAll="0"/>
    <pivotField showAll="0"/>
    <pivotField dataField="1" numFmtId="164" showAll="0"/>
    <pivotField showAll="0"/>
    <pivotField showAll="0"/>
    <pivotField showAll="0"/>
    <pivotField showAll="0"/>
    <pivotField showAll="0"/>
    <pivotField numFmtId="164" showAll="0"/>
    <pivotField numFmtId="164" showAll="0"/>
  </pivotFields>
  <rowFields count="1">
    <field x="4"/>
  </rowFields>
  <rowItems count="22">
    <i>
      <x/>
    </i>
    <i>
      <x v="1"/>
    </i>
    <i>
      <x v="2"/>
    </i>
    <i>
      <x v="3"/>
    </i>
    <i>
      <x v="4"/>
    </i>
    <i>
      <x v="5"/>
    </i>
    <i>
      <x v="6"/>
    </i>
    <i>
      <x v="7"/>
    </i>
    <i>
      <x v="8"/>
    </i>
    <i>
      <x v="9"/>
    </i>
    <i>
      <x v="10"/>
    </i>
    <i>
      <x v="11"/>
    </i>
    <i>
      <x v="12"/>
    </i>
    <i>
      <x v="13"/>
    </i>
    <i>
      <x v="14"/>
    </i>
    <i>
      <x v="15"/>
    </i>
    <i>
      <x v="16"/>
    </i>
    <i>
      <x v="17"/>
    </i>
    <i>
      <x v="18"/>
    </i>
    <i>
      <x v="19"/>
    </i>
    <i>
      <x v="20"/>
    </i>
    <i>
      <x v="21"/>
    </i>
  </rowItems>
  <colFields count="1">
    <field x="-2"/>
  </colFields>
  <colItems count="2">
    <i>
      <x/>
    </i>
    <i i="1">
      <x v="1"/>
    </i>
  </colItems>
  <dataFields count="2">
    <dataField name="Average of Salary" fld="9" subtotal="average" baseField="0" baseItem="0" numFmtId="164"/>
    <dataField name="Count of ID" fld="0" subtotal="count" baseField="0" baseItem="0"/>
  </dataFields>
  <chartFormats count="24">
    <chartFormat chart="11" format="121" series="1">
      <pivotArea type="data" outline="0" fieldPosition="0">
        <references count="2">
          <reference field="4294967294" count="1" selected="0">
            <x v="0"/>
          </reference>
          <reference field="4" count="1" selected="0">
            <x v="0"/>
          </reference>
        </references>
      </pivotArea>
    </chartFormat>
    <chartFormat chart="11" format="122" series="1">
      <pivotArea type="data" outline="0" fieldPosition="0">
        <references count="2">
          <reference field="4294967294" count="1" selected="0">
            <x v="0"/>
          </reference>
          <reference field="4" count="1" selected="0">
            <x v="1"/>
          </reference>
        </references>
      </pivotArea>
    </chartFormat>
    <chartFormat chart="11" format="123" series="1">
      <pivotArea type="data" outline="0" fieldPosition="0">
        <references count="2">
          <reference field="4294967294" count="1" selected="0">
            <x v="0"/>
          </reference>
          <reference field="4" count="1" selected="0">
            <x v="2"/>
          </reference>
        </references>
      </pivotArea>
    </chartFormat>
    <chartFormat chart="11" format="124" series="1">
      <pivotArea type="data" outline="0" fieldPosition="0">
        <references count="2">
          <reference field="4294967294" count="1" selected="0">
            <x v="0"/>
          </reference>
          <reference field="4" count="1" selected="0">
            <x v="3"/>
          </reference>
        </references>
      </pivotArea>
    </chartFormat>
    <chartFormat chart="11" format="125" series="1">
      <pivotArea type="data" outline="0" fieldPosition="0">
        <references count="2">
          <reference field="4294967294" count="1" selected="0">
            <x v="0"/>
          </reference>
          <reference field="4" count="1" selected="0">
            <x v="4"/>
          </reference>
        </references>
      </pivotArea>
    </chartFormat>
    <chartFormat chart="11" format="126" series="1">
      <pivotArea type="data" outline="0" fieldPosition="0">
        <references count="2">
          <reference field="4294967294" count="1" selected="0">
            <x v="0"/>
          </reference>
          <reference field="4" count="1" selected="0">
            <x v="5"/>
          </reference>
        </references>
      </pivotArea>
    </chartFormat>
    <chartFormat chart="11" format="127" series="1">
      <pivotArea type="data" outline="0" fieldPosition="0">
        <references count="2">
          <reference field="4294967294" count="1" selected="0">
            <x v="0"/>
          </reference>
          <reference field="4" count="1" selected="0">
            <x v="6"/>
          </reference>
        </references>
      </pivotArea>
    </chartFormat>
    <chartFormat chart="11" format="128" series="1">
      <pivotArea type="data" outline="0" fieldPosition="0">
        <references count="2">
          <reference field="4294967294" count="1" selected="0">
            <x v="0"/>
          </reference>
          <reference field="4" count="1" selected="0">
            <x v="7"/>
          </reference>
        </references>
      </pivotArea>
    </chartFormat>
    <chartFormat chart="11" format="129" series="1">
      <pivotArea type="data" outline="0" fieldPosition="0">
        <references count="2">
          <reference field="4294967294" count="1" selected="0">
            <x v="0"/>
          </reference>
          <reference field="4" count="1" selected="0">
            <x v="8"/>
          </reference>
        </references>
      </pivotArea>
    </chartFormat>
    <chartFormat chart="11" format="130" series="1">
      <pivotArea type="data" outline="0" fieldPosition="0">
        <references count="2">
          <reference field="4294967294" count="1" selected="0">
            <x v="0"/>
          </reference>
          <reference field="4" count="1" selected="0">
            <x v="9"/>
          </reference>
        </references>
      </pivotArea>
    </chartFormat>
    <chartFormat chart="11" format="131" series="1">
      <pivotArea type="data" outline="0" fieldPosition="0">
        <references count="2">
          <reference field="4294967294" count="1" selected="0">
            <x v="0"/>
          </reference>
          <reference field="4" count="1" selected="0">
            <x v="10"/>
          </reference>
        </references>
      </pivotArea>
    </chartFormat>
    <chartFormat chart="11" format="132" series="1">
      <pivotArea type="data" outline="0" fieldPosition="0">
        <references count="2">
          <reference field="4294967294" count="1" selected="0">
            <x v="0"/>
          </reference>
          <reference field="4" count="1" selected="0">
            <x v="11"/>
          </reference>
        </references>
      </pivotArea>
    </chartFormat>
    <chartFormat chart="11" format="133" series="1">
      <pivotArea type="data" outline="0" fieldPosition="0">
        <references count="2">
          <reference field="4294967294" count="1" selected="0">
            <x v="0"/>
          </reference>
          <reference field="4" count="1" selected="0">
            <x v="12"/>
          </reference>
        </references>
      </pivotArea>
    </chartFormat>
    <chartFormat chart="11" format="134" series="1">
      <pivotArea type="data" outline="0" fieldPosition="0">
        <references count="2">
          <reference field="4294967294" count="1" selected="0">
            <x v="0"/>
          </reference>
          <reference field="4" count="1" selected="0">
            <x v="13"/>
          </reference>
        </references>
      </pivotArea>
    </chartFormat>
    <chartFormat chart="11" format="135" series="1">
      <pivotArea type="data" outline="0" fieldPosition="0">
        <references count="2">
          <reference field="4294967294" count="1" selected="0">
            <x v="0"/>
          </reference>
          <reference field="4" count="1" selected="0">
            <x v="14"/>
          </reference>
        </references>
      </pivotArea>
    </chartFormat>
    <chartFormat chart="11" format="136" series="1">
      <pivotArea type="data" outline="0" fieldPosition="0">
        <references count="2">
          <reference field="4294967294" count="1" selected="0">
            <x v="0"/>
          </reference>
          <reference field="4" count="1" selected="0">
            <x v="15"/>
          </reference>
        </references>
      </pivotArea>
    </chartFormat>
    <chartFormat chart="11" format="137" series="1">
      <pivotArea type="data" outline="0" fieldPosition="0">
        <references count="2">
          <reference field="4294967294" count="1" selected="0">
            <x v="0"/>
          </reference>
          <reference field="4" count="1" selected="0">
            <x v="16"/>
          </reference>
        </references>
      </pivotArea>
    </chartFormat>
    <chartFormat chart="11" format="138" series="1">
      <pivotArea type="data" outline="0" fieldPosition="0">
        <references count="2">
          <reference field="4294967294" count="1" selected="0">
            <x v="0"/>
          </reference>
          <reference field="4" count="1" selected="0">
            <x v="17"/>
          </reference>
        </references>
      </pivotArea>
    </chartFormat>
    <chartFormat chart="11" format="139" series="1">
      <pivotArea type="data" outline="0" fieldPosition="0">
        <references count="2">
          <reference field="4294967294" count="1" selected="0">
            <x v="0"/>
          </reference>
          <reference field="4" count="1" selected="0">
            <x v="18"/>
          </reference>
        </references>
      </pivotArea>
    </chartFormat>
    <chartFormat chart="11" format="140" series="1">
      <pivotArea type="data" outline="0" fieldPosition="0">
        <references count="2">
          <reference field="4294967294" count="1" selected="0">
            <x v="0"/>
          </reference>
          <reference field="4" count="1" selected="0">
            <x v="19"/>
          </reference>
        </references>
      </pivotArea>
    </chartFormat>
    <chartFormat chart="11" format="141" series="1">
      <pivotArea type="data" outline="0" fieldPosition="0">
        <references count="2">
          <reference field="4294967294" count="1" selected="0">
            <x v="0"/>
          </reference>
          <reference field="4" count="1" selected="0">
            <x v="20"/>
          </reference>
        </references>
      </pivotArea>
    </chartFormat>
    <chartFormat chart="11" format="142" series="1">
      <pivotArea type="data" outline="0" fieldPosition="0">
        <references count="2">
          <reference field="4294967294" count="1" selected="0">
            <x v="0"/>
          </reference>
          <reference field="4" count="1" selected="0">
            <x v="21"/>
          </reference>
        </references>
      </pivotArea>
    </chartFormat>
    <chartFormat chart="11" format="143" series="1">
      <pivotArea type="data" outline="0" fieldPosition="0">
        <references count="1">
          <reference field="4294967294" count="1" selected="0">
            <x v="0"/>
          </reference>
        </references>
      </pivotArea>
    </chartFormat>
    <chartFormat chart="11" format="14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E30E55-F46C-461C-BD8D-F2A1B6C56D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5:F31" firstHeaderRow="1" firstDataRow="1" firstDataCol="1"/>
  <pivotFields count="17">
    <pivotField dataField="1" showAll="0"/>
    <pivotField showAll="0"/>
    <pivotField showAll="0"/>
    <pivotField showAll="0"/>
    <pivotField showAll="0"/>
    <pivotField numFmtId="14" showAll="0"/>
    <pivotField numFmtId="2" showAll="0"/>
    <pivotField showAll="0"/>
    <pivotField axis="axisRow" showAll="0">
      <items count="16">
        <item x="2"/>
        <item x="4"/>
        <item x="12"/>
        <item x="9"/>
        <item x="14"/>
        <item x="0"/>
        <item x="1"/>
        <item x="8"/>
        <item x="5"/>
        <item x="7"/>
        <item x="10"/>
        <item x="6"/>
        <item x="3"/>
        <item x="11"/>
        <item x="13"/>
        <item t="default"/>
      </items>
    </pivotField>
    <pivotField numFmtId="164" showAll="0"/>
    <pivotField showAll="0"/>
    <pivotField showAll="0">
      <items count="8">
        <item h="1" x="6"/>
        <item x="3"/>
        <item x="1"/>
        <item x="2"/>
        <item x="4"/>
        <item x="0"/>
        <item h="1" x="5"/>
        <item t="default"/>
      </items>
    </pivotField>
    <pivotField showAll="0"/>
    <pivotField showAll="0"/>
    <pivotField showAll="0">
      <items count="4">
        <item x="0"/>
        <item x="1"/>
        <item x="2"/>
        <item t="default"/>
      </items>
    </pivotField>
    <pivotField numFmtId="164" showAll="0"/>
    <pivotField numFmtId="164"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ID" fld="0" subtotal="count" baseField="0" baseItem="0"/>
  </dataFields>
  <chartFormats count="18">
    <chartFormat chart="6"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8" count="1" selected="0">
            <x v="0"/>
          </reference>
        </references>
      </pivotArea>
    </chartFormat>
    <chartFormat chart="16" format="19">
      <pivotArea type="data" outline="0" fieldPosition="0">
        <references count="2">
          <reference field="4294967294" count="1" selected="0">
            <x v="0"/>
          </reference>
          <reference field="8" count="1" selected="0">
            <x v="1"/>
          </reference>
        </references>
      </pivotArea>
    </chartFormat>
    <chartFormat chart="16" format="20">
      <pivotArea type="data" outline="0" fieldPosition="0">
        <references count="2">
          <reference field="4294967294" count="1" selected="0">
            <x v="0"/>
          </reference>
          <reference field="8" count="1" selected="0">
            <x v="2"/>
          </reference>
        </references>
      </pivotArea>
    </chartFormat>
    <chartFormat chart="16" format="21">
      <pivotArea type="data" outline="0" fieldPosition="0">
        <references count="2">
          <reference field="4294967294" count="1" selected="0">
            <x v="0"/>
          </reference>
          <reference field="8" count="1" selected="0">
            <x v="3"/>
          </reference>
        </references>
      </pivotArea>
    </chartFormat>
    <chartFormat chart="16" format="22">
      <pivotArea type="data" outline="0" fieldPosition="0">
        <references count="2">
          <reference field="4294967294" count="1" selected="0">
            <x v="0"/>
          </reference>
          <reference field="8" count="1" selected="0">
            <x v="4"/>
          </reference>
        </references>
      </pivotArea>
    </chartFormat>
    <chartFormat chart="16" format="23">
      <pivotArea type="data" outline="0" fieldPosition="0">
        <references count="2">
          <reference field="4294967294" count="1" selected="0">
            <x v="0"/>
          </reference>
          <reference field="8" count="1" selected="0">
            <x v="5"/>
          </reference>
        </references>
      </pivotArea>
    </chartFormat>
    <chartFormat chart="16" format="24">
      <pivotArea type="data" outline="0" fieldPosition="0">
        <references count="2">
          <reference field="4294967294" count="1" selected="0">
            <x v="0"/>
          </reference>
          <reference field="8" count="1" selected="0">
            <x v="6"/>
          </reference>
        </references>
      </pivotArea>
    </chartFormat>
    <chartFormat chart="16" format="25">
      <pivotArea type="data" outline="0" fieldPosition="0">
        <references count="2">
          <reference field="4294967294" count="1" selected="0">
            <x v="0"/>
          </reference>
          <reference field="8" count="1" selected="0">
            <x v="7"/>
          </reference>
        </references>
      </pivotArea>
    </chartFormat>
    <chartFormat chart="16" format="26">
      <pivotArea type="data" outline="0" fieldPosition="0">
        <references count="2">
          <reference field="4294967294" count="1" selected="0">
            <x v="0"/>
          </reference>
          <reference field="8" count="1" selected="0">
            <x v="8"/>
          </reference>
        </references>
      </pivotArea>
    </chartFormat>
    <chartFormat chart="16" format="27">
      <pivotArea type="data" outline="0" fieldPosition="0">
        <references count="2">
          <reference field="4294967294" count="1" selected="0">
            <x v="0"/>
          </reference>
          <reference field="8" count="1" selected="0">
            <x v="9"/>
          </reference>
        </references>
      </pivotArea>
    </chartFormat>
    <chartFormat chart="16" format="28">
      <pivotArea type="data" outline="0" fieldPosition="0">
        <references count="2">
          <reference field="4294967294" count="1" selected="0">
            <x v="0"/>
          </reference>
          <reference field="8" count="1" selected="0">
            <x v="10"/>
          </reference>
        </references>
      </pivotArea>
    </chartFormat>
    <chartFormat chart="16" format="29">
      <pivotArea type="data" outline="0" fieldPosition="0">
        <references count="2">
          <reference field="4294967294" count="1" selected="0">
            <x v="0"/>
          </reference>
          <reference field="8" count="1" selected="0">
            <x v="11"/>
          </reference>
        </references>
      </pivotArea>
    </chartFormat>
    <chartFormat chart="16" format="30">
      <pivotArea type="data" outline="0" fieldPosition="0">
        <references count="2">
          <reference field="4294967294" count="1" selected="0">
            <x v="0"/>
          </reference>
          <reference field="8" count="1" selected="0">
            <x v="12"/>
          </reference>
        </references>
      </pivotArea>
    </chartFormat>
    <chartFormat chart="16" format="31">
      <pivotArea type="data" outline="0" fieldPosition="0">
        <references count="2">
          <reference field="4294967294" count="1" selected="0">
            <x v="0"/>
          </reference>
          <reference field="8" count="1" selected="0">
            <x v="13"/>
          </reference>
        </references>
      </pivotArea>
    </chartFormat>
    <chartFormat chart="16" format="32">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B4789-A5A8-4E6F-8BE0-0F062B2DC52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E3:I10" firstHeaderRow="1" firstDataRow="2" firstDataCol="1"/>
  <pivotFields count="17">
    <pivotField dataField="1" showAll="0"/>
    <pivotField showAll="0"/>
    <pivotField showAll="0"/>
    <pivotField showAll="0"/>
    <pivotField showAll="0"/>
    <pivotField numFmtId="14" showAll="0"/>
    <pivotField numFmtId="2" showAll="0"/>
    <pivotField showAll="0"/>
    <pivotField showAll="0"/>
    <pivotField numFmtId="164" showAll="0"/>
    <pivotField showAll="0"/>
    <pivotField axis="axisRow" showAll="0">
      <items count="8">
        <item h="1" x="6"/>
        <item x="3"/>
        <item x="1"/>
        <item x="2"/>
        <item x="4"/>
        <item x="0"/>
        <item h="1" x="5"/>
        <item t="default"/>
      </items>
    </pivotField>
    <pivotField showAll="0"/>
    <pivotField showAll="0"/>
    <pivotField axis="axisCol" showAll="0">
      <items count="4">
        <item x="0"/>
        <item x="1"/>
        <item x="2"/>
        <item t="default"/>
      </items>
    </pivotField>
    <pivotField numFmtId="164" showAll="0"/>
    <pivotField numFmtId="164" showAll="0"/>
  </pivotFields>
  <rowFields count="1">
    <field x="11"/>
  </rowFields>
  <rowItems count="6">
    <i>
      <x v="1"/>
    </i>
    <i>
      <x v="2"/>
    </i>
    <i>
      <x v="3"/>
    </i>
    <i>
      <x v="4"/>
    </i>
    <i>
      <x v="5"/>
    </i>
    <i t="grand">
      <x/>
    </i>
  </rowItems>
  <colFields count="1">
    <field x="14"/>
  </colFields>
  <colItems count="4">
    <i>
      <x/>
    </i>
    <i>
      <x v="1"/>
    </i>
    <i>
      <x v="2"/>
    </i>
    <i t="grand">
      <x/>
    </i>
  </colItems>
  <dataFields count="1">
    <dataField name="Count of ID" fld="0" subtotal="count" baseField="0" baseItem="0"/>
  </dataFields>
  <chartFormats count="4">
    <chartFormat chart="19" format="35" series="1">
      <pivotArea type="data" outline="0" fieldPosition="0">
        <references count="2">
          <reference field="4294967294" count="1" selected="0">
            <x v="0"/>
          </reference>
          <reference field="14" count="1" selected="0">
            <x v="0"/>
          </reference>
        </references>
      </pivotArea>
    </chartFormat>
    <chartFormat chart="19" format="36" series="1">
      <pivotArea type="data" outline="0" fieldPosition="0">
        <references count="2">
          <reference field="4294967294" count="1" selected="0">
            <x v="0"/>
          </reference>
          <reference field="14" count="1" selected="0">
            <x v="1"/>
          </reference>
        </references>
      </pivotArea>
    </chartFormat>
    <chartFormat chart="19" format="37" series="1">
      <pivotArea type="data" outline="0" fieldPosition="0">
        <references count="2">
          <reference field="4294967294" count="1" selected="0">
            <x v="0"/>
          </reference>
          <reference field="14" count="1" selected="0">
            <x v="2"/>
          </reference>
        </references>
      </pivotArea>
    </chartFormat>
    <chartFormat chart="19"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0CC317-31A2-478D-BCF4-7D0C6258E601}" sourceName="Department">
  <data>
    <tabular pivotCacheId="797418563">
      <items count="22">
        <i x="2"/>
        <i x="9"/>
        <i x="17"/>
        <i x="16"/>
        <i x="8"/>
        <i x="0"/>
        <i x="13"/>
        <i x="10"/>
        <i x="15"/>
        <i x="4"/>
        <i x="19"/>
        <i x="12"/>
        <i x="14"/>
        <i x="3"/>
        <i x="11"/>
        <i x="7"/>
        <i x="20"/>
        <i x="18"/>
        <i x="21" s="1"/>
        <i x="1"/>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801218F-DC2E-40C8-91D2-68E437AF5DA1}" sourceName="status">
  <pivotTables>
    <pivotTable tabId="10" name="PivotTable3"/>
    <pivotTable tabId="10" name="PivotTable5"/>
  </pivotTables>
  <data>
    <tabular pivotCacheId="79741856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3C7BFABA-40C4-4692-8DDF-604E3B63AF13}" sourceName="Experience">
  <data>
    <tabular pivotCacheId="797418563">
      <items count="15">
        <i x="2" s="1"/>
        <i x="4" s="1"/>
        <i x="12" s="1"/>
        <i x="9" s="1"/>
        <i x="14" s="1"/>
        <i x="0" s="1"/>
        <i x="1"/>
        <i x="8"/>
        <i x="5"/>
        <i x="7"/>
        <i x="10"/>
        <i x="6"/>
        <i x="3"/>
        <i x="11"/>
        <i x="1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7406B1-8E57-4521-8E8B-F07CD060A0BB}" sourceName="Region">
  <pivotTables>
    <pivotTable tabId="10" name="PivotTable3"/>
    <pivotTable tabId="10" name="PivotTable5"/>
  </pivotTables>
  <data>
    <tabular pivotCacheId="797418563">
      <items count="7">
        <i x="6"/>
        <i x="3" s="1"/>
        <i x="1" s="1"/>
        <i x="2" s="1"/>
        <i x="4" s="1"/>
        <i x="0"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05D7851-AAE8-4545-9613-EC8A57F8D27A}" cache="Slicer_Department" caption="Department" startItem="19" rowHeight="247650"/>
  <slicer name="status" xr10:uid="{623099FE-0877-4D7F-9CB8-A25BBEF47E9F}" cache="Slicer_status" caption="status" rowHeight="247650"/>
  <slicer name="Experience" xr10:uid="{5E449B19-C370-4233-8DFA-B76F92CBA629}" cache="Slicer_Experience" caption="Experience" rowHeight="247650"/>
  <slicer name="Region" xr10:uid="{15FA77B8-1002-4E97-99EA-7F5A240F3DC6}" cache="Slicer_Region" caption="Region" startItem="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81282-7026-4953-9E25-48C2C61723BA}" name="EMP_TABLE" displayName="EMP_TABLE" ref="A6:R1007" totalsRowCount="1" headerRowDxfId="57">
  <autoFilter ref="A6:R1006" xr:uid="{00000000-0009-0000-0000-000000000000}"/>
  <sortState xmlns:xlrd2="http://schemas.microsoft.com/office/spreadsheetml/2017/richdata2" ref="A7:O1006">
    <sortCondition ref="A6:A1006"/>
  </sortState>
  <tableColumns count="18">
    <tableColumn id="1" xr3:uid="{27E8836A-3A59-4D2E-84BA-D495793C0D0E}" name="ID" totalsRowLabel="Total" dataDxfId="56" totalsRowDxfId="55"/>
    <tableColumn id="2" xr3:uid="{8F60D18C-92E7-4AD2-84E2-87BD0B5060AF}" name="Last Name"/>
    <tableColumn id="3" xr3:uid="{AD4246E8-C7F7-4FA4-80A3-774B4FA640A1}" name="email"/>
    <tableColumn id="4" xr3:uid="{67534C6B-8673-43E4-ACA6-BC013E7D76CC}" name="Sex" totalsRowFunction="count"/>
    <tableColumn id="5" xr3:uid="{A961432E-B29B-4ECD-9563-2BD8D3B80D3D}" name="Department"/>
    <tableColumn id="6" xr3:uid="{7C50F1F1-4AB6-4E17-AE8D-64DD0DD4676E}" name="Start Date" dataDxfId="54"/>
    <tableColumn id="7" xr3:uid="{7659ADA1-4899-424D-98C4-FF1A6075DDF6}" name="Start date2" dataDxfId="53"/>
    <tableColumn id="8" xr3:uid="{5FF48945-57B0-42F2-BA5A-8BD3A4A7CF74}" name="Current"/>
    <tableColumn id="9" xr3:uid="{DC39E4C1-F79C-4646-8922-E5F87ED4DCAA}" name="Experience" dataDxfId="52"/>
    <tableColumn id="10" xr3:uid="{843AFED7-9C37-4A65-884E-7BB568A4E70F}" name="Salary" dataDxfId="51"/>
    <tableColumn id="11" xr3:uid="{264B43F9-51C7-4619-B7A4-E00001A386DC}" name="Job title"/>
    <tableColumn id="12" xr3:uid="{351D216F-37BF-46E2-9DDC-52AB968E4DF9}" name="Region"/>
    <tableColumn id="13" xr3:uid="{4717810D-B094-48E5-A6D4-98F1CC79A1BE}" name="Region2"/>
    <tableColumn id="14" xr3:uid="{7D017167-F889-4380-8243-46469E448671}" name="Country"/>
    <tableColumn id="15" xr3:uid="{1E5E09C0-ABC8-4DE5-9DCF-6F47D29494B7}" name="Divisions" totalsRowFunction="count"/>
    <tableColumn id="16" xr3:uid="{338CF20D-5B2C-49D4-8B5B-1245AB9A227D}" name="status"/>
    <tableColumn id="17" xr3:uid="{291FCD4D-62F3-4FAE-A8B6-552F9310E65B}" name="Annual Salary" dataDxfId="50">
      <calculatedColumnFormula>J7*12</calculatedColumnFormula>
    </tableColumn>
    <tableColumn id="18" xr3:uid="{CD00F610-CD7C-42D2-9D39-80223BF1C2AA}" name="BONUS" dataDxfId="49">
      <calculatedColumnFormula>J7*10%</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A800B0-FB52-4C11-B68B-C14CE63EE73A}" name="datatable" displayName="datatable" ref="A1:O1002" totalsRowCount="1" headerRowDxfId="48">
  <autoFilter ref="A1:O1001" xr:uid="{00000000-0009-0000-0000-000000000000}"/>
  <sortState xmlns:xlrd2="http://schemas.microsoft.com/office/spreadsheetml/2017/richdata2" ref="A2:L1001">
    <sortCondition ref="A1:A1001"/>
  </sortState>
  <tableColumns count="15">
    <tableColumn id="1" xr3:uid="{DDE77D6A-E80A-47B0-8BD0-7434EE9790D5}" name="ID" totalsRowLabel="Total" dataDxfId="47" totalsRowDxfId="46"/>
    <tableColumn id="2" xr3:uid="{E9E45873-A3EC-4111-8A86-AE9F54A14590}" name="Last Name"/>
    <tableColumn id="3" xr3:uid="{09B40FCC-8C39-4E59-9E8C-70D80AB471AD}" name="email"/>
    <tableColumn id="4" xr3:uid="{477E3F20-8D77-4FD2-8E7B-C9B65EF585A4}" name="Sex" totalsRowFunction="count"/>
    <tableColumn id="5" xr3:uid="{D3F8D01A-0D48-4058-B194-40C6143B72A0}" name="Department"/>
    <tableColumn id="6" xr3:uid="{8C28C032-EED6-41FE-9DD2-0DC7DED086F5}" name="Start Date" dataDxfId="45"/>
    <tableColumn id="9" xr3:uid="{06229B3B-414F-4C38-B3B2-56140779EC2A}" name="Experience" dataDxfId="44" totalsRowDxfId="43"/>
    <tableColumn id="10" xr3:uid="{0742212F-C0A0-41A3-9C48-310768519F8E}" name="Salary" dataDxfId="42" totalsRowDxfId="41"/>
    <tableColumn id="11" xr3:uid="{D04D7D8E-9EBB-454A-8EDE-4F4C365E650C}" name="Job title"/>
    <tableColumn id="13" xr3:uid="{44BDA284-6C49-46A1-86DF-CD24CE5E8441}" name="Region"/>
    <tableColumn id="14" xr3:uid="{FAF51880-EC0F-42B3-86DB-D168D97E054E}" name="Country"/>
    <tableColumn id="15" xr3:uid="{88FB96DF-1C6D-44E3-9CD8-99902F154123}" name="Divisons" totalsRowFunction="count"/>
    <tableColumn id="16" xr3:uid="{05FDF24B-24EF-4813-B98C-9D025150A151}" name="status"/>
    <tableColumn id="17" xr3:uid="{F7333017-7B2B-47BE-B23F-C96D8A88F446}" name="Annual Salary" dataDxfId="40">
      <calculatedColumnFormula>H2*12</calculatedColumnFormula>
    </tableColumn>
    <tableColumn id="18" xr3:uid="{3A4C79A8-77D7-4761-ADAD-37B3683E4297}" name="BONUS" totalsRowFunction="sum" dataDxfId="39" totalsRowDxfId="38">
      <calculatedColumnFormula>H2*10%</calculatedColumnFormula>
    </tableColumn>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DAF169-9FA4-41B1-94E0-1020CD9D5DA1}" name="Analysistable" displayName="Analysistable" ref="A13:O1014" totalsRowCount="1" headerRowDxfId="37" dataDxfId="36">
  <autoFilter ref="A13:O1013" xr:uid="{8ADAF169-9FA4-41B1-94E0-1020CD9D5DA1}"/>
  <tableColumns count="15">
    <tableColumn id="1" xr3:uid="{856CEEAC-5058-442E-97B3-FB6981C5C46C}" name="ID" totalsRowLabel="Total" dataDxfId="35" totalsRowDxfId="34">
      <calculatedColumnFormula>'Data cleaning and validation(3)'!A2</calculatedColumnFormula>
    </tableColumn>
    <tableColumn id="2" xr3:uid="{7A8381B0-C358-447E-9949-D7DCCE1BCD76}" name="Last Name" totalsRowFunction="count" dataDxfId="33" totalsRowDxfId="32">
      <calculatedColumnFormula>'Data cleaning and validation(3)'!B2</calculatedColumnFormula>
    </tableColumn>
    <tableColumn id="18" xr3:uid="{0D8E92E9-CFFB-4AB7-B0DC-713E98C5AD86}" name="email" dataDxfId="31" totalsRowDxfId="30">
      <calculatedColumnFormula>'Data cleaning and validation(3)'!C2</calculatedColumnFormula>
    </tableColumn>
    <tableColumn id="4" xr3:uid="{DD586DF4-AD3C-455A-8DD8-B875F245AD0A}" name="Sex" dataDxfId="29" totalsRowDxfId="28">
      <calculatedColumnFormula>'Data cleaning and validation(3)'!D2</calculatedColumnFormula>
    </tableColumn>
    <tableColumn id="5" xr3:uid="{6A7C8C74-EB0F-4AA1-8E02-925C4B7046A9}" name="Department" dataDxfId="27" totalsRowDxfId="26">
      <calculatedColumnFormula>'Data cleaning and validation(3)'!E2</calculatedColumnFormula>
    </tableColumn>
    <tableColumn id="7" xr3:uid="{FE06BE75-2248-4FB6-9703-57872D4EFAA2}" name="Start date" dataDxfId="25" totalsRowDxfId="24">
      <calculatedColumnFormula>'Data cleaning and validation(3)'!F2</calculatedColumnFormula>
    </tableColumn>
    <tableColumn id="9" xr3:uid="{7CD3C844-F720-40AA-8619-860263A58AED}" name="Experience" dataDxfId="23" totalsRowDxfId="22">
      <calculatedColumnFormula>'Data cleaning and validation(3)'!G2</calculatedColumnFormula>
    </tableColumn>
    <tableColumn id="10" xr3:uid="{C7E1664D-1C1D-4382-B746-4AAD62B89FF0}" name="Salary" dataDxfId="21" totalsRowDxfId="20" dataCellStyle="Currency">
      <calculatedColumnFormula>'Data cleaning and validation(3)'!H2</calculatedColumnFormula>
    </tableColumn>
    <tableColumn id="11" xr3:uid="{2EE6BF02-AC68-4BB3-BE76-07A477C3B041}" name="Job title" dataDxfId="19" totalsRowDxfId="18">
      <calculatedColumnFormula>'Data cleaning and validation(3)'!I2</calculatedColumnFormula>
    </tableColumn>
    <tableColumn id="12" xr3:uid="{E9BD921E-A6B2-40B0-A2FD-BB664B74964D}" name="Region" dataDxfId="17" totalsRowDxfId="16">
      <calculatedColumnFormula>'Data cleaning and validation(3)'!J2</calculatedColumnFormula>
    </tableColumn>
    <tableColumn id="13" xr3:uid="{3930087B-6FD7-4858-B85B-D42D349C92C1}" name="Country" dataDxfId="15" totalsRowDxfId="14">
      <calculatedColumnFormula>'Data cleaning and validation(3)'!K2</calculatedColumnFormula>
    </tableColumn>
    <tableColumn id="14" xr3:uid="{B86251BE-0807-4828-8615-9690AE1C8ACB}" name="Divisons" dataDxfId="13" totalsRowDxfId="12">
      <calculatedColumnFormula>'Data cleaning and validation(3)'!L2</calculatedColumnFormula>
    </tableColumn>
    <tableColumn id="15" xr3:uid="{92E1A58A-30C3-4440-93E9-3D3D4B500792}" name="status" dataDxfId="11" totalsRowDxfId="10">
      <calculatedColumnFormula>'Data cleaning and validation(3)'!M2</calculatedColumnFormula>
    </tableColumn>
    <tableColumn id="16" xr3:uid="{795526F2-526C-48DB-9C4B-C10ABE6525D7}" name="Annual Salary" dataDxfId="9" totalsRowDxfId="8">
      <calculatedColumnFormula>'Data cleaning and validation(3)'!N2</calculatedColumnFormula>
    </tableColumn>
    <tableColumn id="17" xr3:uid="{5DCF8182-504F-4234-8C1B-20C3508F3009}" name="BONUS" totalsRowFunction="sum" dataDxfId="7" totalsRowDxfId="6">
      <calculatedColumnFormula>'Data cleaning and validation(3)'!O2</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AA7EE-A151-40F4-B41C-94248F53EADA}" name="Table2" displayName="Table2" ref="A13:A16" totalsRowShown="0">
  <autoFilter ref="A13:A16" xr:uid="{3A0AA7EE-A151-40F4-B41C-94248F53EADA}"/>
  <tableColumns count="1">
    <tableColumn id="1" xr3:uid="{EE71B9B4-911F-4939-B59F-81479431A473}" name="status"/>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84471C-6E73-4979-AC62-771ACB8AD158}" name="Table5" displayName="Table5" ref="C13:C20" totalsRowShown="0">
  <autoFilter ref="C13:C20" xr:uid="{2284471C-6E73-4979-AC62-771ACB8AD158}"/>
  <tableColumns count="1">
    <tableColumn id="1" xr3:uid="{7237FFAC-8F7B-4508-8D50-2F94FDB94463}" name="Reg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9CE7EF-E22B-403E-820C-95A689D8A156}" name="Table6" displayName="Table6" ref="E13:E15" totalsRowShown="0" headerRowDxfId="5">
  <autoFilter ref="E13:E15" xr:uid="{389CE7EF-E22B-403E-820C-95A689D8A156}"/>
  <tableColumns count="1">
    <tableColumn id="1" xr3:uid="{A9846E7B-DBBF-481F-8A49-8291F4377255}" name="Country"/>
  </tableColumns>
  <tableStyleInfo name="TableStyleMedium2" showFirstColumn="0" showLastColumn="0" showRowStripes="1" showColumnStripes="0"/>
</table>
</file>

<file path=xl/theme/theme1.xml><?xml version="1.0" encoding="utf-8"?>
<a:theme xmlns:a="http://schemas.openxmlformats.org/drawingml/2006/main" name="VIBHUTHEME 1">
  <a:themeElements>
    <a:clrScheme name="VIBHU CUSTOM COLOUR">
      <a:dk1>
        <a:sysClr val="windowText" lastClr="000000"/>
      </a:dk1>
      <a:lt1>
        <a:sysClr val="window" lastClr="FFFFFF"/>
      </a:lt1>
      <a:dk2>
        <a:srgbClr val="0E2841"/>
      </a:dk2>
      <a:lt2>
        <a:srgbClr val="E8E8E8"/>
      </a:lt2>
      <a:accent1>
        <a:srgbClr val="00B0F0"/>
      </a:accent1>
      <a:accent2>
        <a:srgbClr val="FFFF00"/>
      </a:accent2>
      <a:accent3>
        <a:srgbClr val="FF0000"/>
      </a:accent3>
      <a:accent4>
        <a:srgbClr val="00B050"/>
      </a:accent4>
      <a:accent5>
        <a:srgbClr val="0070C0"/>
      </a:accent5>
      <a:accent6>
        <a:srgbClr val="FFC000"/>
      </a:accent6>
      <a:hlink>
        <a:srgbClr val="233C43"/>
      </a:hlink>
      <a:folHlink>
        <a:srgbClr val="467886"/>
      </a:folHlink>
    </a:clrScheme>
    <a:fontScheme name="Trebuchet MS">
      <a:maj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HG丸ｺﾞｼｯｸM-PRO"/>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6-07-22T06:31:22.12" personId="{BCCAC69A-2AF2-4237-AA61-B3315E4D5060}" id="{993D09B2-BD96-4640-BF1B-A357209996FB}">
    <text xml:space="preserve">Data validation used
</text>
  </threadedComment>
  <threadedComment ref="K1" dT="2026-07-22T06:50:23.35" personId="{BCCAC69A-2AF2-4237-AA61-B3315E4D5060}" id="{FD05077B-FAE2-4A02-8670-5F1DF02A2BE7}">
    <text xml:space="preserve">Data validation used 
</text>
  </threadedComment>
  <threadedComment ref="M1" dT="2026-07-22T06:16:19.98" personId="{BCCAC69A-2AF2-4237-AA61-B3315E4D5060}" id="{F254EF2F-D783-48D5-8ED7-0B7266A1EBC7}">
    <text xml:space="preserve">Data Validation used 
</text>
  </threadedComment>
</ThreadedComment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AEB-0D4E-4F1C-86C3-AEFD1080325C}">
  <dimension ref="A1:AB19"/>
  <sheetViews>
    <sheetView showGridLines="0" zoomScale="80" zoomScaleNormal="80" workbookViewId="0">
      <selection activeCell="R20" sqref="R20"/>
    </sheetView>
  </sheetViews>
  <sheetFormatPr defaultRowHeight="14.4" x14ac:dyDescent="0.3"/>
  <cols>
    <col min="1" max="1" width="13.5546875" customWidth="1"/>
    <col min="2" max="3" width="5.33203125" customWidth="1"/>
    <col min="4" max="4" width="7.88671875" customWidth="1"/>
    <col min="5" max="5" width="10.33203125" customWidth="1"/>
    <col min="6" max="6" width="10.109375" customWidth="1"/>
    <col min="7" max="7" width="9.77734375" customWidth="1"/>
    <col min="8" max="8" width="15" customWidth="1"/>
    <col min="13" max="13" width="25.5546875" customWidth="1"/>
  </cols>
  <sheetData>
    <row r="1" spans="1:28" x14ac:dyDescent="0.3">
      <c r="A1" s="38" t="s">
        <v>1535</v>
      </c>
      <c r="B1" s="39"/>
      <c r="C1" s="39"/>
      <c r="D1" s="39"/>
      <c r="E1" s="39"/>
      <c r="F1" s="39"/>
      <c r="G1" s="39"/>
      <c r="H1" s="39"/>
      <c r="I1" s="39"/>
      <c r="J1" s="39"/>
      <c r="K1" s="39"/>
      <c r="L1" s="39"/>
      <c r="M1" s="39"/>
      <c r="N1" s="39"/>
      <c r="O1" s="39"/>
      <c r="P1" s="39"/>
      <c r="Q1" s="39"/>
      <c r="R1" s="39"/>
      <c r="S1" s="39"/>
      <c r="T1" s="39"/>
      <c r="U1" s="39"/>
      <c r="V1" s="39"/>
      <c r="W1" s="39"/>
    </row>
    <row r="2" spans="1:28" ht="39.6" customHeight="1" x14ac:dyDescent="0.3">
      <c r="A2" s="39"/>
      <c r="B2" s="39"/>
      <c r="C2" s="39"/>
      <c r="D2" s="39"/>
      <c r="E2" s="39"/>
      <c r="F2" s="39"/>
      <c r="G2" s="39"/>
      <c r="H2" s="39"/>
      <c r="I2" s="39"/>
      <c r="J2" s="39"/>
      <c r="K2" s="39"/>
      <c r="L2" s="39"/>
      <c r="M2" s="39"/>
      <c r="N2" s="39"/>
      <c r="O2" s="39"/>
      <c r="P2" s="39"/>
      <c r="Q2" s="39"/>
      <c r="R2" s="39"/>
      <c r="S2" s="39"/>
      <c r="T2" s="39"/>
      <c r="U2" s="39"/>
      <c r="V2" s="39"/>
      <c r="W2" s="39"/>
    </row>
    <row r="4" spans="1:28" x14ac:dyDescent="0.3">
      <c r="A4" s="40" t="s">
        <v>1530</v>
      </c>
      <c r="B4" s="41"/>
      <c r="C4" s="41"/>
      <c r="D4" s="40" t="s">
        <v>1531</v>
      </c>
      <c r="E4" s="41"/>
      <c r="F4" s="41"/>
      <c r="G4" s="40" t="s">
        <v>1532</v>
      </c>
      <c r="H4" s="41"/>
      <c r="I4" s="41"/>
      <c r="J4" s="40" t="s">
        <v>1533</v>
      </c>
      <c r="K4" s="41"/>
      <c r="L4" s="41"/>
      <c r="M4" s="40" t="s">
        <v>1534</v>
      </c>
      <c r="N4" s="41"/>
    </row>
    <row r="5" spans="1:28" x14ac:dyDescent="0.3">
      <c r="A5" s="42">
        <f>COUNTA('[1]Data cleaning and validation(3)'!A2:A1001)</f>
        <v>1000</v>
      </c>
      <c r="B5" s="41"/>
      <c r="C5" s="41"/>
      <c r="D5" s="43">
        <f>AVERAGE('[1]Data cleaning and validation(3)'!J2:J1001)</f>
        <v>97331.222999999998</v>
      </c>
      <c r="E5" s="41"/>
      <c r="F5" s="41"/>
      <c r="G5" s="44">
        <f>AVERAGE('[1]Data cleaning and validation(3)'!I2:I1001)</f>
        <v>13.888</v>
      </c>
      <c r="H5" s="41"/>
      <c r="I5" s="41"/>
      <c r="J5" s="42" t="e">
        <f>COUNTIF('[1]Data cleaning and validation(3)'!O1:O1001,"Active")</f>
        <v>#VALUE!</v>
      </c>
      <c r="K5" s="41"/>
      <c r="L5" s="41"/>
      <c r="M5" s="43">
        <f>SUM('[1]Data cleaning and validation(3)'!Q2:Q1001)</f>
        <v>0</v>
      </c>
      <c r="N5" s="41"/>
    </row>
    <row r="6" spans="1:28" x14ac:dyDescent="0.3">
      <c r="A6" s="41"/>
      <c r="B6" s="41"/>
      <c r="C6" s="41"/>
      <c r="D6" s="41"/>
      <c r="E6" s="41"/>
      <c r="F6" s="41"/>
      <c r="G6" s="41"/>
      <c r="H6" s="41"/>
      <c r="I6" s="41"/>
      <c r="J6" s="41"/>
      <c r="K6" s="41"/>
      <c r="L6" s="41"/>
      <c r="M6" s="41"/>
      <c r="N6" s="41"/>
    </row>
    <row r="10" spans="1:28" ht="18.600000000000001" x14ac:dyDescent="0.3">
      <c r="O10" s="34" t="s">
        <v>1542</v>
      </c>
      <c r="P10" s="35"/>
      <c r="Q10" s="35"/>
      <c r="R10" s="35"/>
      <c r="S10" s="35"/>
      <c r="T10" s="35"/>
      <c r="U10" s="35"/>
      <c r="V10" s="35"/>
      <c r="W10" s="35"/>
      <c r="X10" s="35"/>
      <c r="Y10" s="35"/>
      <c r="Z10" s="35"/>
      <c r="AA10" s="35"/>
      <c r="AB10" s="35"/>
    </row>
    <row r="11" spans="1:28" ht="18.600000000000001" x14ac:dyDescent="0.4">
      <c r="O11" s="36" t="s">
        <v>1536</v>
      </c>
      <c r="P11" s="37"/>
      <c r="Q11" s="37"/>
      <c r="R11" s="37"/>
      <c r="S11" s="37"/>
      <c r="T11" s="37"/>
      <c r="U11" s="37"/>
      <c r="V11" s="37"/>
      <c r="W11" s="37"/>
      <c r="X11" s="37"/>
      <c r="Y11" s="37"/>
      <c r="Z11" s="37"/>
      <c r="AA11" s="37"/>
      <c r="AB11" s="37"/>
    </row>
    <row r="12" spans="1:28" ht="18.600000000000001" x14ac:dyDescent="0.4">
      <c r="O12" s="36" t="s">
        <v>1537</v>
      </c>
      <c r="P12" s="37"/>
      <c r="Q12" s="37"/>
      <c r="R12" s="37"/>
      <c r="S12" s="37"/>
      <c r="T12" s="37"/>
      <c r="U12" s="37"/>
      <c r="V12" s="37"/>
      <c r="W12" s="37"/>
      <c r="X12" s="37"/>
      <c r="Y12" s="37"/>
      <c r="Z12" s="37"/>
      <c r="AA12" s="37"/>
      <c r="AB12" s="37"/>
    </row>
    <row r="13" spans="1:28" ht="18.600000000000001" x14ac:dyDescent="0.4">
      <c r="O13" s="36" t="s">
        <v>1538</v>
      </c>
      <c r="P13" s="37"/>
      <c r="Q13" s="37"/>
      <c r="R13" s="37"/>
      <c r="S13" s="37"/>
      <c r="T13" s="37"/>
      <c r="U13" s="37"/>
      <c r="V13" s="37"/>
      <c r="W13" s="37"/>
      <c r="X13" s="37"/>
      <c r="Y13" s="37"/>
      <c r="Z13" s="37"/>
      <c r="AA13" s="37"/>
      <c r="AB13" s="37"/>
    </row>
    <row r="14" spans="1:28" ht="14.4" customHeight="1" x14ac:dyDescent="0.3">
      <c r="O14" s="32" t="s">
        <v>1539</v>
      </c>
      <c r="P14" s="33"/>
      <c r="Q14" s="33"/>
      <c r="R14" s="33"/>
      <c r="S14" s="33"/>
      <c r="T14" s="33"/>
      <c r="U14" s="33"/>
      <c r="V14" s="33"/>
      <c r="W14" s="33"/>
      <c r="X14" s="33"/>
      <c r="Y14" s="33"/>
      <c r="Z14" s="33"/>
      <c r="AA14" s="33"/>
      <c r="AB14" s="33"/>
    </row>
    <row r="15" spans="1:28" ht="14.4" customHeight="1" x14ac:dyDescent="0.3">
      <c r="O15" s="32" t="s">
        <v>1540</v>
      </c>
      <c r="P15" s="33"/>
      <c r="Q15" s="33"/>
      <c r="R15" s="33"/>
      <c r="S15" s="33"/>
      <c r="T15" s="33"/>
      <c r="U15" s="33"/>
      <c r="V15" s="33"/>
      <c r="W15" s="33"/>
      <c r="X15" s="33"/>
      <c r="Y15" s="33"/>
      <c r="Z15" s="33"/>
      <c r="AA15" s="33"/>
      <c r="AB15" s="33"/>
    </row>
    <row r="16" spans="1:28" ht="14.4" customHeight="1" x14ac:dyDescent="0.3">
      <c r="O16" s="32" t="s">
        <v>1541</v>
      </c>
      <c r="P16" s="33"/>
      <c r="Q16" s="33"/>
      <c r="R16" s="33"/>
      <c r="S16" s="33"/>
      <c r="T16" s="33"/>
      <c r="U16" s="33"/>
      <c r="V16" s="33"/>
      <c r="W16" s="33"/>
      <c r="X16" s="33"/>
      <c r="Y16" s="33"/>
      <c r="Z16" s="33"/>
      <c r="AA16" s="33"/>
      <c r="AB16" s="33"/>
    </row>
    <row r="19" spans="23:23" ht="15" x14ac:dyDescent="0.3">
      <c r="W19" s="29"/>
    </row>
  </sheetData>
  <mergeCells count="18">
    <mergeCell ref="A5:C6"/>
    <mergeCell ref="D5:F6"/>
    <mergeCell ref="G5:I6"/>
    <mergeCell ref="J5:L6"/>
    <mergeCell ref="M5:N6"/>
    <mergeCell ref="A1:W2"/>
    <mergeCell ref="A4:C4"/>
    <mergeCell ref="D4:F4"/>
    <mergeCell ref="G4:I4"/>
    <mergeCell ref="J4:L4"/>
    <mergeCell ref="M4:N4"/>
    <mergeCell ref="O15:AB15"/>
    <mergeCell ref="O16:AB16"/>
    <mergeCell ref="O14:AB14"/>
    <mergeCell ref="O10:AB10"/>
    <mergeCell ref="O11:AB11"/>
    <mergeCell ref="O12:AB12"/>
    <mergeCell ref="O13:AB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9482-D40B-4925-9DC9-E461B1560189}">
  <dimension ref="A1:O1001"/>
  <sheetViews>
    <sheetView workbookViewId="0">
      <selection activeCell="P36" sqref="P36"/>
    </sheetView>
  </sheetViews>
  <sheetFormatPr defaultRowHeight="14.4" x14ac:dyDescent="0.3"/>
  <cols>
    <col min="1" max="1" width="5" customWidth="1"/>
    <col min="2" max="2" width="12.44140625" customWidth="1"/>
    <col min="3" max="3" width="35.88671875" customWidth="1"/>
    <col min="4" max="4" width="7.5546875" customWidth="1"/>
    <col min="5" max="5" width="19" customWidth="1"/>
    <col min="6" max="7" width="12" customWidth="1"/>
    <col min="8" max="9" width="20.109375" customWidth="1"/>
    <col min="10" max="10" width="12" customWidth="1"/>
    <col min="11" max="11" width="36.88671875" customWidth="1"/>
    <col min="12" max="12" width="7.109375" customWidth="1"/>
    <col min="13" max="13" width="15.6640625" customWidth="1"/>
    <col min="15" max="15" width="20.109375" customWidth="1"/>
  </cols>
  <sheetData>
    <row r="1" spans="1:15" x14ac:dyDescent="0.3">
      <c r="A1" t="s">
        <v>0</v>
      </c>
      <c r="B1" t="s">
        <v>1</v>
      </c>
      <c r="C1" t="s">
        <v>2</v>
      </c>
      <c r="D1" t="s">
        <v>1497</v>
      </c>
      <c r="E1" t="s">
        <v>3</v>
      </c>
      <c r="F1" t="s">
        <v>4</v>
      </c>
      <c r="G1" t="s">
        <v>1496</v>
      </c>
      <c r="H1" t="s">
        <v>5</v>
      </c>
      <c r="I1" t="s">
        <v>6</v>
      </c>
      <c r="J1" t="s">
        <v>7</v>
      </c>
      <c r="K1" t="s">
        <v>8</v>
      </c>
      <c r="L1" t="s">
        <v>9</v>
      </c>
      <c r="M1" t="s">
        <v>9</v>
      </c>
      <c r="N1" t="s">
        <v>10</v>
      </c>
      <c r="O1" t="s">
        <v>11</v>
      </c>
    </row>
    <row r="2" spans="1:15" x14ac:dyDescent="0.3">
      <c r="A2">
        <v>1</v>
      </c>
      <c r="B2" t="s">
        <v>12</v>
      </c>
      <c r="C2" t="s">
        <v>13</v>
      </c>
      <c r="D2" t="s">
        <v>1495</v>
      </c>
      <c r="E2" t="s">
        <v>14</v>
      </c>
      <c r="F2" s="1">
        <v>40088</v>
      </c>
      <c r="G2" s="2">
        <v>2009</v>
      </c>
      <c r="H2">
        <v>2021</v>
      </c>
      <c r="I2" s="2">
        <v>12</v>
      </c>
      <c r="J2">
        <v>67470</v>
      </c>
      <c r="K2" t="s">
        <v>15</v>
      </c>
      <c r="L2">
        <v>2</v>
      </c>
      <c r="M2" t="s">
        <v>16</v>
      </c>
      <c r="N2" t="s">
        <v>17</v>
      </c>
      <c r="O2" t="s">
        <v>18</v>
      </c>
    </row>
    <row r="3" spans="1:15" x14ac:dyDescent="0.3">
      <c r="A3">
        <v>2</v>
      </c>
      <c r="B3" t="s">
        <v>19</v>
      </c>
      <c r="C3" t="s">
        <v>20</v>
      </c>
      <c r="D3" t="s">
        <v>1494</v>
      </c>
      <c r="E3" t="s">
        <v>21</v>
      </c>
      <c r="F3" s="1">
        <v>39538</v>
      </c>
      <c r="G3" s="2">
        <v>2008</v>
      </c>
      <c r="H3">
        <v>2021</v>
      </c>
      <c r="I3" s="2">
        <v>13</v>
      </c>
      <c r="J3">
        <v>71869</v>
      </c>
      <c r="K3" t="s">
        <v>22</v>
      </c>
      <c r="L3">
        <v>2</v>
      </c>
      <c r="M3" t="s">
        <v>16</v>
      </c>
      <c r="N3" t="s">
        <v>17</v>
      </c>
      <c r="O3" t="s">
        <v>23</v>
      </c>
    </row>
    <row r="4" spans="1:15" x14ac:dyDescent="0.3">
      <c r="A4">
        <v>3</v>
      </c>
      <c r="B4" t="s">
        <v>24</v>
      </c>
      <c r="C4" t="s">
        <v>25</v>
      </c>
      <c r="D4" t="s">
        <v>1494</v>
      </c>
      <c r="E4" t="s">
        <v>26</v>
      </c>
      <c r="F4" s="1">
        <v>40006</v>
      </c>
      <c r="G4" s="2">
        <v>2009</v>
      </c>
      <c r="H4">
        <v>2021</v>
      </c>
      <c r="I4" s="2">
        <v>12</v>
      </c>
      <c r="J4">
        <v>101768</v>
      </c>
      <c r="K4" t="s">
        <v>27</v>
      </c>
      <c r="L4">
        <v>3</v>
      </c>
      <c r="M4" t="s">
        <v>28</v>
      </c>
      <c r="N4" t="s">
        <v>17</v>
      </c>
      <c r="O4" t="s">
        <v>29</v>
      </c>
    </row>
    <row r="5" spans="1:15" x14ac:dyDescent="0.3">
      <c r="A5">
        <v>4</v>
      </c>
      <c r="B5" t="s">
        <v>30</v>
      </c>
      <c r="C5" t="s">
        <v>31</v>
      </c>
      <c r="D5" t="s">
        <v>1495</v>
      </c>
      <c r="E5" t="s">
        <v>32</v>
      </c>
      <c r="F5" s="1">
        <v>41998</v>
      </c>
      <c r="G5" s="2">
        <v>2014</v>
      </c>
      <c r="H5">
        <v>2021</v>
      </c>
      <c r="I5" s="3">
        <v>7</v>
      </c>
      <c r="J5">
        <v>96897</v>
      </c>
      <c r="K5" t="s">
        <v>33</v>
      </c>
      <c r="L5">
        <v>3</v>
      </c>
      <c r="M5" t="s">
        <v>28</v>
      </c>
      <c r="N5" t="s">
        <v>17</v>
      </c>
      <c r="O5" t="s">
        <v>34</v>
      </c>
    </row>
    <row r="6" spans="1:15" x14ac:dyDescent="0.3">
      <c r="A6">
        <v>5</v>
      </c>
      <c r="B6" t="s">
        <v>35</v>
      </c>
      <c r="C6" t="s">
        <v>36</v>
      </c>
      <c r="D6" t="s">
        <v>1495</v>
      </c>
      <c r="E6" t="s">
        <v>37</v>
      </c>
      <c r="F6" s="1">
        <v>37518</v>
      </c>
      <c r="G6" s="2">
        <v>2002</v>
      </c>
      <c r="H6">
        <v>2021</v>
      </c>
      <c r="I6" s="2">
        <v>19</v>
      </c>
      <c r="J6">
        <v>63702</v>
      </c>
      <c r="K6" t="s">
        <v>38</v>
      </c>
      <c r="L6">
        <v>7</v>
      </c>
      <c r="M6" t="s">
        <v>39</v>
      </c>
      <c r="N6" t="s">
        <v>40</v>
      </c>
      <c r="O6" t="s">
        <v>41</v>
      </c>
    </row>
    <row r="7" spans="1:15" x14ac:dyDescent="0.3">
      <c r="A7">
        <v>6</v>
      </c>
      <c r="B7" t="s">
        <v>42</v>
      </c>
      <c r="C7" t="s">
        <v>43</v>
      </c>
      <c r="D7" t="s">
        <v>1494</v>
      </c>
      <c r="E7" t="s">
        <v>44</v>
      </c>
      <c r="F7" s="1">
        <v>41507</v>
      </c>
      <c r="G7" s="2">
        <v>2013</v>
      </c>
      <c r="H7">
        <v>2021</v>
      </c>
      <c r="I7" s="2">
        <v>8</v>
      </c>
      <c r="J7">
        <v>118497</v>
      </c>
      <c r="K7" t="s">
        <v>45</v>
      </c>
      <c r="L7">
        <v>1</v>
      </c>
      <c r="M7" t="s">
        <v>46</v>
      </c>
      <c r="N7" t="s">
        <v>17</v>
      </c>
      <c r="O7" t="s">
        <v>29</v>
      </c>
    </row>
    <row r="8" spans="1:15" x14ac:dyDescent="0.3">
      <c r="A8">
        <v>7</v>
      </c>
      <c r="B8" t="s">
        <v>47</v>
      </c>
      <c r="C8" t="s">
        <v>48</v>
      </c>
      <c r="D8" t="s">
        <v>1494</v>
      </c>
      <c r="E8" t="s">
        <v>14</v>
      </c>
      <c r="F8" s="1">
        <v>38851</v>
      </c>
      <c r="G8" s="2">
        <v>2006</v>
      </c>
      <c r="H8">
        <v>2021</v>
      </c>
      <c r="I8" s="2">
        <v>15</v>
      </c>
      <c r="J8">
        <v>65889</v>
      </c>
      <c r="K8" t="s">
        <v>49</v>
      </c>
      <c r="L8">
        <v>6</v>
      </c>
      <c r="M8" t="s">
        <v>50</v>
      </c>
      <c r="N8" t="s">
        <v>40</v>
      </c>
      <c r="O8" t="s">
        <v>18</v>
      </c>
    </row>
    <row r="9" spans="1:15" x14ac:dyDescent="0.3">
      <c r="A9">
        <v>8</v>
      </c>
      <c r="B9" t="s">
        <v>51</v>
      </c>
      <c r="C9" t="s">
        <v>52</v>
      </c>
      <c r="D9" t="s">
        <v>1495</v>
      </c>
      <c r="E9" t="s">
        <v>53</v>
      </c>
      <c r="F9" s="1">
        <v>37845</v>
      </c>
      <c r="G9" s="2">
        <v>2003</v>
      </c>
      <c r="H9">
        <v>2021</v>
      </c>
      <c r="I9" s="2">
        <v>18</v>
      </c>
      <c r="J9">
        <v>84427</v>
      </c>
      <c r="K9" t="s">
        <v>54</v>
      </c>
      <c r="L9">
        <v>4</v>
      </c>
      <c r="M9" t="s">
        <v>55</v>
      </c>
      <c r="N9" t="s">
        <v>17</v>
      </c>
      <c r="O9" t="s">
        <v>23</v>
      </c>
    </row>
    <row r="10" spans="1:15" x14ac:dyDescent="0.3">
      <c r="A10">
        <v>9</v>
      </c>
      <c r="B10" t="s">
        <v>56</v>
      </c>
      <c r="C10" t="s">
        <v>57</v>
      </c>
      <c r="D10" t="s">
        <v>1494</v>
      </c>
      <c r="E10" t="s">
        <v>32</v>
      </c>
      <c r="F10" s="1">
        <v>38602</v>
      </c>
      <c r="G10" s="2">
        <v>2005</v>
      </c>
      <c r="H10">
        <v>2021</v>
      </c>
      <c r="I10" s="3">
        <v>16</v>
      </c>
      <c r="J10">
        <v>108657</v>
      </c>
      <c r="K10" t="s">
        <v>58</v>
      </c>
      <c r="L10">
        <v>2</v>
      </c>
      <c r="M10" t="s">
        <v>16</v>
      </c>
      <c r="N10" t="s">
        <v>17</v>
      </c>
      <c r="O10" t="s">
        <v>34</v>
      </c>
    </row>
    <row r="11" spans="1:15" x14ac:dyDescent="0.3">
      <c r="A11">
        <v>10</v>
      </c>
      <c r="B11" t="s">
        <v>59</v>
      </c>
      <c r="C11" t="s">
        <v>60</v>
      </c>
      <c r="D11" t="s">
        <v>1494</v>
      </c>
      <c r="E11" t="s">
        <v>61</v>
      </c>
      <c r="F11" s="1">
        <v>41346</v>
      </c>
      <c r="G11" s="2">
        <v>2013</v>
      </c>
      <c r="H11">
        <v>2021</v>
      </c>
      <c r="I11" s="2">
        <v>8</v>
      </c>
      <c r="J11">
        <v>108093</v>
      </c>
      <c r="K11" t="s">
        <v>62</v>
      </c>
      <c r="L11">
        <v>1</v>
      </c>
      <c r="M11" t="s">
        <v>46</v>
      </c>
      <c r="N11" t="s">
        <v>17</v>
      </c>
      <c r="O11" t="s">
        <v>63</v>
      </c>
    </row>
    <row r="12" spans="1:15" x14ac:dyDescent="0.3">
      <c r="A12">
        <v>11</v>
      </c>
      <c r="B12" t="s">
        <v>64</v>
      </c>
      <c r="C12" t="s">
        <v>65</v>
      </c>
      <c r="D12" t="s">
        <v>1495</v>
      </c>
      <c r="E12" t="s">
        <v>32</v>
      </c>
      <c r="F12" s="1">
        <v>37952</v>
      </c>
      <c r="G12" s="2">
        <v>2003</v>
      </c>
      <c r="H12">
        <v>2021</v>
      </c>
      <c r="I12" s="3">
        <v>18</v>
      </c>
      <c r="J12">
        <v>121966</v>
      </c>
      <c r="K12" t="s">
        <v>66</v>
      </c>
      <c r="L12">
        <v>7</v>
      </c>
      <c r="M12" t="s">
        <v>39</v>
      </c>
      <c r="N12" t="s">
        <v>40</v>
      </c>
      <c r="O12" t="s">
        <v>34</v>
      </c>
    </row>
    <row r="13" spans="1:15" x14ac:dyDescent="0.3">
      <c r="A13">
        <v>12</v>
      </c>
      <c r="B13" t="s">
        <v>67</v>
      </c>
      <c r="C13" t="s">
        <v>68</v>
      </c>
      <c r="D13" t="s">
        <v>1494</v>
      </c>
      <c r="E13" t="s">
        <v>69</v>
      </c>
      <c r="F13" s="1">
        <v>37656</v>
      </c>
      <c r="G13" s="2">
        <v>2003</v>
      </c>
      <c r="H13">
        <v>2021</v>
      </c>
      <c r="I13" s="2">
        <v>18</v>
      </c>
      <c r="J13">
        <v>44179</v>
      </c>
      <c r="K13" t="s">
        <v>70</v>
      </c>
      <c r="L13">
        <v>7</v>
      </c>
      <c r="M13" t="s">
        <v>39</v>
      </c>
      <c r="N13" t="s">
        <v>40</v>
      </c>
      <c r="O13" t="s">
        <v>41</v>
      </c>
    </row>
    <row r="14" spans="1:15" x14ac:dyDescent="0.3">
      <c r="A14">
        <v>13</v>
      </c>
      <c r="B14" t="s">
        <v>71</v>
      </c>
      <c r="C14" t="s">
        <v>72</v>
      </c>
      <c r="D14" t="s">
        <v>1494</v>
      </c>
      <c r="E14" t="s">
        <v>73</v>
      </c>
      <c r="F14" s="1">
        <v>37542</v>
      </c>
      <c r="G14" s="2">
        <v>2002</v>
      </c>
      <c r="H14">
        <v>2021</v>
      </c>
      <c r="I14" s="2">
        <v>19</v>
      </c>
      <c r="J14">
        <v>85227</v>
      </c>
      <c r="K14" t="s">
        <v>74</v>
      </c>
      <c r="L14">
        <v>3</v>
      </c>
      <c r="M14" t="s">
        <v>28</v>
      </c>
      <c r="N14" t="s">
        <v>17</v>
      </c>
      <c r="O14" t="s">
        <v>41</v>
      </c>
    </row>
    <row r="15" spans="1:15" x14ac:dyDescent="0.3">
      <c r="A15">
        <v>14</v>
      </c>
      <c r="B15" t="s">
        <v>75</v>
      </c>
      <c r="C15" t="s">
        <v>76</v>
      </c>
      <c r="D15" t="s">
        <v>1495</v>
      </c>
      <c r="E15" t="s">
        <v>14</v>
      </c>
      <c r="F15" s="1">
        <v>39012</v>
      </c>
      <c r="G15" s="2">
        <v>2006</v>
      </c>
      <c r="H15">
        <v>2021</v>
      </c>
      <c r="I15" s="2">
        <v>15</v>
      </c>
      <c r="J15">
        <v>59763</v>
      </c>
      <c r="K15" t="s">
        <v>77</v>
      </c>
      <c r="L15">
        <v>4</v>
      </c>
      <c r="M15" t="s">
        <v>55</v>
      </c>
      <c r="N15" t="s">
        <v>17</v>
      </c>
      <c r="O15" t="s">
        <v>18</v>
      </c>
    </row>
    <row r="16" spans="1:15" x14ac:dyDescent="0.3">
      <c r="A16">
        <v>15</v>
      </c>
      <c r="B16" t="s">
        <v>64</v>
      </c>
      <c r="C16" t="s">
        <v>78</v>
      </c>
      <c r="D16" t="s">
        <v>1495</v>
      </c>
      <c r="E16" t="s">
        <v>79</v>
      </c>
      <c r="F16" s="1">
        <v>39145</v>
      </c>
      <c r="G16" s="2">
        <v>2007</v>
      </c>
      <c r="H16">
        <v>2021</v>
      </c>
      <c r="I16" s="2">
        <v>14</v>
      </c>
      <c r="J16">
        <v>141139</v>
      </c>
      <c r="K16" t="s">
        <v>66</v>
      </c>
      <c r="L16">
        <v>7</v>
      </c>
      <c r="M16" t="s">
        <v>39</v>
      </c>
      <c r="N16" t="s">
        <v>40</v>
      </c>
      <c r="O16" t="s">
        <v>41</v>
      </c>
    </row>
    <row r="17" spans="1:15" x14ac:dyDescent="0.3">
      <c r="A17">
        <v>16</v>
      </c>
      <c r="B17" t="s">
        <v>80</v>
      </c>
      <c r="C17" t="s">
        <v>81</v>
      </c>
      <c r="D17" t="s">
        <v>1495</v>
      </c>
      <c r="E17" t="s">
        <v>73</v>
      </c>
      <c r="F17" s="1">
        <v>39521</v>
      </c>
      <c r="G17" s="2">
        <v>2008</v>
      </c>
      <c r="H17">
        <v>2021</v>
      </c>
      <c r="I17" s="2">
        <v>13</v>
      </c>
      <c r="J17">
        <v>106659</v>
      </c>
      <c r="K17" t="s">
        <v>82</v>
      </c>
      <c r="L17">
        <v>1</v>
      </c>
      <c r="M17" t="s">
        <v>46</v>
      </c>
      <c r="N17" t="s">
        <v>17</v>
      </c>
      <c r="O17" t="s">
        <v>41</v>
      </c>
    </row>
    <row r="18" spans="1:15" x14ac:dyDescent="0.3">
      <c r="A18">
        <v>17</v>
      </c>
      <c r="B18" t="s">
        <v>83</v>
      </c>
      <c r="C18" t="s">
        <v>84</v>
      </c>
      <c r="D18" t="s">
        <v>1495</v>
      </c>
      <c r="E18" t="s">
        <v>85</v>
      </c>
      <c r="F18" s="1">
        <v>40667</v>
      </c>
      <c r="G18" s="2">
        <v>2011</v>
      </c>
      <c r="H18">
        <v>2021</v>
      </c>
      <c r="I18" s="2">
        <v>10</v>
      </c>
      <c r="J18">
        <v>148952</v>
      </c>
      <c r="K18" t="s">
        <v>86</v>
      </c>
      <c r="L18">
        <v>6</v>
      </c>
      <c r="M18" t="s">
        <v>50</v>
      </c>
      <c r="N18" t="s">
        <v>40</v>
      </c>
      <c r="O18" t="s">
        <v>41</v>
      </c>
    </row>
    <row r="19" spans="1:15" x14ac:dyDescent="0.3">
      <c r="A19">
        <v>18</v>
      </c>
      <c r="B19" t="s">
        <v>87</v>
      </c>
      <c r="C19" t="s">
        <v>88</v>
      </c>
      <c r="D19" t="s">
        <v>1494</v>
      </c>
      <c r="E19" t="s">
        <v>89</v>
      </c>
      <c r="F19" s="1">
        <v>41946</v>
      </c>
      <c r="G19" s="2">
        <v>2014</v>
      </c>
      <c r="H19">
        <v>2021</v>
      </c>
      <c r="I19" s="2">
        <v>7</v>
      </c>
      <c r="J19">
        <v>93804</v>
      </c>
      <c r="K19" t="s">
        <v>90</v>
      </c>
      <c r="L19">
        <v>5</v>
      </c>
      <c r="M19" t="s">
        <v>91</v>
      </c>
      <c r="N19" t="s">
        <v>40</v>
      </c>
      <c r="O19" t="s">
        <v>41</v>
      </c>
    </row>
    <row r="20" spans="1:15" x14ac:dyDescent="0.3">
      <c r="A20">
        <v>19</v>
      </c>
      <c r="B20" t="s">
        <v>92</v>
      </c>
      <c r="C20" t="s">
        <v>93</v>
      </c>
      <c r="D20" t="s">
        <v>1494</v>
      </c>
      <c r="E20" t="s">
        <v>94</v>
      </c>
      <c r="F20" s="1">
        <v>38252</v>
      </c>
      <c r="G20" s="2">
        <v>2004</v>
      </c>
      <c r="H20">
        <v>2021</v>
      </c>
      <c r="I20" s="2">
        <v>17</v>
      </c>
      <c r="J20">
        <v>109890</v>
      </c>
      <c r="K20" t="s">
        <v>95</v>
      </c>
      <c r="L20">
        <v>3</v>
      </c>
      <c r="M20" t="s">
        <v>28</v>
      </c>
      <c r="N20" t="s">
        <v>17</v>
      </c>
      <c r="O20" t="s">
        <v>18</v>
      </c>
    </row>
    <row r="21" spans="1:15" x14ac:dyDescent="0.3">
      <c r="A21">
        <v>20</v>
      </c>
      <c r="B21" t="s">
        <v>24</v>
      </c>
      <c r="C21" t="s">
        <v>96</v>
      </c>
      <c r="D21" t="s">
        <v>1495</v>
      </c>
      <c r="E21" t="s">
        <v>61</v>
      </c>
      <c r="F21" s="1">
        <v>39408</v>
      </c>
      <c r="G21" s="2">
        <v>2007</v>
      </c>
      <c r="H21">
        <v>2021</v>
      </c>
      <c r="I21" s="2">
        <v>14</v>
      </c>
      <c r="J21">
        <v>115274</v>
      </c>
      <c r="K21" t="s">
        <v>97</v>
      </c>
      <c r="L21">
        <v>5</v>
      </c>
      <c r="M21" t="s">
        <v>91</v>
      </c>
      <c r="N21" t="s">
        <v>40</v>
      </c>
      <c r="O21" t="s">
        <v>63</v>
      </c>
    </row>
    <row r="22" spans="1:15" x14ac:dyDescent="0.3">
      <c r="A22">
        <v>21</v>
      </c>
      <c r="B22" t="s">
        <v>98</v>
      </c>
      <c r="C22" t="s">
        <v>99</v>
      </c>
      <c r="D22" t="s">
        <v>1495</v>
      </c>
      <c r="E22" t="s">
        <v>100</v>
      </c>
      <c r="F22" s="1">
        <v>38576</v>
      </c>
      <c r="G22" s="2">
        <v>2005</v>
      </c>
      <c r="H22">
        <v>2021</v>
      </c>
      <c r="I22" s="2">
        <v>16</v>
      </c>
      <c r="J22">
        <v>78052</v>
      </c>
      <c r="K22" t="s">
        <v>101</v>
      </c>
      <c r="L22">
        <v>3</v>
      </c>
      <c r="M22" t="s">
        <v>28</v>
      </c>
      <c r="N22" t="s">
        <v>17</v>
      </c>
      <c r="O22" t="s">
        <v>29</v>
      </c>
    </row>
    <row r="23" spans="1:15" x14ac:dyDescent="0.3">
      <c r="A23">
        <v>22</v>
      </c>
      <c r="B23" t="s">
        <v>102</v>
      </c>
      <c r="C23" t="s">
        <v>103</v>
      </c>
      <c r="D23" t="s">
        <v>1494</v>
      </c>
      <c r="E23" t="s">
        <v>26</v>
      </c>
      <c r="F23" s="1">
        <v>40903</v>
      </c>
      <c r="G23" s="2">
        <v>2011</v>
      </c>
      <c r="H23">
        <v>2021</v>
      </c>
      <c r="I23" s="2">
        <v>10</v>
      </c>
      <c r="J23">
        <v>144724</v>
      </c>
      <c r="K23" t="s">
        <v>104</v>
      </c>
      <c r="L23">
        <v>2</v>
      </c>
      <c r="M23" t="s">
        <v>16</v>
      </c>
      <c r="N23" t="s">
        <v>17</v>
      </c>
      <c r="O23" t="s">
        <v>29</v>
      </c>
    </row>
    <row r="24" spans="1:15" x14ac:dyDescent="0.3">
      <c r="A24">
        <v>23</v>
      </c>
      <c r="B24" t="s">
        <v>105</v>
      </c>
      <c r="C24" t="s">
        <v>106</v>
      </c>
      <c r="D24" t="s">
        <v>1495</v>
      </c>
      <c r="E24" t="s">
        <v>32</v>
      </c>
      <c r="F24" s="1">
        <v>36993</v>
      </c>
      <c r="G24" s="2">
        <v>2001</v>
      </c>
      <c r="H24">
        <v>2021</v>
      </c>
      <c r="I24" s="3">
        <v>20</v>
      </c>
      <c r="J24">
        <v>126103</v>
      </c>
      <c r="K24" t="s">
        <v>107</v>
      </c>
      <c r="L24">
        <v>4</v>
      </c>
      <c r="M24" t="s">
        <v>55</v>
      </c>
      <c r="N24" t="s">
        <v>17</v>
      </c>
      <c r="O24" t="s">
        <v>34</v>
      </c>
    </row>
    <row r="25" spans="1:15" x14ac:dyDescent="0.3">
      <c r="A25">
        <v>24</v>
      </c>
      <c r="B25" t="s">
        <v>108</v>
      </c>
      <c r="C25" t="s">
        <v>109</v>
      </c>
      <c r="D25" t="s">
        <v>1494</v>
      </c>
      <c r="E25" t="s">
        <v>110</v>
      </c>
      <c r="F25" s="1">
        <v>38897</v>
      </c>
      <c r="G25" s="2">
        <v>2006</v>
      </c>
      <c r="H25">
        <v>2021</v>
      </c>
      <c r="I25" s="2">
        <v>15</v>
      </c>
      <c r="J25">
        <v>144965</v>
      </c>
      <c r="K25" t="s">
        <v>111</v>
      </c>
      <c r="L25">
        <v>2</v>
      </c>
      <c r="M25" t="s">
        <v>16</v>
      </c>
      <c r="N25" t="s">
        <v>17</v>
      </c>
      <c r="O25" t="s">
        <v>112</v>
      </c>
    </row>
    <row r="26" spans="1:15" x14ac:dyDescent="0.3">
      <c r="A26">
        <v>25</v>
      </c>
      <c r="B26" t="s">
        <v>113</v>
      </c>
      <c r="C26" t="s">
        <v>114</v>
      </c>
      <c r="D26" t="s">
        <v>1494</v>
      </c>
      <c r="E26" t="s">
        <v>53</v>
      </c>
      <c r="F26" s="1">
        <v>38142</v>
      </c>
      <c r="G26" s="2">
        <v>2004</v>
      </c>
      <c r="H26">
        <v>2021</v>
      </c>
      <c r="I26" s="2">
        <v>17</v>
      </c>
      <c r="J26">
        <v>70613</v>
      </c>
      <c r="K26" t="s">
        <v>115</v>
      </c>
      <c r="L26">
        <v>1</v>
      </c>
      <c r="M26" t="s">
        <v>46</v>
      </c>
      <c r="N26" t="s">
        <v>17</v>
      </c>
      <c r="O26" t="s">
        <v>23</v>
      </c>
    </row>
    <row r="27" spans="1:15" x14ac:dyDescent="0.3">
      <c r="A27">
        <v>26</v>
      </c>
      <c r="B27" t="s">
        <v>116</v>
      </c>
      <c r="C27" t="s">
        <v>117</v>
      </c>
      <c r="D27" t="s">
        <v>1495</v>
      </c>
      <c r="E27" t="s">
        <v>89</v>
      </c>
      <c r="F27" s="1">
        <v>40693</v>
      </c>
      <c r="G27" s="2">
        <v>2011</v>
      </c>
      <c r="H27">
        <v>2021</v>
      </c>
      <c r="I27" s="2">
        <v>10</v>
      </c>
      <c r="J27">
        <v>90746</v>
      </c>
      <c r="K27" t="s">
        <v>49</v>
      </c>
      <c r="L27">
        <v>2</v>
      </c>
      <c r="M27" t="s">
        <v>16</v>
      </c>
      <c r="N27" t="s">
        <v>17</v>
      </c>
      <c r="O27" t="s">
        <v>41</v>
      </c>
    </row>
    <row r="28" spans="1:15" x14ac:dyDescent="0.3">
      <c r="A28">
        <v>27</v>
      </c>
      <c r="B28" t="s">
        <v>118</v>
      </c>
      <c r="C28" t="s">
        <v>119</v>
      </c>
      <c r="D28" t="s">
        <v>1495</v>
      </c>
      <c r="E28" t="s">
        <v>89</v>
      </c>
      <c r="F28" s="1">
        <v>38498</v>
      </c>
      <c r="G28" s="2">
        <v>2005</v>
      </c>
      <c r="H28">
        <v>2021</v>
      </c>
      <c r="I28" s="2">
        <v>16</v>
      </c>
      <c r="J28">
        <v>78698</v>
      </c>
      <c r="K28" t="s">
        <v>45</v>
      </c>
      <c r="L28">
        <v>2</v>
      </c>
      <c r="M28" t="s">
        <v>16</v>
      </c>
      <c r="N28" t="s">
        <v>17</v>
      </c>
      <c r="O28" t="s">
        <v>41</v>
      </c>
    </row>
    <row r="29" spans="1:15" x14ac:dyDescent="0.3">
      <c r="A29">
        <v>28</v>
      </c>
      <c r="B29" t="s">
        <v>120</v>
      </c>
      <c r="C29" t="s">
        <v>121</v>
      </c>
      <c r="D29" t="s">
        <v>1495</v>
      </c>
      <c r="E29" t="s">
        <v>122</v>
      </c>
      <c r="F29" s="1">
        <v>39509</v>
      </c>
      <c r="G29" s="2">
        <v>2008</v>
      </c>
      <c r="H29">
        <v>2021</v>
      </c>
      <c r="I29" s="2">
        <v>13</v>
      </c>
      <c r="J29">
        <v>63336</v>
      </c>
      <c r="K29" t="s">
        <v>62</v>
      </c>
      <c r="L29">
        <v>4</v>
      </c>
      <c r="M29" t="s">
        <v>55</v>
      </c>
      <c r="N29" t="s">
        <v>17</v>
      </c>
      <c r="O29" t="s">
        <v>123</v>
      </c>
    </row>
    <row r="30" spans="1:15" x14ac:dyDescent="0.3">
      <c r="A30">
        <v>29</v>
      </c>
      <c r="B30" t="s">
        <v>124</v>
      </c>
      <c r="C30" t="s">
        <v>125</v>
      </c>
      <c r="D30" t="s">
        <v>1495</v>
      </c>
      <c r="E30" t="s">
        <v>69</v>
      </c>
      <c r="F30" s="1">
        <v>41460</v>
      </c>
      <c r="G30" s="2">
        <v>2013</v>
      </c>
      <c r="H30">
        <v>2021</v>
      </c>
      <c r="I30" s="2">
        <v>8</v>
      </c>
      <c r="J30">
        <v>95436</v>
      </c>
      <c r="K30" t="s">
        <v>126</v>
      </c>
      <c r="L30">
        <v>3</v>
      </c>
      <c r="M30" t="s">
        <v>28</v>
      </c>
      <c r="N30" t="s">
        <v>17</v>
      </c>
      <c r="O30" t="s">
        <v>41</v>
      </c>
    </row>
    <row r="31" spans="1:15" x14ac:dyDescent="0.3">
      <c r="A31">
        <v>30</v>
      </c>
      <c r="B31" t="s">
        <v>127</v>
      </c>
      <c r="C31" t="s">
        <v>128</v>
      </c>
      <c r="D31" t="s">
        <v>1494</v>
      </c>
      <c r="E31" t="s">
        <v>129</v>
      </c>
      <c r="F31" s="1">
        <v>40956</v>
      </c>
      <c r="G31" s="2">
        <v>2012</v>
      </c>
      <c r="H31">
        <v>2021</v>
      </c>
      <c r="I31" s="2">
        <v>9</v>
      </c>
      <c r="J31">
        <v>83144</v>
      </c>
      <c r="K31" t="s">
        <v>130</v>
      </c>
      <c r="L31">
        <v>2</v>
      </c>
      <c r="M31" t="s">
        <v>16</v>
      </c>
      <c r="N31" t="s">
        <v>17</v>
      </c>
      <c r="O31" t="s">
        <v>41</v>
      </c>
    </row>
    <row r="32" spans="1:15" x14ac:dyDescent="0.3">
      <c r="A32">
        <v>31</v>
      </c>
      <c r="B32" t="s">
        <v>131</v>
      </c>
      <c r="C32" t="s">
        <v>132</v>
      </c>
      <c r="D32" t="s">
        <v>1495</v>
      </c>
      <c r="E32" t="s">
        <v>44</v>
      </c>
      <c r="F32" s="1">
        <v>41203</v>
      </c>
      <c r="G32" s="2">
        <v>2012</v>
      </c>
      <c r="H32">
        <v>2021</v>
      </c>
      <c r="I32" s="2">
        <v>9</v>
      </c>
      <c r="J32">
        <v>113507</v>
      </c>
      <c r="K32" t="s">
        <v>133</v>
      </c>
      <c r="L32">
        <v>7</v>
      </c>
      <c r="M32" t="s">
        <v>39</v>
      </c>
      <c r="N32" t="s">
        <v>40</v>
      </c>
      <c r="O32" t="s">
        <v>29</v>
      </c>
    </row>
    <row r="33" spans="1:15" x14ac:dyDescent="0.3">
      <c r="A33">
        <v>32</v>
      </c>
      <c r="B33" t="s">
        <v>134</v>
      </c>
      <c r="C33" t="s">
        <v>135</v>
      </c>
      <c r="D33" t="s">
        <v>1494</v>
      </c>
      <c r="E33" t="s">
        <v>79</v>
      </c>
      <c r="F33" s="1">
        <v>41736</v>
      </c>
      <c r="G33" s="2">
        <v>2014</v>
      </c>
      <c r="H33">
        <v>2021</v>
      </c>
      <c r="I33" s="2">
        <v>7</v>
      </c>
      <c r="J33">
        <v>78245</v>
      </c>
      <c r="K33" t="s">
        <v>136</v>
      </c>
      <c r="L33">
        <v>6</v>
      </c>
      <c r="M33" t="s">
        <v>50</v>
      </c>
      <c r="N33" t="s">
        <v>40</v>
      </c>
      <c r="O33" t="s">
        <v>41</v>
      </c>
    </row>
    <row r="34" spans="1:15" x14ac:dyDescent="0.3">
      <c r="A34">
        <v>33</v>
      </c>
      <c r="B34" t="s">
        <v>137</v>
      </c>
      <c r="C34" t="s">
        <v>138</v>
      </c>
      <c r="D34" t="s">
        <v>1494</v>
      </c>
      <c r="E34" t="s">
        <v>61</v>
      </c>
      <c r="F34" s="1">
        <v>36606</v>
      </c>
      <c r="G34" s="2">
        <v>2000</v>
      </c>
      <c r="H34">
        <v>2021</v>
      </c>
      <c r="I34" s="2">
        <v>21</v>
      </c>
      <c r="J34">
        <v>87057</v>
      </c>
      <c r="K34" t="s">
        <v>139</v>
      </c>
      <c r="L34">
        <v>1</v>
      </c>
      <c r="M34" t="s">
        <v>46</v>
      </c>
      <c r="N34" t="s">
        <v>17</v>
      </c>
      <c r="O34" t="s">
        <v>63</v>
      </c>
    </row>
    <row r="35" spans="1:15" x14ac:dyDescent="0.3">
      <c r="A35">
        <v>34</v>
      </c>
      <c r="B35" t="s">
        <v>140</v>
      </c>
      <c r="C35" t="s">
        <v>141</v>
      </c>
      <c r="D35" t="s">
        <v>1494</v>
      </c>
      <c r="E35" t="s">
        <v>61</v>
      </c>
      <c r="F35" s="1">
        <v>37588</v>
      </c>
      <c r="G35" s="2">
        <v>2002</v>
      </c>
      <c r="H35">
        <v>2021</v>
      </c>
      <c r="I35" s="2">
        <v>19</v>
      </c>
      <c r="J35">
        <v>120579</v>
      </c>
      <c r="K35" t="s">
        <v>142</v>
      </c>
      <c r="L35">
        <v>6</v>
      </c>
      <c r="M35" t="s">
        <v>50</v>
      </c>
      <c r="N35" t="s">
        <v>40</v>
      </c>
      <c r="O35" t="s">
        <v>63</v>
      </c>
    </row>
    <row r="36" spans="1:15" x14ac:dyDescent="0.3">
      <c r="A36">
        <v>35</v>
      </c>
      <c r="B36" t="s">
        <v>143</v>
      </c>
      <c r="C36" t="s">
        <v>144</v>
      </c>
      <c r="D36" t="s">
        <v>1495</v>
      </c>
      <c r="E36" t="s">
        <v>122</v>
      </c>
      <c r="F36" s="1">
        <v>41438</v>
      </c>
      <c r="G36" s="2">
        <v>2013</v>
      </c>
      <c r="H36">
        <v>2021</v>
      </c>
      <c r="I36" s="2">
        <v>8</v>
      </c>
      <c r="J36">
        <v>94884</v>
      </c>
      <c r="K36" t="s">
        <v>145</v>
      </c>
      <c r="L36">
        <v>7</v>
      </c>
      <c r="M36" t="s">
        <v>39</v>
      </c>
      <c r="N36" t="s">
        <v>40</v>
      </c>
      <c r="O36" t="s">
        <v>123</v>
      </c>
    </row>
    <row r="37" spans="1:15" x14ac:dyDescent="0.3">
      <c r="A37">
        <v>36</v>
      </c>
      <c r="B37" t="s">
        <v>146</v>
      </c>
      <c r="C37" t="s">
        <v>147</v>
      </c>
      <c r="D37" t="s">
        <v>1494</v>
      </c>
      <c r="E37" t="s">
        <v>148</v>
      </c>
      <c r="F37" s="1">
        <v>39810</v>
      </c>
      <c r="G37" s="2">
        <v>2008</v>
      </c>
      <c r="H37">
        <v>2021</v>
      </c>
      <c r="I37" s="2">
        <v>13</v>
      </c>
      <c r="J37">
        <v>107222</v>
      </c>
      <c r="K37" t="s">
        <v>149</v>
      </c>
      <c r="L37">
        <v>3</v>
      </c>
      <c r="M37" t="s">
        <v>28</v>
      </c>
      <c r="N37" t="s">
        <v>17</v>
      </c>
      <c r="O37" t="s">
        <v>112</v>
      </c>
    </row>
    <row r="38" spans="1:15" x14ac:dyDescent="0.3">
      <c r="A38">
        <v>37</v>
      </c>
      <c r="B38" t="s">
        <v>150</v>
      </c>
      <c r="C38" t="s">
        <v>151</v>
      </c>
      <c r="D38" t="s">
        <v>1495</v>
      </c>
      <c r="E38" t="s">
        <v>89</v>
      </c>
      <c r="F38" s="1">
        <v>36666</v>
      </c>
      <c r="G38" s="2">
        <v>2000</v>
      </c>
      <c r="H38">
        <v>2021</v>
      </c>
      <c r="I38" s="2">
        <v>21</v>
      </c>
      <c r="J38">
        <v>61739</v>
      </c>
      <c r="K38" t="s">
        <v>126</v>
      </c>
      <c r="L38">
        <v>1</v>
      </c>
      <c r="M38" t="s">
        <v>46</v>
      </c>
      <c r="N38" t="s">
        <v>17</v>
      </c>
      <c r="O38" t="s">
        <v>41</v>
      </c>
    </row>
    <row r="39" spans="1:15" x14ac:dyDescent="0.3">
      <c r="A39">
        <v>38</v>
      </c>
      <c r="B39" t="s">
        <v>47</v>
      </c>
      <c r="C39" t="s">
        <v>152</v>
      </c>
      <c r="D39" t="s">
        <v>1495</v>
      </c>
      <c r="E39" t="s">
        <v>110</v>
      </c>
      <c r="F39" s="1">
        <v>40933</v>
      </c>
      <c r="G39" s="2">
        <v>2012</v>
      </c>
      <c r="H39">
        <v>2021</v>
      </c>
      <c r="I39" s="2">
        <v>9</v>
      </c>
      <c r="J39">
        <v>82026</v>
      </c>
      <c r="K39" t="s">
        <v>153</v>
      </c>
      <c r="L39">
        <v>2</v>
      </c>
      <c r="M39" t="s">
        <v>16</v>
      </c>
      <c r="N39" t="s">
        <v>17</v>
      </c>
      <c r="O39" t="s">
        <v>112</v>
      </c>
    </row>
    <row r="40" spans="1:15" x14ac:dyDescent="0.3">
      <c r="A40">
        <v>39</v>
      </c>
      <c r="B40" t="s">
        <v>154</v>
      </c>
      <c r="C40" t="s">
        <v>155</v>
      </c>
      <c r="D40" t="s">
        <v>1494</v>
      </c>
      <c r="E40" t="s">
        <v>73</v>
      </c>
      <c r="F40" s="1">
        <v>40726</v>
      </c>
      <c r="G40" s="2">
        <v>2011</v>
      </c>
      <c r="H40">
        <v>2021</v>
      </c>
      <c r="I40" s="2">
        <v>10</v>
      </c>
      <c r="J40">
        <v>79339</v>
      </c>
      <c r="K40" t="s">
        <v>156</v>
      </c>
      <c r="L40">
        <v>1</v>
      </c>
      <c r="M40" t="s">
        <v>46</v>
      </c>
      <c r="N40" t="s">
        <v>17</v>
      </c>
      <c r="O40" t="s">
        <v>41</v>
      </c>
    </row>
    <row r="41" spans="1:15" x14ac:dyDescent="0.3">
      <c r="A41">
        <v>40</v>
      </c>
      <c r="B41" t="s">
        <v>157</v>
      </c>
      <c r="C41" t="s">
        <v>158</v>
      </c>
      <c r="D41" t="s">
        <v>1495</v>
      </c>
      <c r="E41" t="s">
        <v>69</v>
      </c>
      <c r="F41" s="1">
        <v>40775</v>
      </c>
      <c r="G41" s="2">
        <v>2011</v>
      </c>
      <c r="H41">
        <v>2021</v>
      </c>
      <c r="I41" s="2">
        <v>10</v>
      </c>
      <c r="J41">
        <v>76809</v>
      </c>
      <c r="K41" t="s">
        <v>126</v>
      </c>
      <c r="L41">
        <v>6</v>
      </c>
      <c r="M41" t="s">
        <v>50</v>
      </c>
      <c r="N41" t="s">
        <v>40</v>
      </c>
      <c r="O41" t="s">
        <v>41</v>
      </c>
    </row>
    <row r="42" spans="1:15" x14ac:dyDescent="0.3">
      <c r="A42">
        <v>41</v>
      </c>
      <c r="B42" t="s">
        <v>159</v>
      </c>
      <c r="C42" t="s">
        <v>160</v>
      </c>
      <c r="D42" t="s">
        <v>1495</v>
      </c>
      <c r="E42" t="s">
        <v>73</v>
      </c>
      <c r="F42" s="1">
        <v>37021</v>
      </c>
      <c r="G42" s="2">
        <v>2001</v>
      </c>
      <c r="H42">
        <v>2021</v>
      </c>
      <c r="I42" s="2">
        <v>20</v>
      </c>
      <c r="J42">
        <v>89680</v>
      </c>
      <c r="K42" t="s">
        <v>82</v>
      </c>
      <c r="L42">
        <v>6</v>
      </c>
      <c r="M42" t="s">
        <v>50</v>
      </c>
      <c r="N42" t="s">
        <v>40</v>
      </c>
      <c r="O42" t="s">
        <v>41</v>
      </c>
    </row>
    <row r="43" spans="1:15" x14ac:dyDescent="0.3">
      <c r="A43">
        <v>42</v>
      </c>
      <c r="B43" t="s">
        <v>161</v>
      </c>
      <c r="C43" t="s">
        <v>162</v>
      </c>
      <c r="D43" t="s">
        <v>1494</v>
      </c>
      <c r="E43" t="s">
        <v>14</v>
      </c>
      <c r="F43" s="1">
        <v>39539</v>
      </c>
      <c r="G43" s="2">
        <v>2008</v>
      </c>
      <c r="H43">
        <v>2021</v>
      </c>
      <c r="I43" s="2">
        <v>13</v>
      </c>
      <c r="J43">
        <v>125668</v>
      </c>
      <c r="K43" t="s">
        <v>45</v>
      </c>
      <c r="L43">
        <v>7</v>
      </c>
      <c r="M43" t="s">
        <v>39</v>
      </c>
      <c r="N43" t="s">
        <v>40</v>
      </c>
      <c r="O43" t="s">
        <v>18</v>
      </c>
    </row>
    <row r="44" spans="1:15" x14ac:dyDescent="0.3">
      <c r="A44">
        <v>43</v>
      </c>
      <c r="B44" t="s">
        <v>163</v>
      </c>
      <c r="C44" t="s">
        <v>164</v>
      </c>
      <c r="D44" t="s">
        <v>1494</v>
      </c>
      <c r="E44" t="s">
        <v>21</v>
      </c>
      <c r="F44" s="1">
        <v>39962</v>
      </c>
      <c r="G44" s="2">
        <v>2009</v>
      </c>
      <c r="H44">
        <v>2021</v>
      </c>
      <c r="I44" s="2">
        <v>12</v>
      </c>
      <c r="J44">
        <v>82960</v>
      </c>
      <c r="K44" t="s">
        <v>130</v>
      </c>
      <c r="L44">
        <v>6</v>
      </c>
      <c r="M44" t="s">
        <v>50</v>
      </c>
      <c r="N44" t="s">
        <v>40</v>
      </c>
      <c r="O44" t="s">
        <v>23</v>
      </c>
    </row>
    <row r="45" spans="1:15" x14ac:dyDescent="0.3">
      <c r="A45">
        <v>44</v>
      </c>
      <c r="B45" t="s">
        <v>165</v>
      </c>
      <c r="C45" t="s">
        <v>166</v>
      </c>
      <c r="D45" t="s">
        <v>1494</v>
      </c>
      <c r="E45" t="s">
        <v>61</v>
      </c>
      <c r="F45" s="1">
        <v>41629</v>
      </c>
      <c r="G45" s="2">
        <v>2013</v>
      </c>
      <c r="H45">
        <v>2021</v>
      </c>
      <c r="I45" s="2">
        <v>8</v>
      </c>
      <c r="J45">
        <v>113857</v>
      </c>
      <c r="K45" t="s">
        <v>167</v>
      </c>
      <c r="L45">
        <v>2</v>
      </c>
      <c r="M45" t="s">
        <v>16</v>
      </c>
      <c r="N45" t="s">
        <v>17</v>
      </c>
      <c r="O45" t="s">
        <v>63</v>
      </c>
    </row>
    <row r="46" spans="1:15" x14ac:dyDescent="0.3">
      <c r="A46">
        <v>45</v>
      </c>
      <c r="B46" t="s">
        <v>87</v>
      </c>
      <c r="C46" t="s">
        <v>168</v>
      </c>
      <c r="D46" t="s">
        <v>1494</v>
      </c>
      <c r="E46" t="s">
        <v>26</v>
      </c>
      <c r="F46" s="1">
        <v>37280</v>
      </c>
      <c r="G46" s="2">
        <v>2002</v>
      </c>
      <c r="H46">
        <v>2021</v>
      </c>
      <c r="I46" s="2">
        <v>19</v>
      </c>
      <c r="J46">
        <v>108378</v>
      </c>
      <c r="K46" t="s">
        <v>169</v>
      </c>
      <c r="L46">
        <v>7</v>
      </c>
      <c r="M46" t="s">
        <v>39</v>
      </c>
      <c r="N46" t="s">
        <v>40</v>
      </c>
      <c r="O46" t="s">
        <v>29</v>
      </c>
    </row>
    <row r="47" spans="1:15" x14ac:dyDescent="0.3">
      <c r="A47">
        <v>46</v>
      </c>
      <c r="B47" t="s">
        <v>170</v>
      </c>
      <c r="C47" t="s">
        <v>171</v>
      </c>
      <c r="D47" t="s">
        <v>1494</v>
      </c>
      <c r="E47" t="s">
        <v>148</v>
      </c>
      <c r="F47" s="1">
        <v>40888</v>
      </c>
      <c r="G47" s="2">
        <v>2011</v>
      </c>
      <c r="H47">
        <v>2021</v>
      </c>
      <c r="I47" s="2">
        <v>10</v>
      </c>
      <c r="J47">
        <v>133424</v>
      </c>
      <c r="K47" t="s">
        <v>172</v>
      </c>
      <c r="L47">
        <v>7</v>
      </c>
      <c r="M47" t="s">
        <v>39</v>
      </c>
      <c r="N47" t="s">
        <v>40</v>
      </c>
      <c r="O47" t="s">
        <v>112</v>
      </c>
    </row>
    <row r="48" spans="1:15" x14ac:dyDescent="0.3">
      <c r="A48">
        <v>47</v>
      </c>
      <c r="B48" t="s">
        <v>173</v>
      </c>
      <c r="C48" t="s">
        <v>174</v>
      </c>
      <c r="D48" t="s">
        <v>1495</v>
      </c>
      <c r="E48" t="s">
        <v>69</v>
      </c>
      <c r="F48" s="1">
        <v>41516</v>
      </c>
      <c r="G48" s="2">
        <v>2013</v>
      </c>
      <c r="H48">
        <v>2021</v>
      </c>
      <c r="I48" s="2">
        <v>8</v>
      </c>
      <c r="J48">
        <v>42797</v>
      </c>
      <c r="K48" t="s">
        <v>38</v>
      </c>
      <c r="L48">
        <v>5</v>
      </c>
      <c r="M48" t="s">
        <v>91</v>
      </c>
      <c r="N48" t="s">
        <v>40</v>
      </c>
      <c r="O48" t="s">
        <v>41</v>
      </c>
    </row>
    <row r="49" spans="1:15" x14ac:dyDescent="0.3">
      <c r="A49">
        <v>48</v>
      </c>
      <c r="B49" t="s">
        <v>175</v>
      </c>
      <c r="C49" t="s">
        <v>176</v>
      </c>
      <c r="D49" t="s">
        <v>1494</v>
      </c>
      <c r="E49" t="s">
        <v>14</v>
      </c>
      <c r="F49" s="1">
        <v>38103</v>
      </c>
      <c r="G49" s="2">
        <v>2004</v>
      </c>
      <c r="H49">
        <v>2021</v>
      </c>
      <c r="I49" s="2">
        <v>17</v>
      </c>
      <c r="J49">
        <v>134940</v>
      </c>
      <c r="K49" t="s">
        <v>22</v>
      </c>
      <c r="L49">
        <v>4</v>
      </c>
      <c r="M49" t="s">
        <v>55</v>
      </c>
      <c r="N49" t="s">
        <v>17</v>
      </c>
      <c r="O49" t="s">
        <v>18</v>
      </c>
    </row>
    <row r="50" spans="1:15" x14ac:dyDescent="0.3">
      <c r="A50">
        <v>49</v>
      </c>
      <c r="B50" t="s">
        <v>177</v>
      </c>
      <c r="C50" t="s">
        <v>178</v>
      </c>
      <c r="D50" t="s">
        <v>1494</v>
      </c>
      <c r="E50" t="s">
        <v>89</v>
      </c>
      <c r="F50" s="1">
        <v>39803</v>
      </c>
      <c r="G50" s="2">
        <v>2008</v>
      </c>
      <c r="H50">
        <v>2021</v>
      </c>
      <c r="I50" s="2">
        <v>13</v>
      </c>
      <c r="J50">
        <v>119471</v>
      </c>
      <c r="K50" t="s">
        <v>179</v>
      </c>
      <c r="L50">
        <v>6</v>
      </c>
      <c r="M50" t="s">
        <v>50</v>
      </c>
      <c r="N50" t="s">
        <v>40</v>
      </c>
      <c r="O50" t="s">
        <v>41</v>
      </c>
    </row>
    <row r="51" spans="1:15" x14ac:dyDescent="0.3">
      <c r="A51">
        <v>50</v>
      </c>
      <c r="B51" t="s">
        <v>19</v>
      </c>
      <c r="C51" t="s">
        <v>180</v>
      </c>
      <c r="D51" t="s">
        <v>1495</v>
      </c>
      <c r="E51" t="s">
        <v>26</v>
      </c>
      <c r="F51" s="1">
        <v>40253</v>
      </c>
      <c r="G51" s="2">
        <v>2010</v>
      </c>
      <c r="H51">
        <v>2021</v>
      </c>
      <c r="I51" s="2">
        <v>11</v>
      </c>
      <c r="J51">
        <v>89969</v>
      </c>
      <c r="K51" t="s">
        <v>181</v>
      </c>
      <c r="L51">
        <v>4</v>
      </c>
      <c r="M51" t="s">
        <v>55</v>
      </c>
      <c r="N51" t="s">
        <v>17</v>
      </c>
      <c r="O51" t="s">
        <v>29</v>
      </c>
    </row>
    <row r="52" spans="1:15" x14ac:dyDescent="0.3">
      <c r="A52">
        <v>51</v>
      </c>
      <c r="B52" t="s">
        <v>182</v>
      </c>
      <c r="C52" t="s">
        <v>183</v>
      </c>
      <c r="D52" t="s">
        <v>1494</v>
      </c>
      <c r="E52" t="s">
        <v>73</v>
      </c>
      <c r="F52" s="1">
        <v>38986</v>
      </c>
      <c r="G52" s="2">
        <v>2006</v>
      </c>
      <c r="H52">
        <v>2021</v>
      </c>
      <c r="I52" s="2">
        <v>15</v>
      </c>
      <c r="J52">
        <v>106281</v>
      </c>
      <c r="K52" t="s">
        <v>107</v>
      </c>
      <c r="L52">
        <v>3</v>
      </c>
      <c r="M52" t="s">
        <v>28</v>
      </c>
      <c r="N52" t="s">
        <v>17</v>
      </c>
      <c r="O52" t="s">
        <v>41</v>
      </c>
    </row>
    <row r="53" spans="1:15" x14ac:dyDescent="0.3">
      <c r="A53">
        <v>52</v>
      </c>
      <c r="B53" t="s">
        <v>184</v>
      </c>
      <c r="C53" t="s">
        <v>185</v>
      </c>
      <c r="D53" t="s">
        <v>1495</v>
      </c>
      <c r="E53" t="s">
        <v>85</v>
      </c>
      <c r="F53" s="1">
        <v>37525</v>
      </c>
      <c r="G53" s="2">
        <v>2002</v>
      </c>
      <c r="H53">
        <v>2021</v>
      </c>
      <c r="I53" s="2">
        <v>19</v>
      </c>
      <c r="J53">
        <v>141678</v>
      </c>
      <c r="K53" t="s">
        <v>186</v>
      </c>
      <c r="L53">
        <v>3</v>
      </c>
      <c r="M53" t="s">
        <v>28</v>
      </c>
      <c r="N53" t="s">
        <v>17</v>
      </c>
      <c r="O53" t="s">
        <v>41</v>
      </c>
    </row>
    <row r="54" spans="1:15" x14ac:dyDescent="0.3">
      <c r="A54">
        <v>53</v>
      </c>
      <c r="B54" t="s">
        <v>187</v>
      </c>
      <c r="C54" t="s">
        <v>188</v>
      </c>
      <c r="D54" t="s">
        <v>1494</v>
      </c>
      <c r="E54" t="s">
        <v>14</v>
      </c>
      <c r="F54" s="1">
        <v>39613</v>
      </c>
      <c r="G54" s="2">
        <v>2008</v>
      </c>
      <c r="H54">
        <v>2021</v>
      </c>
      <c r="I54" s="2">
        <v>13</v>
      </c>
      <c r="J54">
        <v>110839</v>
      </c>
      <c r="K54" t="s">
        <v>189</v>
      </c>
      <c r="L54">
        <v>1</v>
      </c>
      <c r="M54" t="s">
        <v>46</v>
      </c>
      <c r="N54" t="s">
        <v>17</v>
      </c>
      <c r="O54" t="s">
        <v>18</v>
      </c>
    </row>
    <row r="55" spans="1:15" x14ac:dyDescent="0.3">
      <c r="A55">
        <v>54</v>
      </c>
      <c r="B55" t="s">
        <v>140</v>
      </c>
      <c r="C55" t="s">
        <v>190</v>
      </c>
      <c r="D55" t="s">
        <v>1495</v>
      </c>
      <c r="E55" t="s">
        <v>53</v>
      </c>
      <c r="F55" s="1">
        <v>36996</v>
      </c>
      <c r="G55" s="2">
        <v>2001</v>
      </c>
      <c r="H55">
        <v>2021</v>
      </c>
      <c r="I55" s="2">
        <v>20</v>
      </c>
      <c r="J55">
        <v>84275</v>
      </c>
      <c r="K55" t="s">
        <v>191</v>
      </c>
      <c r="L55">
        <v>5</v>
      </c>
      <c r="M55" t="s">
        <v>91</v>
      </c>
      <c r="N55" t="s">
        <v>40</v>
      </c>
      <c r="O55" t="s">
        <v>23</v>
      </c>
    </row>
    <row r="56" spans="1:15" x14ac:dyDescent="0.3">
      <c r="A56">
        <v>55</v>
      </c>
      <c r="B56" t="s">
        <v>192</v>
      </c>
      <c r="C56" t="s">
        <v>193</v>
      </c>
      <c r="D56" t="s">
        <v>1494</v>
      </c>
      <c r="E56" t="s">
        <v>26</v>
      </c>
      <c r="F56" s="1">
        <v>38098</v>
      </c>
      <c r="G56" s="2">
        <v>2004</v>
      </c>
      <c r="H56">
        <v>2021</v>
      </c>
      <c r="I56" s="2">
        <v>17</v>
      </c>
      <c r="J56">
        <v>71363</v>
      </c>
      <c r="K56" t="s">
        <v>194</v>
      </c>
      <c r="L56">
        <v>3</v>
      </c>
      <c r="M56" t="s">
        <v>28</v>
      </c>
      <c r="N56" t="s">
        <v>17</v>
      </c>
      <c r="O56" t="s">
        <v>29</v>
      </c>
    </row>
    <row r="57" spans="1:15" x14ac:dyDescent="0.3">
      <c r="A57">
        <v>56</v>
      </c>
      <c r="B57" t="s">
        <v>161</v>
      </c>
      <c r="C57" t="s">
        <v>195</v>
      </c>
      <c r="D57" t="s">
        <v>1494</v>
      </c>
      <c r="E57" t="s">
        <v>110</v>
      </c>
      <c r="F57" s="1">
        <v>37592</v>
      </c>
      <c r="G57" s="2">
        <v>2002</v>
      </c>
      <c r="H57">
        <v>2021</v>
      </c>
      <c r="I57" s="2">
        <v>19</v>
      </c>
      <c r="J57">
        <v>93680</v>
      </c>
      <c r="K57" t="s">
        <v>196</v>
      </c>
      <c r="L57">
        <v>3</v>
      </c>
      <c r="M57" t="s">
        <v>28</v>
      </c>
      <c r="N57" t="s">
        <v>17</v>
      </c>
      <c r="O57" t="s">
        <v>112</v>
      </c>
    </row>
    <row r="58" spans="1:15" x14ac:dyDescent="0.3">
      <c r="A58">
        <v>57</v>
      </c>
      <c r="B58" t="s">
        <v>159</v>
      </c>
      <c r="C58" t="s">
        <v>197</v>
      </c>
      <c r="D58" t="s">
        <v>1495</v>
      </c>
      <c r="E58" t="s">
        <v>148</v>
      </c>
      <c r="F58" s="1">
        <v>36850</v>
      </c>
      <c r="G58" s="2">
        <v>2000</v>
      </c>
      <c r="H58">
        <v>2021</v>
      </c>
      <c r="I58" s="2">
        <v>21</v>
      </c>
      <c r="J58">
        <v>73755</v>
      </c>
      <c r="K58" t="s">
        <v>90</v>
      </c>
      <c r="L58">
        <v>3</v>
      </c>
      <c r="M58" t="s">
        <v>28</v>
      </c>
      <c r="N58" t="s">
        <v>17</v>
      </c>
      <c r="O58" t="s">
        <v>112</v>
      </c>
    </row>
    <row r="59" spans="1:15" x14ac:dyDescent="0.3">
      <c r="A59">
        <v>58</v>
      </c>
      <c r="B59" t="s">
        <v>198</v>
      </c>
      <c r="C59" t="s">
        <v>199</v>
      </c>
      <c r="D59" t="s">
        <v>1494</v>
      </c>
      <c r="E59" t="s">
        <v>79</v>
      </c>
      <c r="F59" s="1">
        <v>39143</v>
      </c>
      <c r="G59" s="2">
        <v>2007</v>
      </c>
      <c r="H59">
        <v>2021</v>
      </c>
      <c r="I59" s="2">
        <v>14</v>
      </c>
      <c r="J59">
        <v>68857</v>
      </c>
      <c r="K59" t="s">
        <v>200</v>
      </c>
      <c r="L59">
        <v>2</v>
      </c>
      <c r="M59" t="s">
        <v>16</v>
      </c>
      <c r="N59" t="s">
        <v>17</v>
      </c>
      <c r="O59" t="s">
        <v>41</v>
      </c>
    </row>
    <row r="60" spans="1:15" x14ac:dyDescent="0.3">
      <c r="A60">
        <v>59</v>
      </c>
      <c r="B60" t="s">
        <v>201</v>
      </c>
      <c r="C60" t="s">
        <v>202</v>
      </c>
      <c r="D60" t="s">
        <v>1495</v>
      </c>
      <c r="E60" t="s">
        <v>203</v>
      </c>
      <c r="F60" s="1">
        <v>37334</v>
      </c>
      <c r="G60" s="2">
        <v>2002</v>
      </c>
      <c r="H60">
        <v>2021</v>
      </c>
      <c r="I60" s="2">
        <v>19</v>
      </c>
      <c r="J60">
        <v>48360</v>
      </c>
      <c r="K60" t="s">
        <v>204</v>
      </c>
      <c r="L60">
        <v>6</v>
      </c>
      <c r="M60" t="s">
        <v>50</v>
      </c>
      <c r="N60" t="s">
        <v>40</v>
      </c>
      <c r="O60" t="s">
        <v>41</v>
      </c>
    </row>
    <row r="61" spans="1:15" x14ac:dyDescent="0.3">
      <c r="A61">
        <v>60</v>
      </c>
      <c r="B61" t="s">
        <v>205</v>
      </c>
      <c r="C61" t="s">
        <v>206</v>
      </c>
      <c r="D61" t="s">
        <v>1494</v>
      </c>
      <c r="E61" t="s">
        <v>148</v>
      </c>
      <c r="F61" s="1">
        <v>38183</v>
      </c>
      <c r="G61" s="2">
        <v>2004</v>
      </c>
      <c r="H61">
        <v>2021</v>
      </c>
      <c r="I61" s="2">
        <v>17</v>
      </c>
      <c r="J61">
        <v>104896</v>
      </c>
      <c r="K61" t="s">
        <v>22</v>
      </c>
      <c r="L61">
        <v>5</v>
      </c>
      <c r="M61" t="s">
        <v>91</v>
      </c>
      <c r="N61" t="s">
        <v>40</v>
      </c>
      <c r="O61" t="s">
        <v>112</v>
      </c>
    </row>
    <row r="62" spans="1:15" x14ac:dyDescent="0.3">
      <c r="A62">
        <v>61</v>
      </c>
      <c r="B62" t="s">
        <v>207</v>
      </c>
      <c r="C62" t="s">
        <v>208</v>
      </c>
      <c r="D62" t="s">
        <v>1495</v>
      </c>
      <c r="E62" t="s">
        <v>44</v>
      </c>
      <c r="F62" s="1">
        <v>40035</v>
      </c>
      <c r="G62" s="2">
        <v>2009</v>
      </c>
      <c r="H62">
        <v>2021</v>
      </c>
      <c r="I62" s="2">
        <v>12</v>
      </c>
      <c r="J62">
        <v>81870</v>
      </c>
      <c r="K62" t="s">
        <v>209</v>
      </c>
      <c r="L62">
        <v>7</v>
      </c>
      <c r="M62" t="s">
        <v>39</v>
      </c>
      <c r="N62" t="s">
        <v>40</v>
      </c>
      <c r="O62" t="s">
        <v>29</v>
      </c>
    </row>
    <row r="63" spans="1:15" x14ac:dyDescent="0.3">
      <c r="A63">
        <v>62</v>
      </c>
      <c r="B63" t="s">
        <v>210</v>
      </c>
      <c r="C63" t="s">
        <v>211</v>
      </c>
      <c r="D63" t="s">
        <v>1494</v>
      </c>
      <c r="E63" t="s">
        <v>26</v>
      </c>
      <c r="F63" s="1">
        <v>39231</v>
      </c>
      <c r="G63" s="2">
        <v>2007</v>
      </c>
      <c r="H63">
        <v>2021</v>
      </c>
      <c r="I63" s="2">
        <v>14</v>
      </c>
      <c r="J63">
        <v>69936</v>
      </c>
      <c r="K63" t="s">
        <v>181</v>
      </c>
      <c r="L63">
        <v>7</v>
      </c>
      <c r="M63" t="s">
        <v>39</v>
      </c>
      <c r="N63" t="s">
        <v>40</v>
      </c>
      <c r="O63" t="s">
        <v>29</v>
      </c>
    </row>
    <row r="64" spans="1:15" x14ac:dyDescent="0.3">
      <c r="A64">
        <v>63</v>
      </c>
      <c r="B64" t="s">
        <v>212</v>
      </c>
      <c r="C64" t="s">
        <v>213</v>
      </c>
      <c r="D64" t="s">
        <v>1495</v>
      </c>
      <c r="E64" t="s">
        <v>37</v>
      </c>
      <c r="F64" s="1">
        <v>39427</v>
      </c>
      <c r="G64" s="2">
        <v>2007</v>
      </c>
      <c r="H64">
        <v>2021</v>
      </c>
      <c r="I64" s="2">
        <v>14</v>
      </c>
      <c r="J64">
        <v>138844</v>
      </c>
      <c r="K64" t="s">
        <v>214</v>
      </c>
      <c r="L64">
        <v>6</v>
      </c>
      <c r="M64" t="s">
        <v>50</v>
      </c>
      <c r="N64" t="s">
        <v>40</v>
      </c>
      <c r="O64" t="s">
        <v>41</v>
      </c>
    </row>
    <row r="65" spans="1:15" x14ac:dyDescent="0.3">
      <c r="A65">
        <v>64</v>
      </c>
      <c r="B65" t="s">
        <v>215</v>
      </c>
      <c r="C65" t="s">
        <v>216</v>
      </c>
      <c r="D65" t="s">
        <v>1494</v>
      </c>
      <c r="E65" t="s">
        <v>110</v>
      </c>
      <c r="F65" s="1">
        <v>40859</v>
      </c>
      <c r="G65" s="2">
        <v>2011</v>
      </c>
      <c r="H65">
        <v>2021</v>
      </c>
      <c r="I65" s="2">
        <v>10</v>
      </c>
      <c r="J65">
        <v>139796</v>
      </c>
      <c r="K65" t="s">
        <v>217</v>
      </c>
      <c r="L65">
        <v>1</v>
      </c>
      <c r="M65" t="s">
        <v>46</v>
      </c>
      <c r="N65" t="s">
        <v>17</v>
      </c>
      <c r="O65" t="s">
        <v>112</v>
      </c>
    </row>
    <row r="66" spans="1:15" x14ac:dyDescent="0.3">
      <c r="A66">
        <v>65</v>
      </c>
      <c r="B66" t="s">
        <v>218</v>
      </c>
      <c r="C66" t="s">
        <v>219</v>
      </c>
      <c r="D66" t="s">
        <v>1495</v>
      </c>
      <c r="E66" t="s">
        <v>26</v>
      </c>
      <c r="F66" s="1">
        <v>36552</v>
      </c>
      <c r="G66" s="2">
        <v>2000</v>
      </c>
      <c r="H66">
        <v>2021</v>
      </c>
      <c r="I66" s="2">
        <v>21</v>
      </c>
      <c r="J66">
        <v>86939</v>
      </c>
      <c r="K66" t="s">
        <v>220</v>
      </c>
      <c r="L66">
        <v>3</v>
      </c>
      <c r="M66" t="s">
        <v>28</v>
      </c>
      <c r="N66" t="s">
        <v>17</v>
      </c>
      <c r="O66" t="s">
        <v>29</v>
      </c>
    </row>
    <row r="67" spans="1:15" x14ac:dyDescent="0.3">
      <c r="A67">
        <v>66</v>
      </c>
      <c r="B67" t="s">
        <v>221</v>
      </c>
      <c r="C67" t="s">
        <v>222</v>
      </c>
      <c r="D67" t="s">
        <v>1494</v>
      </c>
      <c r="E67" t="s">
        <v>129</v>
      </c>
      <c r="F67" s="1">
        <v>37891</v>
      </c>
      <c r="G67" s="2">
        <v>2003</v>
      </c>
      <c r="H67">
        <v>2021</v>
      </c>
      <c r="I67" s="2">
        <v>18</v>
      </c>
      <c r="J67">
        <v>141949</v>
      </c>
      <c r="K67" t="s">
        <v>223</v>
      </c>
      <c r="L67">
        <v>4</v>
      </c>
      <c r="M67" t="s">
        <v>55</v>
      </c>
      <c r="N67" t="s">
        <v>17</v>
      </c>
      <c r="O67" t="s">
        <v>41</v>
      </c>
    </row>
    <row r="68" spans="1:15" x14ac:dyDescent="0.3">
      <c r="A68">
        <v>67</v>
      </c>
      <c r="B68" t="s">
        <v>224</v>
      </c>
      <c r="C68" t="s">
        <v>225</v>
      </c>
      <c r="D68" t="s">
        <v>1495</v>
      </c>
      <c r="E68" t="s">
        <v>37</v>
      </c>
      <c r="F68" s="1">
        <v>38207</v>
      </c>
      <c r="G68" s="2">
        <v>2004</v>
      </c>
      <c r="H68">
        <v>2021</v>
      </c>
      <c r="I68" s="2">
        <v>17</v>
      </c>
      <c r="J68">
        <v>114200</v>
      </c>
      <c r="K68" t="s">
        <v>226</v>
      </c>
      <c r="L68">
        <v>7</v>
      </c>
      <c r="M68" t="s">
        <v>39</v>
      </c>
      <c r="N68" t="s">
        <v>40</v>
      </c>
      <c r="O68" t="s">
        <v>41</v>
      </c>
    </row>
    <row r="69" spans="1:15" x14ac:dyDescent="0.3">
      <c r="A69">
        <v>68</v>
      </c>
      <c r="B69" t="s">
        <v>187</v>
      </c>
      <c r="C69" t="s">
        <v>227</v>
      </c>
      <c r="D69" t="s">
        <v>1494</v>
      </c>
      <c r="E69" t="s">
        <v>129</v>
      </c>
      <c r="F69" s="1">
        <v>41154</v>
      </c>
      <c r="G69" s="2">
        <v>2012</v>
      </c>
      <c r="H69">
        <v>2021</v>
      </c>
      <c r="I69" s="2">
        <v>9</v>
      </c>
      <c r="J69">
        <v>121378</v>
      </c>
      <c r="K69" t="s">
        <v>228</v>
      </c>
      <c r="L69">
        <v>7</v>
      </c>
      <c r="M69" t="s">
        <v>39</v>
      </c>
      <c r="N69" t="s">
        <v>40</v>
      </c>
      <c r="O69" t="s">
        <v>41</v>
      </c>
    </row>
    <row r="70" spans="1:15" x14ac:dyDescent="0.3">
      <c r="A70">
        <v>69</v>
      </c>
      <c r="B70" t="s">
        <v>229</v>
      </c>
      <c r="C70" t="s">
        <v>230</v>
      </c>
      <c r="D70" t="s">
        <v>1494</v>
      </c>
      <c r="E70" t="s">
        <v>53</v>
      </c>
      <c r="F70" s="1">
        <v>36760</v>
      </c>
      <c r="G70" s="2">
        <v>2000</v>
      </c>
      <c r="H70">
        <v>2021</v>
      </c>
      <c r="I70" s="2">
        <v>21</v>
      </c>
      <c r="J70">
        <v>148144</v>
      </c>
      <c r="K70" t="s">
        <v>70</v>
      </c>
      <c r="L70">
        <v>4</v>
      </c>
      <c r="M70" t="s">
        <v>55</v>
      </c>
      <c r="N70" t="s">
        <v>17</v>
      </c>
      <c r="O70" t="s">
        <v>23</v>
      </c>
    </row>
    <row r="71" spans="1:15" x14ac:dyDescent="0.3">
      <c r="A71">
        <v>70</v>
      </c>
      <c r="B71" t="s">
        <v>218</v>
      </c>
      <c r="C71" t="s">
        <v>231</v>
      </c>
      <c r="D71" t="s">
        <v>1495</v>
      </c>
      <c r="E71" t="s">
        <v>79</v>
      </c>
      <c r="F71" s="1">
        <v>38304</v>
      </c>
      <c r="G71" s="2">
        <v>2004</v>
      </c>
      <c r="H71">
        <v>2021</v>
      </c>
      <c r="I71" s="2">
        <v>17</v>
      </c>
      <c r="J71">
        <v>93839</v>
      </c>
      <c r="K71" t="s">
        <v>232</v>
      </c>
      <c r="L71">
        <v>2</v>
      </c>
      <c r="M71" t="s">
        <v>16</v>
      </c>
      <c r="N71" t="s">
        <v>17</v>
      </c>
      <c r="O71" t="s">
        <v>41</v>
      </c>
    </row>
    <row r="72" spans="1:15" x14ac:dyDescent="0.3">
      <c r="A72">
        <v>71</v>
      </c>
      <c r="B72" t="s">
        <v>233</v>
      </c>
      <c r="C72" t="s">
        <v>234</v>
      </c>
      <c r="D72" t="s">
        <v>1494</v>
      </c>
      <c r="E72" t="s">
        <v>73</v>
      </c>
      <c r="F72" s="1">
        <v>37549</v>
      </c>
      <c r="G72" s="2">
        <v>2002</v>
      </c>
      <c r="H72">
        <v>2021</v>
      </c>
      <c r="I72" s="2">
        <v>19</v>
      </c>
      <c r="J72">
        <v>77285</v>
      </c>
      <c r="K72" t="s">
        <v>235</v>
      </c>
      <c r="L72">
        <v>6</v>
      </c>
      <c r="M72" t="s">
        <v>50</v>
      </c>
      <c r="N72" t="s">
        <v>40</v>
      </c>
      <c r="O72" t="s">
        <v>41</v>
      </c>
    </row>
    <row r="73" spans="1:15" x14ac:dyDescent="0.3">
      <c r="A73">
        <v>72</v>
      </c>
      <c r="B73" t="s">
        <v>236</v>
      </c>
      <c r="C73" t="s">
        <v>237</v>
      </c>
      <c r="D73" t="s">
        <v>1495</v>
      </c>
      <c r="E73" t="s">
        <v>238</v>
      </c>
      <c r="F73" s="1">
        <v>37542</v>
      </c>
      <c r="G73" s="2">
        <v>2002</v>
      </c>
      <c r="H73">
        <v>2021</v>
      </c>
      <c r="I73" s="2">
        <v>19</v>
      </c>
      <c r="J73">
        <v>135688</v>
      </c>
      <c r="K73" t="s">
        <v>239</v>
      </c>
      <c r="L73">
        <v>4</v>
      </c>
      <c r="M73" t="s">
        <v>55</v>
      </c>
      <c r="N73" t="s">
        <v>17</v>
      </c>
      <c r="O73" t="s">
        <v>63</v>
      </c>
    </row>
    <row r="74" spans="1:15" x14ac:dyDescent="0.3">
      <c r="A74">
        <v>73</v>
      </c>
      <c r="B74" t="s">
        <v>240</v>
      </c>
      <c r="C74" t="s">
        <v>241</v>
      </c>
      <c r="D74" t="s">
        <v>1494</v>
      </c>
      <c r="E74" t="s">
        <v>21</v>
      </c>
      <c r="F74" s="1">
        <v>37349</v>
      </c>
      <c r="G74" s="2">
        <v>2002</v>
      </c>
      <c r="H74">
        <v>2021</v>
      </c>
      <c r="I74" s="2">
        <v>19</v>
      </c>
      <c r="J74">
        <v>78828</v>
      </c>
      <c r="K74" t="s">
        <v>242</v>
      </c>
      <c r="L74">
        <v>2</v>
      </c>
      <c r="M74" t="s">
        <v>16</v>
      </c>
      <c r="N74" t="s">
        <v>17</v>
      </c>
      <c r="O74" t="s">
        <v>23</v>
      </c>
    </row>
    <row r="75" spans="1:15" x14ac:dyDescent="0.3">
      <c r="A75">
        <v>74</v>
      </c>
      <c r="B75" t="s">
        <v>243</v>
      </c>
      <c r="C75" t="s">
        <v>244</v>
      </c>
      <c r="D75" t="s">
        <v>1495</v>
      </c>
      <c r="E75" t="s">
        <v>89</v>
      </c>
      <c r="F75" s="1">
        <v>36718</v>
      </c>
      <c r="G75" s="2">
        <v>2000</v>
      </c>
      <c r="H75">
        <v>2021</v>
      </c>
      <c r="I75" s="2">
        <v>21</v>
      </c>
      <c r="J75">
        <v>47206</v>
      </c>
      <c r="K75" t="s">
        <v>245</v>
      </c>
      <c r="L75">
        <v>3</v>
      </c>
      <c r="M75" t="s">
        <v>28</v>
      </c>
      <c r="N75" t="s">
        <v>17</v>
      </c>
      <c r="O75" t="s">
        <v>41</v>
      </c>
    </row>
    <row r="76" spans="1:15" x14ac:dyDescent="0.3">
      <c r="A76">
        <v>75</v>
      </c>
      <c r="B76" t="s">
        <v>59</v>
      </c>
      <c r="C76" t="s">
        <v>246</v>
      </c>
      <c r="D76" t="s">
        <v>1495</v>
      </c>
      <c r="E76" t="s">
        <v>148</v>
      </c>
      <c r="F76" s="1">
        <v>41553</v>
      </c>
      <c r="G76" s="2">
        <v>2013</v>
      </c>
      <c r="H76">
        <v>2021</v>
      </c>
      <c r="I76" s="2">
        <v>8</v>
      </c>
      <c r="J76">
        <v>78157</v>
      </c>
      <c r="K76" t="s">
        <v>247</v>
      </c>
      <c r="L76">
        <v>1</v>
      </c>
      <c r="M76" t="s">
        <v>46</v>
      </c>
      <c r="N76" t="s">
        <v>17</v>
      </c>
      <c r="O76" t="s">
        <v>112</v>
      </c>
    </row>
    <row r="77" spans="1:15" x14ac:dyDescent="0.3">
      <c r="A77">
        <v>76</v>
      </c>
      <c r="B77" t="s">
        <v>248</v>
      </c>
      <c r="C77" t="s">
        <v>249</v>
      </c>
      <c r="D77" t="s">
        <v>1495</v>
      </c>
      <c r="E77" t="s">
        <v>94</v>
      </c>
      <c r="F77" s="1">
        <v>36730</v>
      </c>
      <c r="G77" s="2">
        <v>2000</v>
      </c>
      <c r="H77">
        <v>2021</v>
      </c>
      <c r="I77" s="2">
        <v>21</v>
      </c>
      <c r="J77">
        <v>49296</v>
      </c>
      <c r="K77" t="s">
        <v>250</v>
      </c>
      <c r="L77">
        <v>6</v>
      </c>
      <c r="M77" t="s">
        <v>50</v>
      </c>
      <c r="N77" t="s">
        <v>40</v>
      </c>
      <c r="O77" t="s">
        <v>18</v>
      </c>
    </row>
    <row r="78" spans="1:15" x14ac:dyDescent="0.3">
      <c r="A78">
        <v>77</v>
      </c>
      <c r="B78" t="s">
        <v>251</v>
      </c>
      <c r="C78" t="s">
        <v>252</v>
      </c>
      <c r="D78" t="s">
        <v>1494</v>
      </c>
      <c r="E78" t="s">
        <v>44</v>
      </c>
      <c r="F78" s="1">
        <v>41312</v>
      </c>
      <c r="G78" s="2">
        <v>2013</v>
      </c>
      <c r="H78">
        <v>2021</v>
      </c>
      <c r="I78" s="2">
        <v>8</v>
      </c>
      <c r="J78">
        <v>139061</v>
      </c>
      <c r="K78" t="s">
        <v>253</v>
      </c>
      <c r="L78">
        <v>3</v>
      </c>
      <c r="M78" t="s">
        <v>28</v>
      </c>
      <c r="N78" t="s">
        <v>17</v>
      </c>
      <c r="O78" t="s">
        <v>29</v>
      </c>
    </row>
    <row r="79" spans="1:15" x14ac:dyDescent="0.3">
      <c r="A79">
        <v>78</v>
      </c>
      <c r="B79" t="s">
        <v>80</v>
      </c>
      <c r="C79" t="s">
        <v>254</v>
      </c>
      <c r="D79" t="s">
        <v>1495</v>
      </c>
      <c r="E79" t="s">
        <v>79</v>
      </c>
      <c r="F79" s="1">
        <v>38611</v>
      </c>
      <c r="G79" s="2">
        <v>2005</v>
      </c>
      <c r="H79">
        <v>2021</v>
      </c>
      <c r="I79" s="2">
        <v>16</v>
      </c>
      <c r="J79">
        <v>114989</v>
      </c>
      <c r="K79" t="s">
        <v>104</v>
      </c>
      <c r="L79">
        <v>3</v>
      </c>
      <c r="M79" t="s">
        <v>28</v>
      </c>
      <c r="N79" t="s">
        <v>17</v>
      </c>
      <c r="O79" t="s">
        <v>41</v>
      </c>
    </row>
    <row r="80" spans="1:15" x14ac:dyDescent="0.3">
      <c r="A80">
        <v>79</v>
      </c>
      <c r="B80" t="s">
        <v>255</v>
      </c>
      <c r="C80" t="s">
        <v>256</v>
      </c>
      <c r="D80" t="s">
        <v>1494</v>
      </c>
      <c r="E80" t="s">
        <v>69</v>
      </c>
      <c r="F80" s="1">
        <v>37514</v>
      </c>
      <c r="G80" s="2">
        <v>2002</v>
      </c>
      <c r="H80">
        <v>2021</v>
      </c>
      <c r="I80" s="2">
        <v>19</v>
      </c>
      <c r="J80">
        <v>88345</v>
      </c>
      <c r="K80" t="s">
        <v>172</v>
      </c>
      <c r="L80">
        <v>6</v>
      </c>
      <c r="M80" t="s">
        <v>50</v>
      </c>
      <c r="N80" t="s">
        <v>40</v>
      </c>
      <c r="O80" t="s">
        <v>41</v>
      </c>
    </row>
    <row r="81" spans="1:15" x14ac:dyDescent="0.3">
      <c r="A81">
        <v>80</v>
      </c>
      <c r="B81" t="s">
        <v>257</v>
      </c>
      <c r="C81" t="s">
        <v>258</v>
      </c>
      <c r="D81" t="s">
        <v>1494</v>
      </c>
      <c r="E81" t="s">
        <v>238</v>
      </c>
      <c r="F81" s="1">
        <v>37146</v>
      </c>
      <c r="G81" s="2">
        <v>2001</v>
      </c>
      <c r="H81">
        <v>2021</v>
      </c>
      <c r="I81" s="2">
        <v>20</v>
      </c>
      <c r="J81">
        <v>114647</v>
      </c>
      <c r="K81" t="s">
        <v>179</v>
      </c>
      <c r="L81">
        <v>5</v>
      </c>
      <c r="M81" t="s">
        <v>91</v>
      </c>
      <c r="N81" t="s">
        <v>40</v>
      </c>
      <c r="O81" t="s">
        <v>63</v>
      </c>
    </row>
    <row r="82" spans="1:15" x14ac:dyDescent="0.3">
      <c r="A82">
        <v>81</v>
      </c>
      <c r="B82" t="s">
        <v>259</v>
      </c>
      <c r="C82" t="s">
        <v>260</v>
      </c>
      <c r="D82" t="s">
        <v>1494</v>
      </c>
      <c r="E82" t="s">
        <v>148</v>
      </c>
      <c r="F82" s="1">
        <v>38192</v>
      </c>
      <c r="G82" s="2">
        <v>2004</v>
      </c>
      <c r="H82">
        <v>2021</v>
      </c>
      <c r="I82" s="2">
        <v>17</v>
      </c>
      <c r="J82">
        <v>118514</v>
      </c>
      <c r="K82" t="s">
        <v>261</v>
      </c>
      <c r="L82">
        <v>5</v>
      </c>
      <c r="M82" t="s">
        <v>91</v>
      </c>
      <c r="N82" t="s">
        <v>40</v>
      </c>
      <c r="O82" t="s">
        <v>112</v>
      </c>
    </row>
    <row r="83" spans="1:15" x14ac:dyDescent="0.3">
      <c r="A83">
        <v>82</v>
      </c>
      <c r="B83" t="s">
        <v>262</v>
      </c>
      <c r="C83" t="s">
        <v>263</v>
      </c>
      <c r="D83" t="s">
        <v>1495</v>
      </c>
      <c r="E83" t="s">
        <v>89</v>
      </c>
      <c r="F83" s="1">
        <v>37752</v>
      </c>
      <c r="G83" s="2">
        <v>2003</v>
      </c>
      <c r="H83">
        <v>2021</v>
      </c>
      <c r="I83" s="2">
        <v>18</v>
      </c>
      <c r="J83">
        <v>93712</v>
      </c>
      <c r="K83" t="s">
        <v>172</v>
      </c>
      <c r="L83">
        <v>7</v>
      </c>
      <c r="M83" t="s">
        <v>39</v>
      </c>
      <c r="N83" t="s">
        <v>40</v>
      </c>
      <c r="O83" t="s">
        <v>41</v>
      </c>
    </row>
    <row r="84" spans="1:15" x14ac:dyDescent="0.3">
      <c r="A84">
        <v>83</v>
      </c>
      <c r="B84" t="s">
        <v>264</v>
      </c>
      <c r="C84" t="s">
        <v>265</v>
      </c>
      <c r="D84" t="s">
        <v>1494</v>
      </c>
      <c r="E84" t="s">
        <v>100</v>
      </c>
      <c r="F84" s="1">
        <v>39935</v>
      </c>
      <c r="G84" s="2">
        <v>2009</v>
      </c>
      <c r="H84">
        <v>2021</v>
      </c>
      <c r="I84" s="2">
        <v>12</v>
      </c>
      <c r="J84">
        <v>86373</v>
      </c>
      <c r="K84" t="s">
        <v>74</v>
      </c>
      <c r="L84">
        <v>7</v>
      </c>
      <c r="M84" t="s">
        <v>39</v>
      </c>
      <c r="N84" t="s">
        <v>40</v>
      </c>
      <c r="O84" t="s">
        <v>29</v>
      </c>
    </row>
    <row r="85" spans="1:15" x14ac:dyDescent="0.3">
      <c r="A85">
        <v>84</v>
      </c>
      <c r="B85" t="s">
        <v>266</v>
      </c>
      <c r="C85" t="s">
        <v>267</v>
      </c>
      <c r="D85" t="s">
        <v>1494</v>
      </c>
      <c r="E85" t="s">
        <v>85</v>
      </c>
      <c r="F85" s="1">
        <v>41302</v>
      </c>
      <c r="G85" s="2">
        <v>2013</v>
      </c>
      <c r="H85">
        <v>2021</v>
      </c>
      <c r="I85" s="2">
        <v>8</v>
      </c>
      <c r="J85">
        <v>122110</v>
      </c>
      <c r="K85" t="s">
        <v>15</v>
      </c>
      <c r="L85">
        <v>6</v>
      </c>
      <c r="M85" t="s">
        <v>50</v>
      </c>
      <c r="N85" t="s">
        <v>40</v>
      </c>
      <c r="O85" t="s">
        <v>41</v>
      </c>
    </row>
    <row r="86" spans="1:15" x14ac:dyDescent="0.3">
      <c r="A86">
        <v>85</v>
      </c>
      <c r="B86" t="s">
        <v>268</v>
      </c>
      <c r="C86" t="s">
        <v>269</v>
      </c>
      <c r="D86" t="s">
        <v>1495</v>
      </c>
      <c r="E86" t="s">
        <v>79</v>
      </c>
      <c r="F86" s="1">
        <v>38802</v>
      </c>
      <c r="G86" s="2">
        <v>2006</v>
      </c>
      <c r="H86">
        <v>2021</v>
      </c>
      <c r="I86" s="2">
        <v>15</v>
      </c>
      <c r="J86">
        <v>95542</v>
      </c>
      <c r="K86" t="s">
        <v>153</v>
      </c>
      <c r="L86">
        <v>2</v>
      </c>
      <c r="M86" t="s">
        <v>16</v>
      </c>
      <c r="N86" t="s">
        <v>17</v>
      </c>
      <c r="O86" t="s">
        <v>41</v>
      </c>
    </row>
    <row r="87" spans="1:15" x14ac:dyDescent="0.3">
      <c r="A87">
        <v>86</v>
      </c>
      <c r="B87" t="s">
        <v>270</v>
      </c>
      <c r="C87" t="s">
        <v>271</v>
      </c>
      <c r="D87" t="s">
        <v>1495</v>
      </c>
      <c r="E87" t="s">
        <v>148</v>
      </c>
      <c r="F87" s="1">
        <v>41419</v>
      </c>
      <c r="G87" s="2">
        <v>2013</v>
      </c>
      <c r="H87">
        <v>2021</v>
      </c>
      <c r="I87" s="2">
        <v>8</v>
      </c>
      <c r="J87">
        <v>131392</v>
      </c>
      <c r="K87" t="s">
        <v>272</v>
      </c>
      <c r="L87">
        <v>2</v>
      </c>
      <c r="M87" t="s">
        <v>16</v>
      </c>
      <c r="N87" t="s">
        <v>17</v>
      </c>
      <c r="O87" t="s">
        <v>112</v>
      </c>
    </row>
    <row r="88" spans="1:15" x14ac:dyDescent="0.3">
      <c r="A88">
        <v>87</v>
      </c>
      <c r="B88" t="s">
        <v>273</v>
      </c>
      <c r="C88" t="s">
        <v>274</v>
      </c>
      <c r="D88" t="s">
        <v>1494</v>
      </c>
      <c r="E88" t="s">
        <v>238</v>
      </c>
      <c r="F88" s="1">
        <v>40474</v>
      </c>
      <c r="G88" s="2">
        <v>2010</v>
      </c>
      <c r="H88">
        <v>2021</v>
      </c>
      <c r="I88" s="2">
        <v>11</v>
      </c>
      <c r="J88">
        <v>98401</v>
      </c>
      <c r="K88" t="s">
        <v>97</v>
      </c>
      <c r="L88">
        <v>1</v>
      </c>
      <c r="M88" t="s">
        <v>46</v>
      </c>
      <c r="N88" t="s">
        <v>17</v>
      </c>
      <c r="O88" t="s">
        <v>63</v>
      </c>
    </row>
    <row r="89" spans="1:15" x14ac:dyDescent="0.3">
      <c r="A89">
        <v>88</v>
      </c>
      <c r="B89" t="s">
        <v>275</v>
      </c>
      <c r="C89" t="s">
        <v>276</v>
      </c>
      <c r="D89" t="s">
        <v>1495</v>
      </c>
      <c r="E89" t="s">
        <v>44</v>
      </c>
      <c r="F89" s="1">
        <v>38249</v>
      </c>
      <c r="G89" s="2">
        <v>2004</v>
      </c>
      <c r="H89">
        <v>2021</v>
      </c>
      <c r="I89" s="2">
        <v>17</v>
      </c>
      <c r="J89">
        <v>103806</v>
      </c>
      <c r="K89" t="s">
        <v>277</v>
      </c>
      <c r="L89">
        <v>3</v>
      </c>
      <c r="M89" t="s">
        <v>28</v>
      </c>
      <c r="N89" t="s">
        <v>17</v>
      </c>
      <c r="O89" t="s">
        <v>29</v>
      </c>
    </row>
    <row r="90" spans="1:15" x14ac:dyDescent="0.3">
      <c r="A90">
        <v>89</v>
      </c>
      <c r="B90" t="s">
        <v>75</v>
      </c>
      <c r="C90" t="s">
        <v>278</v>
      </c>
      <c r="D90" t="s">
        <v>1494</v>
      </c>
      <c r="E90" t="s">
        <v>203</v>
      </c>
      <c r="F90" s="1">
        <v>41739</v>
      </c>
      <c r="G90" s="2">
        <v>2014</v>
      </c>
      <c r="H90">
        <v>2021</v>
      </c>
      <c r="I90" s="2">
        <v>7</v>
      </c>
      <c r="J90">
        <v>73686</v>
      </c>
      <c r="K90" t="s">
        <v>220</v>
      </c>
      <c r="L90">
        <v>2</v>
      </c>
      <c r="M90" t="s">
        <v>16</v>
      </c>
      <c r="N90" t="s">
        <v>17</v>
      </c>
      <c r="O90" t="s">
        <v>41</v>
      </c>
    </row>
    <row r="91" spans="1:15" x14ac:dyDescent="0.3">
      <c r="A91">
        <v>90</v>
      </c>
      <c r="B91" t="s">
        <v>279</v>
      </c>
      <c r="C91" t="s">
        <v>280</v>
      </c>
      <c r="D91" t="s">
        <v>1494</v>
      </c>
      <c r="E91" t="s">
        <v>79</v>
      </c>
      <c r="F91" s="1">
        <v>40850</v>
      </c>
      <c r="G91" s="2">
        <v>2011</v>
      </c>
      <c r="H91">
        <v>2021</v>
      </c>
      <c r="I91" s="2">
        <v>10</v>
      </c>
      <c r="J91">
        <v>55002</v>
      </c>
      <c r="K91" t="s">
        <v>281</v>
      </c>
      <c r="L91">
        <v>6</v>
      </c>
      <c r="M91" t="s">
        <v>50</v>
      </c>
      <c r="N91" t="s">
        <v>40</v>
      </c>
      <c r="O91" t="s">
        <v>41</v>
      </c>
    </row>
    <row r="92" spans="1:15" x14ac:dyDescent="0.3">
      <c r="A92">
        <v>91</v>
      </c>
      <c r="B92" t="s">
        <v>282</v>
      </c>
      <c r="C92" t="s">
        <v>283</v>
      </c>
      <c r="D92" t="s">
        <v>1494</v>
      </c>
      <c r="E92" t="s">
        <v>73</v>
      </c>
      <c r="F92" s="1">
        <v>38418</v>
      </c>
      <c r="G92" s="2">
        <v>2005</v>
      </c>
      <c r="H92">
        <v>2021</v>
      </c>
      <c r="I92" s="2">
        <v>16</v>
      </c>
      <c r="J92">
        <v>65216</v>
      </c>
      <c r="K92" t="s">
        <v>204</v>
      </c>
      <c r="L92">
        <v>4</v>
      </c>
      <c r="M92" t="s">
        <v>55</v>
      </c>
      <c r="N92" t="s">
        <v>17</v>
      </c>
      <c r="O92" t="s">
        <v>41</v>
      </c>
    </row>
    <row r="93" spans="1:15" x14ac:dyDescent="0.3">
      <c r="A93">
        <v>92</v>
      </c>
      <c r="B93" t="s">
        <v>284</v>
      </c>
      <c r="C93" t="s">
        <v>285</v>
      </c>
      <c r="D93" t="s">
        <v>1495</v>
      </c>
      <c r="E93" t="s">
        <v>26</v>
      </c>
      <c r="F93" s="1">
        <v>40351</v>
      </c>
      <c r="G93" s="2">
        <v>2010</v>
      </c>
      <c r="H93">
        <v>2021</v>
      </c>
      <c r="I93" s="2">
        <v>11</v>
      </c>
      <c r="J93">
        <v>113231</v>
      </c>
      <c r="K93" t="s">
        <v>181</v>
      </c>
      <c r="L93">
        <v>7</v>
      </c>
      <c r="M93" t="s">
        <v>39</v>
      </c>
      <c r="N93" t="s">
        <v>40</v>
      </c>
      <c r="O93" t="s">
        <v>29</v>
      </c>
    </row>
    <row r="94" spans="1:15" x14ac:dyDescent="0.3">
      <c r="A94">
        <v>93</v>
      </c>
      <c r="B94" t="s">
        <v>236</v>
      </c>
      <c r="C94" t="s">
        <v>286</v>
      </c>
      <c r="D94" t="s">
        <v>1495</v>
      </c>
      <c r="E94" t="s">
        <v>94</v>
      </c>
      <c r="F94" s="1">
        <v>41732</v>
      </c>
      <c r="G94" s="2">
        <v>2014</v>
      </c>
      <c r="H94">
        <v>2021</v>
      </c>
      <c r="I94" s="2">
        <v>7</v>
      </c>
      <c r="J94">
        <v>125847</v>
      </c>
      <c r="K94" t="s">
        <v>287</v>
      </c>
      <c r="L94">
        <v>5</v>
      </c>
      <c r="M94" t="s">
        <v>91</v>
      </c>
      <c r="N94" t="s">
        <v>40</v>
      </c>
      <c r="O94" t="s">
        <v>18</v>
      </c>
    </row>
    <row r="95" spans="1:15" x14ac:dyDescent="0.3">
      <c r="A95">
        <v>94</v>
      </c>
      <c r="B95" t="s">
        <v>288</v>
      </c>
      <c r="C95" t="s">
        <v>289</v>
      </c>
      <c r="D95" t="s">
        <v>1495</v>
      </c>
      <c r="E95" t="s">
        <v>238</v>
      </c>
      <c r="F95" s="1">
        <v>36677</v>
      </c>
      <c r="G95" s="2">
        <v>2000</v>
      </c>
      <c r="H95">
        <v>2021</v>
      </c>
      <c r="I95" s="2">
        <v>21</v>
      </c>
      <c r="J95">
        <v>140430</v>
      </c>
      <c r="K95" t="s">
        <v>290</v>
      </c>
      <c r="L95">
        <v>2</v>
      </c>
      <c r="M95" t="s">
        <v>16</v>
      </c>
      <c r="N95" t="s">
        <v>17</v>
      </c>
      <c r="O95" t="s">
        <v>63</v>
      </c>
    </row>
    <row r="96" spans="1:15" x14ac:dyDescent="0.3">
      <c r="A96">
        <v>95</v>
      </c>
      <c r="B96" t="s">
        <v>291</v>
      </c>
      <c r="C96" t="s">
        <v>292</v>
      </c>
      <c r="D96" t="s">
        <v>1494</v>
      </c>
      <c r="E96" t="s">
        <v>61</v>
      </c>
      <c r="F96" s="1">
        <v>41584</v>
      </c>
      <c r="G96" s="2">
        <v>2013</v>
      </c>
      <c r="H96">
        <v>2021</v>
      </c>
      <c r="I96" s="2">
        <v>8</v>
      </c>
      <c r="J96">
        <v>117105</v>
      </c>
      <c r="K96" t="s">
        <v>97</v>
      </c>
      <c r="L96">
        <v>5</v>
      </c>
      <c r="M96" t="s">
        <v>91</v>
      </c>
      <c r="N96" t="s">
        <v>40</v>
      </c>
      <c r="O96" t="s">
        <v>63</v>
      </c>
    </row>
    <row r="97" spans="1:15" x14ac:dyDescent="0.3">
      <c r="A97">
        <v>96</v>
      </c>
      <c r="B97" t="s">
        <v>293</v>
      </c>
      <c r="C97" t="s">
        <v>294</v>
      </c>
      <c r="D97" t="s">
        <v>1494</v>
      </c>
      <c r="E97" t="s">
        <v>129</v>
      </c>
      <c r="F97" s="1">
        <v>38038</v>
      </c>
      <c r="G97" s="2">
        <v>2004</v>
      </c>
      <c r="H97">
        <v>2021</v>
      </c>
      <c r="I97" s="2">
        <v>17</v>
      </c>
      <c r="J97">
        <v>96673</v>
      </c>
      <c r="K97" t="s">
        <v>277</v>
      </c>
      <c r="L97">
        <v>1</v>
      </c>
      <c r="M97" t="s">
        <v>46</v>
      </c>
      <c r="N97" t="s">
        <v>17</v>
      </c>
      <c r="O97" t="s">
        <v>41</v>
      </c>
    </row>
    <row r="98" spans="1:15" x14ac:dyDescent="0.3">
      <c r="A98">
        <v>97</v>
      </c>
      <c r="B98" t="s">
        <v>268</v>
      </c>
      <c r="C98" t="s">
        <v>295</v>
      </c>
      <c r="D98" t="s">
        <v>1495</v>
      </c>
      <c r="E98" t="s">
        <v>79</v>
      </c>
      <c r="F98" s="1">
        <v>41347</v>
      </c>
      <c r="G98" s="2">
        <v>2013</v>
      </c>
      <c r="H98">
        <v>2021</v>
      </c>
      <c r="I98" s="2">
        <v>8</v>
      </c>
      <c r="J98">
        <v>79267</v>
      </c>
      <c r="K98" t="s">
        <v>97</v>
      </c>
      <c r="L98">
        <v>7</v>
      </c>
      <c r="M98" t="s">
        <v>39</v>
      </c>
      <c r="N98" t="s">
        <v>40</v>
      </c>
      <c r="O98" t="s">
        <v>41</v>
      </c>
    </row>
    <row r="99" spans="1:15" x14ac:dyDescent="0.3">
      <c r="A99">
        <v>98</v>
      </c>
      <c r="B99" t="s">
        <v>296</v>
      </c>
      <c r="C99" t="s">
        <v>297</v>
      </c>
      <c r="D99" t="s">
        <v>1495</v>
      </c>
      <c r="E99" t="s">
        <v>85</v>
      </c>
      <c r="F99" s="1">
        <v>39366</v>
      </c>
      <c r="G99" s="2">
        <v>2007</v>
      </c>
      <c r="H99">
        <v>2021</v>
      </c>
      <c r="I99" s="2">
        <v>14</v>
      </c>
      <c r="J99">
        <v>109154</v>
      </c>
      <c r="K99" t="s">
        <v>133</v>
      </c>
      <c r="L99">
        <v>4</v>
      </c>
      <c r="M99" t="s">
        <v>55</v>
      </c>
      <c r="N99" t="s">
        <v>17</v>
      </c>
      <c r="O99" t="s">
        <v>41</v>
      </c>
    </row>
    <row r="100" spans="1:15" x14ac:dyDescent="0.3">
      <c r="A100">
        <v>99</v>
      </c>
      <c r="B100" t="s">
        <v>240</v>
      </c>
      <c r="C100" t="s">
        <v>298</v>
      </c>
      <c r="D100" t="s">
        <v>1495</v>
      </c>
      <c r="E100" t="s">
        <v>122</v>
      </c>
      <c r="F100" s="1">
        <v>37370</v>
      </c>
      <c r="G100" s="2">
        <v>2002</v>
      </c>
      <c r="H100">
        <v>2021</v>
      </c>
      <c r="I100" s="2">
        <v>19</v>
      </c>
      <c r="J100">
        <v>138815</v>
      </c>
      <c r="K100" t="s">
        <v>299</v>
      </c>
      <c r="L100">
        <v>3</v>
      </c>
      <c r="M100" t="s">
        <v>28</v>
      </c>
      <c r="N100" t="s">
        <v>17</v>
      </c>
      <c r="O100" t="s">
        <v>123</v>
      </c>
    </row>
    <row r="101" spans="1:15" x14ac:dyDescent="0.3">
      <c r="A101">
        <v>100</v>
      </c>
      <c r="B101" t="s">
        <v>300</v>
      </c>
      <c r="C101" t="s">
        <v>301</v>
      </c>
      <c r="D101" t="s">
        <v>1494</v>
      </c>
      <c r="E101" t="s">
        <v>21</v>
      </c>
      <c r="F101" s="1">
        <v>39297</v>
      </c>
      <c r="G101" s="2">
        <v>2007</v>
      </c>
      <c r="H101">
        <v>2021</v>
      </c>
      <c r="I101" s="2">
        <v>14</v>
      </c>
      <c r="J101">
        <v>68210</v>
      </c>
      <c r="K101" t="s">
        <v>204</v>
      </c>
      <c r="L101">
        <v>4</v>
      </c>
      <c r="M101" t="s">
        <v>55</v>
      </c>
      <c r="N101" t="s">
        <v>17</v>
      </c>
      <c r="O101" t="s">
        <v>23</v>
      </c>
    </row>
    <row r="102" spans="1:15" x14ac:dyDescent="0.3">
      <c r="A102">
        <v>101</v>
      </c>
      <c r="B102" t="s">
        <v>302</v>
      </c>
      <c r="C102" t="s">
        <v>303</v>
      </c>
      <c r="D102" t="s">
        <v>1494</v>
      </c>
      <c r="E102" t="s">
        <v>79</v>
      </c>
      <c r="F102" s="1">
        <v>37576</v>
      </c>
      <c r="G102" s="2">
        <v>2002</v>
      </c>
      <c r="H102">
        <v>2021</v>
      </c>
      <c r="I102" s="2">
        <v>19</v>
      </c>
      <c r="J102">
        <v>137281</v>
      </c>
      <c r="K102" t="s">
        <v>95</v>
      </c>
      <c r="L102">
        <v>3</v>
      </c>
      <c r="M102" t="s">
        <v>28</v>
      </c>
      <c r="N102" t="s">
        <v>17</v>
      </c>
      <c r="O102" t="s">
        <v>41</v>
      </c>
    </row>
    <row r="103" spans="1:15" x14ac:dyDescent="0.3">
      <c r="A103">
        <v>102</v>
      </c>
      <c r="B103" t="s">
        <v>304</v>
      </c>
      <c r="C103" t="s">
        <v>305</v>
      </c>
      <c r="D103" t="s">
        <v>1494</v>
      </c>
      <c r="E103" t="s">
        <v>203</v>
      </c>
      <c r="F103" s="1">
        <v>39669</v>
      </c>
      <c r="G103" s="2">
        <v>2008</v>
      </c>
      <c r="H103">
        <v>2021</v>
      </c>
      <c r="I103" s="2">
        <v>13</v>
      </c>
      <c r="J103">
        <v>114970</v>
      </c>
      <c r="K103" t="s">
        <v>306</v>
      </c>
      <c r="L103">
        <v>2</v>
      </c>
      <c r="M103" t="s">
        <v>16</v>
      </c>
      <c r="N103" t="s">
        <v>17</v>
      </c>
      <c r="O103" t="s">
        <v>41</v>
      </c>
    </row>
    <row r="104" spans="1:15" x14ac:dyDescent="0.3">
      <c r="A104">
        <v>103</v>
      </c>
      <c r="B104" t="s">
        <v>140</v>
      </c>
      <c r="C104" t="s">
        <v>307</v>
      </c>
      <c r="D104" t="s">
        <v>1494</v>
      </c>
      <c r="E104" t="s">
        <v>26</v>
      </c>
      <c r="F104" s="1">
        <v>37821</v>
      </c>
      <c r="G104" s="2">
        <v>2003</v>
      </c>
      <c r="H104">
        <v>2021</v>
      </c>
      <c r="I104" s="2">
        <v>18</v>
      </c>
      <c r="J104">
        <v>126001</v>
      </c>
      <c r="K104" t="s">
        <v>15</v>
      </c>
      <c r="L104">
        <v>6</v>
      </c>
      <c r="M104" t="s">
        <v>50</v>
      </c>
      <c r="N104" t="s">
        <v>40</v>
      </c>
      <c r="O104" t="s">
        <v>29</v>
      </c>
    </row>
    <row r="105" spans="1:15" x14ac:dyDescent="0.3">
      <c r="A105">
        <v>104</v>
      </c>
      <c r="B105" t="s">
        <v>308</v>
      </c>
      <c r="C105" t="s">
        <v>309</v>
      </c>
      <c r="D105" t="s">
        <v>1494</v>
      </c>
      <c r="E105" t="s">
        <v>37</v>
      </c>
      <c r="F105" s="1">
        <v>37880</v>
      </c>
      <c r="G105" s="2">
        <v>2003</v>
      </c>
      <c r="H105">
        <v>2021</v>
      </c>
      <c r="I105" s="2">
        <v>18</v>
      </c>
      <c r="J105">
        <v>78736</v>
      </c>
      <c r="K105" t="s">
        <v>310</v>
      </c>
      <c r="L105">
        <v>6</v>
      </c>
      <c r="M105" t="s">
        <v>50</v>
      </c>
      <c r="N105" t="s">
        <v>40</v>
      </c>
      <c r="O105" t="s">
        <v>41</v>
      </c>
    </row>
    <row r="106" spans="1:15" x14ac:dyDescent="0.3">
      <c r="A106">
        <v>105</v>
      </c>
      <c r="B106" t="s">
        <v>212</v>
      </c>
      <c r="C106" t="s">
        <v>311</v>
      </c>
      <c r="D106" t="s">
        <v>1494</v>
      </c>
      <c r="E106" t="s">
        <v>312</v>
      </c>
      <c r="F106" s="1">
        <v>40072</v>
      </c>
      <c r="G106" s="2">
        <v>2009</v>
      </c>
      <c r="H106">
        <v>2021</v>
      </c>
      <c r="I106" s="2">
        <v>12</v>
      </c>
      <c r="J106">
        <v>80830</v>
      </c>
      <c r="K106" t="s">
        <v>313</v>
      </c>
      <c r="L106">
        <v>4</v>
      </c>
      <c r="M106" t="s">
        <v>55</v>
      </c>
      <c r="N106" t="s">
        <v>17</v>
      </c>
      <c r="O106" t="s">
        <v>41</v>
      </c>
    </row>
    <row r="107" spans="1:15" x14ac:dyDescent="0.3">
      <c r="A107">
        <v>106</v>
      </c>
      <c r="B107" t="s">
        <v>314</v>
      </c>
      <c r="C107" t="s">
        <v>315</v>
      </c>
      <c r="D107" t="s">
        <v>1494</v>
      </c>
      <c r="E107" t="s">
        <v>85</v>
      </c>
      <c r="F107" s="1">
        <v>40031</v>
      </c>
      <c r="G107" s="2">
        <v>2009</v>
      </c>
      <c r="H107">
        <v>2021</v>
      </c>
      <c r="I107" s="2">
        <v>12</v>
      </c>
      <c r="J107">
        <v>47879</v>
      </c>
      <c r="K107" t="s">
        <v>223</v>
      </c>
      <c r="L107">
        <v>5</v>
      </c>
      <c r="M107" t="s">
        <v>91</v>
      </c>
      <c r="N107" t="s">
        <v>40</v>
      </c>
      <c r="O107" t="s">
        <v>41</v>
      </c>
    </row>
    <row r="108" spans="1:15" x14ac:dyDescent="0.3">
      <c r="A108">
        <v>107</v>
      </c>
      <c r="B108" t="s">
        <v>316</v>
      </c>
      <c r="C108" t="s">
        <v>317</v>
      </c>
      <c r="D108" t="s">
        <v>1495</v>
      </c>
      <c r="E108" t="s">
        <v>14</v>
      </c>
      <c r="F108" s="1">
        <v>38077</v>
      </c>
      <c r="G108" s="2">
        <v>2004</v>
      </c>
      <c r="H108">
        <v>2021</v>
      </c>
      <c r="I108" s="2">
        <v>17</v>
      </c>
      <c r="J108">
        <v>132634</v>
      </c>
      <c r="K108" t="s">
        <v>156</v>
      </c>
      <c r="L108">
        <v>2</v>
      </c>
      <c r="M108" t="s">
        <v>16</v>
      </c>
      <c r="N108" t="s">
        <v>17</v>
      </c>
      <c r="O108" t="s">
        <v>18</v>
      </c>
    </row>
    <row r="109" spans="1:15" x14ac:dyDescent="0.3">
      <c r="A109">
        <v>108</v>
      </c>
      <c r="B109" t="s">
        <v>318</v>
      </c>
      <c r="C109" t="s">
        <v>319</v>
      </c>
      <c r="D109" t="s">
        <v>1494</v>
      </c>
      <c r="E109" t="s">
        <v>69</v>
      </c>
      <c r="F109" s="1">
        <v>38547</v>
      </c>
      <c r="G109" s="2">
        <v>2005</v>
      </c>
      <c r="H109">
        <v>2021</v>
      </c>
      <c r="I109" s="2">
        <v>16</v>
      </c>
      <c r="J109">
        <v>68344</v>
      </c>
      <c r="K109" t="s">
        <v>290</v>
      </c>
      <c r="L109">
        <v>7</v>
      </c>
      <c r="M109" t="s">
        <v>39</v>
      </c>
      <c r="N109" t="s">
        <v>40</v>
      </c>
      <c r="O109" t="s">
        <v>41</v>
      </c>
    </row>
    <row r="110" spans="1:15" x14ac:dyDescent="0.3">
      <c r="A110">
        <v>109</v>
      </c>
      <c r="B110" t="s">
        <v>296</v>
      </c>
      <c r="C110" t="s">
        <v>320</v>
      </c>
      <c r="D110" t="s">
        <v>1495</v>
      </c>
      <c r="E110" t="s">
        <v>69</v>
      </c>
      <c r="F110" s="1">
        <v>39369</v>
      </c>
      <c r="G110" s="2">
        <v>2007</v>
      </c>
      <c r="H110">
        <v>2021</v>
      </c>
      <c r="I110" s="2">
        <v>14</v>
      </c>
      <c r="J110">
        <v>147868</v>
      </c>
      <c r="K110" t="s">
        <v>321</v>
      </c>
      <c r="L110">
        <v>6</v>
      </c>
      <c r="M110" t="s">
        <v>50</v>
      </c>
      <c r="N110" t="s">
        <v>40</v>
      </c>
      <c r="O110" t="s">
        <v>41</v>
      </c>
    </row>
    <row r="111" spans="1:15" x14ac:dyDescent="0.3">
      <c r="A111">
        <v>110</v>
      </c>
      <c r="B111" t="s">
        <v>322</v>
      </c>
      <c r="C111" t="s">
        <v>323</v>
      </c>
      <c r="D111" t="s">
        <v>1494</v>
      </c>
      <c r="E111" t="s">
        <v>122</v>
      </c>
      <c r="F111" s="1">
        <v>40648</v>
      </c>
      <c r="G111" s="2">
        <v>2011</v>
      </c>
      <c r="H111">
        <v>2021</v>
      </c>
      <c r="I111" s="2">
        <v>10</v>
      </c>
      <c r="J111">
        <v>67255</v>
      </c>
      <c r="K111" t="s">
        <v>324</v>
      </c>
      <c r="L111">
        <v>4</v>
      </c>
      <c r="M111" t="s">
        <v>55</v>
      </c>
      <c r="N111" t="s">
        <v>17</v>
      </c>
      <c r="O111" t="s">
        <v>123</v>
      </c>
    </row>
    <row r="112" spans="1:15" x14ac:dyDescent="0.3">
      <c r="A112">
        <v>111</v>
      </c>
      <c r="B112" t="s">
        <v>325</v>
      </c>
      <c r="C112" t="s">
        <v>326</v>
      </c>
      <c r="D112" t="s">
        <v>1495</v>
      </c>
      <c r="E112" t="s">
        <v>14</v>
      </c>
      <c r="F112" s="1">
        <v>41073</v>
      </c>
      <c r="G112" s="2">
        <v>2012</v>
      </c>
      <c r="H112">
        <v>2021</v>
      </c>
      <c r="I112" s="2">
        <v>9</v>
      </c>
      <c r="J112">
        <v>47494</v>
      </c>
      <c r="K112" t="s">
        <v>327</v>
      </c>
      <c r="L112">
        <v>6</v>
      </c>
      <c r="M112" t="s">
        <v>50</v>
      </c>
      <c r="N112" t="s">
        <v>40</v>
      </c>
      <c r="O112" t="s">
        <v>18</v>
      </c>
    </row>
    <row r="113" spans="1:15" x14ac:dyDescent="0.3">
      <c r="A113">
        <v>112</v>
      </c>
      <c r="B113" t="s">
        <v>328</v>
      </c>
      <c r="C113" t="s">
        <v>329</v>
      </c>
      <c r="D113" t="s">
        <v>1495</v>
      </c>
      <c r="E113" t="s">
        <v>61</v>
      </c>
      <c r="F113" s="1">
        <v>41474</v>
      </c>
      <c r="G113" s="2">
        <v>2013</v>
      </c>
      <c r="H113">
        <v>2021</v>
      </c>
      <c r="I113" s="2">
        <v>8</v>
      </c>
      <c r="J113">
        <v>127645</v>
      </c>
      <c r="K113" t="s">
        <v>330</v>
      </c>
      <c r="L113">
        <v>1</v>
      </c>
      <c r="M113" t="s">
        <v>46</v>
      </c>
      <c r="N113" t="s">
        <v>17</v>
      </c>
      <c r="O113" t="s">
        <v>63</v>
      </c>
    </row>
    <row r="114" spans="1:15" x14ac:dyDescent="0.3">
      <c r="A114">
        <v>113</v>
      </c>
      <c r="B114" t="s">
        <v>331</v>
      </c>
      <c r="C114" t="s">
        <v>332</v>
      </c>
      <c r="D114" t="s">
        <v>1494</v>
      </c>
      <c r="E114" t="s">
        <v>73</v>
      </c>
      <c r="F114" s="1">
        <v>36586</v>
      </c>
      <c r="G114" s="2">
        <v>2000</v>
      </c>
      <c r="H114">
        <v>2021</v>
      </c>
      <c r="I114" s="2">
        <v>21</v>
      </c>
      <c r="J114">
        <v>54413</v>
      </c>
      <c r="K114" t="s">
        <v>235</v>
      </c>
      <c r="L114">
        <v>5</v>
      </c>
      <c r="M114" t="s">
        <v>91</v>
      </c>
      <c r="N114" t="s">
        <v>40</v>
      </c>
      <c r="O114" t="s">
        <v>41</v>
      </c>
    </row>
    <row r="115" spans="1:15" x14ac:dyDescent="0.3">
      <c r="A115">
        <v>114</v>
      </c>
      <c r="B115" t="s">
        <v>333</v>
      </c>
      <c r="C115" t="s">
        <v>334</v>
      </c>
      <c r="D115" t="s">
        <v>1494</v>
      </c>
      <c r="E115" t="s">
        <v>37</v>
      </c>
      <c r="F115" s="1">
        <v>41249</v>
      </c>
      <c r="G115" s="2">
        <v>2012</v>
      </c>
      <c r="H115">
        <v>2021</v>
      </c>
      <c r="I115" s="2">
        <v>9</v>
      </c>
      <c r="J115">
        <v>136790</v>
      </c>
      <c r="K115" t="s">
        <v>136</v>
      </c>
      <c r="L115">
        <v>2</v>
      </c>
      <c r="M115" t="s">
        <v>16</v>
      </c>
      <c r="N115" t="s">
        <v>17</v>
      </c>
      <c r="O115" t="s">
        <v>41</v>
      </c>
    </row>
    <row r="116" spans="1:15" x14ac:dyDescent="0.3">
      <c r="A116">
        <v>115</v>
      </c>
      <c r="B116" t="s">
        <v>87</v>
      </c>
      <c r="C116" t="s">
        <v>335</v>
      </c>
      <c r="D116" t="s">
        <v>1495</v>
      </c>
      <c r="E116" t="s">
        <v>69</v>
      </c>
      <c r="F116" s="1">
        <v>39263</v>
      </c>
      <c r="G116" s="2">
        <v>2007</v>
      </c>
      <c r="H116">
        <v>2021</v>
      </c>
      <c r="I116" s="2">
        <v>14</v>
      </c>
      <c r="J116">
        <v>58420</v>
      </c>
      <c r="K116" t="s">
        <v>336</v>
      </c>
      <c r="L116">
        <v>1</v>
      </c>
      <c r="M116" t="s">
        <v>46</v>
      </c>
      <c r="N116" t="s">
        <v>17</v>
      </c>
      <c r="O116" t="s">
        <v>41</v>
      </c>
    </row>
    <row r="117" spans="1:15" x14ac:dyDescent="0.3">
      <c r="A117">
        <v>116</v>
      </c>
      <c r="B117" t="s">
        <v>337</v>
      </c>
      <c r="C117" t="s">
        <v>338</v>
      </c>
      <c r="D117" t="s">
        <v>1494</v>
      </c>
      <c r="E117" t="s">
        <v>100</v>
      </c>
      <c r="F117" s="1">
        <v>37273</v>
      </c>
      <c r="G117" s="2">
        <v>2002</v>
      </c>
      <c r="H117">
        <v>2021</v>
      </c>
      <c r="I117" s="2">
        <v>19</v>
      </c>
      <c r="J117">
        <v>73813</v>
      </c>
      <c r="K117" t="s">
        <v>209</v>
      </c>
      <c r="L117">
        <v>3</v>
      </c>
      <c r="M117" t="s">
        <v>28</v>
      </c>
      <c r="N117" t="s">
        <v>17</v>
      </c>
      <c r="O117" t="s">
        <v>29</v>
      </c>
    </row>
    <row r="118" spans="1:15" x14ac:dyDescent="0.3">
      <c r="A118">
        <v>117</v>
      </c>
      <c r="B118" t="s">
        <v>339</v>
      </c>
      <c r="C118" t="s">
        <v>340</v>
      </c>
      <c r="D118" t="s">
        <v>1494</v>
      </c>
      <c r="E118" t="s">
        <v>61</v>
      </c>
      <c r="F118" s="1">
        <v>41184</v>
      </c>
      <c r="G118" s="2">
        <v>2012</v>
      </c>
      <c r="H118">
        <v>2021</v>
      </c>
      <c r="I118" s="2">
        <v>9</v>
      </c>
      <c r="J118">
        <v>49644</v>
      </c>
      <c r="K118" t="s">
        <v>107</v>
      </c>
      <c r="L118">
        <v>4</v>
      </c>
      <c r="M118" t="s">
        <v>55</v>
      </c>
      <c r="N118" t="s">
        <v>17</v>
      </c>
      <c r="O118" t="s">
        <v>63</v>
      </c>
    </row>
    <row r="119" spans="1:15" x14ac:dyDescent="0.3">
      <c r="A119">
        <v>118</v>
      </c>
      <c r="B119" t="s">
        <v>341</v>
      </c>
      <c r="C119" t="s">
        <v>342</v>
      </c>
      <c r="D119" t="s">
        <v>1494</v>
      </c>
      <c r="E119" t="s">
        <v>26</v>
      </c>
      <c r="F119" s="1">
        <v>40059</v>
      </c>
      <c r="G119" s="2">
        <v>2009</v>
      </c>
      <c r="H119">
        <v>2021</v>
      </c>
      <c r="I119" s="2">
        <v>12</v>
      </c>
      <c r="J119">
        <v>87134</v>
      </c>
      <c r="K119" t="s">
        <v>139</v>
      </c>
      <c r="L119">
        <v>3</v>
      </c>
      <c r="M119" t="s">
        <v>28</v>
      </c>
      <c r="N119" t="s">
        <v>17</v>
      </c>
      <c r="O119" t="s">
        <v>29</v>
      </c>
    </row>
    <row r="120" spans="1:15" x14ac:dyDescent="0.3">
      <c r="A120">
        <v>119</v>
      </c>
      <c r="B120" t="s">
        <v>243</v>
      </c>
      <c r="C120" t="s">
        <v>343</v>
      </c>
      <c r="D120" t="s">
        <v>1495</v>
      </c>
      <c r="E120" t="s">
        <v>69</v>
      </c>
      <c r="F120" s="1">
        <v>39727</v>
      </c>
      <c r="G120" s="2">
        <v>2008</v>
      </c>
      <c r="H120">
        <v>2021</v>
      </c>
      <c r="I120" s="2">
        <v>13</v>
      </c>
      <c r="J120">
        <v>148408</v>
      </c>
      <c r="K120" t="s">
        <v>344</v>
      </c>
      <c r="L120">
        <v>3</v>
      </c>
      <c r="M120" t="s">
        <v>28</v>
      </c>
      <c r="N120" t="s">
        <v>17</v>
      </c>
      <c r="O120" t="s">
        <v>41</v>
      </c>
    </row>
    <row r="121" spans="1:15" x14ac:dyDescent="0.3">
      <c r="A121">
        <v>120</v>
      </c>
      <c r="B121" t="s">
        <v>345</v>
      </c>
      <c r="C121" t="s">
        <v>346</v>
      </c>
      <c r="D121" t="s">
        <v>1495</v>
      </c>
      <c r="E121" t="s">
        <v>53</v>
      </c>
      <c r="F121" s="1">
        <v>39470</v>
      </c>
      <c r="G121" s="2">
        <v>2008</v>
      </c>
      <c r="H121">
        <v>2021</v>
      </c>
      <c r="I121" s="2">
        <v>13</v>
      </c>
      <c r="J121">
        <v>77335</v>
      </c>
      <c r="K121" t="s">
        <v>287</v>
      </c>
      <c r="L121">
        <v>4</v>
      </c>
      <c r="M121" t="s">
        <v>55</v>
      </c>
      <c r="N121" t="s">
        <v>17</v>
      </c>
      <c r="O121" t="s">
        <v>23</v>
      </c>
    </row>
    <row r="122" spans="1:15" x14ac:dyDescent="0.3">
      <c r="A122">
        <v>121</v>
      </c>
      <c r="B122" t="s">
        <v>347</v>
      </c>
      <c r="C122" t="s">
        <v>348</v>
      </c>
      <c r="D122" t="s">
        <v>1495</v>
      </c>
      <c r="E122" t="s">
        <v>21</v>
      </c>
      <c r="F122" s="1">
        <v>39299</v>
      </c>
      <c r="G122" s="2">
        <v>2007</v>
      </c>
      <c r="H122">
        <v>2021</v>
      </c>
      <c r="I122" s="2">
        <v>14</v>
      </c>
      <c r="J122">
        <v>131409</v>
      </c>
      <c r="K122" t="s">
        <v>349</v>
      </c>
      <c r="L122">
        <v>7</v>
      </c>
      <c r="M122" t="s">
        <v>39</v>
      </c>
      <c r="N122" t="s">
        <v>40</v>
      </c>
      <c r="O122" t="s">
        <v>23</v>
      </c>
    </row>
    <row r="123" spans="1:15" x14ac:dyDescent="0.3">
      <c r="A123">
        <v>122</v>
      </c>
      <c r="B123" t="s">
        <v>350</v>
      </c>
      <c r="C123" t="s">
        <v>351</v>
      </c>
      <c r="D123" t="s">
        <v>1494</v>
      </c>
      <c r="E123" t="s">
        <v>73</v>
      </c>
      <c r="F123" s="1">
        <v>36948</v>
      </c>
      <c r="G123" s="2">
        <v>2001</v>
      </c>
      <c r="H123">
        <v>2021</v>
      </c>
      <c r="I123" s="2">
        <v>20</v>
      </c>
      <c r="J123">
        <v>77530</v>
      </c>
      <c r="K123" t="s">
        <v>145</v>
      </c>
      <c r="L123">
        <v>1</v>
      </c>
      <c r="M123" t="s">
        <v>46</v>
      </c>
      <c r="N123" t="s">
        <v>17</v>
      </c>
      <c r="O123" t="s">
        <v>41</v>
      </c>
    </row>
    <row r="124" spans="1:15" x14ac:dyDescent="0.3">
      <c r="A124">
        <v>123</v>
      </c>
      <c r="B124" t="s">
        <v>352</v>
      </c>
      <c r="C124" t="s">
        <v>353</v>
      </c>
      <c r="D124" t="s">
        <v>1495</v>
      </c>
      <c r="E124" t="s">
        <v>110</v>
      </c>
      <c r="F124" s="1">
        <v>37372</v>
      </c>
      <c r="G124" s="2">
        <v>2002</v>
      </c>
      <c r="H124">
        <v>2021</v>
      </c>
      <c r="I124" s="2">
        <v>19</v>
      </c>
      <c r="J124">
        <v>101875</v>
      </c>
      <c r="K124" t="s">
        <v>115</v>
      </c>
      <c r="L124">
        <v>4</v>
      </c>
      <c r="M124" t="s">
        <v>55</v>
      </c>
      <c r="N124" t="s">
        <v>17</v>
      </c>
      <c r="O124" t="s">
        <v>112</v>
      </c>
    </row>
    <row r="125" spans="1:15" x14ac:dyDescent="0.3">
      <c r="A125">
        <v>124</v>
      </c>
      <c r="B125" t="s">
        <v>354</v>
      </c>
      <c r="C125" t="s">
        <v>355</v>
      </c>
      <c r="D125" t="s">
        <v>1495</v>
      </c>
      <c r="E125" t="s">
        <v>37</v>
      </c>
      <c r="F125" s="1">
        <v>38693</v>
      </c>
      <c r="G125" s="2">
        <v>2005</v>
      </c>
      <c r="H125">
        <v>2021</v>
      </c>
      <c r="I125" s="2">
        <v>16</v>
      </c>
      <c r="J125">
        <v>144028</v>
      </c>
      <c r="K125" t="s">
        <v>45</v>
      </c>
      <c r="L125">
        <v>6</v>
      </c>
      <c r="M125" t="s">
        <v>50</v>
      </c>
      <c r="N125" t="s">
        <v>40</v>
      </c>
      <c r="O125" t="s">
        <v>41</v>
      </c>
    </row>
    <row r="126" spans="1:15" x14ac:dyDescent="0.3">
      <c r="A126">
        <v>125</v>
      </c>
      <c r="B126" t="s">
        <v>356</v>
      </c>
      <c r="C126" t="s">
        <v>357</v>
      </c>
      <c r="D126" t="s">
        <v>1495</v>
      </c>
      <c r="E126" t="s">
        <v>61</v>
      </c>
      <c r="F126" s="1">
        <v>41034</v>
      </c>
      <c r="G126" s="2">
        <v>2012</v>
      </c>
      <c r="H126">
        <v>2021</v>
      </c>
      <c r="I126" s="2">
        <v>9</v>
      </c>
      <c r="J126">
        <v>140708</v>
      </c>
      <c r="K126" t="s">
        <v>153</v>
      </c>
      <c r="L126">
        <v>1</v>
      </c>
      <c r="M126" t="s">
        <v>46</v>
      </c>
      <c r="N126" t="s">
        <v>17</v>
      </c>
      <c r="O126" t="s">
        <v>63</v>
      </c>
    </row>
    <row r="127" spans="1:15" x14ac:dyDescent="0.3">
      <c r="A127">
        <v>126</v>
      </c>
      <c r="B127" t="s">
        <v>358</v>
      </c>
      <c r="C127" t="s">
        <v>359</v>
      </c>
      <c r="D127" t="s">
        <v>1494</v>
      </c>
      <c r="E127" t="s">
        <v>312</v>
      </c>
      <c r="F127" s="1">
        <v>41466</v>
      </c>
      <c r="G127" s="2">
        <v>2013</v>
      </c>
      <c r="H127">
        <v>2021</v>
      </c>
      <c r="I127" s="2">
        <v>8</v>
      </c>
      <c r="J127">
        <v>79172</v>
      </c>
      <c r="K127" t="s">
        <v>360</v>
      </c>
      <c r="L127">
        <v>7</v>
      </c>
      <c r="M127" t="s">
        <v>39</v>
      </c>
      <c r="N127" t="s">
        <v>40</v>
      </c>
      <c r="O127" t="s">
        <v>41</v>
      </c>
    </row>
    <row r="128" spans="1:15" x14ac:dyDescent="0.3">
      <c r="A128">
        <v>127</v>
      </c>
      <c r="B128" t="s">
        <v>361</v>
      </c>
      <c r="C128" t="s">
        <v>362</v>
      </c>
      <c r="D128" t="s">
        <v>1495</v>
      </c>
      <c r="E128" t="s">
        <v>148</v>
      </c>
      <c r="F128" s="1">
        <v>36664</v>
      </c>
      <c r="G128" s="2">
        <v>2000</v>
      </c>
      <c r="H128">
        <v>2021</v>
      </c>
      <c r="I128" s="2">
        <v>21</v>
      </c>
      <c r="J128">
        <v>144639</v>
      </c>
      <c r="K128" t="s">
        <v>97</v>
      </c>
      <c r="L128">
        <v>7</v>
      </c>
      <c r="M128" t="s">
        <v>39</v>
      </c>
      <c r="N128" t="s">
        <v>40</v>
      </c>
      <c r="O128" t="s">
        <v>112</v>
      </c>
    </row>
    <row r="129" spans="1:15" x14ac:dyDescent="0.3">
      <c r="A129">
        <v>128</v>
      </c>
      <c r="B129" t="s">
        <v>363</v>
      </c>
      <c r="C129" t="s">
        <v>364</v>
      </c>
      <c r="D129" t="s">
        <v>1494</v>
      </c>
      <c r="E129" t="s">
        <v>14</v>
      </c>
      <c r="F129" s="1">
        <v>37704</v>
      </c>
      <c r="G129" s="2">
        <v>2003</v>
      </c>
      <c r="H129">
        <v>2021</v>
      </c>
      <c r="I129" s="2">
        <v>18</v>
      </c>
      <c r="J129">
        <v>109449</v>
      </c>
      <c r="K129" t="s">
        <v>365</v>
      </c>
      <c r="L129">
        <v>7</v>
      </c>
      <c r="M129" t="s">
        <v>39</v>
      </c>
      <c r="N129" t="s">
        <v>40</v>
      </c>
      <c r="O129" t="s">
        <v>18</v>
      </c>
    </row>
    <row r="130" spans="1:15" x14ac:dyDescent="0.3">
      <c r="A130">
        <v>129</v>
      </c>
      <c r="B130" t="s">
        <v>248</v>
      </c>
      <c r="C130" t="s">
        <v>366</v>
      </c>
      <c r="D130" t="s">
        <v>1495</v>
      </c>
      <c r="E130" t="s">
        <v>14</v>
      </c>
      <c r="F130" s="1">
        <v>39005</v>
      </c>
      <c r="G130" s="2">
        <v>2006</v>
      </c>
      <c r="H130">
        <v>2021</v>
      </c>
      <c r="I130" s="2">
        <v>15</v>
      </c>
      <c r="J130">
        <v>108441</v>
      </c>
      <c r="K130" t="s">
        <v>153</v>
      </c>
      <c r="L130">
        <v>6</v>
      </c>
      <c r="M130" t="s">
        <v>50</v>
      </c>
      <c r="N130" t="s">
        <v>40</v>
      </c>
      <c r="O130" t="s">
        <v>18</v>
      </c>
    </row>
    <row r="131" spans="1:15" x14ac:dyDescent="0.3">
      <c r="A131">
        <v>130</v>
      </c>
      <c r="B131" t="s">
        <v>367</v>
      </c>
      <c r="C131" t="s">
        <v>368</v>
      </c>
      <c r="D131" t="s">
        <v>1495</v>
      </c>
      <c r="E131" t="s">
        <v>79</v>
      </c>
      <c r="F131" s="1">
        <v>39632</v>
      </c>
      <c r="G131" s="2">
        <v>2008</v>
      </c>
      <c r="H131">
        <v>2021</v>
      </c>
      <c r="I131" s="2">
        <v>13</v>
      </c>
      <c r="J131">
        <v>145692</v>
      </c>
      <c r="K131" t="s">
        <v>27</v>
      </c>
      <c r="L131">
        <v>5</v>
      </c>
      <c r="M131" t="s">
        <v>91</v>
      </c>
      <c r="N131" t="s">
        <v>40</v>
      </c>
      <c r="O131" t="s">
        <v>41</v>
      </c>
    </row>
    <row r="132" spans="1:15" x14ac:dyDescent="0.3">
      <c r="A132">
        <v>131</v>
      </c>
      <c r="B132" t="s">
        <v>12</v>
      </c>
      <c r="C132" t="s">
        <v>369</v>
      </c>
      <c r="D132" t="s">
        <v>1494</v>
      </c>
      <c r="E132" t="s">
        <v>312</v>
      </c>
      <c r="F132" s="1">
        <v>36580</v>
      </c>
      <c r="G132" s="2">
        <v>2000</v>
      </c>
      <c r="H132">
        <v>2021</v>
      </c>
      <c r="I132" s="2">
        <v>21</v>
      </c>
      <c r="J132">
        <v>120377</v>
      </c>
      <c r="K132" t="s">
        <v>370</v>
      </c>
      <c r="L132">
        <v>4</v>
      </c>
      <c r="M132" t="s">
        <v>55</v>
      </c>
      <c r="N132" t="s">
        <v>17</v>
      </c>
      <c r="O132" t="s">
        <v>41</v>
      </c>
    </row>
    <row r="133" spans="1:15" x14ac:dyDescent="0.3">
      <c r="A133">
        <v>132</v>
      </c>
      <c r="B133" t="s">
        <v>371</v>
      </c>
      <c r="C133" t="s">
        <v>372</v>
      </c>
      <c r="D133" t="s">
        <v>1495</v>
      </c>
      <c r="E133" t="s">
        <v>89</v>
      </c>
      <c r="F133" s="1">
        <v>37755</v>
      </c>
      <c r="G133" s="2">
        <v>2003</v>
      </c>
      <c r="H133">
        <v>2021</v>
      </c>
      <c r="I133" s="2">
        <v>18</v>
      </c>
      <c r="J133">
        <v>63929</v>
      </c>
      <c r="K133" t="s">
        <v>281</v>
      </c>
      <c r="L133">
        <v>5</v>
      </c>
      <c r="M133" t="s">
        <v>91</v>
      </c>
      <c r="N133" t="s">
        <v>40</v>
      </c>
      <c r="O133" t="s">
        <v>41</v>
      </c>
    </row>
    <row r="134" spans="1:15" x14ac:dyDescent="0.3">
      <c r="A134">
        <v>133</v>
      </c>
      <c r="B134" t="s">
        <v>270</v>
      </c>
      <c r="C134" t="s">
        <v>373</v>
      </c>
      <c r="D134" t="s">
        <v>1494</v>
      </c>
      <c r="E134" t="s">
        <v>79</v>
      </c>
      <c r="F134" s="1">
        <v>36923</v>
      </c>
      <c r="G134" s="2">
        <v>2001</v>
      </c>
      <c r="H134">
        <v>2021</v>
      </c>
      <c r="I134" s="2">
        <v>20</v>
      </c>
      <c r="J134">
        <v>124853</v>
      </c>
      <c r="K134" t="s">
        <v>374</v>
      </c>
      <c r="L134">
        <v>2</v>
      </c>
      <c r="M134" t="s">
        <v>16</v>
      </c>
      <c r="N134" t="s">
        <v>17</v>
      </c>
      <c r="O134" t="s">
        <v>41</v>
      </c>
    </row>
    <row r="135" spans="1:15" x14ac:dyDescent="0.3">
      <c r="A135">
        <v>134</v>
      </c>
      <c r="B135" t="s">
        <v>375</v>
      </c>
      <c r="C135" t="s">
        <v>376</v>
      </c>
      <c r="D135" t="s">
        <v>1495</v>
      </c>
      <c r="E135" t="s">
        <v>148</v>
      </c>
      <c r="F135" s="1">
        <v>40332</v>
      </c>
      <c r="G135" s="2">
        <v>2010</v>
      </c>
      <c r="H135">
        <v>2021</v>
      </c>
      <c r="I135" s="2">
        <v>11</v>
      </c>
      <c r="J135">
        <v>99854</v>
      </c>
      <c r="K135" t="s">
        <v>191</v>
      </c>
      <c r="L135">
        <v>6</v>
      </c>
      <c r="M135" t="s">
        <v>50</v>
      </c>
      <c r="N135" t="s">
        <v>40</v>
      </c>
      <c r="O135" t="s">
        <v>112</v>
      </c>
    </row>
    <row r="136" spans="1:15" x14ac:dyDescent="0.3">
      <c r="A136">
        <v>135</v>
      </c>
      <c r="B136" t="s">
        <v>377</v>
      </c>
      <c r="C136" t="s">
        <v>378</v>
      </c>
      <c r="D136" t="s">
        <v>1495</v>
      </c>
      <c r="E136" t="s">
        <v>85</v>
      </c>
      <c r="F136" s="1">
        <v>41497</v>
      </c>
      <c r="G136" s="2">
        <v>2013</v>
      </c>
      <c r="H136">
        <v>2021</v>
      </c>
      <c r="I136" s="2">
        <v>8</v>
      </c>
      <c r="J136">
        <v>58675</v>
      </c>
      <c r="K136" t="s">
        <v>349</v>
      </c>
      <c r="L136">
        <v>3</v>
      </c>
      <c r="M136" t="s">
        <v>28</v>
      </c>
      <c r="N136" t="s">
        <v>17</v>
      </c>
      <c r="O136" t="s">
        <v>41</v>
      </c>
    </row>
    <row r="137" spans="1:15" x14ac:dyDescent="0.3">
      <c r="A137">
        <v>136</v>
      </c>
      <c r="B137" t="s">
        <v>379</v>
      </c>
      <c r="C137" t="s">
        <v>380</v>
      </c>
      <c r="D137" t="s">
        <v>1495</v>
      </c>
      <c r="E137" t="s">
        <v>129</v>
      </c>
      <c r="F137" s="1">
        <v>39218</v>
      </c>
      <c r="G137" s="2">
        <v>2007</v>
      </c>
      <c r="H137">
        <v>2021</v>
      </c>
      <c r="I137" s="2">
        <v>14</v>
      </c>
      <c r="J137">
        <v>50060</v>
      </c>
      <c r="K137" t="s">
        <v>381</v>
      </c>
      <c r="L137">
        <v>1</v>
      </c>
      <c r="M137" t="s">
        <v>46</v>
      </c>
      <c r="N137" t="s">
        <v>17</v>
      </c>
      <c r="O137" t="s">
        <v>41</v>
      </c>
    </row>
    <row r="138" spans="1:15" x14ac:dyDescent="0.3">
      <c r="A138">
        <v>137</v>
      </c>
      <c r="B138" t="s">
        <v>165</v>
      </c>
      <c r="C138" t="s">
        <v>382</v>
      </c>
      <c r="D138" t="s">
        <v>1495</v>
      </c>
      <c r="E138" t="s">
        <v>21</v>
      </c>
      <c r="F138" s="1">
        <v>41860</v>
      </c>
      <c r="G138" s="2">
        <v>2014</v>
      </c>
      <c r="H138">
        <v>2021</v>
      </c>
      <c r="I138" s="2">
        <v>7</v>
      </c>
      <c r="J138">
        <v>72748</v>
      </c>
      <c r="K138" t="s">
        <v>313</v>
      </c>
      <c r="L138">
        <v>3</v>
      </c>
      <c r="M138" t="s">
        <v>28</v>
      </c>
      <c r="N138" t="s">
        <v>17</v>
      </c>
      <c r="O138" t="s">
        <v>23</v>
      </c>
    </row>
    <row r="139" spans="1:15" x14ac:dyDescent="0.3">
      <c r="A139">
        <v>138</v>
      </c>
      <c r="B139" t="s">
        <v>371</v>
      </c>
      <c r="C139" t="s">
        <v>383</v>
      </c>
      <c r="D139" t="s">
        <v>1494</v>
      </c>
      <c r="E139" t="s">
        <v>94</v>
      </c>
      <c r="F139" s="1">
        <v>38596</v>
      </c>
      <c r="G139" s="2">
        <v>2005</v>
      </c>
      <c r="H139">
        <v>2021</v>
      </c>
      <c r="I139" s="2">
        <v>16</v>
      </c>
      <c r="J139">
        <v>71082</v>
      </c>
      <c r="K139" t="s">
        <v>324</v>
      </c>
      <c r="L139">
        <v>7</v>
      </c>
      <c r="M139" t="s">
        <v>39</v>
      </c>
      <c r="N139" t="s">
        <v>40</v>
      </c>
      <c r="O139" t="s">
        <v>18</v>
      </c>
    </row>
    <row r="140" spans="1:15" x14ac:dyDescent="0.3">
      <c r="A140">
        <v>139</v>
      </c>
      <c r="B140" t="s">
        <v>384</v>
      </c>
      <c r="C140" t="s">
        <v>385</v>
      </c>
      <c r="D140" t="s">
        <v>1494</v>
      </c>
      <c r="E140" t="s">
        <v>32</v>
      </c>
      <c r="F140" s="1">
        <v>40916</v>
      </c>
      <c r="G140" s="2">
        <v>2012</v>
      </c>
      <c r="H140">
        <v>2021</v>
      </c>
      <c r="I140" s="3">
        <v>9</v>
      </c>
      <c r="J140">
        <v>119773</v>
      </c>
      <c r="K140" t="s">
        <v>386</v>
      </c>
      <c r="L140">
        <v>3</v>
      </c>
      <c r="M140" t="s">
        <v>28</v>
      </c>
      <c r="N140" t="s">
        <v>17</v>
      </c>
      <c r="O140" t="s">
        <v>34</v>
      </c>
    </row>
    <row r="141" spans="1:15" x14ac:dyDescent="0.3">
      <c r="A141">
        <v>140</v>
      </c>
      <c r="B141" t="s">
        <v>387</v>
      </c>
      <c r="C141" t="s">
        <v>388</v>
      </c>
      <c r="D141" t="s">
        <v>1494</v>
      </c>
      <c r="E141" t="s">
        <v>14</v>
      </c>
      <c r="F141" s="1">
        <v>36913</v>
      </c>
      <c r="G141" s="2">
        <v>2001</v>
      </c>
      <c r="H141">
        <v>2021</v>
      </c>
      <c r="I141" s="2">
        <v>20</v>
      </c>
      <c r="J141">
        <v>82358</v>
      </c>
      <c r="K141" t="s">
        <v>200</v>
      </c>
      <c r="L141">
        <v>4</v>
      </c>
      <c r="M141" t="s">
        <v>55</v>
      </c>
      <c r="N141" t="s">
        <v>17</v>
      </c>
      <c r="O141" t="s">
        <v>18</v>
      </c>
    </row>
    <row r="142" spans="1:15" x14ac:dyDescent="0.3">
      <c r="A142">
        <v>141</v>
      </c>
      <c r="B142" t="s">
        <v>47</v>
      </c>
      <c r="C142" t="s">
        <v>389</v>
      </c>
      <c r="D142" t="s">
        <v>1494</v>
      </c>
      <c r="E142" t="s">
        <v>79</v>
      </c>
      <c r="F142" s="1">
        <v>38698</v>
      </c>
      <c r="G142" s="2">
        <v>2005</v>
      </c>
      <c r="H142">
        <v>2021</v>
      </c>
      <c r="I142" s="2">
        <v>16</v>
      </c>
      <c r="J142">
        <v>145575</v>
      </c>
      <c r="K142" t="s">
        <v>196</v>
      </c>
      <c r="L142">
        <v>1</v>
      </c>
      <c r="M142" t="s">
        <v>46</v>
      </c>
      <c r="N142" t="s">
        <v>17</v>
      </c>
      <c r="O142" t="s">
        <v>41</v>
      </c>
    </row>
    <row r="143" spans="1:15" x14ac:dyDescent="0.3">
      <c r="A143">
        <v>142</v>
      </c>
      <c r="B143" t="s">
        <v>358</v>
      </c>
      <c r="C143" t="s">
        <v>390</v>
      </c>
      <c r="D143" t="s">
        <v>1494</v>
      </c>
      <c r="E143" t="s">
        <v>100</v>
      </c>
      <c r="F143" s="1">
        <v>40153</v>
      </c>
      <c r="G143" s="2">
        <v>2009</v>
      </c>
      <c r="H143">
        <v>2021</v>
      </c>
      <c r="I143" s="2">
        <v>12</v>
      </c>
      <c r="J143">
        <v>105810</v>
      </c>
      <c r="K143" t="s">
        <v>391</v>
      </c>
      <c r="L143">
        <v>5</v>
      </c>
      <c r="M143" t="s">
        <v>91</v>
      </c>
      <c r="N143" t="s">
        <v>40</v>
      </c>
      <c r="O143" t="s">
        <v>29</v>
      </c>
    </row>
    <row r="144" spans="1:15" x14ac:dyDescent="0.3">
      <c r="A144">
        <v>143</v>
      </c>
      <c r="B144" t="s">
        <v>392</v>
      </c>
      <c r="C144" t="s">
        <v>393</v>
      </c>
      <c r="D144" t="s">
        <v>1494</v>
      </c>
      <c r="E144" t="s">
        <v>44</v>
      </c>
      <c r="F144" s="1">
        <v>41765</v>
      </c>
      <c r="G144" s="2">
        <v>2014</v>
      </c>
      <c r="H144">
        <v>2021</v>
      </c>
      <c r="I144" s="2">
        <v>7</v>
      </c>
      <c r="J144">
        <v>58805</v>
      </c>
      <c r="K144" t="s">
        <v>394</v>
      </c>
      <c r="L144">
        <v>1</v>
      </c>
      <c r="M144" t="s">
        <v>46</v>
      </c>
      <c r="N144" t="s">
        <v>17</v>
      </c>
      <c r="O144" t="s">
        <v>29</v>
      </c>
    </row>
    <row r="145" spans="1:15" x14ac:dyDescent="0.3">
      <c r="A145">
        <v>144</v>
      </c>
      <c r="B145" t="s">
        <v>395</v>
      </c>
      <c r="C145" t="s">
        <v>396</v>
      </c>
      <c r="D145" t="s">
        <v>1495</v>
      </c>
      <c r="E145" t="s">
        <v>73</v>
      </c>
      <c r="F145" s="1">
        <v>39790</v>
      </c>
      <c r="G145" s="2">
        <v>2008</v>
      </c>
      <c r="H145">
        <v>2021</v>
      </c>
      <c r="I145" s="2">
        <v>13</v>
      </c>
      <c r="J145">
        <v>112837</v>
      </c>
      <c r="K145" t="s">
        <v>397</v>
      </c>
      <c r="L145">
        <v>5</v>
      </c>
      <c r="M145" t="s">
        <v>91</v>
      </c>
      <c r="N145" t="s">
        <v>40</v>
      </c>
      <c r="O145" t="s">
        <v>41</v>
      </c>
    </row>
    <row r="146" spans="1:15" x14ac:dyDescent="0.3">
      <c r="A146">
        <v>145</v>
      </c>
      <c r="B146" t="s">
        <v>92</v>
      </c>
      <c r="C146" t="s">
        <v>398</v>
      </c>
      <c r="D146" t="s">
        <v>1495</v>
      </c>
      <c r="E146" t="s">
        <v>73</v>
      </c>
      <c r="F146" s="1">
        <v>41378</v>
      </c>
      <c r="G146" s="2">
        <v>2013</v>
      </c>
      <c r="H146">
        <v>2021</v>
      </c>
      <c r="I146" s="2">
        <v>8</v>
      </c>
      <c r="J146">
        <v>125914</v>
      </c>
      <c r="K146" t="s">
        <v>172</v>
      </c>
      <c r="L146">
        <v>6</v>
      </c>
      <c r="M146" t="s">
        <v>50</v>
      </c>
      <c r="N146" t="s">
        <v>40</v>
      </c>
      <c r="O146" t="s">
        <v>41</v>
      </c>
    </row>
    <row r="147" spans="1:15" x14ac:dyDescent="0.3">
      <c r="A147">
        <v>146</v>
      </c>
      <c r="B147" t="s">
        <v>399</v>
      </c>
      <c r="C147" t="s">
        <v>400</v>
      </c>
      <c r="D147" t="s">
        <v>1494</v>
      </c>
      <c r="E147" t="s">
        <v>61</v>
      </c>
      <c r="F147" s="1">
        <v>39848</v>
      </c>
      <c r="G147" s="2">
        <v>2009</v>
      </c>
      <c r="H147">
        <v>2021</v>
      </c>
      <c r="I147" s="2">
        <v>12</v>
      </c>
      <c r="J147">
        <v>133281</v>
      </c>
      <c r="K147" t="s">
        <v>401</v>
      </c>
      <c r="L147">
        <v>6</v>
      </c>
      <c r="M147" t="s">
        <v>50</v>
      </c>
      <c r="N147" t="s">
        <v>40</v>
      </c>
      <c r="O147" t="s">
        <v>63</v>
      </c>
    </row>
    <row r="148" spans="1:15" x14ac:dyDescent="0.3">
      <c r="A148">
        <v>147</v>
      </c>
      <c r="B148" t="s">
        <v>402</v>
      </c>
      <c r="C148" t="s">
        <v>403</v>
      </c>
      <c r="D148" t="s">
        <v>1495</v>
      </c>
      <c r="E148" t="s">
        <v>238</v>
      </c>
      <c r="F148" s="1">
        <v>41188</v>
      </c>
      <c r="G148" s="2">
        <v>2012</v>
      </c>
      <c r="H148">
        <v>2021</v>
      </c>
      <c r="I148" s="2">
        <v>9</v>
      </c>
      <c r="J148">
        <v>96169</v>
      </c>
      <c r="K148" t="s">
        <v>156</v>
      </c>
      <c r="L148">
        <v>1</v>
      </c>
      <c r="M148" t="s">
        <v>46</v>
      </c>
      <c r="N148" t="s">
        <v>17</v>
      </c>
      <c r="O148" t="s">
        <v>63</v>
      </c>
    </row>
    <row r="149" spans="1:15" x14ac:dyDescent="0.3">
      <c r="A149">
        <v>148</v>
      </c>
      <c r="B149" t="s">
        <v>404</v>
      </c>
      <c r="C149" t="s">
        <v>405</v>
      </c>
      <c r="D149" t="s">
        <v>1494</v>
      </c>
      <c r="E149" t="s">
        <v>61</v>
      </c>
      <c r="F149" s="1">
        <v>41403</v>
      </c>
      <c r="G149" s="2">
        <v>2013</v>
      </c>
      <c r="H149">
        <v>2021</v>
      </c>
      <c r="I149" s="2">
        <v>8</v>
      </c>
      <c r="J149">
        <v>146970</v>
      </c>
      <c r="K149" t="s">
        <v>406</v>
      </c>
      <c r="L149">
        <v>3</v>
      </c>
      <c r="M149" t="s">
        <v>28</v>
      </c>
      <c r="N149" t="s">
        <v>17</v>
      </c>
      <c r="O149" t="s">
        <v>63</v>
      </c>
    </row>
    <row r="150" spans="1:15" x14ac:dyDescent="0.3">
      <c r="A150">
        <v>149</v>
      </c>
      <c r="B150" t="s">
        <v>407</v>
      </c>
      <c r="C150" t="s">
        <v>408</v>
      </c>
      <c r="D150" t="s">
        <v>1495</v>
      </c>
      <c r="E150" t="s">
        <v>53</v>
      </c>
      <c r="F150" s="1">
        <v>39571</v>
      </c>
      <c r="G150" s="2">
        <v>2008</v>
      </c>
      <c r="H150">
        <v>2021</v>
      </c>
      <c r="I150" s="2">
        <v>13</v>
      </c>
      <c r="J150">
        <v>76352</v>
      </c>
      <c r="K150" t="s">
        <v>409</v>
      </c>
      <c r="L150">
        <v>4</v>
      </c>
      <c r="M150" t="s">
        <v>55</v>
      </c>
      <c r="N150" t="s">
        <v>17</v>
      </c>
      <c r="O150" t="s">
        <v>23</v>
      </c>
    </row>
    <row r="151" spans="1:15" x14ac:dyDescent="0.3">
      <c r="A151">
        <v>150</v>
      </c>
      <c r="B151" t="s">
        <v>410</v>
      </c>
      <c r="C151" t="s">
        <v>411</v>
      </c>
      <c r="D151" t="s">
        <v>1494</v>
      </c>
      <c r="E151" t="s">
        <v>203</v>
      </c>
      <c r="F151" s="1">
        <v>39005</v>
      </c>
      <c r="G151" s="2">
        <v>2006</v>
      </c>
      <c r="H151">
        <v>2021</v>
      </c>
      <c r="I151" s="2">
        <v>15</v>
      </c>
      <c r="J151">
        <v>128748</v>
      </c>
      <c r="K151" t="s">
        <v>82</v>
      </c>
      <c r="L151">
        <v>1</v>
      </c>
      <c r="M151" t="s">
        <v>46</v>
      </c>
      <c r="N151" t="s">
        <v>17</v>
      </c>
      <c r="O151" t="s">
        <v>41</v>
      </c>
    </row>
    <row r="152" spans="1:15" x14ac:dyDescent="0.3">
      <c r="A152">
        <v>151</v>
      </c>
      <c r="B152" t="s">
        <v>412</v>
      </c>
      <c r="C152" t="s">
        <v>413</v>
      </c>
      <c r="D152" t="s">
        <v>1494</v>
      </c>
      <c r="E152" t="s">
        <v>122</v>
      </c>
      <c r="F152" s="1">
        <v>40764</v>
      </c>
      <c r="G152" s="2">
        <v>2011</v>
      </c>
      <c r="H152">
        <v>2021</v>
      </c>
      <c r="I152" s="2">
        <v>10</v>
      </c>
      <c r="J152">
        <v>50066</v>
      </c>
      <c r="K152" t="s">
        <v>235</v>
      </c>
      <c r="L152">
        <v>1</v>
      </c>
      <c r="M152" t="s">
        <v>46</v>
      </c>
      <c r="N152" t="s">
        <v>17</v>
      </c>
      <c r="O152" t="s">
        <v>123</v>
      </c>
    </row>
    <row r="153" spans="1:15" x14ac:dyDescent="0.3">
      <c r="A153">
        <v>152</v>
      </c>
      <c r="B153" t="s">
        <v>414</v>
      </c>
      <c r="C153" t="s">
        <v>415</v>
      </c>
      <c r="D153" t="s">
        <v>1494</v>
      </c>
      <c r="E153" t="s">
        <v>238</v>
      </c>
      <c r="F153" s="1">
        <v>40746</v>
      </c>
      <c r="G153" s="2">
        <v>2011</v>
      </c>
      <c r="H153">
        <v>2021</v>
      </c>
      <c r="I153" s="2">
        <v>10</v>
      </c>
      <c r="J153">
        <v>105319</v>
      </c>
      <c r="K153" t="s">
        <v>74</v>
      </c>
      <c r="L153">
        <v>4</v>
      </c>
      <c r="M153" t="s">
        <v>55</v>
      </c>
      <c r="N153" t="s">
        <v>17</v>
      </c>
      <c r="O153" t="s">
        <v>63</v>
      </c>
    </row>
    <row r="154" spans="1:15" x14ac:dyDescent="0.3">
      <c r="A154">
        <v>153</v>
      </c>
      <c r="B154" t="s">
        <v>416</v>
      </c>
      <c r="C154" t="s">
        <v>417</v>
      </c>
      <c r="D154" t="s">
        <v>1494</v>
      </c>
      <c r="E154" t="s">
        <v>89</v>
      </c>
      <c r="F154" s="1">
        <v>37924</v>
      </c>
      <c r="G154" s="2">
        <v>2003</v>
      </c>
      <c r="H154">
        <v>2021</v>
      </c>
      <c r="I154" s="2">
        <v>18</v>
      </c>
      <c r="J154">
        <v>110622</v>
      </c>
      <c r="K154" t="s">
        <v>418</v>
      </c>
      <c r="L154">
        <v>4</v>
      </c>
      <c r="M154" t="s">
        <v>55</v>
      </c>
      <c r="N154" t="s">
        <v>17</v>
      </c>
      <c r="O154" t="s">
        <v>41</v>
      </c>
    </row>
    <row r="155" spans="1:15" x14ac:dyDescent="0.3">
      <c r="A155">
        <v>154</v>
      </c>
      <c r="B155" t="s">
        <v>419</v>
      </c>
      <c r="C155" t="s">
        <v>420</v>
      </c>
      <c r="D155" t="s">
        <v>1495</v>
      </c>
      <c r="E155" t="s">
        <v>94</v>
      </c>
      <c r="F155" s="1">
        <v>40102</v>
      </c>
      <c r="G155" s="2">
        <v>2009</v>
      </c>
      <c r="H155">
        <v>2021</v>
      </c>
      <c r="I155" s="2">
        <v>12</v>
      </c>
      <c r="J155">
        <v>87422</v>
      </c>
      <c r="K155" t="s">
        <v>327</v>
      </c>
      <c r="L155">
        <v>7</v>
      </c>
      <c r="M155" t="s">
        <v>39</v>
      </c>
      <c r="N155" t="s">
        <v>40</v>
      </c>
      <c r="O155" t="s">
        <v>18</v>
      </c>
    </row>
    <row r="156" spans="1:15" x14ac:dyDescent="0.3">
      <c r="A156">
        <v>155</v>
      </c>
      <c r="B156" t="s">
        <v>421</v>
      </c>
      <c r="C156" t="s">
        <v>422</v>
      </c>
      <c r="D156" t="s">
        <v>1494</v>
      </c>
      <c r="E156" t="s">
        <v>122</v>
      </c>
      <c r="F156" s="1">
        <v>39331</v>
      </c>
      <c r="G156" s="2">
        <v>2007</v>
      </c>
      <c r="H156">
        <v>2021</v>
      </c>
      <c r="I156" s="2">
        <v>14</v>
      </c>
      <c r="J156">
        <v>45456</v>
      </c>
      <c r="K156" t="s">
        <v>287</v>
      </c>
      <c r="L156">
        <v>1</v>
      </c>
      <c r="M156" t="s">
        <v>46</v>
      </c>
      <c r="N156" t="s">
        <v>17</v>
      </c>
      <c r="O156" t="s">
        <v>123</v>
      </c>
    </row>
    <row r="157" spans="1:15" x14ac:dyDescent="0.3">
      <c r="A157">
        <v>156</v>
      </c>
      <c r="B157" t="s">
        <v>423</v>
      </c>
      <c r="C157" t="s">
        <v>424</v>
      </c>
      <c r="D157" t="s">
        <v>1494</v>
      </c>
      <c r="E157" t="s">
        <v>100</v>
      </c>
      <c r="F157" s="1">
        <v>38128</v>
      </c>
      <c r="G157" s="2">
        <v>2004</v>
      </c>
      <c r="H157">
        <v>2021</v>
      </c>
      <c r="I157" s="2">
        <v>17</v>
      </c>
      <c r="J157">
        <v>52298</v>
      </c>
      <c r="K157" t="s">
        <v>425</v>
      </c>
      <c r="L157">
        <v>7</v>
      </c>
      <c r="M157" t="s">
        <v>39</v>
      </c>
      <c r="N157" t="s">
        <v>40</v>
      </c>
      <c r="O157" t="s">
        <v>29</v>
      </c>
    </row>
    <row r="158" spans="1:15" x14ac:dyDescent="0.3">
      <c r="A158">
        <v>157</v>
      </c>
      <c r="B158" t="s">
        <v>426</v>
      </c>
      <c r="C158" t="s">
        <v>427</v>
      </c>
      <c r="D158" t="s">
        <v>1494</v>
      </c>
      <c r="E158" t="s">
        <v>312</v>
      </c>
      <c r="F158" s="1">
        <v>39216</v>
      </c>
      <c r="G158" s="2">
        <v>2007</v>
      </c>
      <c r="H158">
        <v>2021</v>
      </c>
      <c r="I158" s="2">
        <v>14</v>
      </c>
      <c r="J158">
        <v>131252</v>
      </c>
      <c r="K158" t="s">
        <v>130</v>
      </c>
      <c r="L158">
        <v>1</v>
      </c>
      <c r="M158" t="s">
        <v>46</v>
      </c>
      <c r="N158" t="s">
        <v>17</v>
      </c>
      <c r="O158" t="s">
        <v>41</v>
      </c>
    </row>
    <row r="159" spans="1:15" x14ac:dyDescent="0.3">
      <c r="A159">
        <v>158</v>
      </c>
      <c r="B159" t="s">
        <v>354</v>
      </c>
      <c r="C159" t="s">
        <v>428</v>
      </c>
      <c r="D159" t="s">
        <v>1494</v>
      </c>
      <c r="E159" t="s">
        <v>110</v>
      </c>
      <c r="F159" s="1">
        <v>36945</v>
      </c>
      <c r="G159" s="2">
        <v>2001</v>
      </c>
      <c r="H159">
        <v>2021</v>
      </c>
      <c r="I159" s="2">
        <v>20</v>
      </c>
      <c r="J159">
        <v>128766</v>
      </c>
      <c r="K159" t="s">
        <v>33</v>
      </c>
      <c r="L159">
        <v>2</v>
      </c>
      <c r="M159" t="s">
        <v>16</v>
      </c>
      <c r="N159" t="s">
        <v>17</v>
      </c>
      <c r="O159" t="s">
        <v>112</v>
      </c>
    </row>
    <row r="160" spans="1:15" x14ac:dyDescent="0.3">
      <c r="A160">
        <v>159</v>
      </c>
      <c r="B160" t="s">
        <v>375</v>
      </c>
      <c r="C160" t="s">
        <v>429</v>
      </c>
      <c r="D160" t="s">
        <v>1494</v>
      </c>
      <c r="E160" t="s">
        <v>44</v>
      </c>
      <c r="F160" s="1">
        <v>40068</v>
      </c>
      <c r="G160" s="2">
        <v>2009</v>
      </c>
      <c r="H160">
        <v>2021</v>
      </c>
      <c r="I160" s="2">
        <v>12</v>
      </c>
      <c r="J160">
        <v>138179</v>
      </c>
      <c r="K160" t="s">
        <v>430</v>
      </c>
      <c r="L160">
        <v>3</v>
      </c>
      <c r="M160" t="s">
        <v>28</v>
      </c>
      <c r="N160" t="s">
        <v>17</v>
      </c>
      <c r="O160" t="s">
        <v>29</v>
      </c>
    </row>
    <row r="161" spans="1:15" x14ac:dyDescent="0.3">
      <c r="A161">
        <v>160</v>
      </c>
      <c r="B161" t="s">
        <v>392</v>
      </c>
      <c r="C161" t="s">
        <v>431</v>
      </c>
      <c r="D161" t="s">
        <v>1495</v>
      </c>
      <c r="E161" t="s">
        <v>100</v>
      </c>
      <c r="F161" s="1">
        <v>37794</v>
      </c>
      <c r="G161" s="2">
        <v>2003</v>
      </c>
      <c r="H161">
        <v>2021</v>
      </c>
      <c r="I161" s="2">
        <v>18</v>
      </c>
      <c r="J161">
        <v>85012</v>
      </c>
      <c r="K161" t="s">
        <v>310</v>
      </c>
      <c r="L161">
        <v>1</v>
      </c>
      <c r="M161" t="s">
        <v>46</v>
      </c>
      <c r="N161" t="s">
        <v>17</v>
      </c>
      <c r="O161" t="s">
        <v>29</v>
      </c>
    </row>
    <row r="162" spans="1:15" x14ac:dyDescent="0.3">
      <c r="A162">
        <v>161</v>
      </c>
      <c r="B162" t="s">
        <v>150</v>
      </c>
      <c r="C162" t="s">
        <v>432</v>
      </c>
      <c r="D162" t="s">
        <v>1494</v>
      </c>
      <c r="E162" t="s">
        <v>203</v>
      </c>
      <c r="F162" s="1">
        <v>37127</v>
      </c>
      <c r="G162" s="2">
        <v>2001</v>
      </c>
      <c r="H162">
        <v>2021</v>
      </c>
      <c r="I162" s="2">
        <v>20</v>
      </c>
      <c r="J162">
        <v>131479</v>
      </c>
      <c r="K162" t="s">
        <v>290</v>
      </c>
      <c r="L162">
        <v>7</v>
      </c>
      <c r="M162" t="s">
        <v>39</v>
      </c>
      <c r="N162" t="s">
        <v>40</v>
      </c>
      <c r="O162" t="s">
        <v>41</v>
      </c>
    </row>
    <row r="163" spans="1:15" x14ac:dyDescent="0.3">
      <c r="A163">
        <v>162</v>
      </c>
      <c r="B163" t="s">
        <v>433</v>
      </c>
      <c r="C163" t="s">
        <v>434</v>
      </c>
      <c r="D163" t="s">
        <v>1495</v>
      </c>
      <c r="E163" t="s">
        <v>203</v>
      </c>
      <c r="F163" s="1">
        <v>38714</v>
      </c>
      <c r="G163" s="2">
        <v>2005</v>
      </c>
      <c r="H163">
        <v>2021</v>
      </c>
      <c r="I163" s="2">
        <v>16</v>
      </c>
      <c r="J163">
        <v>103182</v>
      </c>
      <c r="K163" t="s">
        <v>277</v>
      </c>
      <c r="L163">
        <v>2</v>
      </c>
      <c r="M163" t="s">
        <v>16</v>
      </c>
      <c r="N163" t="s">
        <v>17</v>
      </c>
      <c r="O163" t="s">
        <v>41</v>
      </c>
    </row>
    <row r="164" spans="1:15" x14ac:dyDescent="0.3">
      <c r="A164">
        <v>163</v>
      </c>
      <c r="B164" t="s">
        <v>435</v>
      </c>
      <c r="C164" t="s">
        <v>436</v>
      </c>
      <c r="D164" t="s">
        <v>1494</v>
      </c>
      <c r="E164" t="s">
        <v>110</v>
      </c>
      <c r="F164" s="1">
        <v>36684</v>
      </c>
      <c r="G164" s="2">
        <v>2000</v>
      </c>
      <c r="H164">
        <v>2021</v>
      </c>
      <c r="I164" s="2">
        <v>21</v>
      </c>
      <c r="J164">
        <v>96996</v>
      </c>
      <c r="K164" t="s">
        <v>437</v>
      </c>
      <c r="L164">
        <v>4</v>
      </c>
      <c r="M164" t="s">
        <v>55</v>
      </c>
      <c r="N164" t="s">
        <v>17</v>
      </c>
      <c r="O164" t="s">
        <v>112</v>
      </c>
    </row>
    <row r="165" spans="1:15" x14ac:dyDescent="0.3">
      <c r="A165">
        <v>164</v>
      </c>
      <c r="B165" t="s">
        <v>435</v>
      </c>
      <c r="C165" t="s">
        <v>438</v>
      </c>
      <c r="D165" t="s">
        <v>1495</v>
      </c>
      <c r="E165" t="s">
        <v>14</v>
      </c>
      <c r="F165" s="1">
        <v>39690</v>
      </c>
      <c r="G165" s="2">
        <v>2008</v>
      </c>
      <c r="H165">
        <v>2021</v>
      </c>
      <c r="I165" s="2">
        <v>13</v>
      </c>
      <c r="J165">
        <v>106607</v>
      </c>
      <c r="K165" t="s">
        <v>189</v>
      </c>
      <c r="L165">
        <v>2</v>
      </c>
      <c r="M165" t="s">
        <v>16</v>
      </c>
      <c r="N165" t="s">
        <v>17</v>
      </c>
      <c r="O165" t="s">
        <v>18</v>
      </c>
    </row>
    <row r="166" spans="1:15" x14ac:dyDescent="0.3">
      <c r="A166">
        <v>165</v>
      </c>
      <c r="B166" t="s">
        <v>439</v>
      </c>
      <c r="C166" t="s">
        <v>440</v>
      </c>
      <c r="D166" t="s">
        <v>1494</v>
      </c>
      <c r="E166" t="s">
        <v>26</v>
      </c>
      <c r="F166" s="1">
        <v>41248</v>
      </c>
      <c r="G166" s="2">
        <v>2012</v>
      </c>
      <c r="H166">
        <v>2021</v>
      </c>
      <c r="I166" s="2">
        <v>9</v>
      </c>
      <c r="J166">
        <v>130993</v>
      </c>
      <c r="K166" t="s">
        <v>441</v>
      </c>
      <c r="L166">
        <v>2</v>
      </c>
      <c r="M166" t="s">
        <v>16</v>
      </c>
      <c r="N166" t="s">
        <v>17</v>
      </c>
      <c r="O166" t="s">
        <v>29</v>
      </c>
    </row>
    <row r="167" spans="1:15" x14ac:dyDescent="0.3">
      <c r="A167">
        <v>166</v>
      </c>
      <c r="B167" t="s">
        <v>407</v>
      </c>
      <c r="C167" t="s">
        <v>442</v>
      </c>
      <c r="D167" t="s">
        <v>1494</v>
      </c>
      <c r="E167" t="s">
        <v>100</v>
      </c>
      <c r="F167" s="1">
        <v>38781</v>
      </c>
      <c r="G167" s="2">
        <v>2006</v>
      </c>
      <c r="H167">
        <v>2021</v>
      </c>
      <c r="I167" s="2">
        <v>15</v>
      </c>
      <c r="J167">
        <v>87097</v>
      </c>
      <c r="K167" t="s">
        <v>418</v>
      </c>
      <c r="L167">
        <v>7</v>
      </c>
      <c r="M167" t="s">
        <v>39</v>
      </c>
      <c r="N167" t="s">
        <v>40</v>
      </c>
      <c r="O167" t="s">
        <v>29</v>
      </c>
    </row>
    <row r="168" spans="1:15" x14ac:dyDescent="0.3">
      <c r="A168">
        <v>167</v>
      </c>
      <c r="B168" t="s">
        <v>443</v>
      </c>
      <c r="C168" t="s">
        <v>444</v>
      </c>
      <c r="D168" t="s">
        <v>1494</v>
      </c>
      <c r="E168" t="s">
        <v>148</v>
      </c>
      <c r="F168" s="1">
        <v>41299</v>
      </c>
      <c r="G168" s="2">
        <v>2013</v>
      </c>
      <c r="H168">
        <v>2021</v>
      </c>
      <c r="I168" s="2">
        <v>8</v>
      </c>
      <c r="J168">
        <v>131961</v>
      </c>
      <c r="K168" t="s">
        <v>330</v>
      </c>
      <c r="L168">
        <v>4</v>
      </c>
      <c r="M168" t="s">
        <v>55</v>
      </c>
      <c r="N168" t="s">
        <v>17</v>
      </c>
      <c r="O168" t="s">
        <v>112</v>
      </c>
    </row>
    <row r="169" spans="1:15" x14ac:dyDescent="0.3">
      <c r="A169">
        <v>168</v>
      </c>
      <c r="B169" t="s">
        <v>445</v>
      </c>
      <c r="C169" t="s">
        <v>446</v>
      </c>
      <c r="D169" t="s">
        <v>1495</v>
      </c>
      <c r="E169" t="s">
        <v>32</v>
      </c>
      <c r="F169" s="1">
        <v>41799</v>
      </c>
      <c r="G169" s="2">
        <v>2014</v>
      </c>
      <c r="H169">
        <v>2021</v>
      </c>
      <c r="I169" s="3">
        <v>7</v>
      </c>
      <c r="J169">
        <v>88093</v>
      </c>
      <c r="K169" t="s">
        <v>179</v>
      </c>
      <c r="L169">
        <v>7</v>
      </c>
      <c r="M169" t="s">
        <v>39</v>
      </c>
      <c r="N169" t="s">
        <v>40</v>
      </c>
      <c r="O169" t="s">
        <v>34</v>
      </c>
    </row>
    <row r="170" spans="1:15" x14ac:dyDescent="0.3">
      <c r="A170">
        <v>169</v>
      </c>
      <c r="B170" t="s">
        <v>404</v>
      </c>
      <c r="C170" t="s">
        <v>447</v>
      </c>
      <c r="D170" t="s">
        <v>1494</v>
      </c>
      <c r="E170" t="s">
        <v>61</v>
      </c>
      <c r="F170" s="1">
        <v>40536</v>
      </c>
      <c r="G170" s="2">
        <v>2010</v>
      </c>
      <c r="H170">
        <v>2021</v>
      </c>
      <c r="I170" s="2">
        <v>11</v>
      </c>
      <c r="J170">
        <v>41898</v>
      </c>
      <c r="K170" t="s">
        <v>220</v>
      </c>
      <c r="L170">
        <v>6</v>
      </c>
      <c r="M170" t="s">
        <v>50</v>
      </c>
      <c r="N170" t="s">
        <v>40</v>
      </c>
      <c r="O170" t="s">
        <v>63</v>
      </c>
    </row>
    <row r="171" spans="1:15" x14ac:dyDescent="0.3">
      <c r="A171">
        <v>170</v>
      </c>
      <c r="B171" t="s">
        <v>270</v>
      </c>
      <c r="C171" t="s">
        <v>448</v>
      </c>
      <c r="D171" t="s">
        <v>1494</v>
      </c>
      <c r="E171" t="s">
        <v>94</v>
      </c>
      <c r="F171" s="1">
        <v>38166</v>
      </c>
      <c r="G171" s="2">
        <v>2004</v>
      </c>
      <c r="H171">
        <v>2021</v>
      </c>
      <c r="I171" s="2">
        <v>17</v>
      </c>
      <c r="J171">
        <v>52808</v>
      </c>
      <c r="K171" t="s">
        <v>449</v>
      </c>
      <c r="L171">
        <v>2</v>
      </c>
      <c r="M171" t="s">
        <v>16</v>
      </c>
      <c r="N171" t="s">
        <v>17</v>
      </c>
      <c r="O171" t="s">
        <v>18</v>
      </c>
    </row>
    <row r="172" spans="1:15" x14ac:dyDescent="0.3">
      <c r="A172">
        <v>171</v>
      </c>
      <c r="B172" t="s">
        <v>51</v>
      </c>
      <c r="C172" t="s">
        <v>450</v>
      </c>
      <c r="D172" t="s">
        <v>1495</v>
      </c>
      <c r="E172" t="s">
        <v>61</v>
      </c>
      <c r="F172" s="1">
        <v>38257</v>
      </c>
      <c r="G172" s="2">
        <v>2004</v>
      </c>
      <c r="H172">
        <v>2021</v>
      </c>
      <c r="I172" s="2">
        <v>17</v>
      </c>
      <c r="J172">
        <v>110912</v>
      </c>
      <c r="K172" t="s">
        <v>451</v>
      </c>
      <c r="L172">
        <v>5</v>
      </c>
      <c r="M172" t="s">
        <v>91</v>
      </c>
      <c r="N172" t="s">
        <v>40</v>
      </c>
      <c r="O172" t="s">
        <v>63</v>
      </c>
    </row>
    <row r="173" spans="1:15" x14ac:dyDescent="0.3">
      <c r="A173">
        <v>172</v>
      </c>
      <c r="B173" t="s">
        <v>452</v>
      </c>
      <c r="C173" t="s">
        <v>453</v>
      </c>
      <c r="D173" t="s">
        <v>1494</v>
      </c>
      <c r="E173" t="s">
        <v>122</v>
      </c>
      <c r="F173" s="1">
        <v>40061</v>
      </c>
      <c r="G173" s="2">
        <v>2009</v>
      </c>
      <c r="H173">
        <v>2021</v>
      </c>
      <c r="I173" s="2">
        <v>12</v>
      </c>
      <c r="J173">
        <v>101520</v>
      </c>
      <c r="K173" t="s">
        <v>454</v>
      </c>
      <c r="L173">
        <v>1</v>
      </c>
      <c r="M173" t="s">
        <v>46</v>
      </c>
      <c r="N173" t="s">
        <v>17</v>
      </c>
      <c r="O173" t="s">
        <v>123</v>
      </c>
    </row>
    <row r="174" spans="1:15" x14ac:dyDescent="0.3">
      <c r="A174">
        <v>173</v>
      </c>
      <c r="B174" t="s">
        <v>341</v>
      </c>
      <c r="C174" t="s">
        <v>455</v>
      </c>
      <c r="D174" t="s">
        <v>1495</v>
      </c>
      <c r="E174" t="s">
        <v>122</v>
      </c>
      <c r="F174" s="1">
        <v>38677</v>
      </c>
      <c r="G174" s="2">
        <v>2005</v>
      </c>
      <c r="H174">
        <v>2021</v>
      </c>
      <c r="I174" s="2">
        <v>16</v>
      </c>
      <c r="J174">
        <v>55633</v>
      </c>
      <c r="K174" t="s">
        <v>456</v>
      </c>
      <c r="L174">
        <v>1</v>
      </c>
      <c r="M174" t="s">
        <v>46</v>
      </c>
      <c r="N174" t="s">
        <v>17</v>
      </c>
      <c r="O174" t="s">
        <v>123</v>
      </c>
    </row>
    <row r="175" spans="1:15" x14ac:dyDescent="0.3">
      <c r="A175">
        <v>174</v>
      </c>
      <c r="B175" t="s">
        <v>457</v>
      </c>
      <c r="C175" t="s">
        <v>458</v>
      </c>
      <c r="D175" t="s">
        <v>1495</v>
      </c>
      <c r="E175" t="s">
        <v>122</v>
      </c>
      <c r="F175" s="1">
        <v>40459</v>
      </c>
      <c r="G175" s="2">
        <v>2010</v>
      </c>
      <c r="H175">
        <v>2021</v>
      </c>
      <c r="I175" s="2">
        <v>11</v>
      </c>
      <c r="J175">
        <v>91561</v>
      </c>
      <c r="K175" t="s">
        <v>459</v>
      </c>
      <c r="L175">
        <v>7</v>
      </c>
      <c r="M175" t="s">
        <v>39</v>
      </c>
      <c r="N175" t="s">
        <v>40</v>
      </c>
      <c r="O175" t="s">
        <v>123</v>
      </c>
    </row>
    <row r="176" spans="1:15" x14ac:dyDescent="0.3">
      <c r="A176">
        <v>175</v>
      </c>
      <c r="B176" t="s">
        <v>251</v>
      </c>
      <c r="C176" t="s">
        <v>460</v>
      </c>
      <c r="D176" t="s">
        <v>1494</v>
      </c>
      <c r="E176" t="s">
        <v>37</v>
      </c>
      <c r="F176" s="1">
        <v>41585</v>
      </c>
      <c r="G176" s="2">
        <v>2013</v>
      </c>
      <c r="H176">
        <v>2021</v>
      </c>
      <c r="I176" s="2">
        <v>8</v>
      </c>
      <c r="J176">
        <v>77307</v>
      </c>
      <c r="K176" t="s">
        <v>461</v>
      </c>
      <c r="L176">
        <v>7</v>
      </c>
      <c r="M176" t="s">
        <v>39</v>
      </c>
      <c r="N176" t="s">
        <v>40</v>
      </c>
      <c r="O176" t="s">
        <v>41</v>
      </c>
    </row>
    <row r="177" spans="1:15" x14ac:dyDescent="0.3">
      <c r="A177">
        <v>176</v>
      </c>
      <c r="B177" t="s">
        <v>462</v>
      </c>
      <c r="C177" t="s">
        <v>463</v>
      </c>
      <c r="D177" t="s">
        <v>1494</v>
      </c>
      <c r="E177" t="s">
        <v>69</v>
      </c>
      <c r="F177" s="1">
        <v>41196</v>
      </c>
      <c r="G177" s="2">
        <v>2012</v>
      </c>
      <c r="H177">
        <v>2021</v>
      </c>
      <c r="I177" s="2">
        <v>9</v>
      </c>
      <c r="J177">
        <v>67942</v>
      </c>
      <c r="K177" t="s">
        <v>22</v>
      </c>
      <c r="L177">
        <v>6</v>
      </c>
      <c r="M177" t="s">
        <v>50</v>
      </c>
      <c r="N177" t="s">
        <v>40</v>
      </c>
      <c r="O177" t="s">
        <v>41</v>
      </c>
    </row>
    <row r="178" spans="1:15" x14ac:dyDescent="0.3">
      <c r="A178">
        <v>177</v>
      </c>
      <c r="B178" t="s">
        <v>163</v>
      </c>
      <c r="C178" t="s">
        <v>464</v>
      </c>
      <c r="D178" t="s">
        <v>1495</v>
      </c>
      <c r="E178" t="s">
        <v>69</v>
      </c>
      <c r="F178" s="1">
        <v>39709</v>
      </c>
      <c r="G178" s="2">
        <v>2008</v>
      </c>
      <c r="H178">
        <v>2021</v>
      </c>
      <c r="I178" s="2">
        <v>13</v>
      </c>
      <c r="J178">
        <v>80397</v>
      </c>
      <c r="K178" t="s">
        <v>74</v>
      </c>
      <c r="L178">
        <v>1</v>
      </c>
      <c r="M178" t="s">
        <v>46</v>
      </c>
      <c r="N178" t="s">
        <v>17</v>
      </c>
      <c r="O178" t="s">
        <v>41</v>
      </c>
    </row>
    <row r="179" spans="1:15" x14ac:dyDescent="0.3">
      <c r="A179">
        <v>178</v>
      </c>
      <c r="B179" t="s">
        <v>465</v>
      </c>
      <c r="C179" t="s">
        <v>466</v>
      </c>
      <c r="D179" t="s">
        <v>1495</v>
      </c>
      <c r="E179" t="s">
        <v>21</v>
      </c>
      <c r="F179" s="1">
        <v>37669</v>
      </c>
      <c r="G179" s="2">
        <v>2003</v>
      </c>
      <c r="H179">
        <v>2021</v>
      </c>
      <c r="I179" s="2">
        <v>18</v>
      </c>
      <c r="J179">
        <v>78157</v>
      </c>
      <c r="K179" t="s">
        <v>145</v>
      </c>
      <c r="L179">
        <v>1</v>
      </c>
      <c r="M179" t="s">
        <v>46</v>
      </c>
      <c r="N179" t="s">
        <v>17</v>
      </c>
      <c r="O179" t="s">
        <v>23</v>
      </c>
    </row>
    <row r="180" spans="1:15" x14ac:dyDescent="0.3">
      <c r="A180">
        <v>179</v>
      </c>
      <c r="B180" t="s">
        <v>457</v>
      </c>
      <c r="C180" t="s">
        <v>467</v>
      </c>
      <c r="D180" t="s">
        <v>1495</v>
      </c>
      <c r="E180" t="s">
        <v>110</v>
      </c>
      <c r="F180" s="1">
        <v>38015</v>
      </c>
      <c r="G180" s="2">
        <v>2004</v>
      </c>
      <c r="H180">
        <v>2021</v>
      </c>
      <c r="I180" s="2">
        <v>17</v>
      </c>
      <c r="J180">
        <v>121836</v>
      </c>
      <c r="K180" t="s">
        <v>196</v>
      </c>
      <c r="L180">
        <v>7</v>
      </c>
      <c r="M180" t="s">
        <v>39</v>
      </c>
      <c r="N180" t="s">
        <v>40</v>
      </c>
      <c r="O180" t="s">
        <v>112</v>
      </c>
    </row>
    <row r="181" spans="1:15" x14ac:dyDescent="0.3">
      <c r="A181">
        <v>180</v>
      </c>
      <c r="B181" t="s">
        <v>47</v>
      </c>
      <c r="C181" t="s">
        <v>468</v>
      </c>
      <c r="D181" t="s">
        <v>1494</v>
      </c>
      <c r="E181" t="s">
        <v>148</v>
      </c>
      <c r="F181" s="1">
        <v>39760</v>
      </c>
      <c r="G181" s="2">
        <v>2008</v>
      </c>
      <c r="H181">
        <v>2021</v>
      </c>
      <c r="I181" s="2">
        <v>13</v>
      </c>
      <c r="J181">
        <v>76063</v>
      </c>
      <c r="K181" t="s">
        <v>469</v>
      </c>
      <c r="L181">
        <v>6</v>
      </c>
      <c r="M181" t="s">
        <v>50</v>
      </c>
      <c r="N181" t="s">
        <v>40</v>
      </c>
      <c r="O181" t="s">
        <v>112</v>
      </c>
    </row>
    <row r="182" spans="1:15" x14ac:dyDescent="0.3">
      <c r="A182">
        <v>181</v>
      </c>
      <c r="B182" t="s">
        <v>470</v>
      </c>
      <c r="C182" t="s">
        <v>471</v>
      </c>
      <c r="D182" t="s">
        <v>1495</v>
      </c>
      <c r="E182" t="s">
        <v>110</v>
      </c>
      <c r="F182" s="1">
        <v>37013</v>
      </c>
      <c r="G182" s="2">
        <v>2001</v>
      </c>
      <c r="H182">
        <v>2021</v>
      </c>
      <c r="I182" s="2">
        <v>20</v>
      </c>
      <c r="J182">
        <v>56923</v>
      </c>
      <c r="K182" t="s">
        <v>472</v>
      </c>
      <c r="L182">
        <v>2</v>
      </c>
      <c r="M182" t="s">
        <v>16</v>
      </c>
      <c r="N182" t="s">
        <v>17</v>
      </c>
      <c r="O182" t="s">
        <v>112</v>
      </c>
    </row>
    <row r="183" spans="1:15" x14ac:dyDescent="0.3">
      <c r="A183">
        <v>182</v>
      </c>
      <c r="B183" t="s">
        <v>275</v>
      </c>
      <c r="C183" t="s">
        <v>473</v>
      </c>
      <c r="D183" t="s">
        <v>1495</v>
      </c>
      <c r="E183" t="s">
        <v>100</v>
      </c>
      <c r="F183" s="1">
        <v>39907</v>
      </c>
      <c r="G183" s="2">
        <v>2009</v>
      </c>
      <c r="H183">
        <v>2021</v>
      </c>
      <c r="I183" s="2">
        <v>12</v>
      </c>
      <c r="J183">
        <v>76932</v>
      </c>
      <c r="K183" t="s">
        <v>330</v>
      </c>
      <c r="L183">
        <v>5</v>
      </c>
      <c r="M183" t="s">
        <v>91</v>
      </c>
      <c r="N183" t="s">
        <v>40</v>
      </c>
      <c r="O183" t="s">
        <v>29</v>
      </c>
    </row>
    <row r="184" spans="1:15" x14ac:dyDescent="0.3">
      <c r="A184">
        <v>183</v>
      </c>
      <c r="B184" t="s">
        <v>474</v>
      </c>
      <c r="C184" t="s">
        <v>475</v>
      </c>
      <c r="D184" t="s">
        <v>1495</v>
      </c>
      <c r="E184" t="s">
        <v>79</v>
      </c>
      <c r="F184" s="1">
        <v>37471</v>
      </c>
      <c r="G184" s="2">
        <v>2002</v>
      </c>
      <c r="H184">
        <v>2021</v>
      </c>
      <c r="I184" s="2">
        <v>19</v>
      </c>
      <c r="J184">
        <v>64410</v>
      </c>
      <c r="K184" t="s">
        <v>107</v>
      </c>
      <c r="L184">
        <v>2</v>
      </c>
      <c r="M184" t="s">
        <v>16</v>
      </c>
      <c r="N184" t="s">
        <v>17</v>
      </c>
      <c r="O184" t="s">
        <v>41</v>
      </c>
    </row>
    <row r="185" spans="1:15" x14ac:dyDescent="0.3">
      <c r="A185">
        <v>184</v>
      </c>
      <c r="B185" t="s">
        <v>207</v>
      </c>
      <c r="C185" t="s">
        <v>476</v>
      </c>
      <c r="D185" t="s">
        <v>1495</v>
      </c>
      <c r="E185" t="s">
        <v>122</v>
      </c>
      <c r="F185" s="1">
        <v>39480</v>
      </c>
      <c r="G185" s="2">
        <v>2008</v>
      </c>
      <c r="H185">
        <v>2021</v>
      </c>
      <c r="I185" s="2">
        <v>13</v>
      </c>
      <c r="J185">
        <v>111873</v>
      </c>
      <c r="K185" t="s">
        <v>149</v>
      </c>
      <c r="L185">
        <v>2</v>
      </c>
      <c r="M185" t="s">
        <v>16</v>
      </c>
      <c r="N185" t="s">
        <v>17</v>
      </c>
      <c r="O185" t="s">
        <v>123</v>
      </c>
    </row>
    <row r="186" spans="1:15" x14ac:dyDescent="0.3">
      <c r="A186">
        <v>185</v>
      </c>
      <c r="B186" t="s">
        <v>207</v>
      </c>
      <c r="C186" t="s">
        <v>477</v>
      </c>
      <c r="D186" t="s">
        <v>1495</v>
      </c>
      <c r="E186" t="s">
        <v>69</v>
      </c>
      <c r="F186" s="1">
        <v>37156</v>
      </c>
      <c r="G186" s="2">
        <v>2001</v>
      </c>
      <c r="H186">
        <v>2021</v>
      </c>
      <c r="I186" s="2">
        <v>20</v>
      </c>
      <c r="J186">
        <v>74648</v>
      </c>
      <c r="K186" t="s">
        <v>478</v>
      </c>
      <c r="L186">
        <v>2</v>
      </c>
      <c r="M186" t="s">
        <v>16</v>
      </c>
      <c r="N186" t="s">
        <v>17</v>
      </c>
      <c r="O186" t="s">
        <v>41</v>
      </c>
    </row>
    <row r="187" spans="1:15" x14ac:dyDescent="0.3">
      <c r="A187">
        <v>186</v>
      </c>
      <c r="B187" t="s">
        <v>412</v>
      </c>
      <c r="C187" t="s">
        <v>479</v>
      </c>
      <c r="D187" t="s">
        <v>1495</v>
      </c>
      <c r="E187" t="s">
        <v>53</v>
      </c>
      <c r="F187" s="1">
        <v>40803</v>
      </c>
      <c r="G187" s="2">
        <v>2011</v>
      </c>
      <c r="H187">
        <v>2021</v>
      </c>
      <c r="I187" s="2">
        <v>10</v>
      </c>
      <c r="J187">
        <v>144991</v>
      </c>
      <c r="K187" t="s">
        <v>349</v>
      </c>
      <c r="L187">
        <v>7</v>
      </c>
      <c r="M187" t="s">
        <v>39</v>
      </c>
      <c r="N187" t="s">
        <v>40</v>
      </c>
      <c r="O187" t="s">
        <v>23</v>
      </c>
    </row>
    <row r="188" spans="1:15" x14ac:dyDescent="0.3">
      <c r="A188">
        <v>187</v>
      </c>
      <c r="B188" t="s">
        <v>480</v>
      </c>
      <c r="C188" t="s">
        <v>481</v>
      </c>
      <c r="D188" t="s">
        <v>1495</v>
      </c>
      <c r="E188" t="s">
        <v>148</v>
      </c>
      <c r="F188" s="1">
        <v>38660</v>
      </c>
      <c r="G188" s="2">
        <v>2005</v>
      </c>
      <c r="H188">
        <v>2021</v>
      </c>
      <c r="I188" s="2">
        <v>16</v>
      </c>
      <c r="J188">
        <v>107407</v>
      </c>
      <c r="K188" t="s">
        <v>272</v>
      </c>
      <c r="L188">
        <v>3</v>
      </c>
      <c r="M188" t="s">
        <v>28</v>
      </c>
      <c r="N188" t="s">
        <v>17</v>
      </c>
      <c r="O188" t="s">
        <v>112</v>
      </c>
    </row>
    <row r="189" spans="1:15" x14ac:dyDescent="0.3">
      <c r="A189">
        <v>188</v>
      </c>
      <c r="B189" t="s">
        <v>379</v>
      </c>
      <c r="C189" t="s">
        <v>482</v>
      </c>
      <c r="D189" t="s">
        <v>1494</v>
      </c>
      <c r="E189" t="s">
        <v>37</v>
      </c>
      <c r="F189" s="1">
        <v>40985</v>
      </c>
      <c r="G189" s="2">
        <v>2012</v>
      </c>
      <c r="H189">
        <v>2021</v>
      </c>
      <c r="I189" s="2">
        <v>9</v>
      </c>
      <c r="J189">
        <v>120225</v>
      </c>
      <c r="K189" t="s">
        <v>179</v>
      </c>
      <c r="L189">
        <v>7</v>
      </c>
      <c r="M189" t="s">
        <v>39</v>
      </c>
      <c r="N189" t="s">
        <v>40</v>
      </c>
      <c r="O189" t="s">
        <v>41</v>
      </c>
    </row>
    <row r="190" spans="1:15" x14ac:dyDescent="0.3">
      <c r="A190">
        <v>189</v>
      </c>
      <c r="B190" t="s">
        <v>483</v>
      </c>
      <c r="C190" t="s">
        <v>484</v>
      </c>
      <c r="D190" t="s">
        <v>1494</v>
      </c>
      <c r="E190" t="s">
        <v>89</v>
      </c>
      <c r="F190" s="1">
        <v>41975</v>
      </c>
      <c r="G190" s="2">
        <v>2014</v>
      </c>
      <c r="H190">
        <v>2021</v>
      </c>
      <c r="I190" s="2">
        <v>7</v>
      </c>
      <c r="J190">
        <v>122272</v>
      </c>
      <c r="K190" t="s">
        <v>253</v>
      </c>
      <c r="L190">
        <v>2</v>
      </c>
      <c r="M190" t="s">
        <v>16</v>
      </c>
      <c r="N190" t="s">
        <v>17</v>
      </c>
      <c r="O190" t="s">
        <v>41</v>
      </c>
    </row>
    <row r="191" spans="1:15" x14ac:dyDescent="0.3">
      <c r="A191">
        <v>190</v>
      </c>
      <c r="B191" t="s">
        <v>485</v>
      </c>
      <c r="C191" t="s">
        <v>486</v>
      </c>
      <c r="D191" t="s">
        <v>1495</v>
      </c>
      <c r="E191" t="s">
        <v>203</v>
      </c>
      <c r="F191" s="1">
        <v>37573</v>
      </c>
      <c r="G191" s="2">
        <v>2002</v>
      </c>
      <c r="H191">
        <v>2021</v>
      </c>
      <c r="I191" s="2">
        <v>19</v>
      </c>
      <c r="J191">
        <v>120577</v>
      </c>
      <c r="K191" t="s">
        <v>487</v>
      </c>
      <c r="L191">
        <v>1</v>
      </c>
      <c r="M191" t="s">
        <v>46</v>
      </c>
      <c r="N191" t="s">
        <v>17</v>
      </c>
      <c r="O191" t="s">
        <v>41</v>
      </c>
    </row>
    <row r="192" spans="1:15" x14ac:dyDescent="0.3">
      <c r="A192">
        <v>191</v>
      </c>
      <c r="B192" t="s">
        <v>488</v>
      </c>
      <c r="C192" t="s">
        <v>489</v>
      </c>
      <c r="D192" t="s">
        <v>1495</v>
      </c>
      <c r="E192" t="s">
        <v>94</v>
      </c>
      <c r="F192" s="1">
        <v>39567</v>
      </c>
      <c r="G192" s="2">
        <v>2008</v>
      </c>
      <c r="H192">
        <v>2021</v>
      </c>
      <c r="I192" s="2">
        <v>13</v>
      </c>
      <c r="J192">
        <v>148986</v>
      </c>
      <c r="K192" t="s">
        <v>490</v>
      </c>
      <c r="L192">
        <v>1</v>
      </c>
      <c r="M192" t="s">
        <v>46</v>
      </c>
      <c r="N192" t="s">
        <v>17</v>
      </c>
      <c r="O192" t="s">
        <v>18</v>
      </c>
    </row>
    <row r="193" spans="1:15" x14ac:dyDescent="0.3">
      <c r="A193">
        <v>192</v>
      </c>
      <c r="B193" t="s">
        <v>491</v>
      </c>
      <c r="C193" t="s">
        <v>492</v>
      </c>
      <c r="D193" t="s">
        <v>1494</v>
      </c>
      <c r="E193" t="s">
        <v>79</v>
      </c>
      <c r="F193" s="1">
        <v>36566</v>
      </c>
      <c r="G193" s="2">
        <v>2000</v>
      </c>
      <c r="H193">
        <v>2021</v>
      </c>
      <c r="I193" s="2">
        <v>21</v>
      </c>
      <c r="J193">
        <v>101855</v>
      </c>
      <c r="K193" t="s">
        <v>493</v>
      </c>
      <c r="L193">
        <v>4</v>
      </c>
      <c r="M193" t="s">
        <v>55</v>
      </c>
      <c r="N193" t="s">
        <v>17</v>
      </c>
      <c r="O193" t="s">
        <v>41</v>
      </c>
    </row>
    <row r="194" spans="1:15" x14ac:dyDescent="0.3">
      <c r="A194">
        <v>193</v>
      </c>
      <c r="B194" t="s">
        <v>494</v>
      </c>
      <c r="C194" t="s">
        <v>495</v>
      </c>
      <c r="D194" t="s">
        <v>1495</v>
      </c>
      <c r="E194" t="s">
        <v>100</v>
      </c>
      <c r="F194" s="1">
        <v>38765</v>
      </c>
      <c r="G194" s="2">
        <v>2006</v>
      </c>
      <c r="H194">
        <v>2021</v>
      </c>
      <c r="I194" s="2">
        <v>15</v>
      </c>
      <c r="J194">
        <v>140850</v>
      </c>
      <c r="K194" t="s">
        <v>310</v>
      </c>
      <c r="L194">
        <v>4</v>
      </c>
      <c r="M194" t="s">
        <v>55</v>
      </c>
      <c r="N194" t="s">
        <v>17</v>
      </c>
      <c r="O194" t="s">
        <v>29</v>
      </c>
    </row>
    <row r="195" spans="1:15" x14ac:dyDescent="0.3">
      <c r="A195">
        <v>194</v>
      </c>
      <c r="B195" t="s">
        <v>350</v>
      </c>
      <c r="C195" t="s">
        <v>496</v>
      </c>
      <c r="D195" t="s">
        <v>1494</v>
      </c>
      <c r="E195" t="s">
        <v>53</v>
      </c>
      <c r="F195" s="1">
        <v>38749</v>
      </c>
      <c r="G195" s="2">
        <v>2006</v>
      </c>
      <c r="H195">
        <v>2021</v>
      </c>
      <c r="I195" s="2">
        <v>15</v>
      </c>
      <c r="J195">
        <v>142516</v>
      </c>
      <c r="K195" t="s">
        <v>497</v>
      </c>
      <c r="L195">
        <v>1</v>
      </c>
      <c r="M195" t="s">
        <v>46</v>
      </c>
      <c r="N195" t="s">
        <v>17</v>
      </c>
      <c r="O195" t="s">
        <v>23</v>
      </c>
    </row>
    <row r="196" spans="1:15" x14ac:dyDescent="0.3">
      <c r="A196">
        <v>195</v>
      </c>
      <c r="B196" t="s">
        <v>407</v>
      </c>
      <c r="C196" t="s">
        <v>498</v>
      </c>
      <c r="D196" t="s">
        <v>1494</v>
      </c>
      <c r="E196" t="s">
        <v>312</v>
      </c>
      <c r="F196" s="1">
        <v>41222</v>
      </c>
      <c r="G196" s="2">
        <v>2012</v>
      </c>
      <c r="H196">
        <v>2021</v>
      </c>
      <c r="I196" s="2">
        <v>9</v>
      </c>
      <c r="J196">
        <v>48829</v>
      </c>
      <c r="K196" t="s">
        <v>133</v>
      </c>
      <c r="L196">
        <v>1</v>
      </c>
      <c r="M196" t="s">
        <v>46</v>
      </c>
      <c r="N196" t="s">
        <v>17</v>
      </c>
      <c r="O196" t="s">
        <v>41</v>
      </c>
    </row>
    <row r="197" spans="1:15" x14ac:dyDescent="0.3">
      <c r="A197">
        <v>196</v>
      </c>
      <c r="B197" t="s">
        <v>64</v>
      </c>
      <c r="C197" t="s">
        <v>499</v>
      </c>
      <c r="D197" t="s">
        <v>1494</v>
      </c>
      <c r="E197" t="s">
        <v>148</v>
      </c>
      <c r="F197" s="1">
        <v>38976</v>
      </c>
      <c r="G197" s="2">
        <v>2006</v>
      </c>
      <c r="H197">
        <v>2021</v>
      </c>
      <c r="I197" s="2">
        <v>15</v>
      </c>
      <c r="J197">
        <v>81270</v>
      </c>
      <c r="K197" t="s">
        <v>500</v>
      </c>
      <c r="L197">
        <v>1</v>
      </c>
      <c r="M197" t="s">
        <v>46</v>
      </c>
      <c r="N197" t="s">
        <v>17</v>
      </c>
      <c r="O197" t="s">
        <v>112</v>
      </c>
    </row>
    <row r="198" spans="1:15" x14ac:dyDescent="0.3">
      <c r="A198">
        <v>197</v>
      </c>
      <c r="B198" t="s">
        <v>423</v>
      </c>
      <c r="C198" t="s">
        <v>501</v>
      </c>
      <c r="D198" t="s">
        <v>1495</v>
      </c>
      <c r="E198" t="s">
        <v>129</v>
      </c>
      <c r="F198" s="1">
        <v>40546</v>
      </c>
      <c r="G198" s="2">
        <v>2011</v>
      </c>
      <c r="H198">
        <v>2021</v>
      </c>
      <c r="I198" s="2">
        <v>10</v>
      </c>
      <c r="J198">
        <v>130097</v>
      </c>
      <c r="K198" t="s">
        <v>217</v>
      </c>
      <c r="L198">
        <v>5</v>
      </c>
      <c r="M198" t="s">
        <v>91</v>
      </c>
      <c r="N198" t="s">
        <v>40</v>
      </c>
      <c r="O198" t="s">
        <v>41</v>
      </c>
    </row>
    <row r="199" spans="1:15" x14ac:dyDescent="0.3">
      <c r="A199">
        <v>198</v>
      </c>
      <c r="B199" t="s">
        <v>404</v>
      </c>
      <c r="C199" t="s">
        <v>502</v>
      </c>
      <c r="D199" t="s">
        <v>1495</v>
      </c>
      <c r="E199" t="s">
        <v>100</v>
      </c>
      <c r="F199" s="1">
        <v>36549</v>
      </c>
      <c r="G199" s="2">
        <v>2000</v>
      </c>
      <c r="H199">
        <v>2021</v>
      </c>
      <c r="I199" s="2">
        <v>21</v>
      </c>
      <c r="J199">
        <v>117905</v>
      </c>
      <c r="K199" t="s">
        <v>49</v>
      </c>
      <c r="L199">
        <v>4</v>
      </c>
      <c r="M199" t="s">
        <v>55</v>
      </c>
      <c r="N199" t="s">
        <v>17</v>
      </c>
      <c r="O199" t="s">
        <v>29</v>
      </c>
    </row>
    <row r="200" spans="1:15" x14ac:dyDescent="0.3">
      <c r="A200">
        <v>199</v>
      </c>
      <c r="B200" t="s">
        <v>140</v>
      </c>
      <c r="C200" t="s">
        <v>503</v>
      </c>
      <c r="D200" t="s">
        <v>1495</v>
      </c>
      <c r="E200" t="s">
        <v>312</v>
      </c>
      <c r="F200" s="1">
        <v>40494</v>
      </c>
      <c r="G200" s="2">
        <v>2010</v>
      </c>
      <c r="H200">
        <v>2021</v>
      </c>
      <c r="I200" s="2">
        <v>11</v>
      </c>
      <c r="J200">
        <v>142483</v>
      </c>
      <c r="K200" t="s">
        <v>472</v>
      </c>
      <c r="L200">
        <v>3</v>
      </c>
      <c r="M200" t="s">
        <v>28</v>
      </c>
      <c r="N200" t="s">
        <v>17</v>
      </c>
      <c r="O200" t="s">
        <v>41</v>
      </c>
    </row>
    <row r="201" spans="1:15" x14ac:dyDescent="0.3">
      <c r="A201">
        <v>200</v>
      </c>
      <c r="B201" t="s">
        <v>264</v>
      </c>
      <c r="C201" t="s">
        <v>504</v>
      </c>
      <c r="D201" t="s">
        <v>1494</v>
      </c>
      <c r="E201" t="s">
        <v>61</v>
      </c>
      <c r="F201" s="1">
        <v>38250</v>
      </c>
      <c r="G201" s="2">
        <v>2004</v>
      </c>
      <c r="H201">
        <v>2021</v>
      </c>
      <c r="I201" s="2">
        <v>17</v>
      </c>
      <c r="J201">
        <v>89633</v>
      </c>
      <c r="K201" t="s">
        <v>101</v>
      </c>
      <c r="L201">
        <v>4</v>
      </c>
      <c r="M201" t="s">
        <v>55</v>
      </c>
      <c r="N201" t="s">
        <v>17</v>
      </c>
      <c r="O201" t="s">
        <v>63</v>
      </c>
    </row>
    <row r="202" spans="1:15" x14ac:dyDescent="0.3">
      <c r="A202">
        <v>201</v>
      </c>
      <c r="B202" t="s">
        <v>505</v>
      </c>
      <c r="C202" t="s">
        <v>506</v>
      </c>
      <c r="D202" t="s">
        <v>1494</v>
      </c>
      <c r="E202" t="s">
        <v>89</v>
      </c>
      <c r="F202" s="1">
        <v>39890</v>
      </c>
      <c r="G202" s="2">
        <v>2009</v>
      </c>
      <c r="H202">
        <v>2021</v>
      </c>
      <c r="I202" s="2">
        <v>12</v>
      </c>
      <c r="J202">
        <v>48684</v>
      </c>
      <c r="K202" t="s">
        <v>111</v>
      </c>
      <c r="L202">
        <v>6</v>
      </c>
      <c r="M202" t="s">
        <v>50</v>
      </c>
      <c r="N202" t="s">
        <v>40</v>
      </c>
      <c r="O202" t="s">
        <v>41</v>
      </c>
    </row>
    <row r="203" spans="1:15" x14ac:dyDescent="0.3">
      <c r="A203">
        <v>202</v>
      </c>
      <c r="B203" t="s">
        <v>328</v>
      </c>
      <c r="C203" t="s">
        <v>507</v>
      </c>
      <c r="D203" t="s">
        <v>1495</v>
      </c>
      <c r="E203" t="s">
        <v>26</v>
      </c>
      <c r="F203" s="1">
        <v>38009</v>
      </c>
      <c r="G203" s="2">
        <v>2004</v>
      </c>
      <c r="H203">
        <v>2021</v>
      </c>
      <c r="I203" s="2">
        <v>17</v>
      </c>
      <c r="J203">
        <v>91932</v>
      </c>
      <c r="K203" t="s">
        <v>425</v>
      </c>
      <c r="L203">
        <v>1</v>
      </c>
      <c r="M203" t="s">
        <v>46</v>
      </c>
      <c r="N203" t="s">
        <v>17</v>
      </c>
      <c r="O203" t="s">
        <v>29</v>
      </c>
    </row>
    <row r="204" spans="1:15" x14ac:dyDescent="0.3">
      <c r="A204">
        <v>203</v>
      </c>
      <c r="B204" t="s">
        <v>508</v>
      </c>
      <c r="C204" t="s">
        <v>509</v>
      </c>
      <c r="D204" t="s">
        <v>1495</v>
      </c>
      <c r="E204" t="s">
        <v>37</v>
      </c>
      <c r="F204" s="1">
        <v>38632</v>
      </c>
      <c r="G204" s="2">
        <v>2005</v>
      </c>
      <c r="H204">
        <v>2021</v>
      </c>
      <c r="I204" s="2">
        <v>16</v>
      </c>
      <c r="J204">
        <v>112004</v>
      </c>
      <c r="K204" t="s">
        <v>510</v>
      </c>
      <c r="L204">
        <v>7</v>
      </c>
      <c r="M204" t="s">
        <v>39</v>
      </c>
      <c r="N204" t="s">
        <v>40</v>
      </c>
      <c r="O204" t="s">
        <v>41</v>
      </c>
    </row>
    <row r="205" spans="1:15" x14ac:dyDescent="0.3">
      <c r="A205">
        <v>204</v>
      </c>
      <c r="B205" t="s">
        <v>485</v>
      </c>
      <c r="C205" t="s">
        <v>511</v>
      </c>
      <c r="D205" t="s">
        <v>1495</v>
      </c>
      <c r="E205" t="s">
        <v>129</v>
      </c>
      <c r="F205" s="1">
        <v>36794</v>
      </c>
      <c r="G205" s="2">
        <v>2000</v>
      </c>
      <c r="H205">
        <v>2021</v>
      </c>
      <c r="I205" s="2">
        <v>21</v>
      </c>
      <c r="J205">
        <v>116013</v>
      </c>
      <c r="K205" t="s">
        <v>220</v>
      </c>
      <c r="L205">
        <v>4</v>
      </c>
      <c r="M205" t="s">
        <v>55</v>
      </c>
      <c r="N205" t="s">
        <v>17</v>
      </c>
      <c r="O205" t="s">
        <v>41</v>
      </c>
    </row>
    <row r="206" spans="1:15" x14ac:dyDescent="0.3">
      <c r="A206">
        <v>205</v>
      </c>
      <c r="B206" t="s">
        <v>512</v>
      </c>
      <c r="C206" t="s">
        <v>513</v>
      </c>
      <c r="D206" t="s">
        <v>1495</v>
      </c>
      <c r="E206" t="s">
        <v>79</v>
      </c>
      <c r="F206" s="1">
        <v>39701</v>
      </c>
      <c r="G206" s="2">
        <v>2008</v>
      </c>
      <c r="H206">
        <v>2021</v>
      </c>
      <c r="I206" s="2">
        <v>13</v>
      </c>
      <c r="J206">
        <v>109058</v>
      </c>
      <c r="K206" t="s">
        <v>287</v>
      </c>
      <c r="L206">
        <v>7</v>
      </c>
      <c r="M206" t="s">
        <v>39</v>
      </c>
      <c r="N206" t="s">
        <v>40</v>
      </c>
      <c r="O206" t="s">
        <v>41</v>
      </c>
    </row>
    <row r="207" spans="1:15" x14ac:dyDescent="0.3">
      <c r="A207">
        <v>206</v>
      </c>
      <c r="B207" t="s">
        <v>514</v>
      </c>
      <c r="C207" t="s">
        <v>515</v>
      </c>
      <c r="D207" t="s">
        <v>1494</v>
      </c>
      <c r="E207" t="s">
        <v>53</v>
      </c>
      <c r="F207" s="1">
        <v>41035</v>
      </c>
      <c r="G207" s="2">
        <v>2012</v>
      </c>
      <c r="H207">
        <v>2021</v>
      </c>
      <c r="I207" s="2">
        <v>9</v>
      </c>
      <c r="J207">
        <v>61992</v>
      </c>
      <c r="K207" t="s">
        <v>62</v>
      </c>
      <c r="L207">
        <v>4</v>
      </c>
      <c r="M207" t="s">
        <v>55</v>
      </c>
      <c r="N207" t="s">
        <v>17</v>
      </c>
      <c r="O207" t="s">
        <v>23</v>
      </c>
    </row>
    <row r="208" spans="1:15" x14ac:dyDescent="0.3">
      <c r="A208">
        <v>207</v>
      </c>
      <c r="B208" t="s">
        <v>51</v>
      </c>
      <c r="C208" t="s">
        <v>516</v>
      </c>
      <c r="D208" t="s">
        <v>1495</v>
      </c>
      <c r="E208" t="s">
        <v>61</v>
      </c>
      <c r="F208" s="1">
        <v>39723</v>
      </c>
      <c r="G208" s="2">
        <v>2008</v>
      </c>
      <c r="H208">
        <v>2021</v>
      </c>
      <c r="I208" s="2">
        <v>13</v>
      </c>
      <c r="J208">
        <v>129527</v>
      </c>
      <c r="K208" t="s">
        <v>517</v>
      </c>
      <c r="L208">
        <v>2</v>
      </c>
      <c r="M208" t="s">
        <v>16</v>
      </c>
      <c r="N208" t="s">
        <v>17</v>
      </c>
      <c r="O208" t="s">
        <v>63</v>
      </c>
    </row>
    <row r="209" spans="1:15" x14ac:dyDescent="0.3">
      <c r="A209">
        <v>208</v>
      </c>
      <c r="B209" t="s">
        <v>262</v>
      </c>
      <c r="C209" t="s">
        <v>518</v>
      </c>
      <c r="D209" t="s">
        <v>1495</v>
      </c>
      <c r="E209" t="s">
        <v>37</v>
      </c>
      <c r="F209" s="1">
        <v>37240</v>
      </c>
      <c r="G209" s="2">
        <v>2001</v>
      </c>
      <c r="H209">
        <v>2021</v>
      </c>
      <c r="I209" s="2">
        <v>20</v>
      </c>
      <c r="J209">
        <v>67746</v>
      </c>
      <c r="K209" t="s">
        <v>242</v>
      </c>
      <c r="L209">
        <v>2</v>
      </c>
      <c r="M209" t="s">
        <v>16</v>
      </c>
      <c r="N209" t="s">
        <v>17</v>
      </c>
      <c r="O209" t="s">
        <v>41</v>
      </c>
    </row>
    <row r="210" spans="1:15" x14ac:dyDescent="0.3">
      <c r="A210">
        <v>209</v>
      </c>
      <c r="B210" t="s">
        <v>519</v>
      </c>
      <c r="C210" t="s">
        <v>520</v>
      </c>
      <c r="D210" t="s">
        <v>1494</v>
      </c>
      <c r="E210" t="s">
        <v>122</v>
      </c>
      <c r="F210" s="1">
        <v>40251</v>
      </c>
      <c r="G210" s="2">
        <v>2010</v>
      </c>
      <c r="H210">
        <v>2021</v>
      </c>
      <c r="I210" s="2">
        <v>11</v>
      </c>
      <c r="J210">
        <v>104530</v>
      </c>
      <c r="K210" t="s">
        <v>191</v>
      </c>
      <c r="L210">
        <v>2</v>
      </c>
      <c r="M210" t="s">
        <v>16</v>
      </c>
      <c r="N210" t="s">
        <v>17</v>
      </c>
      <c r="O210" t="s">
        <v>123</v>
      </c>
    </row>
    <row r="211" spans="1:15" x14ac:dyDescent="0.3">
      <c r="A211">
        <v>210</v>
      </c>
      <c r="B211" t="s">
        <v>521</v>
      </c>
      <c r="C211" t="s">
        <v>522</v>
      </c>
      <c r="D211" t="s">
        <v>1495</v>
      </c>
      <c r="E211" t="s">
        <v>238</v>
      </c>
      <c r="F211" s="1">
        <v>39464</v>
      </c>
      <c r="G211" s="2">
        <v>2008</v>
      </c>
      <c r="H211">
        <v>2021</v>
      </c>
      <c r="I211" s="2">
        <v>13</v>
      </c>
      <c r="J211">
        <v>42759</v>
      </c>
      <c r="K211" t="s">
        <v>472</v>
      </c>
      <c r="L211">
        <v>4</v>
      </c>
      <c r="M211" t="s">
        <v>55</v>
      </c>
      <c r="N211" t="s">
        <v>17</v>
      </c>
      <c r="O211" t="s">
        <v>63</v>
      </c>
    </row>
    <row r="212" spans="1:15" x14ac:dyDescent="0.3">
      <c r="A212">
        <v>211</v>
      </c>
      <c r="B212" t="s">
        <v>523</v>
      </c>
      <c r="C212" t="s">
        <v>524</v>
      </c>
      <c r="D212" t="s">
        <v>1495</v>
      </c>
      <c r="E212" t="s">
        <v>85</v>
      </c>
      <c r="F212" s="1">
        <v>40599</v>
      </c>
      <c r="G212" s="2">
        <v>2011</v>
      </c>
      <c r="H212">
        <v>2021</v>
      </c>
      <c r="I212" s="2">
        <v>10</v>
      </c>
      <c r="J212">
        <v>43097</v>
      </c>
      <c r="K212" t="s">
        <v>360</v>
      </c>
      <c r="L212">
        <v>2</v>
      </c>
      <c r="M212" t="s">
        <v>16</v>
      </c>
      <c r="N212" t="s">
        <v>17</v>
      </c>
      <c r="O212" t="s">
        <v>41</v>
      </c>
    </row>
    <row r="213" spans="1:15" x14ac:dyDescent="0.3">
      <c r="A213">
        <v>212</v>
      </c>
      <c r="B213" t="s">
        <v>304</v>
      </c>
      <c r="C213" t="s">
        <v>525</v>
      </c>
      <c r="D213" t="s">
        <v>1495</v>
      </c>
      <c r="E213" t="s">
        <v>148</v>
      </c>
      <c r="F213" s="1">
        <v>38678</v>
      </c>
      <c r="G213" s="2">
        <v>2005</v>
      </c>
      <c r="H213">
        <v>2021</v>
      </c>
      <c r="I213" s="2">
        <v>16</v>
      </c>
      <c r="J213">
        <v>123936</v>
      </c>
      <c r="K213" t="s">
        <v>510</v>
      </c>
      <c r="L213">
        <v>1</v>
      </c>
      <c r="M213" t="s">
        <v>46</v>
      </c>
      <c r="N213" t="s">
        <v>17</v>
      </c>
      <c r="O213" t="s">
        <v>112</v>
      </c>
    </row>
    <row r="214" spans="1:15" x14ac:dyDescent="0.3">
      <c r="A214">
        <v>213</v>
      </c>
      <c r="B214" t="s">
        <v>279</v>
      </c>
      <c r="C214" t="s">
        <v>526</v>
      </c>
      <c r="D214" t="s">
        <v>1494</v>
      </c>
      <c r="E214" t="s">
        <v>44</v>
      </c>
      <c r="F214" s="1">
        <v>39049</v>
      </c>
      <c r="G214" s="2">
        <v>2006</v>
      </c>
      <c r="H214">
        <v>2021</v>
      </c>
      <c r="I214" s="2">
        <v>15</v>
      </c>
      <c r="J214">
        <v>128239</v>
      </c>
      <c r="K214" t="s">
        <v>527</v>
      </c>
      <c r="L214">
        <v>6</v>
      </c>
      <c r="M214" t="s">
        <v>50</v>
      </c>
      <c r="N214" t="s">
        <v>40</v>
      </c>
      <c r="O214" t="s">
        <v>29</v>
      </c>
    </row>
    <row r="215" spans="1:15" x14ac:dyDescent="0.3">
      <c r="A215">
        <v>214</v>
      </c>
      <c r="B215" t="s">
        <v>528</v>
      </c>
      <c r="C215" t="s">
        <v>529</v>
      </c>
      <c r="D215" t="s">
        <v>1494</v>
      </c>
      <c r="E215" t="s">
        <v>14</v>
      </c>
      <c r="F215" s="1">
        <v>37925</v>
      </c>
      <c r="G215" s="2">
        <v>2003</v>
      </c>
      <c r="H215">
        <v>2021</v>
      </c>
      <c r="I215" s="2">
        <v>18</v>
      </c>
      <c r="J215">
        <v>66084</v>
      </c>
      <c r="K215" t="s">
        <v>169</v>
      </c>
      <c r="L215">
        <v>6</v>
      </c>
      <c r="M215" t="s">
        <v>50</v>
      </c>
      <c r="N215" t="s">
        <v>40</v>
      </c>
      <c r="O215" t="s">
        <v>18</v>
      </c>
    </row>
    <row r="216" spans="1:15" x14ac:dyDescent="0.3">
      <c r="A216">
        <v>215</v>
      </c>
      <c r="B216" t="s">
        <v>530</v>
      </c>
      <c r="C216" t="s">
        <v>531</v>
      </c>
      <c r="D216" t="s">
        <v>1494</v>
      </c>
      <c r="E216" t="s">
        <v>79</v>
      </c>
      <c r="F216" s="1">
        <v>39886</v>
      </c>
      <c r="G216" s="2">
        <v>2009</v>
      </c>
      <c r="H216">
        <v>2021</v>
      </c>
      <c r="I216" s="2">
        <v>12</v>
      </c>
      <c r="J216">
        <v>106729</v>
      </c>
      <c r="K216" t="s">
        <v>209</v>
      </c>
      <c r="L216">
        <v>5</v>
      </c>
      <c r="M216" t="s">
        <v>91</v>
      </c>
      <c r="N216" t="s">
        <v>40</v>
      </c>
      <c r="O216" t="s">
        <v>41</v>
      </c>
    </row>
    <row r="217" spans="1:15" x14ac:dyDescent="0.3">
      <c r="A217">
        <v>216</v>
      </c>
      <c r="B217" t="s">
        <v>532</v>
      </c>
      <c r="C217" t="s">
        <v>533</v>
      </c>
      <c r="D217" t="s">
        <v>1494</v>
      </c>
      <c r="E217" t="s">
        <v>32</v>
      </c>
      <c r="F217" s="1">
        <v>39887</v>
      </c>
      <c r="G217" s="2">
        <v>2009</v>
      </c>
      <c r="H217">
        <v>2021</v>
      </c>
      <c r="I217" s="3">
        <v>12</v>
      </c>
      <c r="J217">
        <v>87269</v>
      </c>
      <c r="K217" t="s">
        <v>321</v>
      </c>
      <c r="L217">
        <v>4</v>
      </c>
      <c r="M217" t="s">
        <v>55</v>
      </c>
      <c r="N217" t="s">
        <v>17</v>
      </c>
      <c r="O217" t="s">
        <v>34</v>
      </c>
    </row>
    <row r="218" spans="1:15" x14ac:dyDescent="0.3">
      <c r="A218">
        <v>217</v>
      </c>
      <c r="B218" t="s">
        <v>210</v>
      </c>
      <c r="C218" t="s">
        <v>534</v>
      </c>
      <c r="D218" t="s">
        <v>1494</v>
      </c>
      <c r="E218" t="s">
        <v>89</v>
      </c>
      <c r="F218" s="1">
        <v>38322</v>
      </c>
      <c r="G218" s="2">
        <v>2004</v>
      </c>
      <c r="H218">
        <v>2021</v>
      </c>
      <c r="I218" s="2">
        <v>17</v>
      </c>
      <c r="J218">
        <v>128765</v>
      </c>
      <c r="K218" t="s">
        <v>247</v>
      </c>
      <c r="L218">
        <v>2</v>
      </c>
      <c r="M218" t="s">
        <v>16</v>
      </c>
      <c r="N218" t="s">
        <v>17</v>
      </c>
      <c r="O218" t="s">
        <v>41</v>
      </c>
    </row>
    <row r="219" spans="1:15" x14ac:dyDescent="0.3">
      <c r="A219">
        <v>218</v>
      </c>
      <c r="B219" t="s">
        <v>192</v>
      </c>
      <c r="C219" t="s">
        <v>535</v>
      </c>
      <c r="D219" t="s">
        <v>1494</v>
      </c>
      <c r="E219" t="s">
        <v>79</v>
      </c>
      <c r="F219" s="1">
        <v>37766</v>
      </c>
      <c r="G219" s="2">
        <v>2003</v>
      </c>
      <c r="H219">
        <v>2021</v>
      </c>
      <c r="I219" s="2">
        <v>18</v>
      </c>
      <c r="J219">
        <v>104671</v>
      </c>
      <c r="K219" t="s">
        <v>191</v>
      </c>
      <c r="L219">
        <v>7</v>
      </c>
      <c r="M219" t="s">
        <v>39</v>
      </c>
      <c r="N219" t="s">
        <v>40</v>
      </c>
      <c r="O219" t="s">
        <v>41</v>
      </c>
    </row>
    <row r="220" spans="1:15" x14ac:dyDescent="0.3">
      <c r="A220">
        <v>219</v>
      </c>
      <c r="B220" t="s">
        <v>474</v>
      </c>
      <c r="C220" t="s">
        <v>536</v>
      </c>
      <c r="D220" t="s">
        <v>1494</v>
      </c>
      <c r="E220" t="s">
        <v>312</v>
      </c>
      <c r="F220" s="1">
        <v>40664</v>
      </c>
      <c r="G220" s="2">
        <v>2011</v>
      </c>
      <c r="H220">
        <v>2021</v>
      </c>
      <c r="I220" s="2">
        <v>10</v>
      </c>
      <c r="J220">
        <v>55073</v>
      </c>
      <c r="K220" t="s">
        <v>537</v>
      </c>
      <c r="L220">
        <v>4</v>
      </c>
      <c r="M220" t="s">
        <v>55</v>
      </c>
      <c r="N220" t="s">
        <v>17</v>
      </c>
      <c r="O220" t="s">
        <v>41</v>
      </c>
    </row>
    <row r="221" spans="1:15" x14ac:dyDescent="0.3">
      <c r="A221">
        <v>220</v>
      </c>
      <c r="B221" t="s">
        <v>35</v>
      </c>
      <c r="C221" t="s">
        <v>538</v>
      </c>
      <c r="D221" t="s">
        <v>1495</v>
      </c>
      <c r="E221" t="s">
        <v>148</v>
      </c>
      <c r="F221" s="1">
        <v>39407</v>
      </c>
      <c r="G221" s="2">
        <v>2007</v>
      </c>
      <c r="H221">
        <v>2021</v>
      </c>
      <c r="I221" s="2">
        <v>14</v>
      </c>
      <c r="J221">
        <v>146256</v>
      </c>
      <c r="K221" t="s">
        <v>539</v>
      </c>
      <c r="L221">
        <v>1</v>
      </c>
      <c r="M221" t="s">
        <v>46</v>
      </c>
      <c r="N221" t="s">
        <v>17</v>
      </c>
      <c r="O221" t="s">
        <v>112</v>
      </c>
    </row>
    <row r="222" spans="1:15" x14ac:dyDescent="0.3">
      <c r="A222">
        <v>221</v>
      </c>
      <c r="B222" t="s">
        <v>410</v>
      </c>
      <c r="C222" t="s">
        <v>540</v>
      </c>
      <c r="D222" t="s">
        <v>1495</v>
      </c>
      <c r="E222" t="s">
        <v>89</v>
      </c>
      <c r="F222" s="1">
        <v>38367</v>
      </c>
      <c r="G222" s="2">
        <v>2005</v>
      </c>
      <c r="H222">
        <v>2021</v>
      </c>
      <c r="I222" s="2">
        <v>16</v>
      </c>
      <c r="J222">
        <v>55077</v>
      </c>
      <c r="K222" t="s">
        <v>204</v>
      </c>
      <c r="L222">
        <v>7</v>
      </c>
      <c r="M222" t="s">
        <v>39</v>
      </c>
      <c r="N222" t="s">
        <v>40</v>
      </c>
      <c r="O222" t="s">
        <v>41</v>
      </c>
    </row>
    <row r="223" spans="1:15" x14ac:dyDescent="0.3">
      <c r="A223">
        <v>222</v>
      </c>
      <c r="B223" t="s">
        <v>184</v>
      </c>
      <c r="C223" t="s">
        <v>541</v>
      </c>
      <c r="D223" t="s">
        <v>1495</v>
      </c>
      <c r="E223" t="s">
        <v>37</v>
      </c>
      <c r="F223" s="1">
        <v>40644</v>
      </c>
      <c r="G223" s="2">
        <v>2011</v>
      </c>
      <c r="H223">
        <v>2021</v>
      </c>
      <c r="I223" s="2">
        <v>10</v>
      </c>
      <c r="J223">
        <v>124215</v>
      </c>
      <c r="K223" t="s">
        <v>27</v>
      </c>
      <c r="L223">
        <v>2</v>
      </c>
      <c r="M223" t="s">
        <v>16</v>
      </c>
      <c r="N223" t="s">
        <v>17</v>
      </c>
      <c r="O223" t="s">
        <v>41</v>
      </c>
    </row>
    <row r="224" spans="1:15" x14ac:dyDescent="0.3">
      <c r="A224">
        <v>223</v>
      </c>
      <c r="B224" t="s">
        <v>363</v>
      </c>
      <c r="C224" t="s">
        <v>542</v>
      </c>
      <c r="D224" t="s">
        <v>1494</v>
      </c>
      <c r="E224" t="s">
        <v>14</v>
      </c>
      <c r="F224" s="1">
        <v>39566</v>
      </c>
      <c r="G224" s="2">
        <v>2008</v>
      </c>
      <c r="H224">
        <v>2021</v>
      </c>
      <c r="I224" s="2">
        <v>13</v>
      </c>
      <c r="J224">
        <v>105444</v>
      </c>
      <c r="K224" t="s">
        <v>543</v>
      </c>
      <c r="L224">
        <v>6</v>
      </c>
      <c r="M224" t="s">
        <v>50</v>
      </c>
      <c r="N224" t="s">
        <v>40</v>
      </c>
      <c r="O224" t="s">
        <v>18</v>
      </c>
    </row>
    <row r="225" spans="1:15" x14ac:dyDescent="0.3">
      <c r="A225">
        <v>224</v>
      </c>
      <c r="B225" t="s">
        <v>544</v>
      </c>
      <c r="C225" t="s">
        <v>545</v>
      </c>
      <c r="D225" t="s">
        <v>1495</v>
      </c>
      <c r="E225" t="s">
        <v>21</v>
      </c>
      <c r="F225" s="1">
        <v>40299</v>
      </c>
      <c r="G225" s="2">
        <v>2010</v>
      </c>
      <c r="H225">
        <v>2021</v>
      </c>
      <c r="I225" s="2">
        <v>11</v>
      </c>
      <c r="J225">
        <v>141513</v>
      </c>
      <c r="K225" t="s">
        <v>546</v>
      </c>
      <c r="L225">
        <v>1</v>
      </c>
      <c r="M225" t="s">
        <v>46</v>
      </c>
      <c r="N225" t="s">
        <v>17</v>
      </c>
      <c r="O225" t="s">
        <v>23</v>
      </c>
    </row>
    <row r="226" spans="1:15" x14ac:dyDescent="0.3">
      <c r="A226">
        <v>225</v>
      </c>
      <c r="B226" t="s">
        <v>519</v>
      </c>
      <c r="C226" t="s">
        <v>547</v>
      </c>
      <c r="D226" t="s">
        <v>1495</v>
      </c>
      <c r="E226" t="s">
        <v>312</v>
      </c>
      <c r="F226" s="1">
        <v>39520</v>
      </c>
      <c r="G226" s="2">
        <v>2008</v>
      </c>
      <c r="H226">
        <v>2021</v>
      </c>
      <c r="I226" s="2">
        <v>13</v>
      </c>
      <c r="J226">
        <v>97623</v>
      </c>
      <c r="K226" t="s">
        <v>349</v>
      </c>
      <c r="L226">
        <v>1</v>
      </c>
      <c r="M226" t="s">
        <v>46</v>
      </c>
      <c r="N226" t="s">
        <v>17</v>
      </c>
      <c r="O226" t="s">
        <v>41</v>
      </c>
    </row>
    <row r="227" spans="1:15" x14ac:dyDescent="0.3">
      <c r="A227">
        <v>226</v>
      </c>
      <c r="B227" t="s">
        <v>548</v>
      </c>
      <c r="C227" t="s">
        <v>549</v>
      </c>
      <c r="D227" t="s">
        <v>1494</v>
      </c>
      <c r="E227" t="s">
        <v>203</v>
      </c>
      <c r="F227" s="1">
        <v>38668</v>
      </c>
      <c r="G227" s="2">
        <v>2005</v>
      </c>
      <c r="H227">
        <v>2021</v>
      </c>
      <c r="I227" s="2">
        <v>16</v>
      </c>
      <c r="J227">
        <v>106833</v>
      </c>
      <c r="K227" t="s">
        <v>204</v>
      </c>
      <c r="L227">
        <v>7</v>
      </c>
      <c r="M227" t="s">
        <v>39</v>
      </c>
      <c r="N227" t="s">
        <v>40</v>
      </c>
      <c r="O227" t="s">
        <v>41</v>
      </c>
    </row>
    <row r="228" spans="1:15" x14ac:dyDescent="0.3">
      <c r="A228">
        <v>227</v>
      </c>
      <c r="B228" t="s">
        <v>302</v>
      </c>
      <c r="C228" t="s">
        <v>550</v>
      </c>
      <c r="D228" t="s">
        <v>1495</v>
      </c>
      <c r="E228" t="s">
        <v>129</v>
      </c>
      <c r="F228" s="1">
        <v>38825</v>
      </c>
      <c r="G228" s="2">
        <v>2006</v>
      </c>
      <c r="H228">
        <v>2021</v>
      </c>
      <c r="I228" s="2">
        <v>15</v>
      </c>
      <c r="J228">
        <v>69045</v>
      </c>
      <c r="K228" t="s">
        <v>551</v>
      </c>
      <c r="L228">
        <v>2</v>
      </c>
      <c r="M228" t="s">
        <v>16</v>
      </c>
      <c r="N228" t="s">
        <v>17</v>
      </c>
      <c r="O228" t="s">
        <v>41</v>
      </c>
    </row>
    <row r="229" spans="1:15" x14ac:dyDescent="0.3">
      <c r="A229">
        <v>228</v>
      </c>
      <c r="B229" t="s">
        <v>243</v>
      </c>
      <c r="C229" t="s">
        <v>552</v>
      </c>
      <c r="D229" t="s">
        <v>1494</v>
      </c>
      <c r="E229" t="s">
        <v>148</v>
      </c>
      <c r="F229" s="1">
        <v>39633</v>
      </c>
      <c r="G229" s="2">
        <v>2008</v>
      </c>
      <c r="H229">
        <v>2021</v>
      </c>
      <c r="I229" s="2">
        <v>13</v>
      </c>
      <c r="J229">
        <v>113311</v>
      </c>
      <c r="K229" t="s">
        <v>245</v>
      </c>
      <c r="L229">
        <v>2</v>
      </c>
      <c r="M229" t="s">
        <v>16</v>
      </c>
      <c r="N229" t="s">
        <v>17</v>
      </c>
      <c r="O229" t="s">
        <v>112</v>
      </c>
    </row>
    <row r="230" spans="1:15" x14ac:dyDescent="0.3">
      <c r="A230">
        <v>229</v>
      </c>
      <c r="B230" t="s">
        <v>553</v>
      </c>
      <c r="C230" t="s">
        <v>554</v>
      </c>
      <c r="D230" t="s">
        <v>1495</v>
      </c>
      <c r="E230" t="s">
        <v>148</v>
      </c>
      <c r="F230" s="1">
        <v>41580</v>
      </c>
      <c r="G230" s="2">
        <v>2013</v>
      </c>
      <c r="H230">
        <v>2021</v>
      </c>
      <c r="I230" s="2">
        <v>8</v>
      </c>
      <c r="J230">
        <v>116301</v>
      </c>
      <c r="K230" t="s">
        <v>186</v>
      </c>
      <c r="L230">
        <v>3</v>
      </c>
      <c r="M230" t="s">
        <v>28</v>
      </c>
      <c r="N230" t="s">
        <v>17</v>
      </c>
      <c r="O230" t="s">
        <v>112</v>
      </c>
    </row>
    <row r="231" spans="1:15" x14ac:dyDescent="0.3">
      <c r="A231">
        <v>230</v>
      </c>
      <c r="B231" t="s">
        <v>555</v>
      </c>
      <c r="C231" t="s">
        <v>556</v>
      </c>
      <c r="D231" t="s">
        <v>1495</v>
      </c>
      <c r="E231" t="s">
        <v>100</v>
      </c>
      <c r="F231" s="1">
        <v>38722</v>
      </c>
      <c r="G231" s="2">
        <v>2006</v>
      </c>
      <c r="H231">
        <v>2021</v>
      </c>
      <c r="I231" s="2">
        <v>15</v>
      </c>
      <c r="J231">
        <v>138459</v>
      </c>
      <c r="K231" t="s">
        <v>500</v>
      </c>
      <c r="L231">
        <v>1</v>
      </c>
      <c r="M231" t="s">
        <v>46</v>
      </c>
      <c r="N231" t="s">
        <v>17</v>
      </c>
      <c r="O231" t="s">
        <v>29</v>
      </c>
    </row>
    <row r="232" spans="1:15" x14ac:dyDescent="0.3">
      <c r="A232">
        <v>231</v>
      </c>
      <c r="B232" t="s">
        <v>92</v>
      </c>
      <c r="C232" t="s">
        <v>557</v>
      </c>
      <c r="D232" t="s">
        <v>1495</v>
      </c>
      <c r="E232" t="s">
        <v>69</v>
      </c>
      <c r="F232" s="1">
        <v>38536</v>
      </c>
      <c r="G232" s="2">
        <v>2005</v>
      </c>
      <c r="H232">
        <v>2021</v>
      </c>
      <c r="I232" s="2">
        <v>16</v>
      </c>
      <c r="J232">
        <v>87800</v>
      </c>
      <c r="K232" t="s">
        <v>58</v>
      </c>
      <c r="L232">
        <v>7</v>
      </c>
      <c r="M232" t="s">
        <v>39</v>
      </c>
      <c r="N232" t="s">
        <v>40</v>
      </c>
      <c r="O232" t="s">
        <v>41</v>
      </c>
    </row>
    <row r="233" spans="1:15" x14ac:dyDescent="0.3">
      <c r="A233">
        <v>232</v>
      </c>
      <c r="B233" t="s">
        <v>519</v>
      </c>
      <c r="C233" t="s">
        <v>558</v>
      </c>
      <c r="D233" t="s">
        <v>1495</v>
      </c>
      <c r="E233" t="s">
        <v>85</v>
      </c>
      <c r="F233" s="1">
        <v>36673</v>
      </c>
      <c r="G233" s="2">
        <v>2000</v>
      </c>
      <c r="H233">
        <v>2021</v>
      </c>
      <c r="I233" s="2">
        <v>21</v>
      </c>
      <c r="J233">
        <v>52572</v>
      </c>
      <c r="K233" t="s">
        <v>74</v>
      </c>
      <c r="L233">
        <v>7</v>
      </c>
      <c r="M233" t="s">
        <v>39</v>
      </c>
      <c r="N233" t="s">
        <v>40</v>
      </c>
      <c r="O233" t="s">
        <v>41</v>
      </c>
    </row>
    <row r="234" spans="1:15" x14ac:dyDescent="0.3">
      <c r="A234">
        <v>233</v>
      </c>
      <c r="B234" t="s">
        <v>548</v>
      </c>
      <c r="C234" t="s">
        <v>559</v>
      </c>
      <c r="D234" t="s">
        <v>1494</v>
      </c>
      <c r="E234" t="s">
        <v>94</v>
      </c>
      <c r="F234" s="1">
        <v>39927</v>
      </c>
      <c r="G234" s="2">
        <v>2009</v>
      </c>
      <c r="H234">
        <v>2021</v>
      </c>
      <c r="I234" s="2">
        <v>12</v>
      </c>
      <c r="J234">
        <v>44917</v>
      </c>
      <c r="K234" t="s">
        <v>461</v>
      </c>
      <c r="L234">
        <v>5</v>
      </c>
      <c r="M234" t="s">
        <v>91</v>
      </c>
      <c r="N234" t="s">
        <v>40</v>
      </c>
      <c r="O234" t="s">
        <v>18</v>
      </c>
    </row>
    <row r="235" spans="1:15" x14ac:dyDescent="0.3">
      <c r="A235">
        <v>234</v>
      </c>
      <c r="B235" t="s">
        <v>560</v>
      </c>
      <c r="C235" t="s">
        <v>561</v>
      </c>
      <c r="D235" t="s">
        <v>1495</v>
      </c>
      <c r="E235" t="s">
        <v>312</v>
      </c>
      <c r="F235" s="1">
        <v>40211</v>
      </c>
      <c r="G235" s="2">
        <v>2010</v>
      </c>
      <c r="H235">
        <v>2021</v>
      </c>
      <c r="I235" s="2">
        <v>11</v>
      </c>
      <c r="J235">
        <v>110896</v>
      </c>
      <c r="K235" t="s">
        <v>562</v>
      </c>
      <c r="L235">
        <v>2</v>
      </c>
      <c r="M235" t="s">
        <v>16</v>
      </c>
      <c r="N235" t="s">
        <v>17</v>
      </c>
      <c r="O235" t="s">
        <v>41</v>
      </c>
    </row>
    <row r="236" spans="1:15" x14ac:dyDescent="0.3">
      <c r="A236">
        <v>235</v>
      </c>
      <c r="B236" t="s">
        <v>352</v>
      </c>
      <c r="C236" t="s">
        <v>563</v>
      </c>
      <c r="D236" t="s">
        <v>1494</v>
      </c>
      <c r="E236" t="s">
        <v>122</v>
      </c>
      <c r="F236" s="1">
        <v>37247</v>
      </c>
      <c r="G236" s="2">
        <v>2001</v>
      </c>
      <c r="H236">
        <v>2021</v>
      </c>
      <c r="I236" s="2">
        <v>20</v>
      </c>
      <c r="J236">
        <v>108970</v>
      </c>
      <c r="K236" t="s">
        <v>290</v>
      </c>
      <c r="L236">
        <v>2</v>
      </c>
      <c r="M236" t="s">
        <v>16</v>
      </c>
      <c r="N236" t="s">
        <v>17</v>
      </c>
      <c r="O236" t="s">
        <v>123</v>
      </c>
    </row>
    <row r="237" spans="1:15" x14ac:dyDescent="0.3">
      <c r="A237">
        <v>236</v>
      </c>
      <c r="B237" t="s">
        <v>564</v>
      </c>
      <c r="C237" t="s">
        <v>565</v>
      </c>
      <c r="D237" t="s">
        <v>1494</v>
      </c>
      <c r="E237" t="s">
        <v>32</v>
      </c>
      <c r="F237" s="1">
        <v>39930</v>
      </c>
      <c r="G237" s="2">
        <v>2009</v>
      </c>
      <c r="H237">
        <v>2021</v>
      </c>
      <c r="I237" s="3">
        <v>12</v>
      </c>
      <c r="J237">
        <v>83543</v>
      </c>
      <c r="K237" t="s">
        <v>566</v>
      </c>
      <c r="L237">
        <v>5</v>
      </c>
      <c r="M237" t="s">
        <v>91</v>
      </c>
      <c r="N237" t="s">
        <v>40</v>
      </c>
      <c r="O237" t="s">
        <v>34</v>
      </c>
    </row>
    <row r="238" spans="1:15" x14ac:dyDescent="0.3">
      <c r="A238">
        <v>237</v>
      </c>
      <c r="B238" t="s">
        <v>19</v>
      </c>
      <c r="C238" t="s">
        <v>567</v>
      </c>
      <c r="D238" t="s">
        <v>1495</v>
      </c>
      <c r="E238" t="s">
        <v>238</v>
      </c>
      <c r="F238" s="1">
        <v>41469</v>
      </c>
      <c r="G238" s="2">
        <v>2013</v>
      </c>
      <c r="H238">
        <v>2021</v>
      </c>
      <c r="I238" s="2">
        <v>8</v>
      </c>
      <c r="J238">
        <v>63598</v>
      </c>
      <c r="K238" t="s">
        <v>568</v>
      </c>
      <c r="L238">
        <v>1</v>
      </c>
      <c r="M238" t="s">
        <v>46</v>
      </c>
      <c r="N238" t="s">
        <v>17</v>
      </c>
      <c r="O238" t="s">
        <v>63</v>
      </c>
    </row>
    <row r="239" spans="1:15" x14ac:dyDescent="0.3">
      <c r="A239">
        <v>238</v>
      </c>
      <c r="B239" t="s">
        <v>569</v>
      </c>
      <c r="C239" t="s">
        <v>570</v>
      </c>
      <c r="D239" t="s">
        <v>1494</v>
      </c>
      <c r="E239" t="s">
        <v>61</v>
      </c>
      <c r="F239" s="1">
        <v>41735</v>
      </c>
      <c r="G239" s="2">
        <v>2014</v>
      </c>
      <c r="H239">
        <v>2021</v>
      </c>
      <c r="I239" s="2">
        <v>7</v>
      </c>
      <c r="J239">
        <v>131274</v>
      </c>
      <c r="K239" t="s">
        <v>397</v>
      </c>
      <c r="L239">
        <v>2</v>
      </c>
      <c r="M239" t="s">
        <v>16</v>
      </c>
      <c r="N239" t="s">
        <v>17</v>
      </c>
      <c r="O239" t="s">
        <v>63</v>
      </c>
    </row>
    <row r="240" spans="1:15" x14ac:dyDescent="0.3">
      <c r="A240">
        <v>239</v>
      </c>
      <c r="B240" t="s">
        <v>47</v>
      </c>
      <c r="C240" t="s">
        <v>571</v>
      </c>
      <c r="D240" t="s">
        <v>1495</v>
      </c>
      <c r="E240" t="s">
        <v>14</v>
      </c>
      <c r="F240" s="1">
        <v>38399</v>
      </c>
      <c r="G240" s="2">
        <v>2005</v>
      </c>
      <c r="H240">
        <v>2021</v>
      </c>
      <c r="I240" s="2">
        <v>16</v>
      </c>
      <c r="J240">
        <v>149085</v>
      </c>
      <c r="K240" t="s">
        <v>38</v>
      </c>
      <c r="L240">
        <v>7</v>
      </c>
      <c r="M240" t="s">
        <v>39</v>
      </c>
      <c r="N240" t="s">
        <v>40</v>
      </c>
      <c r="O240" t="s">
        <v>18</v>
      </c>
    </row>
    <row r="241" spans="1:15" x14ac:dyDescent="0.3">
      <c r="A241">
        <v>240</v>
      </c>
      <c r="B241" t="s">
        <v>572</v>
      </c>
      <c r="C241" t="s">
        <v>573</v>
      </c>
      <c r="D241" t="s">
        <v>1494</v>
      </c>
      <c r="E241" t="s">
        <v>79</v>
      </c>
      <c r="F241" s="1">
        <v>41538</v>
      </c>
      <c r="G241" s="2">
        <v>2013</v>
      </c>
      <c r="H241">
        <v>2021</v>
      </c>
      <c r="I241" s="2">
        <v>8</v>
      </c>
      <c r="J241">
        <v>143223</v>
      </c>
      <c r="K241" t="s">
        <v>574</v>
      </c>
      <c r="L241">
        <v>6</v>
      </c>
      <c r="M241" t="s">
        <v>50</v>
      </c>
      <c r="N241" t="s">
        <v>40</v>
      </c>
      <c r="O241" t="s">
        <v>41</v>
      </c>
    </row>
    <row r="242" spans="1:15" x14ac:dyDescent="0.3">
      <c r="A242">
        <v>241</v>
      </c>
      <c r="B242" t="s">
        <v>379</v>
      </c>
      <c r="C242" t="s">
        <v>575</v>
      </c>
      <c r="D242" t="s">
        <v>1495</v>
      </c>
      <c r="E242" t="s">
        <v>69</v>
      </c>
      <c r="F242" s="1">
        <v>40534</v>
      </c>
      <c r="G242" s="2">
        <v>2010</v>
      </c>
      <c r="H242">
        <v>2021</v>
      </c>
      <c r="I242" s="2">
        <v>11</v>
      </c>
      <c r="J242">
        <v>107207</v>
      </c>
      <c r="K242" t="s">
        <v>576</v>
      </c>
      <c r="L242">
        <v>3</v>
      </c>
      <c r="M242" t="s">
        <v>28</v>
      </c>
      <c r="N242" t="s">
        <v>17</v>
      </c>
      <c r="O242" t="s">
        <v>41</v>
      </c>
    </row>
    <row r="243" spans="1:15" x14ac:dyDescent="0.3">
      <c r="A243">
        <v>242</v>
      </c>
      <c r="B243" t="s">
        <v>421</v>
      </c>
      <c r="C243" t="s">
        <v>577</v>
      </c>
      <c r="D243" t="s">
        <v>1494</v>
      </c>
      <c r="E243" t="s">
        <v>203</v>
      </c>
      <c r="F243" s="1">
        <v>37955</v>
      </c>
      <c r="G243" s="2">
        <v>2003</v>
      </c>
      <c r="H243">
        <v>2021</v>
      </c>
      <c r="I243" s="2">
        <v>18</v>
      </c>
      <c r="J243">
        <v>137594</v>
      </c>
      <c r="K243" t="s">
        <v>235</v>
      </c>
      <c r="L243">
        <v>6</v>
      </c>
      <c r="M243" t="s">
        <v>50</v>
      </c>
      <c r="N243" t="s">
        <v>40</v>
      </c>
      <c r="O243" t="s">
        <v>41</v>
      </c>
    </row>
    <row r="244" spans="1:15" x14ac:dyDescent="0.3">
      <c r="A244">
        <v>243</v>
      </c>
      <c r="B244" t="s">
        <v>392</v>
      </c>
      <c r="C244" t="s">
        <v>578</v>
      </c>
      <c r="D244" t="s">
        <v>1494</v>
      </c>
      <c r="E244" t="s">
        <v>89</v>
      </c>
      <c r="F244" s="1">
        <v>38743</v>
      </c>
      <c r="G244" s="2">
        <v>2006</v>
      </c>
      <c r="H244">
        <v>2021</v>
      </c>
      <c r="I244" s="2">
        <v>15</v>
      </c>
      <c r="J244">
        <v>139845</v>
      </c>
      <c r="K244" t="s">
        <v>242</v>
      </c>
      <c r="L244">
        <v>4</v>
      </c>
      <c r="M244" t="s">
        <v>55</v>
      </c>
      <c r="N244" t="s">
        <v>17</v>
      </c>
      <c r="O244" t="s">
        <v>41</v>
      </c>
    </row>
    <row r="245" spans="1:15" x14ac:dyDescent="0.3">
      <c r="A245">
        <v>244</v>
      </c>
      <c r="B245" t="s">
        <v>579</v>
      </c>
      <c r="C245" t="s">
        <v>580</v>
      </c>
      <c r="D245" t="s">
        <v>1495</v>
      </c>
      <c r="E245" t="s">
        <v>21</v>
      </c>
      <c r="F245" s="1">
        <v>41159</v>
      </c>
      <c r="G245" s="2">
        <v>2012</v>
      </c>
      <c r="H245">
        <v>2021</v>
      </c>
      <c r="I245" s="2">
        <v>9</v>
      </c>
      <c r="J245">
        <v>65563</v>
      </c>
      <c r="K245" t="s">
        <v>581</v>
      </c>
      <c r="L245">
        <v>4</v>
      </c>
      <c r="M245" t="s">
        <v>55</v>
      </c>
      <c r="N245" t="s">
        <v>17</v>
      </c>
      <c r="O245" t="s">
        <v>23</v>
      </c>
    </row>
    <row r="246" spans="1:15" x14ac:dyDescent="0.3">
      <c r="A246">
        <v>245</v>
      </c>
      <c r="B246" t="s">
        <v>75</v>
      </c>
      <c r="C246" t="s">
        <v>582</v>
      </c>
      <c r="D246" t="s">
        <v>1495</v>
      </c>
      <c r="E246" t="s">
        <v>85</v>
      </c>
      <c r="F246" s="1">
        <v>41641</v>
      </c>
      <c r="G246" s="2">
        <v>2014</v>
      </c>
      <c r="H246">
        <v>2021</v>
      </c>
      <c r="I246" s="2">
        <v>7</v>
      </c>
      <c r="J246">
        <v>142988</v>
      </c>
      <c r="K246" t="s">
        <v>583</v>
      </c>
      <c r="L246">
        <v>6</v>
      </c>
      <c r="M246" t="s">
        <v>50</v>
      </c>
      <c r="N246" t="s">
        <v>40</v>
      </c>
      <c r="O246" t="s">
        <v>41</v>
      </c>
    </row>
    <row r="247" spans="1:15" x14ac:dyDescent="0.3">
      <c r="A247">
        <v>246</v>
      </c>
      <c r="B247" t="s">
        <v>35</v>
      </c>
      <c r="C247" t="s">
        <v>584</v>
      </c>
      <c r="D247" t="s">
        <v>1495</v>
      </c>
      <c r="E247" t="s">
        <v>100</v>
      </c>
      <c r="F247" s="1">
        <v>36547</v>
      </c>
      <c r="G247" s="2">
        <v>2000</v>
      </c>
      <c r="H247">
        <v>2021</v>
      </c>
      <c r="I247" s="2">
        <v>21</v>
      </c>
      <c r="J247">
        <v>134074</v>
      </c>
      <c r="K247" t="s">
        <v>223</v>
      </c>
      <c r="L247">
        <v>6</v>
      </c>
      <c r="M247" t="s">
        <v>50</v>
      </c>
      <c r="N247" t="s">
        <v>40</v>
      </c>
      <c r="O247" t="s">
        <v>29</v>
      </c>
    </row>
    <row r="248" spans="1:15" x14ac:dyDescent="0.3">
      <c r="A248">
        <v>247</v>
      </c>
      <c r="B248" t="s">
        <v>585</v>
      </c>
      <c r="C248" t="s">
        <v>586</v>
      </c>
      <c r="D248" t="s">
        <v>1494</v>
      </c>
      <c r="E248" t="s">
        <v>53</v>
      </c>
      <c r="F248" s="1">
        <v>40199</v>
      </c>
      <c r="G248" s="2">
        <v>2010</v>
      </c>
      <c r="H248">
        <v>2021</v>
      </c>
      <c r="I248" s="2">
        <v>11</v>
      </c>
      <c r="J248">
        <v>80654</v>
      </c>
      <c r="K248" t="s">
        <v>500</v>
      </c>
      <c r="L248">
        <v>2</v>
      </c>
      <c r="M248" t="s">
        <v>16</v>
      </c>
      <c r="N248" t="s">
        <v>17</v>
      </c>
      <c r="O248" t="s">
        <v>23</v>
      </c>
    </row>
    <row r="249" spans="1:15" x14ac:dyDescent="0.3">
      <c r="A249">
        <v>248</v>
      </c>
      <c r="B249" t="s">
        <v>587</v>
      </c>
      <c r="C249" t="s">
        <v>588</v>
      </c>
      <c r="D249" t="s">
        <v>1494</v>
      </c>
      <c r="E249" t="s">
        <v>110</v>
      </c>
      <c r="F249" s="1">
        <v>38699</v>
      </c>
      <c r="G249" s="2">
        <v>2005</v>
      </c>
      <c r="H249">
        <v>2021</v>
      </c>
      <c r="I249" s="2">
        <v>16</v>
      </c>
      <c r="J249">
        <v>118834</v>
      </c>
      <c r="K249" t="s">
        <v>310</v>
      </c>
      <c r="L249">
        <v>6</v>
      </c>
      <c r="M249" t="s">
        <v>50</v>
      </c>
      <c r="N249" t="s">
        <v>40</v>
      </c>
      <c r="O249" t="s">
        <v>112</v>
      </c>
    </row>
    <row r="250" spans="1:15" x14ac:dyDescent="0.3">
      <c r="A250">
        <v>249</v>
      </c>
      <c r="B250" t="s">
        <v>589</v>
      </c>
      <c r="C250" t="s">
        <v>590</v>
      </c>
      <c r="D250" t="s">
        <v>1494</v>
      </c>
      <c r="E250" t="s">
        <v>85</v>
      </c>
      <c r="F250" s="1">
        <v>41336</v>
      </c>
      <c r="G250" s="2">
        <v>2013</v>
      </c>
      <c r="H250">
        <v>2021</v>
      </c>
      <c r="I250" s="2">
        <v>8</v>
      </c>
      <c r="J250">
        <v>85559</v>
      </c>
      <c r="K250" t="s">
        <v>386</v>
      </c>
      <c r="L250">
        <v>2</v>
      </c>
      <c r="M250" t="s">
        <v>16</v>
      </c>
      <c r="N250" t="s">
        <v>17</v>
      </c>
      <c r="O250" t="s">
        <v>41</v>
      </c>
    </row>
    <row r="251" spans="1:15" x14ac:dyDescent="0.3">
      <c r="A251">
        <v>250</v>
      </c>
      <c r="B251" t="s">
        <v>523</v>
      </c>
      <c r="C251" t="s">
        <v>591</v>
      </c>
      <c r="D251" t="s">
        <v>1494</v>
      </c>
      <c r="E251" t="s">
        <v>122</v>
      </c>
      <c r="F251" s="1">
        <v>37149</v>
      </c>
      <c r="G251" s="2">
        <v>2001</v>
      </c>
      <c r="H251">
        <v>2021</v>
      </c>
      <c r="I251" s="2">
        <v>20</v>
      </c>
      <c r="J251">
        <v>84049</v>
      </c>
      <c r="K251" t="s">
        <v>200</v>
      </c>
      <c r="L251">
        <v>5</v>
      </c>
      <c r="M251" t="s">
        <v>91</v>
      </c>
      <c r="N251" t="s">
        <v>40</v>
      </c>
      <c r="O251" t="s">
        <v>123</v>
      </c>
    </row>
    <row r="252" spans="1:15" x14ac:dyDescent="0.3">
      <c r="A252">
        <v>251</v>
      </c>
      <c r="B252" t="s">
        <v>592</v>
      </c>
      <c r="C252" t="s">
        <v>593</v>
      </c>
      <c r="D252" t="s">
        <v>1495</v>
      </c>
      <c r="E252" t="s">
        <v>32</v>
      </c>
      <c r="F252" s="1">
        <v>40559</v>
      </c>
      <c r="G252" s="2">
        <v>2011</v>
      </c>
      <c r="H252">
        <v>2021</v>
      </c>
      <c r="I252" s="3">
        <v>10</v>
      </c>
      <c r="J252">
        <v>47439</v>
      </c>
      <c r="K252" t="s">
        <v>220</v>
      </c>
      <c r="L252">
        <v>7</v>
      </c>
      <c r="M252" t="s">
        <v>39</v>
      </c>
      <c r="N252" t="s">
        <v>40</v>
      </c>
      <c r="O252" t="s">
        <v>34</v>
      </c>
    </row>
    <row r="253" spans="1:15" x14ac:dyDescent="0.3">
      <c r="A253">
        <v>252</v>
      </c>
      <c r="B253" t="s">
        <v>594</v>
      </c>
      <c r="C253" t="s">
        <v>595</v>
      </c>
      <c r="D253" t="s">
        <v>1494</v>
      </c>
      <c r="E253" t="s">
        <v>44</v>
      </c>
      <c r="F253" s="1">
        <v>36876</v>
      </c>
      <c r="G253" s="2">
        <v>2000</v>
      </c>
      <c r="H253">
        <v>2021</v>
      </c>
      <c r="I253" s="2">
        <v>21</v>
      </c>
      <c r="J253">
        <v>87072</v>
      </c>
      <c r="K253" t="s">
        <v>15</v>
      </c>
      <c r="L253">
        <v>7</v>
      </c>
      <c r="M253" t="s">
        <v>39</v>
      </c>
      <c r="N253" t="s">
        <v>40</v>
      </c>
      <c r="O253" t="s">
        <v>29</v>
      </c>
    </row>
    <row r="254" spans="1:15" x14ac:dyDescent="0.3">
      <c r="A254">
        <v>253</v>
      </c>
      <c r="B254" t="s">
        <v>596</v>
      </c>
      <c r="C254" t="s">
        <v>597</v>
      </c>
      <c r="D254" t="s">
        <v>1495</v>
      </c>
      <c r="E254" t="s">
        <v>14</v>
      </c>
      <c r="F254" s="1">
        <v>37753</v>
      </c>
      <c r="G254" s="2">
        <v>2003</v>
      </c>
      <c r="H254">
        <v>2021</v>
      </c>
      <c r="I254" s="2">
        <v>18</v>
      </c>
      <c r="J254">
        <v>123401</v>
      </c>
      <c r="K254" t="s">
        <v>598</v>
      </c>
      <c r="L254">
        <v>4</v>
      </c>
      <c r="M254" t="s">
        <v>55</v>
      </c>
      <c r="N254" t="s">
        <v>17</v>
      </c>
      <c r="O254" t="s">
        <v>18</v>
      </c>
    </row>
    <row r="255" spans="1:15" x14ac:dyDescent="0.3">
      <c r="A255">
        <v>254</v>
      </c>
      <c r="B255" t="s">
        <v>170</v>
      </c>
      <c r="C255" t="s">
        <v>599</v>
      </c>
      <c r="D255" t="s">
        <v>1495</v>
      </c>
      <c r="E255" t="s">
        <v>37</v>
      </c>
      <c r="F255" s="1">
        <v>36983</v>
      </c>
      <c r="G255" s="2">
        <v>2001</v>
      </c>
      <c r="H255">
        <v>2021</v>
      </c>
      <c r="I255" s="2">
        <v>20</v>
      </c>
      <c r="J255">
        <v>131681</v>
      </c>
      <c r="K255" t="s">
        <v>401</v>
      </c>
      <c r="L255">
        <v>7</v>
      </c>
      <c r="M255" t="s">
        <v>39</v>
      </c>
      <c r="N255" t="s">
        <v>40</v>
      </c>
      <c r="O255" t="s">
        <v>41</v>
      </c>
    </row>
    <row r="256" spans="1:15" x14ac:dyDescent="0.3">
      <c r="A256">
        <v>255</v>
      </c>
      <c r="B256" t="s">
        <v>600</v>
      </c>
      <c r="C256" t="s">
        <v>601</v>
      </c>
      <c r="D256" t="s">
        <v>1495</v>
      </c>
      <c r="E256" t="s">
        <v>85</v>
      </c>
      <c r="F256" s="1">
        <v>41880</v>
      </c>
      <c r="G256" s="2">
        <v>2014</v>
      </c>
      <c r="H256">
        <v>2021</v>
      </c>
      <c r="I256" s="2">
        <v>7</v>
      </c>
      <c r="J256">
        <v>96118</v>
      </c>
      <c r="K256" t="s">
        <v>472</v>
      </c>
      <c r="L256">
        <v>5</v>
      </c>
      <c r="M256" t="s">
        <v>91</v>
      </c>
      <c r="N256" t="s">
        <v>40</v>
      </c>
      <c r="O256" t="s">
        <v>41</v>
      </c>
    </row>
    <row r="257" spans="1:15" x14ac:dyDescent="0.3">
      <c r="A257">
        <v>256</v>
      </c>
      <c r="B257" t="s">
        <v>602</v>
      </c>
      <c r="C257" t="s">
        <v>603</v>
      </c>
      <c r="D257" t="s">
        <v>1495</v>
      </c>
      <c r="E257" t="s">
        <v>122</v>
      </c>
      <c r="F257" s="1">
        <v>39052</v>
      </c>
      <c r="G257" s="2">
        <v>2006</v>
      </c>
      <c r="H257">
        <v>2021</v>
      </c>
      <c r="I257" s="2">
        <v>15</v>
      </c>
      <c r="J257">
        <v>87816</v>
      </c>
      <c r="K257" t="s">
        <v>604</v>
      </c>
      <c r="L257">
        <v>2</v>
      </c>
      <c r="M257" t="s">
        <v>16</v>
      </c>
      <c r="N257" t="s">
        <v>17</v>
      </c>
      <c r="O257" t="s">
        <v>123</v>
      </c>
    </row>
    <row r="258" spans="1:15" x14ac:dyDescent="0.3">
      <c r="A258">
        <v>257</v>
      </c>
      <c r="B258" t="s">
        <v>296</v>
      </c>
      <c r="C258" t="s">
        <v>605</v>
      </c>
      <c r="D258" t="s">
        <v>1495</v>
      </c>
      <c r="E258" t="s">
        <v>89</v>
      </c>
      <c r="F258" s="1">
        <v>41065</v>
      </c>
      <c r="G258" s="2">
        <v>2012</v>
      </c>
      <c r="H258">
        <v>2021</v>
      </c>
      <c r="I258" s="2">
        <v>9</v>
      </c>
      <c r="J258">
        <v>83804</v>
      </c>
      <c r="K258" t="s">
        <v>235</v>
      </c>
      <c r="L258">
        <v>1</v>
      </c>
      <c r="M258" t="s">
        <v>46</v>
      </c>
      <c r="N258" t="s">
        <v>17</v>
      </c>
      <c r="O258" t="s">
        <v>41</v>
      </c>
    </row>
    <row r="259" spans="1:15" x14ac:dyDescent="0.3">
      <c r="A259">
        <v>258</v>
      </c>
      <c r="B259" t="s">
        <v>71</v>
      </c>
      <c r="C259" t="s">
        <v>606</v>
      </c>
      <c r="D259" t="s">
        <v>1494</v>
      </c>
      <c r="E259" t="s">
        <v>26</v>
      </c>
      <c r="F259" s="1">
        <v>39381</v>
      </c>
      <c r="G259" s="2">
        <v>2007</v>
      </c>
      <c r="H259">
        <v>2021</v>
      </c>
      <c r="I259" s="2">
        <v>14</v>
      </c>
      <c r="J259">
        <v>133612</v>
      </c>
      <c r="K259" t="s">
        <v>459</v>
      </c>
      <c r="L259">
        <v>4</v>
      </c>
      <c r="M259" t="s">
        <v>55</v>
      </c>
      <c r="N259" t="s">
        <v>17</v>
      </c>
      <c r="O259" t="s">
        <v>29</v>
      </c>
    </row>
    <row r="260" spans="1:15" x14ac:dyDescent="0.3">
      <c r="A260">
        <v>259</v>
      </c>
      <c r="B260" t="s">
        <v>282</v>
      </c>
      <c r="C260" t="s">
        <v>607</v>
      </c>
      <c r="D260" t="s">
        <v>1495</v>
      </c>
      <c r="E260" t="s">
        <v>14</v>
      </c>
      <c r="F260" s="1">
        <v>40282</v>
      </c>
      <c r="G260" s="2">
        <v>2010</v>
      </c>
      <c r="H260">
        <v>2021</v>
      </c>
      <c r="I260" s="2">
        <v>11</v>
      </c>
      <c r="J260">
        <v>47007</v>
      </c>
      <c r="K260" t="s">
        <v>510</v>
      </c>
      <c r="L260">
        <v>3</v>
      </c>
      <c r="M260" t="s">
        <v>28</v>
      </c>
      <c r="N260" t="s">
        <v>17</v>
      </c>
      <c r="O260" t="s">
        <v>18</v>
      </c>
    </row>
    <row r="261" spans="1:15" x14ac:dyDescent="0.3">
      <c r="A261">
        <v>260</v>
      </c>
      <c r="B261" t="s">
        <v>608</v>
      </c>
      <c r="C261" t="s">
        <v>609</v>
      </c>
      <c r="D261" t="s">
        <v>1494</v>
      </c>
      <c r="E261" t="s">
        <v>203</v>
      </c>
      <c r="F261" s="1">
        <v>38699</v>
      </c>
      <c r="G261" s="2">
        <v>2005</v>
      </c>
      <c r="H261">
        <v>2021</v>
      </c>
      <c r="I261" s="2">
        <v>16</v>
      </c>
      <c r="J261">
        <v>142967</v>
      </c>
      <c r="K261" t="s">
        <v>610</v>
      </c>
      <c r="L261">
        <v>5</v>
      </c>
      <c r="M261" t="s">
        <v>91</v>
      </c>
      <c r="N261" t="s">
        <v>40</v>
      </c>
      <c r="O261" t="s">
        <v>41</v>
      </c>
    </row>
    <row r="262" spans="1:15" x14ac:dyDescent="0.3">
      <c r="A262">
        <v>261</v>
      </c>
      <c r="B262" t="s">
        <v>611</v>
      </c>
      <c r="C262" t="s">
        <v>612</v>
      </c>
      <c r="D262" t="s">
        <v>1495</v>
      </c>
      <c r="E262" t="s">
        <v>85</v>
      </c>
      <c r="F262" s="1">
        <v>40883</v>
      </c>
      <c r="G262" s="2">
        <v>2011</v>
      </c>
      <c r="H262">
        <v>2021</v>
      </c>
      <c r="I262" s="2">
        <v>10</v>
      </c>
      <c r="J262">
        <v>71433</v>
      </c>
      <c r="K262" t="s">
        <v>613</v>
      </c>
      <c r="L262">
        <v>4</v>
      </c>
      <c r="M262" t="s">
        <v>55</v>
      </c>
      <c r="N262" t="s">
        <v>17</v>
      </c>
      <c r="O262" t="s">
        <v>41</v>
      </c>
    </row>
    <row r="263" spans="1:15" x14ac:dyDescent="0.3">
      <c r="A263">
        <v>262</v>
      </c>
      <c r="B263" t="s">
        <v>614</v>
      </c>
      <c r="C263" t="s">
        <v>615</v>
      </c>
      <c r="D263" t="s">
        <v>1495</v>
      </c>
      <c r="E263" t="s">
        <v>129</v>
      </c>
      <c r="F263" s="1">
        <v>36593</v>
      </c>
      <c r="G263" s="2">
        <v>2000</v>
      </c>
      <c r="H263">
        <v>2021</v>
      </c>
      <c r="I263" s="2">
        <v>21</v>
      </c>
      <c r="J263">
        <v>74191</v>
      </c>
      <c r="K263" t="s">
        <v>115</v>
      </c>
      <c r="L263">
        <v>1</v>
      </c>
      <c r="M263" t="s">
        <v>46</v>
      </c>
      <c r="N263" t="s">
        <v>17</v>
      </c>
      <c r="O263" t="s">
        <v>41</v>
      </c>
    </row>
    <row r="264" spans="1:15" x14ac:dyDescent="0.3">
      <c r="A264">
        <v>263</v>
      </c>
      <c r="B264" t="s">
        <v>184</v>
      </c>
      <c r="C264" t="s">
        <v>616</v>
      </c>
      <c r="D264" t="s">
        <v>1494</v>
      </c>
      <c r="E264" t="s">
        <v>61</v>
      </c>
      <c r="F264" s="1">
        <v>38381</v>
      </c>
      <c r="G264" s="2">
        <v>2005</v>
      </c>
      <c r="H264">
        <v>2021</v>
      </c>
      <c r="I264" s="2">
        <v>16</v>
      </c>
      <c r="J264">
        <v>109004</v>
      </c>
      <c r="K264" t="s">
        <v>617</v>
      </c>
      <c r="L264">
        <v>5</v>
      </c>
      <c r="M264" t="s">
        <v>91</v>
      </c>
      <c r="N264" t="s">
        <v>40</v>
      </c>
      <c r="O264" t="s">
        <v>63</v>
      </c>
    </row>
    <row r="265" spans="1:15" x14ac:dyDescent="0.3">
      <c r="A265">
        <v>264</v>
      </c>
      <c r="B265" t="s">
        <v>404</v>
      </c>
      <c r="C265" t="s">
        <v>618</v>
      </c>
      <c r="D265" t="s">
        <v>1494</v>
      </c>
      <c r="E265" t="s">
        <v>100</v>
      </c>
      <c r="F265" s="1">
        <v>41749</v>
      </c>
      <c r="G265" s="2">
        <v>2014</v>
      </c>
      <c r="H265">
        <v>2021</v>
      </c>
      <c r="I265" s="2">
        <v>7</v>
      </c>
      <c r="J265">
        <v>102211</v>
      </c>
      <c r="K265" t="s">
        <v>290</v>
      </c>
      <c r="L265">
        <v>3</v>
      </c>
      <c r="M265" t="s">
        <v>28</v>
      </c>
      <c r="N265" t="s">
        <v>17</v>
      </c>
      <c r="O265" t="s">
        <v>29</v>
      </c>
    </row>
    <row r="266" spans="1:15" x14ac:dyDescent="0.3">
      <c r="A266">
        <v>265</v>
      </c>
      <c r="B266" t="s">
        <v>341</v>
      </c>
      <c r="C266" t="s">
        <v>619</v>
      </c>
      <c r="D266" t="s">
        <v>1494</v>
      </c>
      <c r="E266" t="s">
        <v>14</v>
      </c>
      <c r="F266" s="1">
        <v>36741</v>
      </c>
      <c r="G266" s="2">
        <v>2000</v>
      </c>
      <c r="H266">
        <v>2021</v>
      </c>
      <c r="I266" s="2">
        <v>21</v>
      </c>
      <c r="J266">
        <v>75862</v>
      </c>
      <c r="K266" t="s">
        <v>169</v>
      </c>
      <c r="L266">
        <v>5</v>
      </c>
      <c r="M266" t="s">
        <v>91</v>
      </c>
      <c r="N266" t="s">
        <v>40</v>
      </c>
      <c r="O266" t="s">
        <v>18</v>
      </c>
    </row>
    <row r="267" spans="1:15" x14ac:dyDescent="0.3">
      <c r="A267">
        <v>266</v>
      </c>
      <c r="B267" t="s">
        <v>620</v>
      </c>
      <c r="C267" t="s">
        <v>621</v>
      </c>
      <c r="D267" t="s">
        <v>1494</v>
      </c>
      <c r="E267" t="s">
        <v>32</v>
      </c>
      <c r="F267" s="1">
        <v>36590</v>
      </c>
      <c r="G267" s="2">
        <v>2000</v>
      </c>
      <c r="H267">
        <v>2021</v>
      </c>
      <c r="I267" s="3">
        <v>21</v>
      </c>
      <c r="J267">
        <v>61446</v>
      </c>
      <c r="K267" t="s">
        <v>253</v>
      </c>
      <c r="L267">
        <v>2</v>
      </c>
      <c r="M267" t="s">
        <v>16</v>
      </c>
      <c r="N267" t="s">
        <v>17</v>
      </c>
      <c r="O267" t="s">
        <v>34</v>
      </c>
    </row>
    <row r="268" spans="1:15" x14ac:dyDescent="0.3">
      <c r="A268">
        <v>267</v>
      </c>
      <c r="B268" t="s">
        <v>622</v>
      </c>
      <c r="C268" t="s">
        <v>623</v>
      </c>
      <c r="D268" t="s">
        <v>1494</v>
      </c>
      <c r="E268" t="s">
        <v>89</v>
      </c>
      <c r="F268" s="1">
        <v>40696</v>
      </c>
      <c r="G268" s="2">
        <v>2011</v>
      </c>
      <c r="H268">
        <v>2021</v>
      </c>
      <c r="I268" s="2">
        <v>10</v>
      </c>
      <c r="J268">
        <v>146432</v>
      </c>
      <c r="K268" t="s">
        <v>97</v>
      </c>
      <c r="L268">
        <v>2</v>
      </c>
      <c r="M268" t="s">
        <v>16</v>
      </c>
      <c r="N268" t="s">
        <v>17</v>
      </c>
      <c r="O268" t="s">
        <v>41</v>
      </c>
    </row>
    <row r="269" spans="1:15" x14ac:dyDescent="0.3">
      <c r="A269">
        <v>268</v>
      </c>
      <c r="B269" t="s">
        <v>624</v>
      </c>
      <c r="C269" t="s">
        <v>625</v>
      </c>
      <c r="D269" t="s">
        <v>1495</v>
      </c>
      <c r="E269" t="s">
        <v>37</v>
      </c>
      <c r="F269" s="1">
        <v>37305</v>
      </c>
      <c r="G269" s="2">
        <v>2002</v>
      </c>
      <c r="H269">
        <v>2021</v>
      </c>
      <c r="I269" s="2">
        <v>19</v>
      </c>
      <c r="J269">
        <v>50623</v>
      </c>
      <c r="K269" t="s">
        <v>626</v>
      </c>
      <c r="L269">
        <v>7</v>
      </c>
      <c r="M269" t="s">
        <v>39</v>
      </c>
      <c r="N269" t="s">
        <v>40</v>
      </c>
      <c r="O269" t="s">
        <v>41</v>
      </c>
    </row>
    <row r="270" spans="1:15" x14ac:dyDescent="0.3">
      <c r="A270">
        <v>269</v>
      </c>
      <c r="B270" t="s">
        <v>255</v>
      </c>
      <c r="C270" t="s">
        <v>627</v>
      </c>
      <c r="D270" t="s">
        <v>1494</v>
      </c>
      <c r="E270" t="s">
        <v>148</v>
      </c>
      <c r="F270" s="1">
        <v>41984</v>
      </c>
      <c r="G270" s="2">
        <v>2014</v>
      </c>
      <c r="H270">
        <v>2021</v>
      </c>
      <c r="I270" s="2">
        <v>7</v>
      </c>
      <c r="J270">
        <v>108248</v>
      </c>
      <c r="K270" t="s">
        <v>54</v>
      </c>
      <c r="L270">
        <v>3</v>
      </c>
      <c r="M270" t="s">
        <v>28</v>
      </c>
      <c r="N270" t="s">
        <v>17</v>
      </c>
      <c r="O270" t="s">
        <v>112</v>
      </c>
    </row>
    <row r="271" spans="1:15" x14ac:dyDescent="0.3">
      <c r="A271">
        <v>270</v>
      </c>
      <c r="B271" t="s">
        <v>134</v>
      </c>
      <c r="C271" t="s">
        <v>628</v>
      </c>
      <c r="D271" t="s">
        <v>1495</v>
      </c>
      <c r="E271" t="s">
        <v>26</v>
      </c>
      <c r="F271" s="1">
        <v>38570</v>
      </c>
      <c r="G271" s="2">
        <v>2005</v>
      </c>
      <c r="H271">
        <v>2021</v>
      </c>
      <c r="I271" s="2">
        <v>16</v>
      </c>
      <c r="J271">
        <v>120875</v>
      </c>
      <c r="K271" t="s">
        <v>101</v>
      </c>
      <c r="L271">
        <v>1</v>
      </c>
      <c r="M271" t="s">
        <v>46</v>
      </c>
      <c r="N271" t="s">
        <v>17</v>
      </c>
      <c r="O271" t="s">
        <v>29</v>
      </c>
    </row>
    <row r="272" spans="1:15" x14ac:dyDescent="0.3">
      <c r="A272">
        <v>271</v>
      </c>
      <c r="B272" t="s">
        <v>218</v>
      </c>
      <c r="C272" t="s">
        <v>629</v>
      </c>
      <c r="D272" t="s">
        <v>1495</v>
      </c>
      <c r="E272" t="s">
        <v>21</v>
      </c>
      <c r="F272" s="1">
        <v>37110</v>
      </c>
      <c r="G272" s="2">
        <v>2001</v>
      </c>
      <c r="H272">
        <v>2021</v>
      </c>
      <c r="I272" s="2">
        <v>20</v>
      </c>
      <c r="J272">
        <v>123843</v>
      </c>
      <c r="K272" t="s">
        <v>226</v>
      </c>
      <c r="L272">
        <v>7</v>
      </c>
      <c r="M272" t="s">
        <v>39</v>
      </c>
      <c r="N272" t="s">
        <v>40</v>
      </c>
      <c r="O272" t="s">
        <v>23</v>
      </c>
    </row>
    <row r="273" spans="1:15" x14ac:dyDescent="0.3">
      <c r="A273">
        <v>272</v>
      </c>
      <c r="B273" t="s">
        <v>630</v>
      </c>
      <c r="C273" t="s">
        <v>631</v>
      </c>
      <c r="D273" t="s">
        <v>1494</v>
      </c>
      <c r="E273" t="s">
        <v>238</v>
      </c>
      <c r="F273" s="1">
        <v>41775</v>
      </c>
      <c r="G273" s="2">
        <v>2014</v>
      </c>
      <c r="H273">
        <v>2021</v>
      </c>
      <c r="I273" s="2">
        <v>7</v>
      </c>
      <c r="J273">
        <v>43940</v>
      </c>
      <c r="K273" t="s">
        <v>632</v>
      </c>
      <c r="L273">
        <v>2</v>
      </c>
      <c r="M273" t="s">
        <v>16</v>
      </c>
      <c r="N273" t="s">
        <v>17</v>
      </c>
      <c r="O273" t="s">
        <v>63</v>
      </c>
    </row>
    <row r="274" spans="1:15" x14ac:dyDescent="0.3">
      <c r="A274">
        <v>273</v>
      </c>
      <c r="B274" t="s">
        <v>480</v>
      </c>
      <c r="C274" t="s">
        <v>633</v>
      </c>
      <c r="D274" t="s">
        <v>1495</v>
      </c>
      <c r="E274" t="s">
        <v>61</v>
      </c>
      <c r="F274" s="1">
        <v>41280</v>
      </c>
      <c r="G274" s="2">
        <v>2013</v>
      </c>
      <c r="H274">
        <v>2021</v>
      </c>
      <c r="I274" s="2">
        <v>8</v>
      </c>
      <c r="J274">
        <v>142840</v>
      </c>
      <c r="K274" t="s">
        <v>617</v>
      </c>
      <c r="L274">
        <v>1</v>
      </c>
      <c r="M274" t="s">
        <v>46</v>
      </c>
      <c r="N274" t="s">
        <v>17</v>
      </c>
      <c r="O274" t="s">
        <v>63</v>
      </c>
    </row>
    <row r="275" spans="1:15" x14ac:dyDescent="0.3">
      <c r="A275">
        <v>274</v>
      </c>
      <c r="B275" t="s">
        <v>611</v>
      </c>
      <c r="C275" t="s">
        <v>634</v>
      </c>
      <c r="D275" t="s">
        <v>1494</v>
      </c>
      <c r="E275" t="s">
        <v>110</v>
      </c>
      <c r="F275" s="1">
        <v>38930</v>
      </c>
      <c r="G275" s="2">
        <v>2006</v>
      </c>
      <c r="H275">
        <v>2021</v>
      </c>
      <c r="I275" s="2">
        <v>15</v>
      </c>
      <c r="J275">
        <v>125713</v>
      </c>
      <c r="K275" t="s">
        <v>130</v>
      </c>
      <c r="L275">
        <v>3</v>
      </c>
      <c r="M275" t="s">
        <v>28</v>
      </c>
      <c r="N275" t="s">
        <v>17</v>
      </c>
      <c r="O275" t="s">
        <v>112</v>
      </c>
    </row>
    <row r="276" spans="1:15" x14ac:dyDescent="0.3">
      <c r="A276">
        <v>275</v>
      </c>
      <c r="B276" t="s">
        <v>302</v>
      </c>
      <c r="C276" t="s">
        <v>635</v>
      </c>
      <c r="D276" t="s">
        <v>1495</v>
      </c>
      <c r="E276" t="s">
        <v>122</v>
      </c>
      <c r="F276" s="1">
        <v>40294</v>
      </c>
      <c r="G276" s="2">
        <v>2010</v>
      </c>
      <c r="H276">
        <v>2021</v>
      </c>
      <c r="I276" s="2">
        <v>11</v>
      </c>
      <c r="J276">
        <v>122219</v>
      </c>
      <c r="K276" t="s">
        <v>636</v>
      </c>
      <c r="L276">
        <v>6</v>
      </c>
      <c r="M276" t="s">
        <v>50</v>
      </c>
      <c r="N276" t="s">
        <v>40</v>
      </c>
      <c r="O276" t="s">
        <v>123</v>
      </c>
    </row>
    <row r="277" spans="1:15" x14ac:dyDescent="0.3">
      <c r="A277">
        <v>276</v>
      </c>
      <c r="B277" t="s">
        <v>35</v>
      </c>
      <c r="C277" t="s">
        <v>637</v>
      </c>
      <c r="D277" t="s">
        <v>1495</v>
      </c>
      <c r="E277" t="s">
        <v>94</v>
      </c>
      <c r="F277" s="1">
        <v>36667</v>
      </c>
      <c r="G277" s="2">
        <v>2000</v>
      </c>
      <c r="H277">
        <v>2021</v>
      </c>
      <c r="I277" s="2">
        <v>21</v>
      </c>
      <c r="J277">
        <v>46259</v>
      </c>
      <c r="K277" t="s">
        <v>581</v>
      </c>
      <c r="L277">
        <v>6</v>
      </c>
      <c r="M277" t="s">
        <v>50</v>
      </c>
      <c r="N277" t="s">
        <v>40</v>
      </c>
      <c r="O277" t="s">
        <v>18</v>
      </c>
    </row>
    <row r="278" spans="1:15" x14ac:dyDescent="0.3">
      <c r="A278">
        <v>277</v>
      </c>
      <c r="B278" t="s">
        <v>638</v>
      </c>
      <c r="C278" t="s">
        <v>639</v>
      </c>
      <c r="D278" t="s">
        <v>1495</v>
      </c>
      <c r="E278" t="s">
        <v>69</v>
      </c>
      <c r="F278" s="1">
        <v>37816</v>
      </c>
      <c r="G278" s="2">
        <v>2003</v>
      </c>
      <c r="H278">
        <v>2021</v>
      </c>
      <c r="I278" s="2">
        <v>18</v>
      </c>
      <c r="J278">
        <v>142403</v>
      </c>
      <c r="K278" t="s">
        <v>640</v>
      </c>
      <c r="L278">
        <v>3</v>
      </c>
      <c r="M278" t="s">
        <v>28</v>
      </c>
      <c r="N278" t="s">
        <v>17</v>
      </c>
      <c r="O278" t="s">
        <v>41</v>
      </c>
    </row>
    <row r="279" spans="1:15" x14ac:dyDescent="0.3">
      <c r="A279">
        <v>278</v>
      </c>
      <c r="B279" t="s">
        <v>284</v>
      </c>
      <c r="C279" t="s">
        <v>641</v>
      </c>
      <c r="D279" t="s">
        <v>1494</v>
      </c>
      <c r="E279" t="s">
        <v>110</v>
      </c>
      <c r="F279" s="1">
        <v>36551</v>
      </c>
      <c r="G279" s="2">
        <v>2000</v>
      </c>
      <c r="H279">
        <v>2021</v>
      </c>
      <c r="I279" s="2">
        <v>21</v>
      </c>
      <c r="J279">
        <v>88165</v>
      </c>
      <c r="K279" t="s">
        <v>145</v>
      </c>
      <c r="L279">
        <v>4</v>
      </c>
      <c r="M279" t="s">
        <v>55</v>
      </c>
      <c r="N279" t="s">
        <v>17</v>
      </c>
      <c r="O279" t="s">
        <v>112</v>
      </c>
    </row>
    <row r="280" spans="1:15" x14ac:dyDescent="0.3">
      <c r="A280">
        <v>279</v>
      </c>
      <c r="B280" t="s">
        <v>642</v>
      </c>
      <c r="C280" t="s">
        <v>643</v>
      </c>
      <c r="D280" t="s">
        <v>1494</v>
      </c>
      <c r="E280" t="s">
        <v>110</v>
      </c>
      <c r="F280" s="1">
        <v>39259</v>
      </c>
      <c r="G280" s="2">
        <v>2007</v>
      </c>
      <c r="H280">
        <v>2021</v>
      </c>
      <c r="I280" s="2">
        <v>14</v>
      </c>
      <c r="J280">
        <v>86291</v>
      </c>
      <c r="K280" t="s">
        <v>49</v>
      </c>
      <c r="L280">
        <v>7</v>
      </c>
      <c r="M280" t="s">
        <v>39</v>
      </c>
      <c r="N280" t="s">
        <v>40</v>
      </c>
      <c r="O280" t="s">
        <v>112</v>
      </c>
    </row>
    <row r="281" spans="1:15" x14ac:dyDescent="0.3">
      <c r="A281">
        <v>280</v>
      </c>
      <c r="B281" t="s">
        <v>354</v>
      </c>
      <c r="C281" t="s">
        <v>644</v>
      </c>
      <c r="D281" t="s">
        <v>1494</v>
      </c>
      <c r="E281" t="s">
        <v>85</v>
      </c>
      <c r="F281" s="1">
        <v>39603</v>
      </c>
      <c r="G281" s="2">
        <v>2008</v>
      </c>
      <c r="H281">
        <v>2021</v>
      </c>
      <c r="I281" s="2">
        <v>13</v>
      </c>
      <c r="J281">
        <v>139163</v>
      </c>
      <c r="K281" t="s">
        <v>330</v>
      </c>
      <c r="L281">
        <v>5</v>
      </c>
      <c r="M281" t="s">
        <v>91</v>
      </c>
      <c r="N281" t="s">
        <v>40</v>
      </c>
      <c r="O281" t="s">
        <v>41</v>
      </c>
    </row>
    <row r="282" spans="1:15" x14ac:dyDescent="0.3">
      <c r="A282">
        <v>281</v>
      </c>
      <c r="B282" t="s">
        <v>645</v>
      </c>
      <c r="C282" t="s">
        <v>646</v>
      </c>
      <c r="D282" t="s">
        <v>1494</v>
      </c>
      <c r="E282" t="s">
        <v>238</v>
      </c>
      <c r="F282" s="1">
        <v>39026</v>
      </c>
      <c r="G282" s="2">
        <v>2006</v>
      </c>
      <c r="H282">
        <v>2021</v>
      </c>
      <c r="I282" s="2">
        <v>15</v>
      </c>
      <c r="J282">
        <v>48892</v>
      </c>
      <c r="K282" t="s">
        <v>277</v>
      </c>
      <c r="L282">
        <v>1</v>
      </c>
      <c r="M282" t="s">
        <v>46</v>
      </c>
      <c r="N282" t="s">
        <v>17</v>
      </c>
      <c r="O282" t="s">
        <v>63</v>
      </c>
    </row>
    <row r="283" spans="1:15" x14ac:dyDescent="0.3">
      <c r="A283">
        <v>282</v>
      </c>
      <c r="B283" t="s">
        <v>523</v>
      </c>
      <c r="C283" t="s">
        <v>647</v>
      </c>
      <c r="D283" t="s">
        <v>1495</v>
      </c>
      <c r="E283" t="s">
        <v>148</v>
      </c>
      <c r="F283" s="1">
        <v>41997</v>
      </c>
      <c r="G283" s="2">
        <v>2014</v>
      </c>
      <c r="H283">
        <v>2021</v>
      </c>
      <c r="I283" s="2">
        <v>7</v>
      </c>
      <c r="J283">
        <v>120540</v>
      </c>
      <c r="K283" t="s">
        <v>172</v>
      </c>
      <c r="L283">
        <v>6</v>
      </c>
      <c r="M283" t="s">
        <v>50</v>
      </c>
      <c r="N283" t="s">
        <v>40</v>
      </c>
      <c r="O283" t="s">
        <v>112</v>
      </c>
    </row>
    <row r="284" spans="1:15" x14ac:dyDescent="0.3">
      <c r="A284">
        <v>283</v>
      </c>
      <c r="B284" t="s">
        <v>264</v>
      </c>
      <c r="C284" t="s">
        <v>648</v>
      </c>
      <c r="D284" t="s">
        <v>1495</v>
      </c>
      <c r="E284" t="s">
        <v>203</v>
      </c>
      <c r="F284" s="1">
        <v>36598</v>
      </c>
      <c r="G284" s="2">
        <v>2000</v>
      </c>
      <c r="H284">
        <v>2021</v>
      </c>
      <c r="I284" s="2">
        <v>21</v>
      </c>
      <c r="J284">
        <v>47450</v>
      </c>
      <c r="K284" t="s">
        <v>189</v>
      </c>
      <c r="L284">
        <v>1</v>
      </c>
      <c r="M284" t="s">
        <v>46</v>
      </c>
      <c r="N284" t="s">
        <v>17</v>
      </c>
      <c r="O284" t="s">
        <v>41</v>
      </c>
    </row>
    <row r="285" spans="1:15" x14ac:dyDescent="0.3">
      <c r="A285">
        <v>284</v>
      </c>
      <c r="B285" t="s">
        <v>30</v>
      </c>
      <c r="C285" t="s">
        <v>649</v>
      </c>
      <c r="D285" t="s">
        <v>1495</v>
      </c>
      <c r="E285" t="s">
        <v>203</v>
      </c>
      <c r="F285" s="1">
        <v>39685</v>
      </c>
      <c r="G285" s="2">
        <v>2008</v>
      </c>
      <c r="H285">
        <v>2021</v>
      </c>
      <c r="I285" s="2">
        <v>13</v>
      </c>
      <c r="J285">
        <v>142255</v>
      </c>
      <c r="K285" t="s">
        <v>126</v>
      </c>
      <c r="L285">
        <v>4</v>
      </c>
      <c r="M285" t="s">
        <v>55</v>
      </c>
      <c r="N285" t="s">
        <v>17</v>
      </c>
      <c r="O285" t="s">
        <v>41</v>
      </c>
    </row>
    <row r="286" spans="1:15" x14ac:dyDescent="0.3">
      <c r="A286">
        <v>285</v>
      </c>
      <c r="B286" t="s">
        <v>650</v>
      </c>
      <c r="C286" t="s">
        <v>651</v>
      </c>
      <c r="D286" t="s">
        <v>1494</v>
      </c>
      <c r="E286" t="s">
        <v>110</v>
      </c>
      <c r="F286" s="1">
        <v>36754</v>
      </c>
      <c r="G286" s="2">
        <v>2000</v>
      </c>
      <c r="H286">
        <v>2021</v>
      </c>
      <c r="I286" s="2">
        <v>21</v>
      </c>
      <c r="J286">
        <v>62441</v>
      </c>
      <c r="K286" t="s">
        <v>253</v>
      </c>
      <c r="L286">
        <v>3</v>
      </c>
      <c r="M286" t="s">
        <v>28</v>
      </c>
      <c r="N286" t="s">
        <v>17</v>
      </c>
      <c r="O286" t="s">
        <v>112</v>
      </c>
    </row>
    <row r="287" spans="1:15" x14ac:dyDescent="0.3">
      <c r="A287">
        <v>286</v>
      </c>
      <c r="B287" t="s">
        <v>652</v>
      </c>
      <c r="C287" t="s">
        <v>653</v>
      </c>
      <c r="D287" t="s">
        <v>1495</v>
      </c>
      <c r="E287" t="s">
        <v>79</v>
      </c>
      <c r="F287" s="1">
        <v>39152</v>
      </c>
      <c r="G287" s="2">
        <v>2007</v>
      </c>
      <c r="H287">
        <v>2021</v>
      </c>
      <c r="I287" s="2">
        <v>14</v>
      </c>
      <c r="J287">
        <v>142529</v>
      </c>
      <c r="K287" t="s">
        <v>145</v>
      </c>
      <c r="L287">
        <v>2</v>
      </c>
      <c r="M287" t="s">
        <v>16</v>
      </c>
      <c r="N287" t="s">
        <v>17</v>
      </c>
      <c r="O287" t="s">
        <v>41</v>
      </c>
    </row>
    <row r="288" spans="1:15" x14ac:dyDescent="0.3">
      <c r="A288">
        <v>287</v>
      </c>
      <c r="B288" t="s">
        <v>505</v>
      </c>
      <c r="C288" t="s">
        <v>654</v>
      </c>
      <c r="D288" t="s">
        <v>1495</v>
      </c>
      <c r="E288" t="s">
        <v>129</v>
      </c>
      <c r="F288" s="1">
        <v>40256</v>
      </c>
      <c r="G288" s="2">
        <v>2010</v>
      </c>
      <c r="H288">
        <v>2021</v>
      </c>
      <c r="I288" s="2">
        <v>11</v>
      </c>
      <c r="J288">
        <v>142103</v>
      </c>
      <c r="K288" t="s">
        <v>360</v>
      </c>
      <c r="L288">
        <v>4</v>
      </c>
      <c r="M288" t="s">
        <v>55</v>
      </c>
      <c r="N288" t="s">
        <v>17</v>
      </c>
      <c r="O288" t="s">
        <v>41</v>
      </c>
    </row>
    <row r="289" spans="1:15" x14ac:dyDescent="0.3">
      <c r="A289">
        <v>288</v>
      </c>
      <c r="B289" t="s">
        <v>331</v>
      </c>
      <c r="C289" t="s">
        <v>655</v>
      </c>
      <c r="D289" t="s">
        <v>1494</v>
      </c>
      <c r="E289" t="s">
        <v>94</v>
      </c>
      <c r="F289" s="1">
        <v>37479</v>
      </c>
      <c r="G289" s="2">
        <v>2002</v>
      </c>
      <c r="H289">
        <v>2021</v>
      </c>
      <c r="I289" s="2">
        <v>19</v>
      </c>
      <c r="J289">
        <v>102395</v>
      </c>
      <c r="K289" t="s">
        <v>617</v>
      </c>
      <c r="L289">
        <v>6</v>
      </c>
      <c r="M289" t="s">
        <v>50</v>
      </c>
      <c r="N289" t="s">
        <v>40</v>
      </c>
      <c r="O289" t="s">
        <v>18</v>
      </c>
    </row>
    <row r="290" spans="1:15" x14ac:dyDescent="0.3">
      <c r="A290">
        <v>289</v>
      </c>
      <c r="B290" t="s">
        <v>404</v>
      </c>
      <c r="C290" t="s">
        <v>656</v>
      </c>
      <c r="D290" t="s">
        <v>1494</v>
      </c>
      <c r="E290" t="s">
        <v>89</v>
      </c>
      <c r="F290" s="1">
        <v>40095</v>
      </c>
      <c r="G290" s="2">
        <v>2009</v>
      </c>
      <c r="H290">
        <v>2021</v>
      </c>
      <c r="I290" s="2">
        <v>12</v>
      </c>
      <c r="J290">
        <v>44593</v>
      </c>
      <c r="K290" t="s">
        <v>640</v>
      </c>
      <c r="L290">
        <v>2</v>
      </c>
      <c r="M290" t="s">
        <v>16</v>
      </c>
      <c r="N290" t="s">
        <v>17</v>
      </c>
      <c r="O290" t="s">
        <v>41</v>
      </c>
    </row>
    <row r="291" spans="1:15" x14ac:dyDescent="0.3">
      <c r="A291">
        <v>290</v>
      </c>
      <c r="B291" t="s">
        <v>657</v>
      </c>
      <c r="C291" t="s">
        <v>658</v>
      </c>
      <c r="D291" t="s">
        <v>1494</v>
      </c>
      <c r="E291" t="s">
        <v>37</v>
      </c>
      <c r="F291" s="1">
        <v>39122</v>
      </c>
      <c r="G291" s="2">
        <v>2007</v>
      </c>
      <c r="H291">
        <v>2021</v>
      </c>
      <c r="I291" s="2">
        <v>14</v>
      </c>
      <c r="J291">
        <v>120800</v>
      </c>
      <c r="K291" t="s">
        <v>659</v>
      </c>
      <c r="L291">
        <v>5</v>
      </c>
      <c r="M291" t="s">
        <v>91</v>
      </c>
      <c r="N291" t="s">
        <v>40</v>
      </c>
      <c r="O291" t="s">
        <v>41</v>
      </c>
    </row>
    <row r="292" spans="1:15" x14ac:dyDescent="0.3">
      <c r="A292">
        <v>291</v>
      </c>
      <c r="B292" t="s">
        <v>508</v>
      </c>
      <c r="C292" t="s">
        <v>660</v>
      </c>
      <c r="D292" t="s">
        <v>1495</v>
      </c>
      <c r="E292" t="s">
        <v>122</v>
      </c>
      <c r="F292" s="1">
        <v>37951</v>
      </c>
      <c r="G292" s="2">
        <v>2003</v>
      </c>
      <c r="H292">
        <v>2021</v>
      </c>
      <c r="I292" s="2">
        <v>18</v>
      </c>
      <c r="J292">
        <v>121238</v>
      </c>
      <c r="K292" t="s">
        <v>107</v>
      </c>
      <c r="L292">
        <v>4</v>
      </c>
      <c r="M292" t="s">
        <v>55</v>
      </c>
      <c r="N292" t="s">
        <v>17</v>
      </c>
      <c r="O292" t="s">
        <v>123</v>
      </c>
    </row>
    <row r="293" spans="1:15" x14ac:dyDescent="0.3">
      <c r="A293">
        <v>292</v>
      </c>
      <c r="B293" t="s">
        <v>284</v>
      </c>
      <c r="C293" t="s">
        <v>661</v>
      </c>
      <c r="D293" t="s">
        <v>1495</v>
      </c>
      <c r="E293" t="s">
        <v>26</v>
      </c>
      <c r="F293" s="1">
        <v>40885</v>
      </c>
      <c r="G293" s="2">
        <v>2011</v>
      </c>
      <c r="H293">
        <v>2021</v>
      </c>
      <c r="I293" s="2">
        <v>10</v>
      </c>
      <c r="J293">
        <v>91296</v>
      </c>
      <c r="K293" t="s">
        <v>194</v>
      </c>
      <c r="L293">
        <v>6</v>
      </c>
      <c r="M293" t="s">
        <v>50</v>
      </c>
      <c r="N293" t="s">
        <v>40</v>
      </c>
      <c r="O293" t="s">
        <v>29</v>
      </c>
    </row>
    <row r="294" spans="1:15" x14ac:dyDescent="0.3">
      <c r="A294">
        <v>293</v>
      </c>
      <c r="B294" t="s">
        <v>316</v>
      </c>
      <c r="C294" t="s">
        <v>662</v>
      </c>
      <c r="D294" t="s">
        <v>1495</v>
      </c>
      <c r="E294" t="s">
        <v>203</v>
      </c>
      <c r="F294" s="1">
        <v>40779</v>
      </c>
      <c r="G294" s="2">
        <v>2011</v>
      </c>
      <c r="H294">
        <v>2021</v>
      </c>
      <c r="I294" s="2">
        <v>10</v>
      </c>
      <c r="J294">
        <v>86070</v>
      </c>
      <c r="K294" t="s">
        <v>397</v>
      </c>
      <c r="L294">
        <v>3</v>
      </c>
      <c r="M294" t="s">
        <v>28</v>
      </c>
      <c r="N294" t="s">
        <v>17</v>
      </c>
      <c r="O294" t="s">
        <v>41</v>
      </c>
    </row>
    <row r="295" spans="1:15" x14ac:dyDescent="0.3">
      <c r="A295">
        <v>294</v>
      </c>
      <c r="B295" t="s">
        <v>215</v>
      </c>
      <c r="C295" t="s">
        <v>663</v>
      </c>
      <c r="D295" t="s">
        <v>1495</v>
      </c>
      <c r="E295" t="s">
        <v>61</v>
      </c>
      <c r="F295" s="1">
        <v>39844</v>
      </c>
      <c r="G295" s="2">
        <v>2009</v>
      </c>
      <c r="H295">
        <v>2021</v>
      </c>
      <c r="I295" s="2">
        <v>12</v>
      </c>
      <c r="J295">
        <v>61519</v>
      </c>
      <c r="K295" t="s">
        <v>664</v>
      </c>
      <c r="L295">
        <v>7</v>
      </c>
      <c r="M295" t="s">
        <v>39</v>
      </c>
      <c r="N295" t="s">
        <v>40</v>
      </c>
      <c r="O295" t="s">
        <v>63</v>
      </c>
    </row>
    <row r="296" spans="1:15" x14ac:dyDescent="0.3">
      <c r="A296">
        <v>295</v>
      </c>
      <c r="B296" t="s">
        <v>51</v>
      </c>
      <c r="C296" t="s">
        <v>665</v>
      </c>
      <c r="D296" t="s">
        <v>1495</v>
      </c>
      <c r="E296" t="s">
        <v>122</v>
      </c>
      <c r="F296" s="1">
        <v>38615</v>
      </c>
      <c r="G296" s="2">
        <v>2005</v>
      </c>
      <c r="H296">
        <v>2021</v>
      </c>
      <c r="I296" s="2">
        <v>16</v>
      </c>
      <c r="J296">
        <v>47131</v>
      </c>
      <c r="K296" t="s">
        <v>666</v>
      </c>
      <c r="L296">
        <v>6</v>
      </c>
      <c r="M296" t="s">
        <v>50</v>
      </c>
      <c r="N296" t="s">
        <v>40</v>
      </c>
      <c r="O296" t="s">
        <v>123</v>
      </c>
    </row>
    <row r="297" spans="1:15" x14ac:dyDescent="0.3">
      <c r="A297">
        <v>296</v>
      </c>
      <c r="B297" t="s">
        <v>667</v>
      </c>
      <c r="C297" t="s">
        <v>668</v>
      </c>
      <c r="D297" t="s">
        <v>1494</v>
      </c>
      <c r="E297" t="s">
        <v>85</v>
      </c>
      <c r="F297" s="1">
        <v>39545</v>
      </c>
      <c r="G297" s="2">
        <v>2008</v>
      </c>
      <c r="H297">
        <v>2021</v>
      </c>
      <c r="I297" s="2">
        <v>13</v>
      </c>
      <c r="J297">
        <v>93962</v>
      </c>
      <c r="K297" t="s">
        <v>669</v>
      </c>
      <c r="L297">
        <v>3</v>
      </c>
      <c r="M297" t="s">
        <v>28</v>
      </c>
      <c r="N297" t="s">
        <v>17</v>
      </c>
      <c r="O297" t="s">
        <v>41</v>
      </c>
    </row>
    <row r="298" spans="1:15" x14ac:dyDescent="0.3">
      <c r="A298">
        <v>297</v>
      </c>
      <c r="B298" t="s">
        <v>474</v>
      </c>
      <c r="C298" t="s">
        <v>670</v>
      </c>
      <c r="D298" t="s">
        <v>1494</v>
      </c>
      <c r="E298" t="s">
        <v>312</v>
      </c>
      <c r="F298" s="1">
        <v>41955</v>
      </c>
      <c r="G298" s="2">
        <v>2014</v>
      </c>
      <c r="H298">
        <v>2021</v>
      </c>
      <c r="I298" s="2">
        <v>7</v>
      </c>
      <c r="J298">
        <v>133845</v>
      </c>
      <c r="K298" t="s">
        <v>45</v>
      </c>
      <c r="L298">
        <v>4</v>
      </c>
      <c r="M298" t="s">
        <v>55</v>
      </c>
      <c r="N298" t="s">
        <v>17</v>
      </c>
      <c r="O298" t="s">
        <v>41</v>
      </c>
    </row>
    <row r="299" spans="1:15" x14ac:dyDescent="0.3">
      <c r="A299">
        <v>298</v>
      </c>
      <c r="B299" t="s">
        <v>671</v>
      </c>
      <c r="C299" t="s">
        <v>672</v>
      </c>
      <c r="D299" t="s">
        <v>1494</v>
      </c>
      <c r="E299" t="s">
        <v>69</v>
      </c>
      <c r="F299" s="1">
        <v>40346</v>
      </c>
      <c r="G299" s="2">
        <v>2010</v>
      </c>
      <c r="H299">
        <v>2021</v>
      </c>
      <c r="I299" s="2">
        <v>11</v>
      </c>
      <c r="J299">
        <v>43067</v>
      </c>
      <c r="K299" t="s">
        <v>673</v>
      </c>
      <c r="L299">
        <v>7</v>
      </c>
      <c r="M299" t="s">
        <v>39</v>
      </c>
      <c r="N299" t="s">
        <v>40</v>
      </c>
      <c r="O299" t="s">
        <v>41</v>
      </c>
    </row>
    <row r="300" spans="1:15" x14ac:dyDescent="0.3">
      <c r="A300">
        <v>299</v>
      </c>
      <c r="B300" t="s">
        <v>113</v>
      </c>
      <c r="C300" t="s">
        <v>674</v>
      </c>
      <c r="D300" t="s">
        <v>1495</v>
      </c>
      <c r="E300" t="s">
        <v>129</v>
      </c>
      <c r="F300" s="1">
        <v>37135</v>
      </c>
      <c r="G300" s="2">
        <v>2001</v>
      </c>
      <c r="H300">
        <v>2021</v>
      </c>
      <c r="I300" s="2">
        <v>20</v>
      </c>
      <c r="J300">
        <v>88972</v>
      </c>
      <c r="K300" t="s">
        <v>539</v>
      </c>
      <c r="L300">
        <v>7</v>
      </c>
      <c r="M300" t="s">
        <v>39</v>
      </c>
      <c r="N300" t="s">
        <v>40</v>
      </c>
      <c r="O300" t="s">
        <v>41</v>
      </c>
    </row>
    <row r="301" spans="1:15" x14ac:dyDescent="0.3">
      <c r="A301">
        <v>300</v>
      </c>
      <c r="B301" t="s">
        <v>675</v>
      </c>
      <c r="C301" t="s">
        <v>676</v>
      </c>
      <c r="D301" t="s">
        <v>1494</v>
      </c>
      <c r="E301" t="s">
        <v>69</v>
      </c>
      <c r="F301" s="1">
        <v>38671</v>
      </c>
      <c r="G301" s="2">
        <v>2005</v>
      </c>
      <c r="H301">
        <v>2021</v>
      </c>
      <c r="I301" s="2">
        <v>16</v>
      </c>
      <c r="J301">
        <v>77635</v>
      </c>
      <c r="K301" t="s">
        <v>459</v>
      </c>
      <c r="L301">
        <v>3</v>
      </c>
      <c r="M301" t="s">
        <v>28</v>
      </c>
      <c r="N301" t="s">
        <v>17</v>
      </c>
      <c r="O301" t="s">
        <v>41</v>
      </c>
    </row>
    <row r="302" spans="1:15" x14ac:dyDescent="0.3">
      <c r="A302">
        <v>301</v>
      </c>
      <c r="B302" t="s">
        <v>677</v>
      </c>
      <c r="C302" t="s">
        <v>678</v>
      </c>
      <c r="D302" t="s">
        <v>1494</v>
      </c>
      <c r="E302" t="s">
        <v>37</v>
      </c>
      <c r="F302" s="1">
        <v>40679</v>
      </c>
      <c r="G302" s="2">
        <v>2011</v>
      </c>
      <c r="H302">
        <v>2021</v>
      </c>
      <c r="I302" s="2">
        <v>10</v>
      </c>
      <c r="J302">
        <v>148993</v>
      </c>
      <c r="K302" t="s">
        <v>344</v>
      </c>
      <c r="L302">
        <v>1</v>
      </c>
      <c r="M302" t="s">
        <v>46</v>
      </c>
      <c r="N302" t="s">
        <v>17</v>
      </c>
      <c r="O302" t="s">
        <v>41</v>
      </c>
    </row>
    <row r="303" spans="1:15" x14ac:dyDescent="0.3">
      <c r="A303">
        <v>302</v>
      </c>
      <c r="B303" t="s">
        <v>679</v>
      </c>
      <c r="C303" t="s">
        <v>680</v>
      </c>
      <c r="D303" t="s">
        <v>1495</v>
      </c>
      <c r="E303" t="s">
        <v>44</v>
      </c>
      <c r="F303" s="1">
        <v>37483</v>
      </c>
      <c r="G303" s="2">
        <v>2002</v>
      </c>
      <c r="H303">
        <v>2021</v>
      </c>
      <c r="I303" s="2">
        <v>19</v>
      </c>
      <c r="J303">
        <v>113599</v>
      </c>
      <c r="K303" t="s">
        <v>500</v>
      </c>
      <c r="L303">
        <v>2</v>
      </c>
      <c r="M303" t="s">
        <v>16</v>
      </c>
      <c r="N303" t="s">
        <v>17</v>
      </c>
      <c r="O303" t="s">
        <v>29</v>
      </c>
    </row>
    <row r="304" spans="1:15" x14ac:dyDescent="0.3">
      <c r="A304">
        <v>303</v>
      </c>
      <c r="B304" t="s">
        <v>528</v>
      </c>
      <c r="C304" t="s">
        <v>681</v>
      </c>
      <c r="D304" t="s">
        <v>1494</v>
      </c>
      <c r="E304" t="s">
        <v>94</v>
      </c>
      <c r="F304" s="1">
        <v>40983</v>
      </c>
      <c r="G304" s="2">
        <v>2012</v>
      </c>
      <c r="H304">
        <v>2021</v>
      </c>
      <c r="I304" s="2">
        <v>9</v>
      </c>
      <c r="J304">
        <v>76943</v>
      </c>
      <c r="K304" t="s">
        <v>321</v>
      </c>
      <c r="L304">
        <v>7</v>
      </c>
      <c r="M304" t="s">
        <v>39</v>
      </c>
      <c r="N304" t="s">
        <v>40</v>
      </c>
      <c r="O304" t="s">
        <v>18</v>
      </c>
    </row>
    <row r="305" spans="1:15" x14ac:dyDescent="0.3">
      <c r="A305">
        <v>304</v>
      </c>
      <c r="B305" t="s">
        <v>682</v>
      </c>
      <c r="C305" t="s">
        <v>683</v>
      </c>
      <c r="D305" t="s">
        <v>1495</v>
      </c>
      <c r="E305" t="s">
        <v>122</v>
      </c>
      <c r="F305" s="1">
        <v>39228</v>
      </c>
      <c r="G305" s="2">
        <v>2007</v>
      </c>
      <c r="H305">
        <v>2021</v>
      </c>
      <c r="I305" s="2">
        <v>14</v>
      </c>
      <c r="J305">
        <v>77486</v>
      </c>
      <c r="K305" t="s">
        <v>66</v>
      </c>
      <c r="L305">
        <v>4</v>
      </c>
      <c r="M305" t="s">
        <v>55</v>
      </c>
      <c r="N305" t="s">
        <v>17</v>
      </c>
      <c r="O305" t="s">
        <v>123</v>
      </c>
    </row>
    <row r="306" spans="1:15" x14ac:dyDescent="0.3">
      <c r="A306">
        <v>305</v>
      </c>
      <c r="B306" t="s">
        <v>175</v>
      </c>
      <c r="C306" t="s">
        <v>684</v>
      </c>
      <c r="D306" t="s">
        <v>1494</v>
      </c>
      <c r="E306" t="s">
        <v>94</v>
      </c>
      <c r="F306" s="1">
        <v>41598</v>
      </c>
      <c r="G306" s="2">
        <v>2013</v>
      </c>
      <c r="H306">
        <v>2021</v>
      </c>
      <c r="I306" s="2">
        <v>8</v>
      </c>
      <c r="J306">
        <v>135001</v>
      </c>
      <c r="K306" t="s">
        <v>27</v>
      </c>
      <c r="L306">
        <v>4</v>
      </c>
      <c r="M306" t="s">
        <v>55</v>
      </c>
      <c r="N306" t="s">
        <v>17</v>
      </c>
      <c r="O306" t="s">
        <v>18</v>
      </c>
    </row>
    <row r="307" spans="1:15" x14ac:dyDescent="0.3">
      <c r="A307">
        <v>306</v>
      </c>
      <c r="B307" t="s">
        <v>404</v>
      </c>
      <c r="C307" t="s">
        <v>685</v>
      </c>
      <c r="D307" t="s">
        <v>1494</v>
      </c>
      <c r="E307" t="s">
        <v>73</v>
      </c>
      <c r="F307" s="1">
        <v>39762</v>
      </c>
      <c r="G307" s="2">
        <v>2008</v>
      </c>
      <c r="H307">
        <v>2021</v>
      </c>
      <c r="I307" s="2">
        <v>13</v>
      </c>
      <c r="J307">
        <v>52171</v>
      </c>
      <c r="K307" t="s">
        <v>70</v>
      </c>
      <c r="L307">
        <v>2</v>
      </c>
      <c r="M307" t="s">
        <v>16</v>
      </c>
      <c r="N307" t="s">
        <v>17</v>
      </c>
      <c r="O307" t="s">
        <v>41</v>
      </c>
    </row>
    <row r="308" spans="1:15" x14ac:dyDescent="0.3">
      <c r="A308">
        <v>307</v>
      </c>
      <c r="B308" t="s">
        <v>255</v>
      </c>
      <c r="C308" t="s">
        <v>686</v>
      </c>
      <c r="D308" t="s">
        <v>1495</v>
      </c>
      <c r="E308" t="s">
        <v>110</v>
      </c>
      <c r="F308" s="1">
        <v>38890</v>
      </c>
      <c r="G308" s="2">
        <v>2006</v>
      </c>
      <c r="H308">
        <v>2021</v>
      </c>
      <c r="I308" s="2">
        <v>15</v>
      </c>
      <c r="J308">
        <v>139302</v>
      </c>
      <c r="K308" t="s">
        <v>493</v>
      </c>
      <c r="L308">
        <v>5</v>
      </c>
      <c r="M308" t="s">
        <v>91</v>
      </c>
      <c r="N308" t="s">
        <v>40</v>
      </c>
      <c r="O308" t="s">
        <v>112</v>
      </c>
    </row>
    <row r="309" spans="1:15" x14ac:dyDescent="0.3">
      <c r="A309">
        <v>308</v>
      </c>
      <c r="B309" t="s">
        <v>600</v>
      </c>
      <c r="C309" t="s">
        <v>687</v>
      </c>
      <c r="D309" t="s">
        <v>1495</v>
      </c>
      <c r="E309" t="s">
        <v>203</v>
      </c>
      <c r="F309" s="1">
        <v>36747</v>
      </c>
      <c r="G309" s="2">
        <v>2000</v>
      </c>
      <c r="H309">
        <v>2021</v>
      </c>
      <c r="I309" s="2">
        <v>21</v>
      </c>
      <c r="J309">
        <v>126683</v>
      </c>
      <c r="K309" t="s">
        <v>145</v>
      </c>
      <c r="L309">
        <v>4</v>
      </c>
      <c r="M309" t="s">
        <v>55</v>
      </c>
      <c r="N309" t="s">
        <v>17</v>
      </c>
      <c r="O309" t="s">
        <v>41</v>
      </c>
    </row>
    <row r="310" spans="1:15" x14ac:dyDescent="0.3">
      <c r="A310">
        <v>309</v>
      </c>
      <c r="B310" t="s">
        <v>514</v>
      </c>
      <c r="C310" t="s">
        <v>688</v>
      </c>
      <c r="D310" t="s">
        <v>1494</v>
      </c>
      <c r="E310" t="s">
        <v>21</v>
      </c>
      <c r="F310" s="1">
        <v>38902</v>
      </c>
      <c r="G310" s="2">
        <v>2006</v>
      </c>
      <c r="H310">
        <v>2021</v>
      </c>
      <c r="I310" s="2">
        <v>15</v>
      </c>
      <c r="J310">
        <v>143781</v>
      </c>
      <c r="K310" t="s">
        <v>223</v>
      </c>
      <c r="L310">
        <v>4</v>
      </c>
      <c r="M310" t="s">
        <v>55</v>
      </c>
      <c r="N310" t="s">
        <v>17</v>
      </c>
      <c r="O310" t="s">
        <v>23</v>
      </c>
    </row>
    <row r="311" spans="1:15" x14ac:dyDescent="0.3">
      <c r="A311">
        <v>310</v>
      </c>
      <c r="B311" t="s">
        <v>689</v>
      </c>
      <c r="C311" t="s">
        <v>690</v>
      </c>
      <c r="D311" t="s">
        <v>1494</v>
      </c>
      <c r="E311" t="s">
        <v>122</v>
      </c>
      <c r="F311" s="1">
        <v>39512</v>
      </c>
      <c r="G311" s="2">
        <v>2008</v>
      </c>
      <c r="H311">
        <v>2021</v>
      </c>
      <c r="I311" s="2">
        <v>13</v>
      </c>
      <c r="J311">
        <v>51761</v>
      </c>
      <c r="K311" t="s">
        <v>691</v>
      </c>
      <c r="L311">
        <v>5</v>
      </c>
      <c r="M311" t="s">
        <v>91</v>
      </c>
      <c r="N311" t="s">
        <v>40</v>
      </c>
      <c r="O311" t="s">
        <v>123</v>
      </c>
    </row>
    <row r="312" spans="1:15" x14ac:dyDescent="0.3">
      <c r="A312">
        <v>311</v>
      </c>
      <c r="B312" t="s">
        <v>205</v>
      </c>
      <c r="C312" t="s">
        <v>692</v>
      </c>
      <c r="D312" t="s">
        <v>1494</v>
      </c>
      <c r="E312" t="s">
        <v>312</v>
      </c>
      <c r="F312" s="1">
        <v>40689</v>
      </c>
      <c r="G312" s="2">
        <v>2011</v>
      </c>
      <c r="H312">
        <v>2021</v>
      </c>
      <c r="I312" s="2">
        <v>10</v>
      </c>
      <c r="J312">
        <v>45463</v>
      </c>
      <c r="K312" t="s">
        <v>583</v>
      </c>
      <c r="L312">
        <v>5</v>
      </c>
      <c r="M312" t="s">
        <v>91</v>
      </c>
      <c r="N312" t="s">
        <v>40</v>
      </c>
      <c r="O312" t="s">
        <v>41</v>
      </c>
    </row>
    <row r="313" spans="1:15" x14ac:dyDescent="0.3">
      <c r="A313">
        <v>312</v>
      </c>
      <c r="B313" t="s">
        <v>218</v>
      </c>
      <c r="C313" t="s">
        <v>693</v>
      </c>
      <c r="D313" t="s">
        <v>1495</v>
      </c>
      <c r="E313" t="s">
        <v>69</v>
      </c>
      <c r="F313" s="1">
        <v>37940</v>
      </c>
      <c r="G313" s="2">
        <v>2003</v>
      </c>
      <c r="H313">
        <v>2021</v>
      </c>
      <c r="I313" s="2">
        <v>18</v>
      </c>
      <c r="J313">
        <v>133498</v>
      </c>
      <c r="K313" t="s">
        <v>136</v>
      </c>
      <c r="L313">
        <v>7</v>
      </c>
      <c r="M313" t="s">
        <v>39</v>
      </c>
      <c r="N313" t="s">
        <v>40</v>
      </c>
      <c r="O313" t="s">
        <v>41</v>
      </c>
    </row>
    <row r="314" spans="1:15" x14ac:dyDescent="0.3">
      <c r="A314">
        <v>313</v>
      </c>
      <c r="B314" t="s">
        <v>363</v>
      </c>
      <c r="C314" t="s">
        <v>694</v>
      </c>
      <c r="D314" t="s">
        <v>1495</v>
      </c>
      <c r="E314" t="s">
        <v>89</v>
      </c>
      <c r="F314" s="1">
        <v>40623</v>
      </c>
      <c r="G314" s="2">
        <v>2011</v>
      </c>
      <c r="H314">
        <v>2021</v>
      </c>
      <c r="I314" s="2">
        <v>10</v>
      </c>
      <c r="J314">
        <v>81273</v>
      </c>
      <c r="K314" t="s">
        <v>695</v>
      </c>
      <c r="L314">
        <v>4</v>
      </c>
      <c r="M314" t="s">
        <v>55</v>
      </c>
      <c r="N314" t="s">
        <v>17</v>
      </c>
      <c r="O314" t="s">
        <v>41</v>
      </c>
    </row>
    <row r="315" spans="1:15" x14ac:dyDescent="0.3">
      <c r="A315">
        <v>314</v>
      </c>
      <c r="B315" t="s">
        <v>347</v>
      </c>
      <c r="C315" t="s">
        <v>696</v>
      </c>
      <c r="D315" t="s">
        <v>1494</v>
      </c>
      <c r="E315" t="s">
        <v>14</v>
      </c>
      <c r="F315" s="1">
        <v>39505</v>
      </c>
      <c r="G315" s="2">
        <v>2008</v>
      </c>
      <c r="H315">
        <v>2021</v>
      </c>
      <c r="I315" s="2">
        <v>13</v>
      </c>
      <c r="J315">
        <v>77921</v>
      </c>
      <c r="K315" t="s">
        <v>253</v>
      </c>
      <c r="L315">
        <v>7</v>
      </c>
      <c r="M315" t="s">
        <v>39</v>
      </c>
      <c r="N315" t="s">
        <v>40</v>
      </c>
      <c r="O315" t="s">
        <v>18</v>
      </c>
    </row>
    <row r="316" spans="1:15" x14ac:dyDescent="0.3">
      <c r="A316">
        <v>315</v>
      </c>
      <c r="B316" t="s">
        <v>143</v>
      </c>
      <c r="C316" t="s">
        <v>697</v>
      </c>
      <c r="D316" t="s">
        <v>1494</v>
      </c>
      <c r="E316" t="s">
        <v>79</v>
      </c>
      <c r="F316" s="1">
        <v>41115</v>
      </c>
      <c r="G316" s="2">
        <v>2012</v>
      </c>
      <c r="H316">
        <v>2021</v>
      </c>
      <c r="I316" s="2">
        <v>9</v>
      </c>
      <c r="J316">
        <v>59580</v>
      </c>
      <c r="K316" t="s">
        <v>321</v>
      </c>
      <c r="L316">
        <v>2</v>
      </c>
      <c r="M316" t="s">
        <v>16</v>
      </c>
      <c r="N316" t="s">
        <v>17</v>
      </c>
      <c r="O316" t="s">
        <v>41</v>
      </c>
    </row>
    <row r="317" spans="1:15" x14ac:dyDescent="0.3">
      <c r="A317">
        <v>316</v>
      </c>
      <c r="B317" t="s">
        <v>698</v>
      </c>
      <c r="C317" t="s">
        <v>699</v>
      </c>
      <c r="D317" t="s">
        <v>1494</v>
      </c>
      <c r="E317" t="s">
        <v>21</v>
      </c>
      <c r="F317" s="1">
        <v>40437</v>
      </c>
      <c r="G317" s="2">
        <v>2010</v>
      </c>
      <c r="H317">
        <v>2021</v>
      </c>
      <c r="I317" s="2">
        <v>11</v>
      </c>
      <c r="J317">
        <v>40418</v>
      </c>
      <c r="K317" t="s">
        <v>191</v>
      </c>
      <c r="L317">
        <v>2</v>
      </c>
      <c r="M317" t="s">
        <v>16</v>
      </c>
      <c r="N317" t="s">
        <v>17</v>
      </c>
      <c r="O317" t="s">
        <v>23</v>
      </c>
    </row>
    <row r="318" spans="1:15" x14ac:dyDescent="0.3">
      <c r="A318">
        <v>317</v>
      </c>
      <c r="B318" t="s">
        <v>564</v>
      </c>
      <c r="C318" t="s">
        <v>700</v>
      </c>
      <c r="D318" t="s">
        <v>1494</v>
      </c>
      <c r="E318" t="s">
        <v>37</v>
      </c>
      <c r="F318" s="1">
        <v>38204</v>
      </c>
      <c r="G318" s="2">
        <v>2004</v>
      </c>
      <c r="H318">
        <v>2021</v>
      </c>
      <c r="I318" s="2">
        <v>17</v>
      </c>
      <c r="J318">
        <v>104844</v>
      </c>
      <c r="K318" t="s">
        <v>490</v>
      </c>
      <c r="L318">
        <v>3</v>
      </c>
      <c r="M318" t="s">
        <v>28</v>
      </c>
      <c r="N318" t="s">
        <v>17</v>
      </c>
      <c r="O318" t="s">
        <v>41</v>
      </c>
    </row>
    <row r="319" spans="1:15" x14ac:dyDescent="0.3">
      <c r="A319">
        <v>318</v>
      </c>
      <c r="B319" t="s">
        <v>331</v>
      </c>
      <c r="C319" t="s">
        <v>701</v>
      </c>
      <c r="D319" t="s">
        <v>1494</v>
      </c>
      <c r="E319" t="s">
        <v>14</v>
      </c>
      <c r="F319" s="1">
        <v>37738</v>
      </c>
      <c r="G319" s="2">
        <v>2003</v>
      </c>
      <c r="H319">
        <v>2021</v>
      </c>
      <c r="I319" s="2">
        <v>18</v>
      </c>
      <c r="J319">
        <v>139304</v>
      </c>
      <c r="K319" t="s">
        <v>581</v>
      </c>
      <c r="L319">
        <v>3</v>
      </c>
      <c r="M319" t="s">
        <v>28</v>
      </c>
      <c r="N319" t="s">
        <v>17</v>
      </c>
      <c r="O319" t="s">
        <v>18</v>
      </c>
    </row>
    <row r="320" spans="1:15" x14ac:dyDescent="0.3">
      <c r="A320">
        <v>319</v>
      </c>
      <c r="B320" t="s">
        <v>177</v>
      </c>
      <c r="C320" t="s">
        <v>702</v>
      </c>
      <c r="D320" t="s">
        <v>1495</v>
      </c>
      <c r="E320" t="s">
        <v>89</v>
      </c>
      <c r="F320" s="1">
        <v>40897</v>
      </c>
      <c r="G320" s="2">
        <v>2011</v>
      </c>
      <c r="H320">
        <v>2021</v>
      </c>
      <c r="I320" s="2">
        <v>10</v>
      </c>
      <c r="J320">
        <v>140996</v>
      </c>
      <c r="K320" t="s">
        <v>703</v>
      </c>
      <c r="L320">
        <v>3</v>
      </c>
      <c r="M320" t="s">
        <v>28</v>
      </c>
      <c r="N320" t="s">
        <v>17</v>
      </c>
      <c r="O320" t="s">
        <v>41</v>
      </c>
    </row>
    <row r="321" spans="1:15" x14ac:dyDescent="0.3">
      <c r="A321">
        <v>320</v>
      </c>
      <c r="B321" t="s">
        <v>262</v>
      </c>
      <c r="C321" t="s">
        <v>704</v>
      </c>
      <c r="D321" t="s">
        <v>1494</v>
      </c>
      <c r="E321" t="s">
        <v>110</v>
      </c>
      <c r="F321" s="1">
        <v>40280</v>
      </c>
      <c r="G321" s="2">
        <v>2010</v>
      </c>
      <c r="H321">
        <v>2021</v>
      </c>
      <c r="I321" s="2">
        <v>11</v>
      </c>
      <c r="J321">
        <v>52430</v>
      </c>
      <c r="K321" t="s">
        <v>142</v>
      </c>
      <c r="L321">
        <v>5</v>
      </c>
      <c r="M321" t="s">
        <v>91</v>
      </c>
      <c r="N321" t="s">
        <v>40</v>
      </c>
      <c r="O321" t="s">
        <v>112</v>
      </c>
    </row>
    <row r="322" spans="1:15" x14ac:dyDescent="0.3">
      <c r="A322">
        <v>321</v>
      </c>
      <c r="B322" t="s">
        <v>387</v>
      </c>
      <c r="C322" t="s">
        <v>705</v>
      </c>
      <c r="D322" t="s">
        <v>1495</v>
      </c>
      <c r="E322" t="s">
        <v>122</v>
      </c>
      <c r="F322" s="1">
        <v>37127</v>
      </c>
      <c r="G322" s="2">
        <v>2001</v>
      </c>
      <c r="H322">
        <v>2021</v>
      </c>
      <c r="I322" s="2">
        <v>20</v>
      </c>
      <c r="J322">
        <v>145284</v>
      </c>
      <c r="K322" t="s">
        <v>200</v>
      </c>
      <c r="L322">
        <v>7</v>
      </c>
      <c r="M322" t="s">
        <v>39</v>
      </c>
      <c r="N322" t="s">
        <v>40</v>
      </c>
      <c r="O322" t="s">
        <v>123</v>
      </c>
    </row>
    <row r="323" spans="1:15" x14ac:dyDescent="0.3">
      <c r="A323">
        <v>322</v>
      </c>
      <c r="B323" t="s">
        <v>596</v>
      </c>
      <c r="C323" t="s">
        <v>706</v>
      </c>
      <c r="D323" t="s">
        <v>1494</v>
      </c>
      <c r="E323" t="s">
        <v>14</v>
      </c>
      <c r="F323" s="1">
        <v>41585</v>
      </c>
      <c r="G323" s="2">
        <v>2013</v>
      </c>
      <c r="H323">
        <v>2021</v>
      </c>
      <c r="I323" s="2">
        <v>8</v>
      </c>
      <c r="J323">
        <v>66063</v>
      </c>
      <c r="K323" t="s">
        <v>487</v>
      </c>
      <c r="L323">
        <v>2</v>
      </c>
      <c r="M323" t="s">
        <v>16</v>
      </c>
      <c r="N323" t="s">
        <v>17</v>
      </c>
      <c r="O323" t="s">
        <v>18</v>
      </c>
    </row>
    <row r="324" spans="1:15" x14ac:dyDescent="0.3">
      <c r="A324">
        <v>323</v>
      </c>
      <c r="B324" t="s">
        <v>421</v>
      </c>
      <c r="C324" t="s">
        <v>707</v>
      </c>
      <c r="D324" t="s">
        <v>1494</v>
      </c>
      <c r="E324" t="s">
        <v>94</v>
      </c>
      <c r="F324" s="1">
        <v>39548</v>
      </c>
      <c r="G324" s="2">
        <v>2008</v>
      </c>
      <c r="H324">
        <v>2021</v>
      </c>
      <c r="I324" s="2">
        <v>13</v>
      </c>
      <c r="J324">
        <v>134422</v>
      </c>
      <c r="K324" t="s">
        <v>209</v>
      </c>
      <c r="L324">
        <v>4</v>
      </c>
      <c r="M324" t="s">
        <v>55</v>
      </c>
      <c r="N324" t="s">
        <v>17</v>
      </c>
      <c r="O324" t="s">
        <v>18</v>
      </c>
    </row>
    <row r="325" spans="1:15" x14ac:dyDescent="0.3">
      <c r="A325">
        <v>324</v>
      </c>
      <c r="B325" t="s">
        <v>530</v>
      </c>
      <c r="C325" t="s">
        <v>708</v>
      </c>
      <c r="D325" t="s">
        <v>1495</v>
      </c>
      <c r="E325" t="s">
        <v>14</v>
      </c>
      <c r="F325" s="1">
        <v>41048</v>
      </c>
      <c r="G325" s="2">
        <v>2012</v>
      </c>
      <c r="H325">
        <v>2021</v>
      </c>
      <c r="I325" s="2">
        <v>9</v>
      </c>
      <c r="J325">
        <v>106229</v>
      </c>
      <c r="K325" t="s">
        <v>709</v>
      </c>
      <c r="L325">
        <v>4</v>
      </c>
      <c r="M325" t="s">
        <v>55</v>
      </c>
      <c r="N325" t="s">
        <v>17</v>
      </c>
      <c r="O325" t="s">
        <v>18</v>
      </c>
    </row>
    <row r="326" spans="1:15" x14ac:dyDescent="0.3">
      <c r="A326">
        <v>325</v>
      </c>
      <c r="B326" t="s">
        <v>710</v>
      </c>
      <c r="C326" t="s">
        <v>711</v>
      </c>
      <c r="D326" t="s">
        <v>1495</v>
      </c>
      <c r="E326" t="s">
        <v>69</v>
      </c>
      <c r="F326" s="1">
        <v>41042</v>
      </c>
      <c r="G326" s="2">
        <v>2012</v>
      </c>
      <c r="H326">
        <v>2021</v>
      </c>
      <c r="I326" s="2">
        <v>9</v>
      </c>
      <c r="J326">
        <v>107727</v>
      </c>
      <c r="K326" t="s">
        <v>598</v>
      </c>
      <c r="L326">
        <v>2</v>
      </c>
      <c r="M326" t="s">
        <v>16</v>
      </c>
      <c r="N326" t="s">
        <v>17</v>
      </c>
      <c r="O326" t="s">
        <v>41</v>
      </c>
    </row>
    <row r="327" spans="1:15" x14ac:dyDescent="0.3">
      <c r="A327">
        <v>326</v>
      </c>
      <c r="B327" t="s">
        <v>316</v>
      </c>
      <c r="C327" t="s">
        <v>712</v>
      </c>
      <c r="D327" t="s">
        <v>1495</v>
      </c>
      <c r="E327" t="s">
        <v>32</v>
      </c>
      <c r="F327" s="1">
        <v>39428</v>
      </c>
      <c r="G327" s="2">
        <v>2007</v>
      </c>
      <c r="H327">
        <v>2021</v>
      </c>
      <c r="I327" s="3">
        <v>14</v>
      </c>
      <c r="J327">
        <v>130188</v>
      </c>
      <c r="K327" t="s">
        <v>472</v>
      </c>
      <c r="L327">
        <v>3</v>
      </c>
      <c r="M327" t="s">
        <v>28</v>
      </c>
      <c r="N327" t="s">
        <v>17</v>
      </c>
      <c r="O327" t="s">
        <v>34</v>
      </c>
    </row>
    <row r="328" spans="1:15" x14ac:dyDescent="0.3">
      <c r="A328">
        <v>327</v>
      </c>
      <c r="B328" t="s">
        <v>667</v>
      </c>
      <c r="C328" t="s">
        <v>713</v>
      </c>
      <c r="D328" t="s">
        <v>1494</v>
      </c>
      <c r="E328" t="s">
        <v>26</v>
      </c>
      <c r="F328" s="1">
        <v>37533</v>
      </c>
      <c r="G328" s="2">
        <v>2002</v>
      </c>
      <c r="H328">
        <v>2021</v>
      </c>
      <c r="I328" s="2">
        <v>19</v>
      </c>
      <c r="J328">
        <v>140194</v>
      </c>
      <c r="K328" t="s">
        <v>86</v>
      </c>
      <c r="L328">
        <v>5</v>
      </c>
      <c r="M328" t="s">
        <v>91</v>
      </c>
      <c r="N328" t="s">
        <v>40</v>
      </c>
      <c r="O328" t="s">
        <v>29</v>
      </c>
    </row>
    <row r="329" spans="1:15" x14ac:dyDescent="0.3">
      <c r="A329">
        <v>328</v>
      </c>
      <c r="B329" t="s">
        <v>544</v>
      </c>
      <c r="C329" t="s">
        <v>714</v>
      </c>
      <c r="D329" t="s">
        <v>1495</v>
      </c>
      <c r="E329" t="s">
        <v>14</v>
      </c>
      <c r="F329" s="1">
        <v>38358</v>
      </c>
      <c r="G329" s="2">
        <v>2005</v>
      </c>
      <c r="H329">
        <v>2021</v>
      </c>
      <c r="I329" s="2">
        <v>16</v>
      </c>
      <c r="J329">
        <v>58719</v>
      </c>
      <c r="K329" t="s">
        <v>715</v>
      </c>
      <c r="L329">
        <v>4</v>
      </c>
      <c r="M329" t="s">
        <v>55</v>
      </c>
      <c r="N329" t="s">
        <v>17</v>
      </c>
      <c r="O329" t="s">
        <v>18</v>
      </c>
    </row>
    <row r="330" spans="1:15" x14ac:dyDescent="0.3">
      <c r="A330">
        <v>329</v>
      </c>
      <c r="B330" t="s">
        <v>682</v>
      </c>
      <c r="C330" t="s">
        <v>716</v>
      </c>
      <c r="D330" t="s">
        <v>1495</v>
      </c>
      <c r="E330" t="s">
        <v>312</v>
      </c>
      <c r="F330" s="1">
        <v>38195</v>
      </c>
      <c r="G330" s="2">
        <v>2004</v>
      </c>
      <c r="H330">
        <v>2021</v>
      </c>
      <c r="I330" s="2">
        <v>17</v>
      </c>
      <c r="J330">
        <v>86803</v>
      </c>
      <c r="K330" t="s">
        <v>717</v>
      </c>
      <c r="L330">
        <v>4</v>
      </c>
      <c r="M330" t="s">
        <v>55</v>
      </c>
      <c r="N330" t="s">
        <v>17</v>
      </c>
      <c r="O330" t="s">
        <v>41</v>
      </c>
    </row>
    <row r="331" spans="1:15" x14ac:dyDescent="0.3">
      <c r="A331">
        <v>330</v>
      </c>
      <c r="B331" t="s">
        <v>718</v>
      </c>
      <c r="C331" t="s">
        <v>719</v>
      </c>
      <c r="D331" t="s">
        <v>1494</v>
      </c>
      <c r="E331" t="s">
        <v>100</v>
      </c>
      <c r="F331" s="1">
        <v>40352</v>
      </c>
      <c r="G331" s="2">
        <v>2010</v>
      </c>
      <c r="H331">
        <v>2021</v>
      </c>
      <c r="I331" s="2">
        <v>11</v>
      </c>
      <c r="J331">
        <v>68334</v>
      </c>
      <c r="K331" t="s">
        <v>441</v>
      </c>
      <c r="L331">
        <v>7</v>
      </c>
      <c r="M331" t="s">
        <v>39</v>
      </c>
      <c r="N331" t="s">
        <v>40</v>
      </c>
      <c r="O331" t="s">
        <v>29</v>
      </c>
    </row>
    <row r="332" spans="1:15" x14ac:dyDescent="0.3">
      <c r="A332">
        <v>331</v>
      </c>
      <c r="B332" t="s">
        <v>720</v>
      </c>
      <c r="C332" t="s">
        <v>721</v>
      </c>
      <c r="D332" t="s">
        <v>1495</v>
      </c>
      <c r="E332" t="s">
        <v>21</v>
      </c>
      <c r="F332" s="1">
        <v>39805</v>
      </c>
      <c r="G332" s="2">
        <v>2008</v>
      </c>
      <c r="H332">
        <v>2021</v>
      </c>
      <c r="I332" s="2">
        <v>13</v>
      </c>
      <c r="J332">
        <v>91906</v>
      </c>
      <c r="K332" t="s">
        <v>613</v>
      </c>
      <c r="L332">
        <v>4</v>
      </c>
      <c r="M332" t="s">
        <v>55</v>
      </c>
      <c r="N332" t="s">
        <v>17</v>
      </c>
      <c r="O332" t="s">
        <v>23</v>
      </c>
    </row>
    <row r="333" spans="1:15" x14ac:dyDescent="0.3">
      <c r="A333">
        <v>332</v>
      </c>
      <c r="B333" t="s">
        <v>722</v>
      </c>
      <c r="C333" t="s">
        <v>723</v>
      </c>
      <c r="D333" t="s">
        <v>1495</v>
      </c>
      <c r="E333" t="s">
        <v>79</v>
      </c>
      <c r="F333" s="1">
        <v>39071</v>
      </c>
      <c r="G333" s="2">
        <v>2006</v>
      </c>
      <c r="H333">
        <v>2021</v>
      </c>
      <c r="I333" s="2">
        <v>15</v>
      </c>
      <c r="J333">
        <v>48064</v>
      </c>
      <c r="K333" t="s">
        <v>724</v>
      </c>
      <c r="L333">
        <v>5</v>
      </c>
      <c r="M333" t="s">
        <v>91</v>
      </c>
      <c r="N333" t="s">
        <v>40</v>
      </c>
      <c r="O333" t="s">
        <v>41</v>
      </c>
    </row>
    <row r="334" spans="1:15" x14ac:dyDescent="0.3">
      <c r="A334">
        <v>333</v>
      </c>
      <c r="B334" t="s">
        <v>722</v>
      </c>
      <c r="C334" t="s">
        <v>725</v>
      </c>
      <c r="D334" t="s">
        <v>1494</v>
      </c>
      <c r="E334" t="s">
        <v>100</v>
      </c>
      <c r="F334" s="1">
        <v>38168</v>
      </c>
      <c r="G334" s="2">
        <v>2004</v>
      </c>
      <c r="H334">
        <v>2021</v>
      </c>
      <c r="I334" s="2">
        <v>17</v>
      </c>
      <c r="J334">
        <v>75281</v>
      </c>
      <c r="K334" t="s">
        <v>70</v>
      </c>
      <c r="L334">
        <v>7</v>
      </c>
      <c r="M334" t="s">
        <v>39</v>
      </c>
      <c r="N334" t="s">
        <v>40</v>
      </c>
      <c r="O334" t="s">
        <v>29</v>
      </c>
    </row>
    <row r="335" spans="1:15" x14ac:dyDescent="0.3">
      <c r="A335">
        <v>334</v>
      </c>
      <c r="B335" t="s">
        <v>224</v>
      </c>
      <c r="C335" t="s">
        <v>726</v>
      </c>
      <c r="D335" t="s">
        <v>1494</v>
      </c>
      <c r="E335" t="s">
        <v>100</v>
      </c>
      <c r="F335" s="1">
        <v>39896</v>
      </c>
      <c r="G335" s="2">
        <v>2009</v>
      </c>
      <c r="H335">
        <v>2021</v>
      </c>
      <c r="I335" s="2">
        <v>12</v>
      </c>
      <c r="J335">
        <v>91659</v>
      </c>
      <c r="K335" t="s">
        <v>196</v>
      </c>
      <c r="L335">
        <v>4</v>
      </c>
      <c r="M335" t="s">
        <v>55</v>
      </c>
      <c r="N335" t="s">
        <v>17</v>
      </c>
      <c r="O335" t="s">
        <v>29</v>
      </c>
    </row>
    <row r="336" spans="1:15" x14ac:dyDescent="0.3">
      <c r="A336">
        <v>335</v>
      </c>
      <c r="B336" t="s">
        <v>262</v>
      </c>
      <c r="C336" t="s">
        <v>727</v>
      </c>
      <c r="D336" t="s">
        <v>1495</v>
      </c>
      <c r="E336" t="s">
        <v>21</v>
      </c>
      <c r="F336" s="1">
        <v>37167</v>
      </c>
      <c r="G336" s="2">
        <v>2001</v>
      </c>
      <c r="H336">
        <v>2021</v>
      </c>
      <c r="I336" s="2">
        <v>20</v>
      </c>
      <c r="J336">
        <v>52792</v>
      </c>
      <c r="K336" t="s">
        <v>386</v>
      </c>
      <c r="L336">
        <v>2</v>
      </c>
      <c r="M336" t="s">
        <v>16</v>
      </c>
      <c r="N336" t="s">
        <v>17</v>
      </c>
      <c r="O336" t="s">
        <v>23</v>
      </c>
    </row>
    <row r="337" spans="1:15" x14ac:dyDescent="0.3">
      <c r="A337">
        <v>336</v>
      </c>
      <c r="B337" t="s">
        <v>728</v>
      </c>
      <c r="C337" t="s">
        <v>729</v>
      </c>
      <c r="D337" t="s">
        <v>1495</v>
      </c>
      <c r="E337" t="s">
        <v>89</v>
      </c>
      <c r="F337" s="1">
        <v>37133</v>
      </c>
      <c r="G337" s="2">
        <v>2001</v>
      </c>
      <c r="H337">
        <v>2021</v>
      </c>
      <c r="I337" s="2">
        <v>20</v>
      </c>
      <c r="J337">
        <v>40415</v>
      </c>
      <c r="K337" t="s">
        <v>613</v>
      </c>
      <c r="L337">
        <v>4</v>
      </c>
      <c r="M337" t="s">
        <v>55</v>
      </c>
      <c r="N337" t="s">
        <v>17</v>
      </c>
      <c r="O337" t="s">
        <v>41</v>
      </c>
    </row>
    <row r="338" spans="1:15" x14ac:dyDescent="0.3">
      <c r="A338">
        <v>337</v>
      </c>
      <c r="B338" t="s">
        <v>572</v>
      </c>
      <c r="C338" t="s">
        <v>730</v>
      </c>
      <c r="D338" t="s">
        <v>1494</v>
      </c>
      <c r="E338" t="s">
        <v>61</v>
      </c>
      <c r="F338" s="1">
        <v>39615</v>
      </c>
      <c r="G338" s="2">
        <v>2008</v>
      </c>
      <c r="H338">
        <v>2021</v>
      </c>
      <c r="I338" s="2">
        <v>13</v>
      </c>
      <c r="J338">
        <v>83256</v>
      </c>
      <c r="K338" t="s">
        <v>181</v>
      </c>
      <c r="L338">
        <v>5</v>
      </c>
      <c r="M338" t="s">
        <v>91</v>
      </c>
      <c r="N338" t="s">
        <v>40</v>
      </c>
      <c r="O338" t="s">
        <v>63</v>
      </c>
    </row>
    <row r="339" spans="1:15" x14ac:dyDescent="0.3">
      <c r="A339">
        <v>338</v>
      </c>
      <c r="B339" t="s">
        <v>731</v>
      </c>
      <c r="C339" t="s">
        <v>732</v>
      </c>
      <c r="D339" t="s">
        <v>1495</v>
      </c>
      <c r="E339" t="s">
        <v>94</v>
      </c>
      <c r="F339" s="1">
        <v>41273</v>
      </c>
      <c r="G339" s="2">
        <v>2012</v>
      </c>
      <c r="H339">
        <v>2021</v>
      </c>
      <c r="I339" s="2">
        <v>9</v>
      </c>
      <c r="J339">
        <v>145181</v>
      </c>
      <c r="K339" t="s">
        <v>733</v>
      </c>
      <c r="L339">
        <v>1</v>
      </c>
      <c r="M339" t="s">
        <v>46</v>
      </c>
      <c r="N339" t="s">
        <v>17</v>
      </c>
      <c r="O339" t="s">
        <v>18</v>
      </c>
    </row>
    <row r="340" spans="1:15" x14ac:dyDescent="0.3">
      <c r="A340">
        <v>339</v>
      </c>
      <c r="B340" t="s">
        <v>720</v>
      </c>
      <c r="C340" t="s">
        <v>734</v>
      </c>
      <c r="D340" t="s">
        <v>1495</v>
      </c>
      <c r="E340" t="s">
        <v>32</v>
      </c>
      <c r="F340" s="1">
        <v>38191</v>
      </c>
      <c r="G340" s="2">
        <v>2004</v>
      </c>
      <c r="H340">
        <v>2021</v>
      </c>
      <c r="I340" s="3">
        <v>17</v>
      </c>
      <c r="J340">
        <v>78294</v>
      </c>
      <c r="K340" t="s">
        <v>101</v>
      </c>
      <c r="L340">
        <v>4</v>
      </c>
      <c r="M340" t="s">
        <v>55</v>
      </c>
      <c r="N340" t="s">
        <v>17</v>
      </c>
      <c r="O340" t="s">
        <v>34</v>
      </c>
    </row>
    <row r="341" spans="1:15" x14ac:dyDescent="0.3">
      <c r="A341">
        <v>340</v>
      </c>
      <c r="B341" t="s">
        <v>268</v>
      </c>
      <c r="C341" t="s">
        <v>735</v>
      </c>
      <c r="D341" t="s">
        <v>1494</v>
      </c>
      <c r="E341" t="s">
        <v>94</v>
      </c>
      <c r="F341" s="1">
        <v>39266</v>
      </c>
      <c r="G341" s="2">
        <v>2007</v>
      </c>
      <c r="H341">
        <v>2021</v>
      </c>
      <c r="I341" s="2">
        <v>14</v>
      </c>
      <c r="J341">
        <v>90120</v>
      </c>
      <c r="K341" t="s">
        <v>736</v>
      </c>
      <c r="L341">
        <v>2</v>
      </c>
      <c r="M341" t="s">
        <v>16</v>
      </c>
      <c r="N341" t="s">
        <v>17</v>
      </c>
      <c r="O341" t="s">
        <v>18</v>
      </c>
    </row>
    <row r="342" spans="1:15" x14ac:dyDescent="0.3">
      <c r="A342">
        <v>341</v>
      </c>
      <c r="B342" t="s">
        <v>35</v>
      </c>
      <c r="C342" t="s">
        <v>737</v>
      </c>
      <c r="D342" t="s">
        <v>1494</v>
      </c>
      <c r="E342" t="s">
        <v>89</v>
      </c>
      <c r="F342" s="1">
        <v>39715</v>
      </c>
      <c r="G342" s="2">
        <v>2008</v>
      </c>
      <c r="H342">
        <v>2021</v>
      </c>
      <c r="I342" s="2">
        <v>13</v>
      </c>
      <c r="J342">
        <v>80284</v>
      </c>
      <c r="K342" t="s">
        <v>196</v>
      </c>
      <c r="L342">
        <v>3</v>
      </c>
      <c r="M342" t="s">
        <v>28</v>
      </c>
      <c r="N342" t="s">
        <v>17</v>
      </c>
      <c r="O342" t="s">
        <v>41</v>
      </c>
    </row>
    <row r="343" spans="1:15" x14ac:dyDescent="0.3">
      <c r="A343">
        <v>342</v>
      </c>
      <c r="B343" t="s">
        <v>416</v>
      </c>
      <c r="C343" t="s">
        <v>738</v>
      </c>
      <c r="D343" t="s">
        <v>1495</v>
      </c>
      <c r="E343" t="s">
        <v>312</v>
      </c>
      <c r="F343" s="1">
        <v>40020</v>
      </c>
      <c r="G343" s="2">
        <v>2009</v>
      </c>
      <c r="H343">
        <v>2021</v>
      </c>
      <c r="I343" s="2">
        <v>12</v>
      </c>
      <c r="J343">
        <v>85511</v>
      </c>
      <c r="K343" t="s">
        <v>115</v>
      </c>
      <c r="L343">
        <v>5</v>
      </c>
      <c r="M343" t="s">
        <v>91</v>
      </c>
      <c r="N343" t="s">
        <v>40</v>
      </c>
      <c r="O343" t="s">
        <v>41</v>
      </c>
    </row>
    <row r="344" spans="1:15" x14ac:dyDescent="0.3">
      <c r="A344">
        <v>343</v>
      </c>
      <c r="B344" t="s">
        <v>652</v>
      </c>
      <c r="C344" t="s">
        <v>739</v>
      </c>
      <c r="D344" t="s">
        <v>1495</v>
      </c>
      <c r="E344" t="s">
        <v>53</v>
      </c>
      <c r="F344" s="1">
        <v>39612</v>
      </c>
      <c r="G344" s="2">
        <v>2008</v>
      </c>
      <c r="H344">
        <v>2021</v>
      </c>
      <c r="I344" s="2">
        <v>13</v>
      </c>
      <c r="J344">
        <v>40138</v>
      </c>
      <c r="K344" t="s">
        <v>149</v>
      </c>
      <c r="L344">
        <v>6</v>
      </c>
      <c r="M344" t="s">
        <v>50</v>
      </c>
      <c r="N344" t="s">
        <v>40</v>
      </c>
      <c r="O344" t="s">
        <v>23</v>
      </c>
    </row>
    <row r="345" spans="1:15" x14ac:dyDescent="0.3">
      <c r="A345">
        <v>344</v>
      </c>
      <c r="B345" t="s">
        <v>118</v>
      </c>
      <c r="C345" t="s">
        <v>740</v>
      </c>
      <c r="D345" t="s">
        <v>1494</v>
      </c>
      <c r="E345" t="s">
        <v>122</v>
      </c>
      <c r="F345" s="1">
        <v>40346</v>
      </c>
      <c r="G345" s="2">
        <v>2010</v>
      </c>
      <c r="H345">
        <v>2021</v>
      </c>
      <c r="I345" s="2">
        <v>11</v>
      </c>
      <c r="J345">
        <v>42714</v>
      </c>
      <c r="K345" t="s">
        <v>169</v>
      </c>
      <c r="L345">
        <v>7</v>
      </c>
      <c r="M345" t="s">
        <v>39</v>
      </c>
      <c r="N345" t="s">
        <v>40</v>
      </c>
      <c r="O345" t="s">
        <v>123</v>
      </c>
    </row>
    <row r="346" spans="1:15" x14ac:dyDescent="0.3">
      <c r="A346">
        <v>345</v>
      </c>
      <c r="B346" t="s">
        <v>741</v>
      </c>
      <c r="C346" t="s">
        <v>742</v>
      </c>
      <c r="D346" t="s">
        <v>1494</v>
      </c>
      <c r="E346" t="s">
        <v>238</v>
      </c>
      <c r="F346" s="1">
        <v>38524</v>
      </c>
      <c r="G346" s="2">
        <v>2005</v>
      </c>
      <c r="H346">
        <v>2021</v>
      </c>
      <c r="I346" s="2">
        <v>16</v>
      </c>
      <c r="J346">
        <v>65767</v>
      </c>
      <c r="K346" t="s">
        <v>743</v>
      </c>
      <c r="L346">
        <v>4</v>
      </c>
      <c r="M346" t="s">
        <v>55</v>
      </c>
      <c r="N346" t="s">
        <v>17</v>
      </c>
      <c r="O346" t="s">
        <v>63</v>
      </c>
    </row>
    <row r="347" spans="1:15" x14ac:dyDescent="0.3">
      <c r="A347">
        <v>346</v>
      </c>
      <c r="B347" t="s">
        <v>296</v>
      </c>
      <c r="C347" t="s">
        <v>744</v>
      </c>
      <c r="D347" t="s">
        <v>1495</v>
      </c>
      <c r="E347" t="s">
        <v>85</v>
      </c>
      <c r="F347" s="1">
        <v>41318</v>
      </c>
      <c r="G347" s="2">
        <v>2013</v>
      </c>
      <c r="H347">
        <v>2021</v>
      </c>
      <c r="I347" s="2">
        <v>8</v>
      </c>
      <c r="J347">
        <v>149351</v>
      </c>
      <c r="K347" t="s">
        <v>186</v>
      </c>
      <c r="L347">
        <v>7</v>
      </c>
      <c r="M347" t="s">
        <v>39</v>
      </c>
      <c r="N347" t="s">
        <v>40</v>
      </c>
      <c r="O347" t="s">
        <v>41</v>
      </c>
    </row>
    <row r="348" spans="1:15" x14ac:dyDescent="0.3">
      <c r="A348">
        <v>347</v>
      </c>
      <c r="B348" t="s">
        <v>745</v>
      </c>
      <c r="C348" t="s">
        <v>746</v>
      </c>
      <c r="D348" t="s">
        <v>1495</v>
      </c>
      <c r="E348" t="s">
        <v>44</v>
      </c>
      <c r="F348" s="1">
        <v>40911</v>
      </c>
      <c r="G348" s="2">
        <v>2012</v>
      </c>
      <c r="H348">
        <v>2021</v>
      </c>
      <c r="I348" s="2">
        <v>9</v>
      </c>
      <c r="J348">
        <v>88470</v>
      </c>
      <c r="K348" t="s">
        <v>360</v>
      </c>
      <c r="L348">
        <v>1</v>
      </c>
      <c r="M348" t="s">
        <v>46</v>
      </c>
      <c r="N348" t="s">
        <v>17</v>
      </c>
      <c r="O348" t="s">
        <v>29</v>
      </c>
    </row>
    <row r="349" spans="1:15" x14ac:dyDescent="0.3">
      <c r="A349">
        <v>348</v>
      </c>
      <c r="B349" t="s">
        <v>279</v>
      </c>
      <c r="C349" t="s">
        <v>747</v>
      </c>
      <c r="D349" t="s">
        <v>1495</v>
      </c>
      <c r="E349" t="s">
        <v>94</v>
      </c>
      <c r="F349" s="1">
        <v>40143</v>
      </c>
      <c r="G349" s="2">
        <v>2009</v>
      </c>
      <c r="H349">
        <v>2021</v>
      </c>
      <c r="I349" s="2">
        <v>12</v>
      </c>
      <c r="J349">
        <v>90317</v>
      </c>
      <c r="K349" t="s">
        <v>632</v>
      </c>
      <c r="L349">
        <v>4</v>
      </c>
      <c r="M349" t="s">
        <v>55</v>
      </c>
      <c r="N349" t="s">
        <v>17</v>
      </c>
      <c r="O349" t="s">
        <v>18</v>
      </c>
    </row>
    <row r="350" spans="1:15" x14ac:dyDescent="0.3">
      <c r="A350">
        <v>349</v>
      </c>
      <c r="B350" t="s">
        <v>177</v>
      </c>
      <c r="C350" t="s">
        <v>748</v>
      </c>
      <c r="D350" t="s">
        <v>1494</v>
      </c>
      <c r="E350" t="s">
        <v>110</v>
      </c>
      <c r="F350" s="1">
        <v>41192</v>
      </c>
      <c r="G350" s="2">
        <v>2012</v>
      </c>
      <c r="H350">
        <v>2021</v>
      </c>
      <c r="I350" s="2">
        <v>9</v>
      </c>
      <c r="J350">
        <v>142149</v>
      </c>
      <c r="K350" t="s">
        <v>74</v>
      </c>
      <c r="L350">
        <v>2</v>
      </c>
      <c r="M350" t="s">
        <v>16</v>
      </c>
      <c r="N350" t="s">
        <v>17</v>
      </c>
      <c r="O350" t="s">
        <v>112</v>
      </c>
    </row>
    <row r="351" spans="1:15" x14ac:dyDescent="0.3">
      <c r="A351">
        <v>350</v>
      </c>
      <c r="B351" t="s">
        <v>157</v>
      </c>
      <c r="C351" t="s">
        <v>749</v>
      </c>
      <c r="D351" t="s">
        <v>1494</v>
      </c>
      <c r="E351" t="s">
        <v>94</v>
      </c>
      <c r="F351" s="1">
        <v>36667</v>
      </c>
      <c r="G351" s="2">
        <v>2000</v>
      </c>
      <c r="H351">
        <v>2021</v>
      </c>
      <c r="I351" s="2">
        <v>21</v>
      </c>
      <c r="J351">
        <v>144073</v>
      </c>
      <c r="K351" t="s">
        <v>750</v>
      </c>
      <c r="L351">
        <v>1</v>
      </c>
      <c r="M351" t="s">
        <v>46</v>
      </c>
      <c r="N351" t="s">
        <v>17</v>
      </c>
      <c r="O351" t="s">
        <v>18</v>
      </c>
    </row>
    <row r="352" spans="1:15" x14ac:dyDescent="0.3">
      <c r="A352">
        <v>351</v>
      </c>
      <c r="B352" t="s">
        <v>608</v>
      </c>
      <c r="C352" t="s">
        <v>751</v>
      </c>
      <c r="D352" t="s">
        <v>1495</v>
      </c>
      <c r="E352" t="s">
        <v>122</v>
      </c>
      <c r="F352" s="1">
        <v>37120</v>
      </c>
      <c r="G352" s="2">
        <v>2001</v>
      </c>
      <c r="H352">
        <v>2021</v>
      </c>
      <c r="I352" s="2">
        <v>20</v>
      </c>
      <c r="J352">
        <v>54410</v>
      </c>
      <c r="K352" t="s">
        <v>752</v>
      </c>
      <c r="L352">
        <v>7</v>
      </c>
      <c r="M352" t="s">
        <v>39</v>
      </c>
      <c r="N352" t="s">
        <v>40</v>
      </c>
      <c r="O352" t="s">
        <v>123</v>
      </c>
    </row>
    <row r="353" spans="1:15" x14ac:dyDescent="0.3">
      <c r="A353">
        <v>352</v>
      </c>
      <c r="B353" t="s">
        <v>508</v>
      </c>
      <c r="C353" t="s">
        <v>753</v>
      </c>
      <c r="D353" t="s">
        <v>1494</v>
      </c>
      <c r="E353" t="s">
        <v>89</v>
      </c>
      <c r="F353" s="1">
        <v>36705</v>
      </c>
      <c r="G353" s="2">
        <v>2000</v>
      </c>
      <c r="H353">
        <v>2021</v>
      </c>
      <c r="I353" s="2">
        <v>21</v>
      </c>
      <c r="J353">
        <v>107907</v>
      </c>
      <c r="K353" t="s">
        <v>22</v>
      </c>
      <c r="L353">
        <v>5</v>
      </c>
      <c r="M353" t="s">
        <v>91</v>
      </c>
      <c r="N353" t="s">
        <v>40</v>
      </c>
      <c r="O353" t="s">
        <v>41</v>
      </c>
    </row>
    <row r="354" spans="1:15" x14ac:dyDescent="0.3">
      <c r="A354">
        <v>353</v>
      </c>
      <c r="B354" t="s">
        <v>569</v>
      </c>
      <c r="C354" t="s">
        <v>754</v>
      </c>
      <c r="D354" t="s">
        <v>1495</v>
      </c>
      <c r="E354" t="s">
        <v>89</v>
      </c>
      <c r="F354" s="1">
        <v>40369</v>
      </c>
      <c r="G354" s="2">
        <v>2010</v>
      </c>
      <c r="H354">
        <v>2021</v>
      </c>
      <c r="I354" s="2">
        <v>11</v>
      </c>
      <c r="J354">
        <v>91249</v>
      </c>
      <c r="K354" t="s">
        <v>214</v>
      </c>
      <c r="L354">
        <v>2</v>
      </c>
      <c r="M354" t="s">
        <v>16</v>
      </c>
      <c r="N354" t="s">
        <v>17</v>
      </c>
      <c r="O354" t="s">
        <v>41</v>
      </c>
    </row>
    <row r="355" spans="1:15" x14ac:dyDescent="0.3">
      <c r="A355">
        <v>354</v>
      </c>
      <c r="B355" t="s">
        <v>720</v>
      </c>
      <c r="C355" t="s">
        <v>755</v>
      </c>
      <c r="D355" t="s">
        <v>1494</v>
      </c>
      <c r="E355" t="s">
        <v>148</v>
      </c>
      <c r="F355" s="1">
        <v>38706</v>
      </c>
      <c r="G355" s="2">
        <v>2005</v>
      </c>
      <c r="H355">
        <v>2021</v>
      </c>
      <c r="I355" s="2">
        <v>16</v>
      </c>
      <c r="J355">
        <v>78478</v>
      </c>
      <c r="K355" t="s">
        <v>74</v>
      </c>
      <c r="L355">
        <v>5</v>
      </c>
      <c r="M355" t="s">
        <v>91</v>
      </c>
      <c r="N355" t="s">
        <v>40</v>
      </c>
      <c r="O355" t="s">
        <v>112</v>
      </c>
    </row>
    <row r="356" spans="1:15" x14ac:dyDescent="0.3">
      <c r="A356">
        <v>355</v>
      </c>
      <c r="B356" t="s">
        <v>30</v>
      </c>
      <c r="C356" t="s">
        <v>756</v>
      </c>
      <c r="D356" t="s">
        <v>1494</v>
      </c>
      <c r="E356" t="s">
        <v>21</v>
      </c>
      <c r="F356" s="1">
        <v>38540</v>
      </c>
      <c r="G356" s="2">
        <v>2005</v>
      </c>
      <c r="H356">
        <v>2021</v>
      </c>
      <c r="I356" s="2">
        <v>16</v>
      </c>
      <c r="J356">
        <v>48812</v>
      </c>
      <c r="K356" t="s">
        <v>664</v>
      </c>
      <c r="L356">
        <v>7</v>
      </c>
      <c r="M356" t="s">
        <v>39</v>
      </c>
      <c r="N356" t="s">
        <v>40</v>
      </c>
      <c r="O356" t="s">
        <v>23</v>
      </c>
    </row>
    <row r="357" spans="1:15" x14ac:dyDescent="0.3">
      <c r="A357">
        <v>356</v>
      </c>
      <c r="B357" t="s">
        <v>113</v>
      </c>
      <c r="C357" t="s">
        <v>757</v>
      </c>
      <c r="D357" t="s">
        <v>1495</v>
      </c>
      <c r="E357" t="s">
        <v>37</v>
      </c>
      <c r="F357" s="1">
        <v>36643</v>
      </c>
      <c r="G357" s="2">
        <v>2000</v>
      </c>
      <c r="H357">
        <v>2021</v>
      </c>
      <c r="I357" s="2">
        <v>21</v>
      </c>
      <c r="J357">
        <v>147440</v>
      </c>
      <c r="K357" t="s">
        <v>58</v>
      </c>
      <c r="L357">
        <v>2</v>
      </c>
      <c r="M357" t="s">
        <v>16</v>
      </c>
      <c r="N357" t="s">
        <v>17</v>
      </c>
      <c r="O357" t="s">
        <v>41</v>
      </c>
    </row>
    <row r="358" spans="1:15" x14ac:dyDescent="0.3">
      <c r="A358">
        <v>357</v>
      </c>
      <c r="B358" t="s">
        <v>457</v>
      </c>
      <c r="C358" t="s">
        <v>758</v>
      </c>
      <c r="D358" t="s">
        <v>1494</v>
      </c>
      <c r="E358" t="s">
        <v>148</v>
      </c>
      <c r="F358" s="1">
        <v>37759</v>
      </c>
      <c r="G358" s="2">
        <v>2003</v>
      </c>
      <c r="H358">
        <v>2021</v>
      </c>
      <c r="I358" s="2">
        <v>18</v>
      </c>
      <c r="J358">
        <v>87978</v>
      </c>
      <c r="K358" t="s">
        <v>247</v>
      </c>
      <c r="L358">
        <v>1</v>
      </c>
      <c r="M358" t="s">
        <v>46</v>
      </c>
      <c r="N358" t="s">
        <v>17</v>
      </c>
      <c r="O358" t="s">
        <v>112</v>
      </c>
    </row>
    <row r="359" spans="1:15" x14ac:dyDescent="0.3">
      <c r="A359">
        <v>358</v>
      </c>
      <c r="B359" t="s">
        <v>392</v>
      </c>
      <c r="C359" t="s">
        <v>759</v>
      </c>
      <c r="D359" t="s">
        <v>1494</v>
      </c>
      <c r="E359" t="s">
        <v>26</v>
      </c>
      <c r="F359" s="1">
        <v>37424</v>
      </c>
      <c r="G359" s="2">
        <v>2002</v>
      </c>
      <c r="H359">
        <v>2021</v>
      </c>
      <c r="I359" s="2">
        <v>19</v>
      </c>
      <c r="J359">
        <v>67800</v>
      </c>
      <c r="K359" t="s">
        <v>33</v>
      </c>
      <c r="L359">
        <v>2</v>
      </c>
      <c r="M359" t="s">
        <v>16</v>
      </c>
      <c r="N359" t="s">
        <v>17</v>
      </c>
      <c r="O359" t="s">
        <v>29</v>
      </c>
    </row>
    <row r="360" spans="1:15" x14ac:dyDescent="0.3">
      <c r="A360">
        <v>359</v>
      </c>
      <c r="B360" t="s">
        <v>564</v>
      </c>
      <c r="C360" t="s">
        <v>760</v>
      </c>
      <c r="D360" t="s">
        <v>1494</v>
      </c>
      <c r="E360" t="s">
        <v>73</v>
      </c>
      <c r="F360" s="1">
        <v>40312</v>
      </c>
      <c r="G360" s="2">
        <v>2010</v>
      </c>
      <c r="H360">
        <v>2021</v>
      </c>
      <c r="I360" s="2">
        <v>11</v>
      </c>
      <c r="J360">
        <v>42944</v>
      </c>
      <c r="K360" t="s">
        <v>220</v>
      </c>
      <c r="L360">
        <v>3</v>
      </c>
      <c r="M360" t="s">
        <v>28</v>
      </c>
      <c r="N360" t="s">
        <v>17</v>
      </c>
      <c r="O360" t="s">
        <v>41</v>
      </c>
    </row>
    <row r="361" spans="1:15" x14ac:dyDescent="0.3">
      <c r="A361">
        <v>360</v>
      </c>
      <c r="B361" t="s">
        <v>679</v>
      </c>
      <c r="C361" t="s">
        <v>761</v>
      </c>
      <c r="D361" t="s">
        <v>1495</v>
      </c>
      <c r="E361" t="s">
        <v>26</v>
      </c>
      <c r="F361" s="1">
        <v>38186</v>
      </c>
      <c r="G361" s="2">
        <v>2004</v>
      </c>
      <c r="H361">
        <v>2021</v>
      </c>
      <c r="I361" s="2">
        <v>17</v>
      </c>
      <c r="J361">
        <v>84356</v>
      </c>
      <c r="K361" t="s">
        <v>104</v>
      </c>
      <c r="L361">
        <v>2</v>
      </c>
      <c r="M361" t="s">
        <v>16</v>
      </c>
      <c r="N361" t="s">
        <v>17</v>
      </c>
      <c r="O361" t="s">
        <v>29</v>
      </c>
    </row>
    <row r="362" spans="1:15" x14ac:dyDescent="0.3">
      <c r="A362">
        <v>361</v>
      </c>
      <c r="B362" t="s">
        <v>762</v>
      </c>
      <c r="C362" t="s">
        <v>763</v>
      </c>
      <c r="D362" t="s">
        <v>1495</v>
      </c>
      <c r="E362" t="s">
        <v>110</v>
      </c>
      <c r="F362" s="1">
        <v>39057</v>
      </c>
      <c r="G362" s="2">
        <v>2006</v>
      </c>
      <c r="H362">
        <v>2021</v>
      </c>
      <c r="I362" s="2">
        <v>15</v>
      </c>
      <c r="J362">
        <v>144724</v>
      </c>
      <c r="K362" t="s">
        <v>764</v>
      </c>
      <c r="L362">
        <v>7</v>
      </c>
      <c r="M362" t="s">
        <v>39</v>
      </c>
      <c r="N362" t="s">
        <v>40</v>
      </c>
      <c r="O362" t="s">
        <v>112</v>
      </c>
    </row>
    <row r="363" spans="1:15" x14ac:dyDescent="0.3">
      <c r="A363">
        <v>362</v>
      </c>
      <c r="B363" t="s">
        <v>620</v>
      </c>
      <c r="C363" t="s">
        <v>765</v>
      </c>
      <c r="D363" t="s">
        <v>1494</v>
      </c>
      <c r="E363" t="s">
        <v>37</v>
      </c>
      <c r="F363" s="1">
        <v>37872</v>
      </c>
      <c r="G363" s="2">
        <v>2003</v>
      </c>
      <c r="H363">
        <v>2021</v>
      </c>
      <c r="I363" s="2">
        <v>18</v>
      </c>
      <c r="J363">
        <v>147290</v>
      </c>
      <c r="K363" t="s">
        <v>425</v>
      </c>
      <c r="L363">
        <v>6</v>
      </c>
      <c r="M363" t="s">
        <v>50</v>
      </c>
      <c r="N363" t="s">
        <v>40</v>
      </c>
      <c r="O363" t="s">
        <v>41</v>
      </c>
    </row>
    <row r="364" spans="1:15" x14ac:dyDescent="0.3">
      <c r="A364">
        <v>363</v>
      </c>
      <c r="B364" t="s">
        <v>766</v>
      </c>
      <c r="C364" t="s">
        <v>767</v>
      </c>
      <c r="D364" t="s">
        <v>1494</v>
      </c>
      <c r="E364" t="s">
        <v>26</v>
      </c>
      <c r="F364" s="1">
        <v>37253</v>
      </c>
      <c r="G364" s="2">
        <v>2001</v>
      </c>
      <c r="H364">
        <v>2021</v>
      </c>
      <c r="I364" s="2">
        <v>20</v>
      </c>
      <c r="J364">
        <v>83177</v>
      </c>
      <c r="K364" t="s">
        <v>66</v>
      </c>
      <c r="L364">
        <v>3</v>
      </c>
      <c r="M364" t="s">
        <v>28</v>
      </c>
      <c r="N364" t="s">
        <v>17</v>
      </c>
      <c r="O364" t="s">
        <v>29</v>
      </c>
    </row>
    <row r="365" spans="1:15" x14ac:dyDescent="0.3">
      <c r="A365">
        <v>364</v>
      </c>
      <c r="B365" t="s">
        <v>768</v>
      </c>
      <c r="C365" t="s">
        <v>769</v>
      </c>
      <c r="D365" t="s">
        <v>1494</v>
      </c>
      <c r="E365" t="s">
        <v>203</v>
      </c>
      <c r="F365" s="1">
        <v>41790</v>
      </c>
      <c r="G365" s="2">
        <v>2014</v>
      </c>
      <c r="H365">
        <v>2021</v>
      </c>
      <c r="I365" s="2">
        <v>7</v>
      </c>
      <c r="J365">
        <v>83252</v>
      </c>
      <c r="K365" t="s">
        <v>156</v>
      </c>
      <c r="L365">
        <v>3</v>
      </c>
      <c r="M365" t="s">
        <v>28</v>
      </c>
      <c r="N365" t="s">
        <v>17</v>
      </c>
      <c r="O365" t="s">
        <v>41</v>
      </c>
    </row>
    <row r="366" spans="1:15" x14ac:dyDescent="0.3">
      <c r="A366">
        <v>365</v>
      </c>
      <c r="B366" t="s">
        <v>569</v>
      </c>
      <c r="C366" t="s">
        <v>770</v>
      </c>
      <c r="D366" t="s">
        <v>1494</v>
      </c>
      <c r="E366" t="s">
        <v>69</v>
      </c>
      <c r="F366" s="1">
        <v>36768</v>
      </c>
      <c r="G366" s="2">
        <v>2000</v>
      </c>
      <c r="H366">
        <v>2021</v>
      </c>
      <c r="I366" s="2">
        <v>21</v>
      </c>
      <c r="J366">
        <v>127393</v>
      </c>
      <c r="K366" t="s">
        <v>581</v>
      </c>
      <c r="L366">
        <v>7</v>
      </c>
      <c r="M366" t="s">
        <v>39</v>
      </c>
      <c r="N366" t="s">
        <v>40</v>
      </c>
      <c r="O366" t="s">
        <v>41</v>
      </c>
    </row>
    <row r="367" spans="1:15" x14ac:dyDescent="0.3">
      <c r="A367">
        <v>366</v>
      </c>
      <c r="B367" t="s">
        <v>64</v>
      </c>
      <c r="C367" t="s">
        <v>771</v>
      </c>
      <c r="D367" t="s">
        <v>1494</v>
      </c>
      <c r="E367" t="s">
        <v>100</v>
      </c>
      <c r="F367" s="1">
        <v>38746</v>
      </c>
      <c r="G367" s="2">
        <v>2006</v>
      </c>
      <c r="H367">
        <v>2021</v>
      </c>
      <c r="I367" s="2">
        <v>15</v>
      </c>
      <c r="J367">
        <v>67186</v>
      </c>
      <c r="K367" t="s">
        <v>370</v>
      </c>
      <c r="L367">
        <v>1</v>
      </c>
      <c r="M367" t="s">
        <v>46</v>
      </c>
      <c r="N367" t="s">
        <v>17</v>
      </c>
      <c r="O367" t="s">
        <v>29</v>
      </c>
    </row>
    <row r="368" spans="1:15" x14ac:dyDescent="0.3">
      <c r="A368">
        <v>367</v>
      </c>
      <c r="B368" t="s">
        <v>772</v>
      </c>
      <c r="C368" t="s">
        <v>773</v>
      </c>
      <c r="D368" t="s">
        <v>1495</v>
      </c>
      <c r="E368" t="s">
        <v>129</v>
      </c>
      <c r="F368" s="1">
        <v>37320</v>
      </c>
      <c r="G368" s="2">
        <v>2002</v>
      </c>
      <c r="H368">
        <v>2021</v>
      </c>
      <c r="I368" s="2">
        <v>19</v>
      </c>
      <c r="J368">
        <v>102361</v>
      </c>
      <c r="K368" t="s">
        <v>774</v>
      </c>
      <c r="L368">
        <v>5</v>
      </c>
      <c r="M368" t="s">
        <v>91</v>
      </c>
      <c r="N368" t="s">
        <v>40</v>
      </c>
      <c r="O368" t="s">
        <v>41</v>
      </c>
    </row>
    <row r="369" spans="1:15" x14ac:dyDescent="0.3">
      <c r="A369">
        <v>368</v>
      </c>
      <c r="B369" t="s">
        <v>302</v>
      </c>
      <c r="C369" t="s">
        <v>775</v>
      </c>
      <c r="D369" t="s">
        <v>1495</v>
      </c>
      <c r="E369" t="s">
        <v>85</v>
      </c>
      <c r="F369" s="1">
        <v>37118</v>
      </c>
      <c r="G369" s="2">
        <v>2001</v>
      </c>
      <c r="H369">
        <v>2021</v>
      </c>
      <c r="I369" s="2">
        <v>20</v>
      </c>
      <c r="J369">
        <v>60688</v>
      </c>
      <c r="K369" t="s">
        <v>539</v>
      </c>
      <c r="L369">
        <v>1</v>
      </c>
      <c r="M369" t="s">
        <v>46</v>
      </c>
      <c r="N369" t="s">
        <v>17</v>
      </c>
      <c r="O369" t="s">
        <v>41</v>
      </c>
    </row>
    <row r="370" spans="1:15" x14ac:dyDescent="0.3">
      <c r="A370">
        <v>369</v>
      </c>
      <c r="B370" t="s">
        <v>170</v>
      </c>
      <c r="C370" t="s">
        <v>776</v>
      </c>
      <c r="D370" t="s">
        <v>1495</v>
      </c>
      <c r="E370" t="s">
        <v>94</v>
      </c>
      <c r="F370" s="1">
        <v>41388</v>
      </c>
      <c r="G370" s="2">
        <v>2013</v>
      </c>
      <c r="H370">
        <v>2021</v>
      </c>
      <c r="I370" s="2">
        <v>8</v>
      </c>
      <c r="J370">
        <v>44704</v>
      </c>
      <c r="K370" t="s">
        <v>70</v>
      </c>
      <c r="L370">
        <v>2</v>
      </c>
      <c r="M370" t="s">
        <v>16</v>
      </c>
      <c r="N370" t="s">
        <v>17</v>
      </c>
      <c r="O370" t="s">
        <v>18</v>
      </c>
    </row>
    <row r="371" spans="1:15" x14ac:dyDescent="0.3">
      <c r="A371">
        <v>370</v>
      </c>
      <c r="B371" t="s">
        <v>325</v>
      </c>
      <c r="C371" t="s">
        <v>777</v>
      </c>
      <c r="D371" t="s">
        <v>1494</v>
      </c>
      <c r="E371" t="s">
        <v>89</v>
      </c>
      <c r="F371" s="1">
        <v>37265</v>
      </c>
      <c r="G371" s="2">
        <v>2002</v>
      </c>
      <c r="H371">
        <v>2021</v>
      </c>
      <c r="I371" s="2">
        <v>19</v>
      </c>
      <c r="J371">
        <v>110627</v>
      </c>
      <c r="K371" t="s">
        <v>527</v>
      </c>
      <c r="L371">
        <v>7</v>
      </c>
      <c r="M371" t="s">
        <v>39</v>
      </c>
      <c r="N371" t="s">
        <v>40</v>
      </c>
      <c r="O371" t="s">
        <v>41</v>
      </c>
    </row>
    <row r="372" spans="1:15" x14ac:dyDescent="0.3">
      <c r="A372">
        <v>371</v>
      </c>
      <c r="B372" t="s">
        <v>333</v>
      </c>
      <c r="C372" t="s">
        <v>778</v>
      </c>
      <c r="D372" t="s">
        <v>1494</v>
      </c>
      <c r="E372" t="s">
        <v>21</v>
      </c>
      <c r="F372" s="1">
        <v>36681</v>
      </c>
      <c r="G372" s="2">
        <v>2000</v>
      </c>
      <c r="H372">
        <v>2021</v>
      </c>
      <c r="I372" s="2">
        <v>21</v>
      </c>
      <c r="J372">
        <v>127223</v>
      </c>
      <c r="K372" t="s">
        <v>235</v>
      </c>
      <c r="L372">
        <v>5</v>
      </c>
      <c r="M372" t="s">
        <v>91</v>
      </c>
      <c r="N372" t="s">
        <v>40</v>
      </c>
      <c r="O372" t="s">
        <v>23</v>
      </c>
    </row>
    <row r="373" spans="1:15" x14ac:dyDescent="0.3">
      <c r="A373">
        <v>372</v>
      </c>
      <c r="B373" t="s">
        <v>361</v>
      </c>
      <c r="C373" t="s">
        <v>779</v>
      </c>
      <c r="D373" t="s">
        <v>1495</v>
      </c>
      <c r="E373" t="s">
        <v>85</v>
      </c>
      <c r="F373" s="1">
        <v>37134</v>
      </c>
      <c r="G373" s="2">
        <v>2001</v>
      </c>
      <c r="H373">
        <v>2021</v>
      </c>
      <c r="I373" s="2">
        <v>20</v>
      </c>
      <c r="J373">
        <v>96163</v>
      </c>
      <c r="K373" t="s">
        <v>418</v>
      </c>
      <c r="L373">
        <v>3</v>
      </c>
      <c r="M373" t="s">
        <v>28</v>
      </c>
      <c r="N373" t="s">
        <v>17</v>
      </c>
      <c r="O373" t="s">
        <v>41</v>
      </c>
    </row>
    <row r="374" spans="1:15" x14ac:dyDescent="0.3">
      <c r="A374">
        <v>373</v>
      </c>
      <c r="B374" t="s">
        <v>333</v>
      </c>
      <c r="C374" t="s">
        <v>780</v>
      </c>
      <c r="D374" t="s">
        <v>1494</v>
      </c>
      <c r="E374" t="s">
        <v>32</v>
      </c>
      <c r="F374" s="1">
        <v>41023</v>
      </c>
      <c r="G374" s="2">
        <v>2012</v>
      </c>
      <c r="H374">
        <v>2021</v>
      </c>
      <c r="I374" s="3">
        <v>9</v>
      </c>
      <c r="J374">
        <v>86524</v>
      </c>
      <c r="K374" t="s">
        <v>666</v>
      </c>
      <c r="L374">
        <v>5</v>
      </c>
      <c r="M374" t="s">
        <v>91</v>
      </c>
      <c r="N374" t="s">
        <v>40</v>
      </c>
      <c r="O374" t="s">
        <v>34</v>
      </c>
    </row>
    <row r="375" spans="1:15" x14ac:dyDescent="0.3">
      <c r="A375">
        <v>374</v>
      </c>
      <c r="B375" t="s">
        <v>781</v>
      </c>
      <c r="C375" t="s">
        <v>782</v>
      </c>
      <c r="D375" t="s">
        <v>1495</v>
      </c>
      <c r="E375" t="s">
        <v>73</v>
      </c>
      <c r="F375" s="1">
        <v>38614</v>
      </c>
      <c r="G375" s="2">
        <v>2005</v>
      </c>
      <c r="H375">
        <v>2021</v>
      </c>
      <c r="I375" s="2">
        <v>16</v>
      </c>
      <c r="J375">
        <v>141464</v>
      </c>
      <c r="K375" t="s">
        <v>86</v>
      </c>
      <c r="L375">
        <v>4</v>
      </c>
      <c r="M375" t="s">
        <v>55</v>
      </c>
      <c r="N375" t="s">
        <v>17</v>
      </c>
      <c r="O375" t="s">
        <v>41</v>
      </c>
    </row>
    <row r="376" spans="1:15" x14ac:dyDescent="0.3">
      <c r="A376">
        <v>375</v>
      </c>
      <c r="B376" t="s">
        <v>720</v>
      </c>
      <c r="C376" t="s">
        <v>783</v>
      </c>
      <c r="D376" t="s">
        <v>1495</v>
      </c>
      <c r="E376" t="s">
        <v>100</v>
      </c>
      <c r="F376" s="1">
        <v>41878</v>
      </c>
      <c r="G376" s="2">
        <v>2014</v>
      </c>
      <c r="H376">
        <v>2021</v>
      </c>
      <c r="I376" s="2">
        <v>7</v>
      </c>
      <c r="J376">
        <v>88029</v>
      </c>
      <c r="K376" t="s">
        <v>327</v>
      </c>
      <c r="L376">
        <v>4</v>
      </c>
      <c r="M376" t="s">
        <v>55</v>
      </c>
      <c r="N376" t="s">
        <v>17</v>
      </c>
      <c r="O376" t="s">
        <v>29</v>
      </c>
    </row>
    <row r="377" spans="1:15" x14ac:dyDescent="0.3">
      <c r="A377">
        <v>376</v>
      </c>
      <c r="B377" t="s">
        <v>361</v>
      </c>
      <c r="C377" t="s">
        <v>784</v>
      </c>
      <c r="D377" t="s">
        <v>1494</v>
      </c>
      <c r="E377" t="s">
        <v>89</v>
      </c>
      <c r="F377" s="1">
        <v>39162</v>
      </c>
      <c r="G377" s="2">
        <v>2007</v>
      </c>
      <c r="H377">
        <v>2021</v>
      </c>
      <c r="I377" s="2">
        <v>14</v>
      </c>
      <c r="J377">
        <v>47281</v>
      </c>
      <c r="K377" t="s">
        <v>97</v>
      </c>
      <c r="L377">
        <v>6</v>
      </c>
      <c r="M377" t="s">
        <v>50</v>
      </c>
      <c r="N377" t="s">
        <v>40</v>
      </c>
      <c r="O377" t="s">
        <v>41</v>
      </c>
    </row>
    <row r="378" spans="1:15" x14ac:dyDescent="0.3">
      <c r="A378">
        <v>377</v>
      </c>
      <c r="B378" t="s">
        <v>102</v>
      </c>
      <c r="C378" t="s">
        <v>785</v>
      </c>
      <c r="D378" t="s">
        <v>1495</v>
      </c>
      <c r="E378" t="s">
        <v>94</v>
      </c>
      <c r="F378" s="1">
        <v>37271</v>
      </c>
      <c r="G378" s="2">
        <v>2002</v>
      </c>
      <c r="H378">
        <v>2021</v>
      </c>
      <c r="I378" s="2">
        <v>19</v>
      </c>
      <c r="J378">
        <v>93245</v>
      </c>
      <c r="K378" t="s">
        <v>669</v>
      </c>
      <c r="L378">
        <v>1</v>
      </c>
      <c r="M378" t="s">
        <v>46</v>
      </c>
      <c r="N378" t="s">
        <v>17</v>
      </c>
      <c r="O378" t="s">
        <v>18</v>
      </c>
    </row>
    <row r="379" spans="1:15" x14ac:dyDescent="0.3">
      <c r="A379">
        <v>378</v>
      </c>
      <c r="B379" t="s">
        <v>367</v>
      </c>
      <c r="C379" t="s">
        <v>786</v>
      </c>
      <c r="D379" t="s">
        <v>1494</v>
      </c>
      <c r="E379" t="s">
        <v>26</v>
      </c>
      <c r="F379" s="1">
        <v>41120</v>
      </c>
      <c r="G379" s="2">
        <v>2012</v>
      </c>
      <c r="H379">
        <v>2021</v>
      </c>
      <c r="I379" s="2">
        <v>9</v>
      </c>
      <c r="J379">
        <v>110589</v>
      </c>
      <c r="K379" t="s">
        <v>691</v>
      </c>
      <c r="L379">
        <v>7</v>
      </c>
      <c r="M379" t="s">
        <v>39</v>
      </c>
      <c r="N379" t="s">
        <v>40</v>
      </c>
      <c r="O379" t="s">
        <v>29</v>
      </c>
    </row>
    <row r="380" spans="1:15" x14ac:dyDescent="0.3">
      <c r="A380">
        <v>379</v>
      </c>
      <c r="B380" t="s">
        <v>377</v>
      </c>
      <c r="C380" t="s">
        <v>787</v>
      </c>
      <c r="D380" t="s">
        <v>1494</v>
      </c>
      <c r="E380" t="s">
        <v>32</v>
      </c>
      <c r="F380" s="1">
        <v>37714</v>
      </c>
      <c r="G380" s="2">
        <v>2003</v>
      </c>
      <c r="H380">
        <v>2021</v>
      </c>
      <c r="I380" s="3">
        <v>18</v>
      </c>
      <c r="J380">
        <v>63735</v>
      </c>
      <c r="K380" t="s">
        <v>196</v>
      </c>
      <c r="L380">
        <v>6</v>
      </c>
      <c r="M380" t="s">
        <v>50</v>
      </c>
      <c r="N380" t="s">
        <v>40</v>
      </c>
      <c r="O380" t="s">
        <v>34</v>
      </c>
    </row>
    <row r="381" spans="1:15" x14ac:dyDescent="0.3">
      <c r="A381">
        <v>380</v>
      </c>
      <c r="B381" t="s">
        <v>788</v>
      </c>
      <c r="C381" t="s">
        <v>789</v>
      </c>
      <c r="D381" t="s">
        <v>1495</v>
      </c>
      <c r="E381" t="s">
        <v>100</v>
      </c>
      <c r="F381" s="1">
        <v>41601</v>
      </c>
      <c r="G381" s="2">
        <v>2013</v>
      </c>
      <c r="H381">
        <v>2021</v>
      </c>
      <c r="I381" s="2">
        <v>8</v>
      </c>
      <c r="J381">
        <v>91182</v>
      </c>
      <c r="K381" t="s">
        <v>74</v>
      </c>
      <c r="L381">
        <v>5</v>
      </c>
      <c r="M381" t="s">
        <v>91</v>
      </c>
      <c r="N381" t="s">
        <v>40</v>
      </c>
      <c r="O381" t="s">
        <v>29</v>
      </c>
    </row>
    <row r="382" spans="1:15" x14ac:dyDescent="0.3">
      <c r="A382">
        <v>381</v>
      </c>
      <c r="B382" t="s">
        <v>259</v>
      </c>
      <c r="C382" t="s">
        <v>790</v>
      </c>
      <c r="D382" t="s">
        <v>1494</v>
      </c>
      <c r="E382" t="s">
        <v>238</v>
      </c>
      <c r="F382" s="1">
        <v>41161</v>
      </c>
      <c r="G382" s="2">
        <v>2012</v>
      </c>
      <c r="H382">
        <v>2021</v>
      </c>
      <c r="I382" s="2">
        <v>9</v>
      </c>
      <c r="J382">
        <v>133007</v>
      </c>
      <c r="K382" t="s">
        <v>437</v>
      </c>
      <c r="L382">
        <v>7</v>
      </c>
      <c r="M382" t="s">
        <v>39</v>
      </c>
      <c r="N382" t="s">
        <v>40</v>
      </c>
      <c r="O382" t="s">
        <v>63</v>
      </c>
    </row>
    <row r="383" spans="1:15" x14ac:dyDescent="0.3">
      <c r="A383">
        <v>382</v>
      </c>
      <c r="B383" t="s">
        <v>791</v>
      </c>
      <c r="C383" t="s">
        <v>792</v>
      </c>
      <c r="D383" t="s">
        <v>1495</v>
      </c>
      <c r="E383" t="s">
        <v>89</v>
      </c>
      <c r="F383" s="1">
        <v>41131</v>
      </c>
      <c r="G383" s="2">
        <v>2012</v>
      </c>
      <c r="H383">
        <v>2021</v>
      </c>
      <c r="I383" s="2">
        <v>9</v>
      </c>
      <c r="J383">
        <v>92879</v>
      </c>
      <c r="K383" t="s">
        <v>153</v>
      </c>
      <c r="L383">
        <v>2</v>
      </c>
      <c r="M383" t="s">
        <v>16</v>
      </c>
      <c r="N383" t="s">
        <v>17</v>
      </c>
      <c r="O383" t="s">
        <v>41</v>
      </c>
    </row>
    <row r="384" spans="1:15" x14ac:dyDescent="0.3">
      <c r="A384">
        <v>383</v>
      </c>
      <c r="B384" t="s">
        <v>212</v>
      </c>
      <c r="C384" t="s">
        <v>793</v>
      </c>
      <c r="D384" t="s">
        <v>1494</v>
      </c>
      <c r="E384" t="s">
        <v>69</v>
      </c>
      <c r="F384" s="1">
        <v>37600</v>
      </c>
      <c r="G384" s="2">
        <v>2002</v>
      </c>
      <c r="H384">
        <v>2021</v>
      </c>
      <c r="I384" s="2">
        <v>19</v>
      </c>
      <c r="J384">
        <v>104079</v>
      </c>
      <c r="K384" t="s">
        <v>456</v>
      </c>
      <c r="L384">
        <v>4</v>
      </c>
      <c r="M384" t="s">
        <v>55</v>
      </c>
      <c r="N384" t="s">
        <v>17</v>
      </c>
      <c r="O384" t="s">
        <v>41</v>
      </c>
    </row>
    <row r="385" spans="1:15" x14ac:dyDescent="0.3">
      <c r="A385">
        <v>384</v>
      </c>
      <c r="B385" t="s">
        <v>465</v>
      </c>
      <c r="C385" t="s">
        <v>794</v>
      </c>
      <c r="D385" t="s">
        <v>1495</v>
      </c>
      <c r="E385" t="s">
        <v>129</v>
      </c>
      <c r="F385" s="1">
        <v>38657</v>
      </c>
      <c r="G385" s="2">
        <v>2005</v>
      </c>
      <c r="H385">
        <v>2021</v>
      </c>
      <c r="I385" s="2">
        <v>16</v>
      </c>
      <c r="J385">
        <v>63918</v>
      </c>
      <c r="K385" t="s">
        <v>15</v>
      </c>
      <c r="L385">
        <v>4</v>
      </c>
      <c r="M385" t="s">
        <v>55</v>
      </c>
      <c r="N385" t="s">
        <v>17</v>
      </c>
      <c r="O385" t="s">
        <v>41</v>
      </c>
    </row>
    <row r="386" spans="1:15" x14ac:dyDescent="0.3">
      <c r="A386">
        <v>385</v>
      </c>
      <c r="B386" t="s">
        <v>416</v>
      </c>
      <c r="C386" t="s">
        <v>795</v>
      </c>
      <c r="D386" t="s">
        <v>1495</v>
      </c>
      <c r="E386" t="s">
        <v>26</v>
      </c>
      <c r="F386" s="1">
        <v>40665</v>
      </c>
      <c r="G386" s="2">
        <v>2011</v>
      </c>
      <c r="H386">
        <v>2021</v>
      </c>
      <c r="I386" s="2">
        <v>10</v>
      </c>
      <c r="J386">
        <v>128885</v>
      </c>
      <c r="K386" t="s">
        <v>796</v>
      </c>
      <c r="L386">
        <v>5</v>
      </c>
      <c r="M386" t="s">
        <v>91</v>
      </c>
      <c r="N386" t="s">
        <v>40</v>
      </c>
      <c r="O386" t="s">
        <v>29</v>
      </c>
    </row>
    <row r="387" spans="1:15" x14ac:dyDescent="0.3">
      <c r="A387">
        <v>386</v>
      </c>
      <c r="B387" t="s">
        <v>352</v>
      </c>
      <c r="C387" t="s">
        <v>797</v>
      </c>
      <c r="D387" t="s">
        <v>1494</v>
      </c>
      <c r="E387" t="s">
        <v>79</v>
      </c>
      <c r="F387" s="1">
        <v>40601</v>
      </c>
      <c r="G387" s="2">
        <v>2011</v>
      </c>
      <c r="H387">
        <v>2021</v>
      </c>
      <c r="I387" s="2">
        <v>10</v>
      </c>
      <c r="J387">
        <v>140567</v>
      </c>
      <c r="K387" t="s">
        <v>709</v>
      </c>
      <c r="L387">
        <v>2</v>
      </c>
      <c r="M387" t="s">
        <v>16</v>
      </c>
      <c r="N387" t="s">
        <v>17</v>
      </c>
      <c r="O387" t="s">
        <v>41</v>
      </c>
    </row>
    <row r="388" spans="1:15" x14ac:dyDescent="0.3">
      <c r="A388">
        <v>387</v>
      </c>
      <c r="B388" t="s">
        <v>620</v>
      </c>
      <c r="C388" t="s">
        <v>798</v>
      </c>
      <c r="D388" t="s">
        <v>1495</v>
      </c>
      <c r="E388" t="s">
        <v>110</v>
      </c>
      <c r="F388" s="1">
        <v>37842</v>
      </c>
      <c r="G388" s="2">
        <v>2003</v>
      </c>
      <c r="H388">
        <v>2021</v>
      </c>
      <c r="I388" s="2">
        <v>18</v>
      </c>
      <c r="J388">
        <v>95726</v>
      </c>
      <c r="K388" t="s">
        <v>204</v>
      </c>
      <c r="L388">
        <v>4</v>
      </c>
      <c r="M388" t="s">
        <v>55</v>
      </c>
      <c r="N388" t="s">
        <v>17</v>
      </c>
      <c r="O388" t="s">
        <v>112</v>
      </c>
    </row>
    <row r="389" spans="1:15" x14ac:dyDescent="0.3">
      <c r="A389">
        <v>388</v>
      </c>
      <c r="B389" t="s">
        <v>12</v>
      </c>
      <c r="C389" t="s">
        <v>799</v>
      </c>
      <c r="D389" t="s">
        <v>1495</v>
      </c>
      <c r="E389" t="s">
        <v>238</v>
      </c>
      <c r="F389" s="1">
        <v>39471</v>
      </c>
      <c r="G389" s="2">
        <v>2008</v>
      </c>
      <c r="H389">
        <v>2021</v>
      </c>
      <c r="I389" s="2">
        <v>13</v>
      </c>
      <c r="J389">
        <v>84261</v>
      </c>
      <c r="K389" t="s">
        <v>181</v>
      </c>
      <c r="L389">
        <v>5</v>
      </c>
      <c r="M389" t="s">
        <v>91</v>
      </c>
      <c r="N389" t="s">
        <v>40</v>
      </c>
      <c r="O389" t="s">
        <v>63</v>
      </c>
    </row>
    <row r="390" spans="1:15" x14ac:dyDescent="0.3">
      <c r="A390">
        <v>389</v>
      </c>
      <c r="B390" t="s">
        <v>284</v>
      </c>
      <c r="C390" t="s">
        <v>800</v>
      </c>
      <c r="D390" t="s">
        <v>1494</v>
      </c>
      <c r="E390" t="s">
        <v>73</v>
      </c>
      <c r="F390" s="1">
        <v>41447</v>
      </c>
      <c r="G390" s="2">
        <v>2013</v>
      </c>
      <c r="H390">
        <v>2021</v>
      </c>
      <c r="I390" s="2">
        <v>8</v>
      </c>
      <c r="J390">
        <v>42924</v>
      </c>
      <c r="K390" t="s">
        <v>104</v>
      </c>
      <c r="L390">
        <v>2</v>
      </c>
      <c r="M390" t="s">
        <v>16</v>
      </c>
      <c r="N390" t="s">
        <v>17</v>
      </c>
      <c r="O390" t="s">
        <v>41</v>
      </c>
    </row>
    <row r="391" spans="1:15" x14ac:dyDescent="0.3">
      <c r="A391">
        <v>390</v>
      </c>
      <c r="B391" t="s">
        <v>801</v>
      </c>
      <c r="C391" t="s">
        <v>802</v>
      </c>
      <c r="D391" t="s">
        <v>1494</v>
      </c>
      <c r="E391" t="s">
        <v>14</v>
      </c>
      <c r="F391" s="1">
        <v>39705</v>
      </c>
      <c r="G391" s="2">
        <v>2008</v>
      </c>
      <c r="H391">
        <v>2021</v>
      </c>
      <c r="I391" s="2">
        <v>13</v>
      </c>
      <c r="J391">
        <v>86670</v>
      </c>
      <c r="K391" t="s">
        <v>803</v>
      </c>
      <c r="L391">
        <v>2</v>
      </c>
      <c r="M391" t="s">
        <v>16</v>
      </c>
      <c r="N391" t="s">
        <v>17</v>
      </c>
      <c r="O391" t="s">
        <v>18</v>
      </c>
    </row>
    <row r="392" spans="1:15" x14ac:dyDescent="0.3">
      <c r="A392">
        <v>391</v>
      </c>
      <c r="B392" t="s">
        <v>587</v>
      </c>
      <c r="C392" t="s">
        <v>804</v>
      </c>
      <c r="D392" t="s">
        <v>1495</v>
      </c>
      <c r="E392" t="s">
        <v>69</v>
      </c>
      <c r="F392" s="1">
        <v>37929</v>
      </c>
      <c r="G392" s="2">
        <v>2003</v>
      </c>
      <c r="H392">
        <v>2021</v>
      </c>
      <c r="I392" s="2">
        <v>18</v>
      </c>
      <c r="J392">
        <v>147702</v>
      </c>
      <c r="K392" t="s">
        <v>97</v>
      </c>
      <c r="L392">
        <v>4</v>
      </c>
      <c r="M392" t="s">
        <v>55</v>
      </c>
      <c r="N392" t="s">
        <v>17</v>
      </c>
      <c r="O392" t="s">
        <v>41</v>
      </c>
    </row>
    <row r="393" spans="1:15" x14ac:dyDescent="0.3">
      <c r="A393">
        <v>392</v>
      </c>
      <c r="B393" t="s">
        <v>698</v>
      </c>
      <c r="C393" t="s">
        <v>805</v>
      </c>
      <c r="D393" t="s">
        <v>1495</v>
      </c>
      <c r="E393" t="s">
        <v>129</v>
      </c>
      <c r="F393" s="1">
        <v>41307</v>
      </c>
      <c r="G393" s="2">
        <v>2013</v>
      </c>
      <c r="H393">
        <v>2021</v>
      </c>
      <c r="I393" s="2">
        <v>8</v>
      </c>
      <c r="J393">
        <v>132470</v>
      </c>
      <c r="K393" t="s">
        <v>806</v>
      </c>
      <c r="L393">
        <v>6</v>
      </c>
      <c r="M393" t="s">
        <v>50</v>
      </c>
      <c r="N393" t="s">
        <v>40</v>
      </c>
      <c r="O393" t="s">
        <v>41</v>
      </c>
    </row>
    <row r="394" spans="1:15" x14ac:dyDescent="0.3">
      <c r="A394">
        <v>393</v>
      </c>
      <c r="B394" t="s">
        <v>433</v>
      </c>
      <c r="C394" t="s">
        <v>807</v>
      </c>
      <c r="D394" t="s">
        <v>1495</v>
      </c>
      <c r="E394" t="s">
        <v>238</v>
      </c>
      <c r="F394" s="1">
        <v>36780</v>
      </c>
      <c r="G394" s="2">
        <v>2000</v>
      </c>
      <c r="H394">
        <v>2021</v>
      </c>
      <c r="I394" s="2">
        <v>21</v>
      </c>
      <c r="J394">
        <v>63341</v>
      </c>
      <c r="K394" t="s">
        <v>709</v>
      </c>
      <c r="L394">
        <v>7</v>
      </c>
      <c r="M394" t="s">
        <v>39</v>
      </c>
      <c r="N394" t="s">
        <v>40</v>
      </c>
      <c r="O394" t="s">
        <v>63</v>
      </c>
    </row>
    <row r="395" spans="1:15" x14ac:dyDescent="0.3">
      <c r="A395">
        <v>394</v>
      </c>
      <c r="B395" t="s">
        <v>243</v>
      </c>
      <c r="C395" t="s">
        <v>808</v>
      </c>
      <c r="D395" t="s">
        <v>1495</v>
      </c>
      <c r="E395" t="s">
        <v>129</v>
      </c>
      <c r="F395" s="1">
        <v>37552</v>
      </c>
      <c r="G395" s="2">
        <v>2002</v>
      </c>
      <c r="H395">
        <v>2021</v>
      </c>
      <c r="I395" s="2">
        <v>19</v>
      </c>
      <c r="J395">
        <v>91651</v>
      </c>
      <c r="K395" t="s">
        <v>406</v>
      </c>
      <c r="L395">
        <v>4</v>
      </c>
      <c r="M395" t="s">
        <v>55</v>
      </c>
      <c r="N395" t="s">
        <v>17</v>
      </c>
      <c r="O395" t="s">
        <v>41</v>
      </c>
    </row>
    <row r="396" spans="1:15" x14ac:dyDescent="0.3">
      <c r="A396">
        <v>395</v>
      </c>
      <c r="B396" t="s">
        <v>809</v>
      </c>
      <c r="C396" t="s">
        <v>810</v>
      </c>
      <c r="D396" t="s">
        <v>1494</v>
      </c>
      <c r="E396" t="s">
        <v>73</v>
      </c>
      <c r="F396" s="1">
        <v>41528</v>
      </c>
      <c r="G396" s="2">
        <v>2013</v>
      </c>
      <c r="H396">
        <v>2021</v>
      </c>
      <c r="I396" s="2">
        <v>8</v>
      </c>
      <c r="J396">
        <v>48927</v>
      </c>
      <c r="K396" t="s">
        <v>62</v>
      </c>
      <c r="L396">
        <v>6</v>
      </c>
      <c r="M396" t="s">
        <v>50</v>
      </c>
      <c r="N396" t="s">
        <v>40</v>
      </c>
      <c r="O396" t="s">
        <v>41</v>
      </c>
    </row>
    <row r="397" spans="1:15" x14ac:dyDescent="0.3">
      <c r="A397">
        <v>396</v>
      </c>
      <c r="B397" t="s">
        <v>108</v>
      </c>
      <c r="C397" t="s">
        <v>811</v>
      </c>
      <c r="D397" t="s">
        <v>1495</v>
      </c>
      <c r="E397" t="s">
        <v>85</v>
      </c>
      <c r="F397" s="1">
        <v>41595</v>
      </c>
      <c r="G397" s="2">
        <v>2013</v>
      </c>
      <c r="H397">
        <v>2021</v>
      </c>
      <c r="I397" s="2">
        <v>8</v>
      </c>
      <c r="J397">
        <v>143433</v>
      </c>
      <c r="K397" t="s">
        <v>576</v>
      </c>
      <c r="L397">
        <v>1</v>
      </c>
      <c r="M397" t="s">
        <v>46</v>
      </c>
      <c r="N397" t="s">
        <v>17</v>
      </c>
      <c r="O397" t="s">
        <v>41</v>
      </c>
    </row>
    <row r="398" spans="1:15" x14ac:dyDescent="0.3">
      <c r="A398">
        <v>397</v>
      </c>
      <c r="B398" t="s">
        <v>339</v>
      </c>
      <c r="C398" t="s">
        <v>812</v>
      </c>
      <c r="D398" t="s">
        <v>1494</v>
      </c>
      <c r="E398" t="s">
        <v>53</v>
      </c>
      <c r="F398" s="1">
        <v>38992</v>
      </c>
      <c r="G398" s="2">
        <v>2006</v>
      </c>
      <c r="H398">
        <v>2021</v>
      </c>
      <c r="I398" s="2">
        <v>15</v>
      </c>
      <c r="J398">
        <v>81998</v>
      </c>
      <c r="K398" t="s">
        <v>223</v>
      </c>
      <c r="L398">
        <v>5</v>
      </c>
      <c r="M398" t="s">
        <v>91</v>
      </c>
      <c r="N398" t="s">
        <v>40</v>
      </c>
      <c r="O398" t="s">
        <v>23</v>
      </c>
    </row>
    <row r="399" spans="1:15" x14ac:dyDescent="0.3">
      <c r="A399">
        <v>398</v>
      </c>
      <c r="B399" t="s">
        <v>215</v>
      </c>
      <c r="C399" t="s">
        <v>813</v>
      </c>
      <c r="D399" t="s">
        <v>1495</v>
      </c>
      <c r="E399" t="s">
        <v>89</v>
      </c>
      <c r="F399" s="1">
        <v>37019</v>
      </c>
      <c r="G399" s="2">
        <v>2001</v>
      </c>
      <c r="H399">
        <v>2021</v>
      </c>
      <c r="I399" s="2">
        <v>20</v>
      </c>
      <c r="J399">
        <v>68584</v>
      </c>
      <c r="K399" t="s">
        <v>126</v>
      </c>
      <c r="L399">
        <v>2</v>
      </c>
      <c r="M399" t="s">
        <v>16</v>
      </c>
      <c r="N399" t="s">
        <v>17</v>
      </c>
      <c r="O399" t="s">
        <v>41</v>
      </c>
    </row>
    <row r="400" spans="1:15" x14ac:dyDescent="0.3">
      <c r="A400">
        <v>399</v>
      </c>
      <c r="B400" t="s">
        <v>645</v>
      </c>
      <c r="C400" t="s">
        <v>814</v>
      </c>
      <c r="D400" t="s">
        <v>1495</v>
      </c>
      <c r="E400" t="s">
        <v>14</v>
      </c>
      <c r="F400" s="1">
        <v>39998</v>
      </c>
      <c r="G400" s="2">
        <v>2009</v>
      </c>
      <c r="H400">
        <v>2021</v>
      </c>
      <c r="I400" s="2">
        <v>12</v>
      </c>
      <c r="J400">
        <v>88216</v>
      </c>
      <c r="K400" t="s">
        <v>659</v>
      </c>
      <c r="L400">
        <v>3</v>
      </c>
      <c r="M400" t="s">
        <v>28</v>
      </c>
      <c r="N400" t="s">
        <v>17</v>
      </c>
      <c r="O400" t="s">
        <v>18</v>
      </c>
    </row>
    <row r="401" spans="1:15" x14ac:dyDescent="0.3">
      <c r="A401">
        <v>400</v>
      </c>
      <c r="B401" t="s">
        <v>474</v>
      </c>
      <c r="C401" t="s">
        <v>815</v>
      </c>
      <c r="D401" t="s">
        <v>1494</v>
      </c>
      <c r="E401" t="s">
        <v>203</v>
      </c>
      <c r="F401" s="1">
        <v>40901</v>
      </c>
      <c r="G401" s="2">
        <v>2011</v>
      </c>
      <c r="H401">
        <v>2021</v>
      </c>
      <c r="I401" s="2">
        <v>10</v>
      </c>
      <c r="J401">
        <v>86046</v>
      </c>
      <c r="K401" t="s">
        <v>136</v>
      </c>
      <c r="L401">
        <v>5</v>
      </c>
      <c r="M401" t="s">
        <v>91</v>
      </c>
      <c r="N401" t="s">
        <v>40</v>
      </c>
      <c r="O401" t="s">
        <v>41</v>
      </c>
    </row>
    <row r="402" spans="1:15" x14ac:dyDescent="0.3">
      <c r="A402">
        <v>401</v>
      </c>
      <c r="B402" t="s">
        <v>816</v>
      </c>
      <c r="C402" t="s">
        <v>817</v>
      </c>
      <c r="D402" t="s">
        <v>1495</v>
      </c>
      <c r="E402" t="s">
        <v>148</v>
      </c>
      <c r="F402" s="1">
        <v>39512</v>
      </c>
      <c r="G402" s="2">
        <v>2008</v>
      </c>
      <c r="H402">
        <v>2021</v>
      </c>
      <c r="I402" s="2">
        <v>13</v>
      </c>
      <c r="J402">
        <v>148906</v>
      </c>
      <c r="K402" t="s">
        <v>454</v>
      </c>
      <c r="L402">
        <v>5</v>
      </c>
      <c r="M402" t="s">
        <v>91</v>
      </c>
      <c r="N402" t="s">
        <v>40</v>
      </c>
      <c r="O402" t="s">
        <v>112</v>
      </c>
    </row>
    <row r="403" spans="1:15" x14ac:dyDescent="0.3">
      <c r="A403">
        <v>402</v>
      </c>
      <c r="B403" t="s">
        <v>596</v>
      </c>
      <c r="C403" t="s">
        <v>818</v>
      </c>
      <c r="D403" t="s">
        <v>1495</v>
      </c>
      <c r="E403" t="s">
        <v>69</v>
      </c>
      <c r="F403" s="1">
        <v>39396</v>
      </c>
      <c r="G403" s="2">
        <v>2007</v>
      </c>
      <c r="H403">
        <v>2021</v>
      </c>
      <c r="I403" s="2">
        <v>14</v>
      </c>
      <c r="J403">
        <v>93266</v>
      </c>
      <c r="K403" t="s">
        <v>391</v>
      </c>
      <c r="L403">
        <v>7</v>
      </c>
      <c r="M403" t="s">
        <v>39</v>
      </c>
      <c r="N403" t="s">
        <v>40</v>
      </c>
      <c r="O403" t="s">
        <v>41</v>
      </c>
    </row>
    <row r="404" spans="1:15" x14ac:dyDescent="0.3">
      <c r="A404">
        <v>403</v>
      </c>
      <c r="B404" t="s">
        <v>105</v>
      </c>
      <c r="C404" t="s">
        <v>819</v>
      </c>
      <c r="D404" t="s">
        <v>1495</v>
      </c>
      <c r="E404" t="s">
        <v>89</v>
      </c>
      <c r="F404" s="1">
        <v>37324</v>
      </c>
      <c r="G404" s="2">
        <v>2002</v>
      </c>
      <c r="H404">
        <v>2021</v>
      </c>
      <c r="I404" s="2">
        <v>19</v>
      </c>
      <c r="J404">
        <v>69702</v>
      </c>
      <c r="K404" t="s">
        <v>613</v>
      </c>
      <c r="L404">
        <v>1</v>
      </c>
      <c r="M404" t="s">
        <v>46</v>
      </c>
      <c r="N404" t="s">
        <v>17</v>
      </c>
      <c r="O404" t="s">
        <v>41</v>
      </c>
    </row>
    <row r="405" spans="1:15" x14ac:dyDescent="0.3">
      <c r="A405">
        <v>404</v>
      </c>
      <c r="B405" t="s">
        <v>375</v>
      </c>
      <c r="C405" t="s">
        <v>820</v>
      </c>
      <c r="D405" t="s">
        <v>1495</v>
      </c>
      <c r="E405" t="s">
        <v>148</v>
      </c>
      <c r="F405" s="1">
        <v>40540</v>
      </c>
      <c r="G405" s="2">
        <v>2010</v>
      </c>
      <c r="H405">
        <v>2021</v>
      </c>
      <c r="I405" s="2">
        <v>11</v>
      </c>
      <c r="J405">
        <v>43366</v>
      </c>
      <c r="K405" t="s">
        <v>821</v>
      </c>
      <c r="L405">
        <v>4</v>
      </c>
      <c r="M405" t="s">
        <v>55</v>
      </c>
      <c r="N405" t="s">
        <v>17</v>
      </c>
      <c r="O405" t="s">
        <v>112</v>
      </c>
    </row>
    <row r="406" spans="1:15" x14ac:dyDescent="0.3">
      <c r="A406">
        <v>405</v>
      </c>
      <c r="B406" t="s">
        <v>83</v>
      </c>
      <c r="C406" t="s">
        <v>822</v>
      </c>
      <c r="D406" t="s">
        <v>1494</v>
      </c>
      <c r="E406" t="s">
        <v>100</v>
      </c>
      <c r="F406" s="1">
        <v>38491</v>
      </c>
      <c r="G406" s="2">
        <v>2005</v>
      </c>
      <c r="H406">
        <v>2021</v>
      </c>
      <c r="I406" s="2">
        <v>16</v>
      </c>
      <c r="J406">
        <v>101945</v>
      </c>
      <c r="K406" t="s">
        <v>228</v>
      </c>
      <c r="L406">
        <v>2</v>
      </c>
      <c r="M406" t="s">
        <v>16</v>
      </c>
      <c r="N406" t="s">
        <v>17</v>
      </c>
      <c r="O406" t="s">
        <v>29</v>
      </c>
    </row>
    <row r="407" spans="1:15" x14ac:dyDescent="0.3">
      <c r="A407">
        <v>406</v>
      </c>
      <c r="B407" t="s">
        <v>521</v>
      </c>
      <c r="C407" t="s">
        <v>823</v>
      </c>
      <c r="D407" t="s">
        <v>1494</v>
      </c>
      <c r="E407" t="s">
        <v>53</v>
      </c>
      <c r="F407" s="1">
        <v>37653</v>
      </c>
      <c r="G407" s="2">
        <v>2003</v>
      </c>
      <c r="H407">
        <v>2021</v>
      </c>
      <c r="I407" s="2">
        <v>18</v>
      </c>
      <c r="J407">
        <v>54007</v>
      </c>
      <c r="K407" t="s">
        <v>500</v>
      </c>
      <c r="L407">
        <v>5</v>
      </c>
      <c r="M407" t="s">
        <v>91</v>
      </c>
      <c r="N407" t="s">
        <v>40</v>
      </c>
      <c r="O407" t="s">
        <v>23</v>
      </c>
    </row>
    <row r="408" spans="1:15" x14ac:dyDescent="0.3">
      <c r="A408">
        <v>407</v>
      </c>
      <c r="B408" t="s">
        <v>233</v>
      </c>
      <c r="C408" t="s">
        <v>824</v>
      </c>
      <c r="D408" t="s">
        <v>1494</v>
      </c>
      <c r="E408" t="s">
        <v>73</v>
      </c>
      <c r="F408" s="1">
        <v>41373</v>
      </c>
      <c r="G408" s="2">
        <v>2013</v>
      </c>
      <c r="H408">
        <v>2021</v>
      </c>
      <c r="I408" s="2">
        <v>8</v>
      </c>
      <c r="J408">
        <v>54704</v>
      </c>
      <c r="K408" t="s">
        <v>430</v>
      </c>
      <c r="L408">
        <v>3</v>
      </c>
      <c r="M408" t="s">
        <v>28</v>
      </c>
      <c r="N408" t="s">
        <v>17</v>
      </c>
      <c r="O408" t="s">
        <v>41</v>
      </c>
    </row>
    <row r="409" spans="1:15" x14ac:dyDescent="0.3">
      <c r="A409">
        <v>408</v>
      </c>
      <c r="B409" t="s">
        <v>331</v>
      </c>
      <c r="C409" t="s">
        <v>825</v>
      </c>
      <c r="D409" t="s">
        <v>1495</v>
      </c>
      <c r="E409" t="s">
        <v>14</v>
      </c>
      <c r="F409" s="1">
        <v>39399</v>
      </c>
      <c r="G409" s="2">
        <v>2007</v>
      </c>
      <c r="H409">
        <v>2021</v>
      </c>
      <c r="I409" s="2">
        <v>14</v>
      </c>
      <c r="J409">
        <v>93954</v>
      </c>
      <c r="K409" t="s">
        <v>454</v>
      </c>
      <c r="L409">
        <v>5</v>
      </c>
      <c r="M409" t="s">
        <v>91</v>
      </c>
      <c r="N409" t="s">
        <v>40</v>
      </c>
      <c r="O409" t="s">
        <v>18</v>
      </c>
    </row>
    <row r="410" spans="1:15" x14ac:dyDescent="0.3">
      <c r="A410">
        <v>409</v>
      </c>
      <c r="B410" t="s">
        <v>268</v>
      </c>
      <c r="C410" t="s">
        <v>826</v>
      </c>
      <c r="D410" t="s">
        <v>1495</v>
      </c>
      <c r="E410" t="s">
        <v>89</v>
      </c>
      <c r="F410" s="1">
        <v>39194</v>
      </c>
      <c r="G410" s="2">
        <v>2007</v>
      </c>
      <c r="H410">
        <v>2021</v>
      </c>
      <c r="I410" s="2">
        <v>14</v>
      </c>
      <c r="J410">
        <v>58235</v>
      </c>
      <c r="K410" t="s">
        <v>430</v>
      </c>
      <c r="L410">
        <v>6</v>
      </c>
      <c r="M410" t="s">
        <v>50</v>
      </c>
      <c r="N410" t="s">
        <v>40</v>
      </c>
      <c r="O410" t="s">
        <v>41</v>
      </c>
    </row>
    <row r="411" spans="1:15" x14ac:dyDescent="0.3">
      <c r="A411">
        <v>410</v>
      </c>
      <c r="B411" t="s">
        <v>51</v>
      </c>
      <c r="C411" t="s">
        <v>827</v>
      </c>
      <c r="D411" t="s">
        <v>1495</v>
      </c>
      <c r="E411" t="s">
        <v>44</v>
      </c>
      <c r="F411" s="1">
        <v>40915</v>
      </c>
      <c r="G411" s="2">
        <v>2012</v>
      </c>
      <c r="H411">
        <v>2021</v>
      </c>
      <c r="I411" s="2">
        <v>9</v>
      </c>
      <c r="J411">
        <v>148940</v>
      </c>
      <c r="K411" t="s">
        <v>247</v>
      </c>
      <c r="L411">
        <v>6</v>
      </c>
      <c r="M411" t="s">
        <v>50</v>
      </c>
      <c r="N411" t="s">
        <v>40</v>
      </c>
      <c r="O411" t="s">
        <v>29</v>
      </c>
    </row>
    <row r="412" spans="1:15" x14ac:dyDescent="0.3">
      <c r="A412">
        <v>411</v>
      </c>
      <c r="B412" t="s">
        <v>423</v>
      </c>
      <c r="C412" t="s">
        <v>828</v>
      </c>
      <c r="D412" t="s">
        <v>1494</v>
      </c>
      <c r="E412" t="s">
        <v>85</v>
      </c>
      <c r="F412" s="1">
        <v>37720</v>
      </c>
      <c r="G412" s="2">
        <v>2003</v>
      </c>
      <c r="H412">
        <v>2021</v>
      </c>
      <c r="I412" s="2">
        <v>18</v>
      </c>
      <c r="J412">
        <v>110615</v>
      </c>
      <c r="K412" t="s">
        <v>539</v>
      </c>
      <c r="L412">
        <v>6</v>
      </c>
      <c r="M412" t="s">
        <v>50</v>
      </c>
      <c r="N412" t="s">
        <v>40</v>
      </c>
      <c r="O412" t="s">
        <v>41</v>
      </c>
    </row>
    <row r="413" spans="1:15" x14ac:dyDescent="0.3">
      <c r="A413">
        <v>412</v>
      </c>
      <c r="B413" t="s">
        <v>233</v>
      </c>
      <c r="C413" t="s">
        <v>829</v>
      </c>
      <c r="D413" t="s">
        <v>1494</v>
      </c>
      <c r="E413" t="s">
        <v>32</v>
      </c>
      <c r="F413" s="1">
        <v>40922</v>
      </c>
      <c r="G413" s="2">
        <v>2012</v>
      </c>
      <c r="H413">
        <v>2021</v>
      </c>
      <c r="I413" s="3">
        <v>9</v>
      </c>
      <c r="J413">
        <v>94596</v>
      </c>
      <c r="K413" t="s">
        <v>228</v>
      </c>
      <c r="L413">
        <v>1</v>
      </c>
      <c r="M413" t="s">
        <v>46</v>
      </c>
      <c r="N413" t="s">
        <v>17</v>
      </c>
      <c r="O413" t="s">
        <v>34</v>
      </c>
    </row>
    <row r="414" spans="1:15" x14ac:dyDescent="0.3">
      <c r="A414">
        <v>413</v>
      </c>
      <c r="B414" t="s">
        <v>830</v>
      </c>
      <c r="C414" t="s">
        <v>831</v>
      </c>
      <c r="D414" t="s">
        <v>1495</v>
      </c>
      <c r="E414" t="s">
        <v>203</v>
      </c>
      <c r="F414" s="1">
        <v>39710</v>
      </c>
      <c r="G414" s="2">
        <v>2008</v>
      </c>
      <c r="H414">
        <v>2021</v>
      </c>
      <c r="I414" s="2">
        <v>13</v>
      </c>
      <c r="J414">
        <v>94502</v>
      </c>
      <c r="K414" t="s">
        <v>45</v>
      </c>
      <c r="L414">
        <v>1</v>
      </c>
      <c r="M414" t="s">
        <v>46</v>
      </c>
      <c r="N414" t="s">
        <v>17</v>
      </c>
      <c r="O414" t="s">
        <v>41</v>
      </c>
    </row>
    <row r="415" spans="1:15" x14ac:dyDescent="0.3">
      <c r="A415">
        <v>414</v>
      </c>
      <c r="B415" t="s">
        <v>519</v>
      </c>
      <c r="C415" t="s">
        <v>832</v>
      </c>
      <c r="D415" t="s">
        <v>1494</v>
      </c>
      <c r="E415" t="s">
        <v>79</v>
      </c>
      <c r="F415" s="1">
        <v>40765</v>
      </c>
      <c r="G415" s="2">
        <v>2011</v>
      </c>
      <c r="H415">
        <v>2021</v>
      </c>
      <c r="I415" s="2">
        <v>10</v>
      </c>
      <c r="J415">
        <v>72505</v>
      </c>
      <c r="K415" t="s">
        <v>204</v>
      </c>
      <c r="L415">
        <v>3</v>
      </c>
      <c r="M415" t="s">
        <v>28</v>
      </c>
      <c r="N415" t="s">
        <v>17</v>
      </c>
      <c r="O415" t="s">
        <v>41</v>
      </c>
    </row>
    <row r="416" spans="1:15" x14ac:dyDescent="0.3">
      <c r="A416">
        <v>415</v>
      </c>
      <c r="B416" t="s">
        <v>645</v>
      </c>
      <c r="C416" t="s">
        <v>833</v>
      </c>
      <c r="D416" t="s">
        <v>1494</v>
      </c>
      <c r="E416" t="s">
        <v>53</v>
      </c>
      <c r="F416" s="1">
        <v>37060</v>
      </c>
      <c r="G416" s="2">
        <v>2001</v>
      </c>
      <c r="H416">
        <v>2021</v>
      </c>
      <c r="I416" s="2">
        <v>20</v>
      </c>
      <c r="J416">
        <v>147150</v>
      </c>
      <c r="K416" t="s">
        <v>430</v>
      </c>
      <c r="L416">
        <v>6</v>
      </c>
      <c r="M416" t="s">
        <v>50</v>
      </c>
      <c r="N416" t="s">
        <v>40</v>
      </c>
      <c r="O416" t="s">
        <v>23</v>
      </c>
    </row>
    <row r="417" spans="1:15" x14ac:dyDescent="0.3">
      <c r="A417">
        <v>416</v>
      </c>
      <c r="B417" t="s">
        <v>465</v>
      </c>
      <c r="C417" t="s">
        <v>834</v>
      </c>
      <c r="D417" t="s">
        <v>1495</v>
      </c>
      <c r="E417" t="s">
        <v>129</v>
      </c>
      <c r="F417" s="1">
        <v>37296</v>
      </c>
      <c r="G417" s="2">
        <v>2002</v>
      </c>
      <c r="H417">
        <v>2021</v>
      </c>
      <c r="I417" s="2">
        <v>19</v>
      </c>
      <c r="J417">
        <v>66313</v>
      </c>
      <c r="K417" t="s">
        <v>613</v>
      </c>
      <c r="L417">
        <v>5</v>
      </c>
      <c r="M417" t="s">
        <v>91</v>
      </c>
      <c r="N417" t="s">
        <v>40</v>
      </c>
      <c r="O417" t="s">
        <v>41</v>
      </c>
    </row>
    <row r="418" spans="1:15" x14ac:dyDescent="0.3">
      <c r="A418">
        <v>417</v>
      </c>
      <c r="B418" t="s">
        <v>544</v>
      </c>
      <c r="C418" t="s">
        <v>835</v>
      </c>
      <c r="D418" t="s">
        <v>1494</v>
      </c>
      <c r="E418" t="s">
        <v>94</v>
      </c>
      <c r="F418" s="1">
        <v>37564</v>
      </c>
      <c r="G418" s="2">
        <v>2002</v>
      </c>
      <c r="H418">
        <v>2021</v>
      </c>
      <c r="I418" s="2">
        <v>19</v>
      </c>
      <c r="J418">
        <v>97372</v>
      </c>
      <c r="K418" t="s">
        <v>836</v>
      </c>
      <c r="L418">
        <v>6</v>
      </c>
      <c r="M418" t="s">
        <v>50</v>
      </c>
      <c r="N418" t="s">
        <v>40</v>
      </c>
      <c r="O418" t="s">
        <v>18</v>
      </c>
    </row>
    <row r="419" spans="1:15" x14ac:dyDescent="0.3">
      <c r="A419">
        <v>418</v>
      </c>
      <c r="B419" t="s">
        <v>491</v>
      </c>
      <c r="C419" t="s">
        <v>837</v>
      </c>
      <c r="D419" t="s">
        <v>1495</v>
      </c>
      <c r="E419" t="s">
        <v>89</v>
      </c>
      <c r="F419" s="1">
        <v>41549</v>
      </c>
      <c r="G419" s="2">
        <v>2013</v>
      </c>
      <c r="H419">
        <v>2021</v>
      </c>
      <c r="I419" s="2">
        <v>8</v>
      </c>
      <c r="J419">
        <v>149598</v>
      </c>
      <c r="K419" t="s">
        <v>459</v>
      </c>
      <c r="L419">
        <v>3</v>
      </c>
      <c r="M419" t="s">
        <v>28</v>
      </c>
      <c r="N419" t="s">
        <v>17</v>
      </c>
      <c r="O419" t="s">
        <v>41</v>
      </c>
    </row>
    <row r="420" spans="1:15" x14ac:dyDescent="0.3">
      <c r="A420">
        <v>419</v>
      </c>
      <c r="B420" t="s">
        <v>182</v>
      </c>
      <c r="C420" t="s">
        <v>838</v>
      </c>
      <c r="D420" t="s">
        <v>1494</v>
      </c>
      <c r="E420" t="s">
        <v>203</v>
      </c>
      <c r="F420" s="1">
        <v>39500</v>
      </c>
      <c r="G420" s="2">
        <v>2008</v>
      </c>
      <c r="H420">
        <v>2021</v>
      </c>
      <c r="I420" s="2">
        <v>13</v>
      </c>
      <c r="J420">
        <v>104224</v>
      </c>
      <c r="K420" t="s">
        <v>397</v>
      </c>
      <c r="L420">
        <v>5</v>
      </c>
      <c r="M420" t="s">
        <v>91</v>
      </c>
      <c r="N420" t="s">
        <v>40</v>
      </c>
      <c r="O420" t="s">
        <v>41</v>
      </c>
    </row>
    <row r="421" spans="1:15" x14ac:dyDescent="0.3">
      <c r="A421">
        <v>420</v>
      </c>
      <c r="B421" t="s">
        <v>426</v>
      </c>
      <c r="C421" t="s">
        <v>839</v>
      </c>
      <c r="D421" t="s">
        <v>1495</v>
      </c>
      <c r="E421" t="s">
        <v>44</v>
      </c>
      <c r="F421" s="1">
        <v>39349</v>
      </c>
      <c r="G421" s="2">
        <v>2007</v>
      </c>
      <c r="H421">
        <v>2021</v>
      </c>
      <c r="I421" s="2">
        <v>14</v>
      </c>
      <c r="J421">
        <v>95583</v>
      </c>
      <c r="K421" t="s">
        <v>156</v>
      </c>
      <c r="L421">
        <v>2</v>
      </c>
      <c r="M421" t="s">
        <v>16</v>
      </c>
      <c r="N421" t="s">
        <v>17</v>
      </c>
      <c r="O421" t="s">
        <v>29</v>
      </c>
    </row>
    <row r="422" spans="1:15" x14ac:dyDescent="0.3">
      <c r="A422">
        <v>421</v>
      </c>
      <c r="B422" t="s">
        <v>361</v>
      </c>
      <c r="C422" t="s">
        <v>840</v>
      </c>
      <c r="D422" t="s">
        <v>1495</v>
      </c>
      <c r="E422" t="s">
        <v>238</v>
      </c>
      <c r="F422" s="1">
        <v>36896</v>
      </c>
      <c r="G422" s="2">
        <v>2001</v>
      </c>
      <c r="H422">
        <v>2021</v>
      </c>
      <c r="I422" s="2">
        <v>20</v>
      </c>
      <c r="J422">
        <v>92043</v>
      </c>
      <c r="K422" t="s">
        <v>139</v>
      </c>
      <c r="L422">
        <v>3</v>
      </c>
      <c r="M422" t="s">
        <v>28</v>
      </c>
      <c r="N422" t="s">
        <v>17</v>
      </c>
      <c r="O422" t="s">
        <v>63</v>
      </c>
    </row>
    <row r="423" spans="1:15" x14ac:dyDescent="0.3">
      <c r="A423">
        <v>422</v>
      </c>
      <c r="B423" t="s">
        <v>134</v>
      </c>
      <c r="C423" t="s">
        <v>841</v>
      </c>
      <c r="D423" t="s">
        <v>1495</v>
      </c>
      <c r="E423" t="s">
        <v>14</v>
      </c>
      <c r="F423" s="1">
        <v>40073</v>
      </c>
      <c r="G423" s="2">
        <v>2009</v>
      </c>
      <c r="H423">
        <v>2021</v>
      </c>
      <c r="I423" s="2">
        <v>12</v>
      </c>
      <c r="J423">
        <v>118307</v>
      </c>
      <c r="K423" t="s">
        <v>842</v>
      </c>
      <c r="L423">
        <v>1</v>
      </c>
      <c r="M423" t="s">
        <v>46</v>
      </c>
      <c r="N423" t="s">
        <v>17</v>
      </c>
      <c r="O423" t="s">
        <v>18</v>
      </c>
    </row>
    <row r="424" spans="1:15" x14ac:dyDescent="0.3">
      <c r="A424">
        <v>423</v>
      </c>
      <c r="B424" t="s">
        <v>560</v>
      </c>
      <c r="C424" t="s">
        <v>843</v>
      </c>
      <c r="D424" t="s">
        <v>1495</v>
      </c>
      <c r="E424" t="s">
        <v>32</v>
      </c>
      <c r="F424" s="1">
        <v>40674</v>
      </c>
      <c r="G424" s="2">
        <v>2011</v>
      </c>
      <c r="H424">
        <v>2021</v>
      </c>
      <c r="I424" s="3">
        <v>10</v>
      </c>
      <c r="J424">
        <v>145281</v>
      </c>
      <c r="K424" t="s">
        <v>196</v>
      </c>
      <c r="L424">
        <v>4</v>
      </c>
      <c r="M424" t="s">
        <v>55</v>
      </c>
      <c r="N424" t="s">
        <v>17</v>
      </c>
      <c r="O424" t="s">
        <v>34</v>
      </c>
    </row>
    <row r="425" spans="1:15" x14ac:dyDescent="0.3">
      <c r="A425">
        <v>424</v>
      </c>
      <c r="B425" t="s">
        <v>671</v>
      </c>
      <c r="C425" t="s">
        <v>844</v>
      </c>
      <c r="D425" t="s">
        <v>1495</v>
      </c>
      <c r="E425" t="s">
        <v>89</v>
      </c>
      <c r="F425" s="1">
        <v>41506</v>
      </c>
      <c r="G425" s="2">
        <v>2013</v>
      </c>
      <c r="H425">
        <v>2021</v>
      </c>
      <c r="I425" s="2">
        <v>8</v>
      </c>
      <c r="J425">
        <v>148640</v>
      </c>
      <c r="K425" t="s">
        <v>510</v>
      </c>
      <c r="L425">
        <v>4</v>
      </c>
      <c r="M425" t="s">
        <v>55</v>
      </c>
      <c r="N425" t="s">
        <v>17</v>
      </c>
      <c r="O425" t="s">
        <v>41</v>
      </c>
    </row>
    <row r="426" spans="1:15" x14ac:dyDescent="0.3">
      <c r="A426">
        <v>425</v>
      </c>
      <c r="B426" t="s">
        <v>845</v>
      </c>
      <c r="C426" t="s">
        <v>846</v>
      </c>
      <c r="D426" t="s">
        <v>1495</v>
      </c>
      <c r="E426" t="s">
        <v>14</v>
      </c>
      <c r="F426" s="1">
        <v>36776</v>
      </c>
      <c r="G426" s="2">
        <v>2000</v>
      </c>
      <c r="H426">
        <v>2021</v>
      </c>
      <c r="I426" s="2">
        <v>21</v>
      </c>
      <c r="J426">
        <v>125523</v>
      </c>
      <c r="K426" t="s">
        <v>22</v>
      </c>
      <c r="L426">
        <v>7</v>
      </c>
      <c r="M426" t="s">
        <v>39</v>
      </c>
      <c r="N426" t="s">
        <v>40</v>
      </c>
      <c r="O426" t="s">
        <v>18</v>
      </c>
    </row>
    <row r="427" spans="1:15" x14ac:dyDescent="0.3">
      <c r="A427">
        <v>426</v>
      </c>
      <c r="B427" t="s">
        <v>512</v>
      </c>
      <c r="C427" t="s">
        <v>847</v>
      </c>
      <c r="D427" t="s">
        <v>1494</v>
      </c>
      <c r="E427" t="s">
        <v>85</v>
      </c>
      <c r="F427" s="1">
        <v>39825</v>
      </c>
      <c r="G427" s="2">
        <v>2009</v>
      </c>
      <c r="H427">
        <v>2021</v>
      </c>
      <c r="I427" s="2">
        <v>12</v>
      </c>
      <c r="J427">
        <v>49503</v>
      </c>
      <c r="K427" t="s">
        <v>209</v>
      </c>
      <c r="L427">
        <v>5</v>
      </c>
      <c r="M427" t="s">
        <v>91</v>
      </c>
      <c r="N427" t="s">
        <v>40</v>
      </c>
      <c r="O427" t="s">
        <v>41</v>
      </c>
    </row>
    <row r="428" spans="1:15" x14ac:dyDescent="0.3">
      <c r="A428">
        <v>427</v>
      </c>
      <c r="B428" t="s">
        <v>642</v>
      </c>
      <c r="C428" t="s">
        <v>848</v>
      </c>
      <c r="D428" t="s">
        <v>1495</v>
      </c>
      <c r="E428" t="s">
        <v>21</v>
      </c>
      <c r="F428" s="1">
        <v>36779</v>
      </c>
      <c r="G428" s="2">
        <v>2000</v>
      </c>
      <c r="H428">
        <v>2021</v>
      </c>
      <c r="I428" s="2">
        <v>21</v>
      </c>
      <c r="J428">
        <v>146611</v>
      </c>
      <c r="K428" t="s">
        <v>374</v>
      </c>
      <c r="L428">
        <v>7</v>
      </c>
      <c r="M428" t="s">
        <v>39</v>
      </c>
      <c r="N428" t="s">
        <v>40</v>
      </c>
      <c r="O428" t="s">
        <v>23</v>
      </c>
    </row>
    <row r="429" spans="1:15" x14ac:dyDescent="0.3">
      <c r="A429">
        <v>428</v>
      </c>
      <c r="B429" t="s">
        <v>71</v>
      </c>
      <c r="C429" t="s">
        <v>849</v>
      </c>
      <c r="D429" t="s">
        <v>1495</v>
      </c>
      <c r="E429" t="s">
        <v>21</v>
      </c>
      <c r="F429" s="1">
        <v>40947</v>
      </c>
      <c r="G429" s="2">
        <v>2012</v>
      </c>
      <c r="H429">
        <v>2021</v>
      </c>
      <c r="I429" s="2">
        <v>9</v>
      </c>
      <c r="J429">
        <v>125465</v>
      </c>
      <c r="K429" t="s">
        <v>527</v>
      </c>
      <c r="L429">
        <v>1</v>
      </c>
      <c r="M429" t="s">
        <v>46</v>
      </c>
      <c r="N429" t="s">
        <v>17</v>
      </c>
      <c r="O429" t="s">
        <v>23</v>
      </c>
    </row>
    <row r="430" spans="1:15" x14ac:dyDescent="0.3">
      <c r="A430">
        <v>429</v>
      </c>
      <c r="B430" t="s">
        <v>284</v>
      </c>
      <c r="C430" t="s">
        <v>850</v>
      </c>
      <c r="D430" t="s">
        <v>1495</v>
      </c>
      <c r="E430" t="s">
        <v>69</v>
      </c>
      <c r="F430" s="1">
        <v>37644</v>
      </c>
      <c r="G430" s="2">
        <v>2003</v>
      </c>
      <c r="H430">
        <v>2021</v>
      </c>
      <c r="I430" s="2">
        <v>18</v>
      </c>
      <c r="J430">
        <v>75024</v>
      </c>
      <c r="K430" t="s">
        <v>490</v>
      </c>
      <c r="L430">
        <v>6</v>
      </c>
      <c r="M430" t="s">
        <v>50</v>
      </c>
      <c r="N430" t="s">
        <v>40</v>
      </c>
      <c r="O430" t="s">
        <v>41</v>
      </c>
    </row>
    <row r="431" spans="1:15" x14ac:dyDescent="0.3">
      <c r="A431">
        <v>430</v>
      </c>
      <c r="B431" t="s">
        <v>766</v>
      </c>
      <c r="C431" t="s">
        <v>851</v>
      </c>
      <c r="D431" t="s">
        <v>1494</v>
      </c>
      <c r="E431" t="s">
        <v>21</v>
      </c>
      <c r="F431" s="1">
        <v>40841</v>
      </c>
      <c r="G431" s="2">
        <v>2011</v>
      </c>
      <c r="H431">
        <v>2021</v>
      </c>
      <c r="I431" s="2">
        <v>10</v>
      </c>
      <c r="J431">
        <v>60793</v>
      </c>
      <c r="K431" t="s">
        <v>204</v>
      </c>
      <c r="L431">
        <v>7</v>
      </c>
      <c r="M431" t="s">
        <v>39</v>
      </c>
      <c r="N431" t="s">
        <v>40</v>
      </c>
      <c r="O431" t="s">
        <v>23</v>
      </c>
    </row>
    <row r="432" spans="1:15" x14ac:dyDescent="0.3">
      <c r="A432">
        <v>431</v>
      </c>
      <c r="B432" t="s">
        <v>852</v>
      </c>
      <c r="C432" t="s">
        <v>853</v>
      </c>
      <c r="D432" t="s">
        <v>1495</v>
      </c>
      <c r="E432" t="s">
        <v>44</v>
      </c>
      <c r="F432" s="1">
        <v>40335</v>
      </c>
      <c r="G432" s="2">
        <v>2010</v>
      </c>
      <c r="H432">
        <v>2021</v>
      </c>
      <c r="I432" s="2">
        <v>11</v>
      </c>
      <c r="J432">
        <v>110744</v>
      </c>
      <c r="K432" t="s">
        <v>133</v>
      </c>
      <c r="L432">
        <v>2</v>
      </c>
      <c r="M432" t="s">
        <v>16</v>
      </c>
      <c r="N432" t="s">
        <v>17</v>
      </c>
      <c r="O432" t="s">
        <v>29</v>
      </c>
    </row>
    <row r="433" spans="1:15" x14ac:dyDescent="0.3">
      <c r="A433">
        <v>432</v>
      </c>
      <c r="B433" t="s">
        <v>622</v>
      </c>
      <c r="C433" t="s">
        <v>854</v>
      </c>
      <c r="D433" t="s">
        <v>1495</v>
      </c>
      <c r="E433" t="s">
        <v>32</v>
      </c>
      <c r="F433" s="1">
        <v>38950</v>
      </c>
      <c r="G433" s="2">
        <v>2006</v>
      </c>
      <c r="H433">
        <v>2021</v>
      </c>
      <c r="I433" s="3">
        <v>15</v>
      </c>
      <c r="J433">
        <v>46653</v>
      </c>
      <c r="K433" t="s">
        <v>204</v>
      </c>
      <c r="L433">
        <v>4</v>
      </c>
      <c r="M433" t="s">
        <v>55</v>
      </c>
      <c r="N433" t="s">
        <v>17</v>
      </c>
      <c r="O433" t="s">
        <v>34</v>
      </c>
    </row>
    <row r="434" spans="1:15" x14ac:dyDescent="0.3">
      <c r="A434">
        <v>433</v>
      </c>
      <c r="B434" t="s">
        <v>816</v>
      </c>
      <c r="C434" t="s">
        <v>855</v>
      </c>
      <c r="D434" t="s">
        <v>1494</v>
      </c>
      <c r="E434" t="s">
        <v>79</v>
      </c>
      <c r="F434" s="1">
        <v>41763</v>
      </c>
      <c r="G434" s="2">
        <v>2014</v>
      </c>
      <c r="H434">
        <v>2021</v>
      </c>
      <c r="I434" s="2">
        <v>7</v>
      </c>
      <c r="J434">
        <v>114919</v>
      </c>
      <c r="K434" t="s">
        <v>232</v>
      </c>
      <c r="L434">
        <v>7</v>
      </c>
      <c r="M434" t="s">
        <v>39</v>
      </c>
      <c r="N434" t="s">
        <v>40</v>
      </c>
      <c r="O434" t="s">
        <v>41</v>
      </c>
    </row>
    <row r="435" spans="1:15" x14ac:dyDescent="0.3">
      <c r="A435">
        <v>434</v>
      </c>
      <c r="B435" t="s">
        <v>856</v>
      </c>
      <c r="C435" t="s">
        <v>857</v>
      </c>
      <c r="D435" t="s">
        <v>1495</v>
      </c>
      <c r="E435" t="s">
        <v>14</v>
      </c>
      <c r="F435" s="1">
        <v>36731</v>
      </c>
      <c r="G435" s="2">
        <v>2000</v>
      </c>
      <c r="H435">
        <v>2021</v>
      </c>
      <c r="I435" s="2">
        <v>21</v>
      </c>
      <c r="J435">
        <v>98733</v>
      </c>
      <c r="K435" t="s">
        <v>149</v>
      </c>
      <c r="L435">
        <v>4</v>
      </c>
      <c r="M435" t="s">
        <v>55</v>
      </c>
      <c r="N435" t="s">
        <v>17</v>
      </c>
      <c r="O435" t="s">
        <v>18</v>
      </c>
    </row>
    <row r="436" spans="1:15" x14ac:dyDescent="0.3">
      <c r="A436">
        <v>435</v>
      </c>
      <c r="B436" t="s">
        <v>35</v>
      </c>
      <c r="C436" t="s">
        <v>858</v>
      </c>
      <c r="D436" t="s">
        <v>1495</v>
      </c>
      <c r="E436" t="s">
        <v>203</v>
      </c>
      <c r="F436" s="1">
        <v>39683</v>
      </c>
      <c r="G436" s="2">
        <v>2008</v>
      </c>
      <c r="H436">
        <v>2021</v>
      </c>
      <c r="I436" s="2">
        <v>13</v>
      </c>
      <c r="J436">
        <v>139775</v>
      </c>
      <c r="K436" t="s">
        <v>287</v>
      </c>
      <c r="L436">
        <v>1</v>
      </c>
      <c r="M436" t="s">
        <v>46</v>
      </c>
      <c r="N436" t="s">
        <v>17</v>
      </c>
      <c r="O436" t="s">
        <v>41</v>
      </c>
    </row>
    <row r="437" spans="1:15" x14ac:dyDescent="0.3">
      <c r="A437">
        <v>436</v>
      </c>
      <c r="B437" t="s">
        <v>852</v>
      </c>
      <c r="C437" t="s">
        <v>859</v>
      </c>
      <c r="D437" t="s">
        <v>1495</v>
      </c>
      <c r="E437" t="s">
        <v>32</v>
      </c>
      <c r="F437" s="1">
        <v>38482</v>
      </c>
      <c r="G437" s="2">
        <v>2005</v>
      </c>
      <c r="H437">
        <v>2021</v>
      </c>
      <c r="I437" s="3">
        <v>16</v>
      </c>
      <c r="J437">
        <v>69559</v>
      </c>
      <c r="K437" t="s">
        <v>733</v>
      </c>
      <c r="L437">
        <v>3</v>
      </c>
      <c r="M437" t="s">
        <v>28</v>
      </c>
      <c r="N437" t="s">
        <v>17</v>
      </c>
      <c r="O437" t="s">
        <v>34</v>
      </c>
    </row>
    <row r="438" spans="1:15" x14ac:dyDescent="0.3">
      <c r="A438">
        <v>437</v>
      </c>
      <c r="B438" t="s">
        <v>414</v>
      </c>
      <c r="C438" t="s">
        <v>860</v>
      </c>
      <c r="D438" t="s">
        <v>1494</v>
      </c>
      <c r="E438" t="s">
        <v>61</v>
      </c>
      <c r="F438" s="1">
        <v>39273</v>
      </c>
      <c r="G438" s="2">
        <v>2007</v>
      </c>
      <c r="H438">
        <v>2021</v>
      </c>
      <c r="I438" s="2">
        <v>14</v>
      </c>
      <c r="J438">
        <v>48934</v>
      </c>
      <c r="K438" t="s">
        <v>169</v>
      </c>
      <c r="L438">
        <v>6</v>
      </c>
      <c r="M438" t="s">
        <v>50</v>
      </c>
      <c r="N438" t="s">
        <v>40</v>
      </c>
      <c r="O438" t="s">
        <v>63</v>
      </c>
    </row>
    <row r="439" spans="1:15" x14ac:dyDescent="0.3">
      <c r="A439">
        <v>438</v>
      </c>
      <c r="B439" t="s">
        <v>508</v>
      </c>
      <c r="C439" t="s">
        <v>861</v>
      </c>
      <c r="D439" t="s">
        <v>1494</v>
      </c>
      <c r="E439" t="s">
        <v>37</v>
      </c>
      <c r="F439" s="1">
        <v>41754</v>
      </c>
      <c r="G439" s="2">
        <v>2014</v>
      </c>
      <c r="H439">
        <v>2021</v>
      </c>
      <c r="I439" s="2">
        <v>7</v>
      </c>
      <c r="J439">
        <v>79980</v>
      </c>
      <c r="K439" t="s">
        <v>391</v>
      </c>
      <c r="L439">
        <v>5</v>
      </c>
      <c r="M439" t="s">
        <v>91</v>
      </c>
      <c r="N439" t="s">
        <v>40</v>
      </c>
      <c r="O439" t="s">
        <v>41</v>
      </c>
    </row>
    <row r="440" spans="1:15" x14ac:dyDescent="0.3">
      <c r="A440">
        <v>439</v>
      </c>
      <c r="B440" t="s">
        <v>210</v>
      </c>
      <c r="C440" t="s">
        <v>862</v>
      </c>
      <c r="D440" t="s">
        <v>1494</v>
      </c>
      <c r="E440" t="s">
        <v>69</v>
      </c>
      <c r="F440" s="1">
        <v>37347</v>
      </c>
      <c r="G440" s="2">
        <v>2002</v>
      </c>
      <c r="H440">
        <v>2021</v>
      </c>
      <c r="I440" s="2">
        <v>19</v>
      </c>
      <c r="J440">
        <v>108854</v>
      </c>
      <c r="K440" t="s">
        <v>181</v>
      </c>
      <c r="L440">
        <v>4</v>
      </c>
      <c r="M440" t="s">
        <v>55</v>
      </c>
      <c r="N440" t="s">
        <v>17</v>
      </c>
      <c r="O440" t="s">
        <v>41</v>
      </c>
    </row>
    <row r="441" spans="1:15" x14ac:dyDescent="0.3">
      <c r="A441">
        <v>440</v>
      </c>
      <c r="B441" t="s">
        <v>622</v>
      </c>
      <c r="C441" t="s">
        <v>863</v>
      </c>
      <c r="D441" t="s">
        <v>1494</v>
      </c>
      <c r="E441" t="s">
        <v>122</v>
      </c>
      <c r="F441" s="1">
        <v>39105</v>
      </c>
      <c r="G441" s="2">
        <v>2007</v>
      </c>
      <c r="H441">
        <v>2021</v>
      </c>
      <c r="I441" s="2">
        <v>14</v>
      </c>
      <c r="J441">
        <v>128105</v>
      </c>
      <c r="K441" t="s">
        <v>581</v>
      </c>
      <c r="L441">
        <v>7</v>
      </c>
      <c r="M441" t="s">
        <v>39</v>
      </c>
      <c r="N441" t="s">
        <v>40</v>
      </c>
      <c r="O441" t="s">
        <v>123</v>
      </c>
    </row>
    <row r="442" spans="1:15" x14ac:dyDescent="0.3">
      <c r="A442">
        <v>441</v>
      </c>
      <c r="B442" t="s">
        <v>864</v>
      </c>
      <c r="C442" t="s">
        <v>865</v>
      </c>
      <c r="D442" t="s">
        <v>1494</v>
      </c>
      <c r="E442" t="s">
        <v>122</v>
      </c>
      <c r="F442" s="1">
        <v>39609</v>
      </c>
      <c r="G442" s="2">
        <v>2008</v>
      </c>
      <c r="H442">
        <v>2021</v>
      </c>
      <c r="I442" s="2">
        <v>13</v>
      </c>
      <c r="J442">
        <v>71676</v>
      </c>
      <c r="K442" t="s">
        <v>610</v>
      </c>
      <c r="L442">
        <v>4</v>
      </c>
      <c r="M442" t="s">
        <v>55</v>
      </c>
      <c r="N442" t="s">
        <v>17</v>
      </c>
      <c r="O442" t="s">
        <v>123</v>
      </c>
    </row>
    <row r="443" spans="1:15" x14ac:dyDescent="0.3">
      <c r="A443">
        <v>442</v>
      </c>
      <c r="B443" t="s">
        <v>98</v>
      </c>
      <c r="C443" t="s">
        <v>866</v>
      </c>
      <c r="D443" t="s">
        <v>1495</v>
      </c>
      <c r="E443" t="s">
        <v>238</v>
      </c>
      <c r="F443" s="1">
        <v>39336</v>
      </c>
      <c r="G443" s="2">
        <v>2007</v>
      </c>
      <c r="H443">
        <v>2021</v>
      </c>
      <c r="I443" s="2">
        <v>14</v>
      </c>
      <c r="J443">
        <v>139347</v>
      </c>
      <c r="K443" t="s">
        <v>70</v>
      </c>
      <c r="L443">
        <v>1</v>
      </c>
      <c r="M443" t="s">
        <v>46</v>
      </c>
      <c r="N443" t="s">
        <v>17</v>
      </c>
      <c r="O443" t="s">
        <v>63</v>
      </c>
    </row>
    <row r="444" spans="1:15" x14ac:dyDescent="0.3">
      <c r="A444">
        <v>443</v>
      </c>
      <c r="B444" t="s">
        <v>485</v>
      </c>
      <c r="C444" t="s">
        <v>867</v>
      </c>
      <c r="D444" t="s">
        <v>1495</v>
      </c>
      <c r="E444" t="s">
        <v>100</v>
      </c>
      <c r="F444" s="1">
        <v>37315</v>
      </c>
      <c r="G444" s="2">
        <v>2002</v>
      </c>
      <c r="H444">
        <v>2021</v>
      </c>
      <c r="I444" s="2">
        <v>19</v>
      </c>
      <c r="J444">
        <v>80491</v>
      </c>
      <c r="K444" t="s">
        <v>610</v>
      </c>
      <c r="L444">
        <v>7</v>
      </c>
      <c r="M444" t="s">
        <v>39</v>
      </c>
      <c r="N444" t="s">
        <v>40</v>
      </c>
      <c r="O444" t="s">
        <v>29</v>
      </c>
    </row>
    <row r="445" spans="1:15" x14ac:dyDescent="0.3">
      <c r="A445">
        <v>444</v>
      </c>
      <c r="B445" t="s">
        <v>163</v>
      </c>
      <c r="C445" t="s">
        <v>868</v>
      </c>
      <c r="D445" t="s">
        <v>1495</v>
      </c>
      <c r="E445" t="s">
        <v>44</v>
      </c>
      <c r="F445" s="1">
        <v>40542</v>
      </c>
      <c r="G445" s="2">
        <v>2010</v>
      </c>
      <c r="H445">
        <v>2021</v>
      </c>
      <c r="I445" s="2">
        <v>11</v>
      </c>
      <c r="J445">
        <v>119385</v>
      </c>
      <c r="K445" t="s">
        <v>142</v>
      </c>
      <c r="L445">
        <v>4</v>
      </c>
      <c r="M445" t="s">
        <v>55</v>
      </c>
      <c r="N445" t="s">
        <v>17</v>
      </c>
      <c r="O445" t="s">
        <v>29</v>
      </c>
    </row>
    <row r="446" spans="1:15" x14ac:dyDescent="0.3">
      <c r="A446">
        <v>445</v>
      </c>
      <c r="B446" t="s">
        <v>137</v>
      </c>
      <c r="C446" t="s">
        <v>869</v>
      </c>
      <c r="D446" t="s">
        <v>1494</v>
      </c>
      <c r="E446" t="s">
        <v>53</v>
      </c>
      <c r="F446" s="1">
        <v>37338</v>
      </c>
      <c r="G446" s="2">
        <v>2002</v>
      </c>
      <c r="H446">
        <v>2021</v>
      </c>
      <c r="I446" s="2">
        <v>19</v>
      </c>
      <c r="J446">
        <v>149835</v>
      </c>
      <c r="K446" t="s">
        <v>324</v>
      </c>
      <c r="L446">
        <v>1</v>
      </c>
      <c r="M446" t="s">
        <v>46</v>
      </c>
      <c r="N446" t="s">
        <v>17</v>
      </c>
      <c r="O446" t="s">
        <v>23</v>
      </c>
    </row>
    <row r="447" spans="1:15" x14ac:dyDescent="0.3">
      <c r="A447">
        <v>446</v>
      </c>
      <c r="B447" t="s">
        <v>154</v>
      </c>
      <c r="C447" t="s">
        <v>870</v>
      </c>
      <c r="D447" t="s">
        <v>1495</v>
      </c>
      <c r="E447" t="s">
        <v>203</v>
      </c>
      <c r="F447" s="1">
        <v>39784</v>
      </c>
      <c r="G447" s="2">
        <v>2008</v>
      </c>
      <c r="H447">
        <v>2021</v>
      </c>
      <c r="I447" s="2">
        <v>13</v>
      </c>
      <c r="J447">
        <v>80137</v>
      </c>
      <c r="K447" t="s">
        <v>115</v>
      </c>
      <c r="L447">
        <v>2</v>
      </c>
      <c r="M447" t="s">
        <v>16</v>
      </c>
      <c r="N447" t="s">
        <v>17</v>
      </c>
      <c r="O447" t="s">
        <v>41</v>
      </c>
    </row>
    <row r="448" spans="1:15" x14ac:dyDescent="0.3">
      <c r="A448">
        <v>447</v>
      </c>
      <c r="B448" t="s">
        <v>830</v>
      </c>
      <c r="C448" t="s">
        <v>871</v>
      </c>
      <c r="D448" t="s">
        <v>1494</v>
      </c>
      <c r="E448" t="s">
        <v>89</v>
      </c>
      <c r="F448" s="1">
        <v>36763</v>
      </c>
      <c r="G448" s="2">
        <v>2000</v>
      </c>
      <c r="H448">
        <v>2021</v>
      </c>
      <c r="I448" s="2">
        <v>21</v>
      </c>
      <c r="J448">
        <v>79724</v>
      </c>
      <c r="K448" t="s">
        <v>666</v>
      </c>
      <c r="L448">
        <v>7</v>
      </c>
      <c r="M448" t="s">
        <v>39</v>
      </c>
      <c r="N448" t="s">
        <v>40</v>
      </c>
      <c r="O448" t="s">
        <v>41</v>
      </c>
    </row>
    <row r="449" spans="1:15" x14ac:dyDescent="0.3">
      <c r="A449">
        <v>448</v>
      </c>
      <c r="B449" t="s">
        <v>830</v>
      </c>
      <c r="C449" t="s">
        <v>872</v>
      </c>
      <c r="D449" t="s">
        <v>1494</v>
      </c>
      <c r="E449" t="s">
        <v>122</v>
      </c>
      <c r="F449" s="1">
        <v>39989</v>
      </c>
      <c r="G449" s="2">
        <v>2009</v>
      </c>
      <c r="H449">
        <v>2021</v>
      </c>
      <c r="I449" s="2">
        <v>12</v>
      </c>
      <c r="J449">
        <v>102458</v>
      </c>
      <c r="K449" t="s">
        <v>209</v>
      </c>
      <c r="L449">
        <v>1</v>
      </c>
      <c r="M449" t="s">
        <v>46</v>
      </c>
      <c r="N449" t="s">
        <v>17</v>
      </c>
      <c r="O449" t="s">
        <v>123</v>
      </c>
    </row>
    <row r="450" spans="1:15" x14ac:dyDescent="0.3">
      <c r="A450">
        <v>449</v>
      </c>
      <c r="B450" t="s">
        <v>873</v>
      </c>
      <c r="C450" t="s">
        <v>874</v>
      </c>
      <c r="D450" t="s">
        <v>1495</v>
      </c>
      <c r="E450" t="s">
        <v>69</v>
      </c>
      <c r="F450" s="1">
        <v>41749</v>
      </c>
      <c r="G450" s="2">
        <v>2014</v>
      </c>
      <c r="H450">
        <v>2021</v>
      </c>
      <c r="I450" s="2">
        <v>7</v>
      </c>
      <c r="J450">
        <v>134205</v>
      </c>
      <c r="K450" t="s">
        <v>736</v>
      </c>
      <c r="L450">
        <v>4</v>
      </c>
      <c r="M450" t="s">
        <v>55</v>
      </c>
      <c r="N450" t="s">
        <v>17</v>
      </c>
      <c r="O450" t="s">
        <v>41</v>
      </c>
    </row>
    <row r="451" spans="1:15" x14ac:dyDescent="0.3">
      <c r="A451">
        <v>450</v>
      </c>
      <c r="B451" t="s">
        <v>83</v>
      </c>
      <c r="C451" t="s">
        <v>875</v>
      </c>
      <c r="D451" t="s">
        <v>1495</v>
      </c>
      <c r="E451" t="s">
        <v>129</v>
      </c>
      <c r="F451" s="1">
        <v>38128</v>
      </c>
      <c r="G451" s="2">
        <v>2004</v>
      </c>
      <c r="H451">
        <v>2021</v>
      </c>
      <c r="I451" s="2">
        <v>17</v>
      </c>
      <c r="J451">
        <v>76052</v>
      </c>
      <c r="K451" t="s">
        <v>349</v>
      </c>
      <c r="L451">
        <v>5</v>
      </c>
      <c r="M451" t="s">
        <v>91</v>
      </c>
      <c r="N451" t="s">
        <v>40</v>
      </c>
      <c r="O451" t="s">
        <v>41</v>
      </c>
    </row>
    <row r="452" spans="1:15" x14ac:dyDescent="0.3">
      <c r="A452">
        <v>451</v>
      </c>
      <c r="B452" t="s">
        <v>421</v>
      </c>
      <c r="C452" t="s">
        <v>876</v>
      </c>
      <c r="D452" t="s">
        <v>1495</v>
      </c>
      <c r="E452" t="s">
        <v>238</v>
      </c>
      <c r="F452" s="1">
        <v>38308</v>
      </c>
      <c r="G452" s="2">
        <v>2004</v>
      </c>
      <c r="H452">
        <v>2021</v>
      </c>
      <c r="I452" s="2">
        <v>17</v>
      </c>
      <c r="J452">
        <v>144608</v>
      </c>
      <c r="K452" t="s">
        <v>709</v>
      </c>
      <c r="L452">
        <v>4</v>
      </c>
      <c r="M452" t="s">
        <v>55</v>
      </c>
      <c r="N452" t="s">
        <v>17</v>
      </c>
      <c r="O452" t="s">
        <v>63</v>
      </c>
    </row>
    <row r="453" spans="1:15" x14ac:dyDescent="0.3">
      <c r="A453">
        <v>452</v>
      </c>
      <c r="B453" t="s">
        <v>154</v>
      </c>
      <c r="C453" t="s">
        <v>877</v>
      </c>
      <c r="D453" t="s">
        <v>1495</v>
      </c>
      <c r="E453" t="s">
        <v>53</v>
      </c>
      <c r="F453" s="1">
        <v>36656</v>
      </c>
      <c r="G453" s="2">
        <v>2000</v>
      </c>
      <c r="H453">
        <v>2021</v>
      </c>
      <c r="I453" s="2">
        <v>21</v>
      </c>
      <c r="J453">
        <v>111072</v>
      </c>
      <c r="K453" t="s">
        <v>764</v>
      </c>
      <c r="L453">
        <v>4</v>
      </c>
      <c r="M453" t="s">
        <v>55</v>
      </c>
      <c r="N453" t="s">
        <v>17</v>
      </c>
      <c r="O453" t="s">
        <v>23</v>
      </c>
    </row>
    <row r="454" spans="1:15" x14ac:dyDescent="0.3">
      <c r="A454">
        <v>453</v>
      </c>
      <c r="B454" t="s">
        <v>483</v>
      </c>
      <c r="C454" t="s">
        <v>878</v>
      </c>
      <c r="D454" t="s">
        <v>1494</v>
      </c>
      <c r="E454" t="s">
        <v>26</v>
      </c>
      <c r="F454" s="1">
        <v>40202</v>
      </c>
      <c r="G454" s="2">
        <v>2010</v>
      </c>
      <c r="H454">
        <v>2021</v>
      </c>
      <c r="I454" s="2">
        <v>11</v>
      </c>
      <c r="J454">
        <v>126485</v>
      </c>
      <c r="K454" t="s">
        <v>598</v>
      </c>
      <c r="L454">
        <v>6</v>
      </c>
      <c r="M454" t="s">
        <v>50</v>
      </c>
      <c r="N454" t="s">
        <v>40</v>
      </c>
      <c r="O454" t="s">
        <v>29</v>
      </c>
    </row>
    <row r="455" spans="1:15" x14ac:dyDescent="0.3">
      <c r="A455">
        <v>454</v>
      </c>
      <c r="B455" t="s">
        <v>124</v>
      </c>
      <c r="C455" t="s">
        <v>879</v>
      </c>
      <c r="D455" t="s">
        <v>1495</v>
      </c>
      <c r="E455" t="s">
        <v>73</v>
      </c>
      <c r="F455" s="1">
        <v>38982</v>
      </c>
      <c r="G455" s="2">
        <v>2006</v>
      </c>
      <c r="H455">
        <v>2021</v>
      </c>
      <c r="I455" s="2">
        <v>15</v>
      </c>
      <c r="J455">
        <v>96388</v>
      </c>
      <c r="K455" t="s">
        <v>336</v>
      </c>
      <c r="L455">
        <v>6</v>
      </c>
      <c r="M455" t="s">
        <v>50</v>
      </c>
      <c r="N455" t="s">
        <v>40</v>
      </c>
      <c r="O455" t="s">
        <v>41</v>
      </c>
    </row>
    <row r="456" spans="1:15" x14ac:dyDescent="0.3">
      <c r="A456">
        <v>455</v>
      </c>
      <c r="B456" t="s">
        <v>157</v>
      </c>
      <c r="C456" t="s">
        <v>880</v>
      </c>
      <c r="D456" t="s">
        <v>1495</v>
      </c>
      <c r="E456" t="s">
        <v>26</v>
      </c>
      <c r="F456" s="1">
        <v>37420</v>
      </c>
      <c r="G456" s="2">
        <v>2002</v>
      </c>
      <c r="H456">
        <v>2021</v>
      </c>
      <c r="I456" s="2">
        <v>19</v>
      </c>
      <c r="J456">
        <v>115506</v>
      </c>
      <c r="K456" t="s">
        <v>223</v>
      </c>
      <c r="L456">
        <v>2</v>
      </c>
      <c r="M456" t="s">
        <v>16</v>
      </c>
      <c r="N456" t="s">
        <v>17</v>
      </c>
      <c r="O456" t="s">
        <v>29</v>
      </c>
    </row>
    <row r="457" spans="1:15" x14ac:dyDescent="0.3">
      <c r="A457">
        <v>456</v>
      </c>
      <c r="B457" t="s">
        <v>207</v>
      </c>
      <c r="C457" t="s">
        <v>881</v>
      </c>
      <c r="D457" t="s">
        <v>1495</v>
      </c>
      <c r="E457" t="s">
        <v>100</v>
      </c>
      <c r="F457" s="1">
        <v>40978</v>
      </c>
      <c r="G457" s="2">
        <v>2012</v>
      </c>
      <c r="H457">
        <v>2021</v>
      </c>
      <c r="I457" s="2">
        <v>9</v>
      </c>
      <c r="J457">
        <v>115679</v>
      </c>
      <c r="K457" t="s">
        <v>179</v>
      </c>
      <c r="L457">
        <v>2</v>
      </c>
      <c r="M457" t="s">
        <v>16</v>
      </c>
      <c r="N457" t="s">
        <v>17</v>
      </c>
      <c r="O457" t="s">
        <v>29</v>
      </c>
    </row>
    <row r="458" spans="1:15" x14ac:dyDescent="0.3">
      <c r="A458">
        <v>457</v>
      </c>
      <c r="B458" t="s">
        <v>882</v>
      </c>
      <c r="C458" t="s">
        <v>883</v>
      </c>
      <c r="D458" t="s">
        <v>1495</v>
      </c>
      <c r="E458" t="s">
        <v>32</v>
      </c>
      <c r="F458" s="1">
        <v>37236</v>
      </c>
      <c r="G458" s="2">
        <v>2001</v>
      </c>
      <c r="H458">
        <v>2021</v>
      </c>
      <c r="I458" s="3">
        <v>20</v>
      </c>
      <c r="J458">
        <v>133040</v>
      </c>
      <c r="K458" t="s">
        <v>709</v>
      </c>
      <c r="L458">
        <v>6</v>
      </c>
      <c r="M458" t="s">
        <v>50</v>
      </c>
      <c r="N458" t="s">
        <v>40</v>
      </c>
      <c r="O458" t="s">
        <v>34</v>
      </c>
    </row>
    <row r="459" spans="1:15" x14ac:dyDescent="0.3">
      <c r="A459">
        <v>458</v>
      </c>
      <c r="B459" t="s">
        <v>257</v>
      </c>
      <c r="C459" t="s">
        <v>884</v>
      </c>
      <c r="D459" t="s">
        <v>1495</v>
      </c>
      <c r="E459" t="s">
        <v>61</v>
      </c>
      <c r="F459" s="1">
        <v>36660</v>
      </c>
      <c r="G459" s="2">
        <v>2000</v>
      </c>
      <c r="H459">
        <v>2021</v>
      </c>
      <c r="I459" s="2">
        <v>21</v>
      </c>
      <c r="J459">
        <v>91660</v>
      </c>
      <c r="K459" t="s">
        <v>673</v>
      </c>
      <c r="L459">
        <v>5</v>
      </c>
      <c r="M459" t="s">
        <v>91</v>
      </c>
      <c r="N459" t="s">
        <v>40</v>
      </c>
      <c r="O459" t="s">
        <v>63</v>
      </c>
    </row>
    <row r="460" spans="1:15" x14ac:dyDescent="0.3">
      <c r="A460">
        <v>459</v>
      </c>
      <c r="B460" t="s">
        <v>435</v>
      </c>
      <c r="C460" t="s">
        <v>885</v>
      </c>
      <c r="D460" t="s">
        <v>1495</v>
      </c>
      <c r="E460" t="s">
        <v>14</v>
      </c>
      <c r="F460" s="1">
        <v>40076</v>
      </c>
      <c r="G460" s="2">
        <v>2009</v>
      </c>
      <c r="H460">
        <v>2021</v>
      </c>
      <c r="I460" s="2">
        <v>12</v>
      </c>
      <c r="J460">
        <v>136406</v>
      </c>
      <c r="K460" t="s">
        <v>287</v>
      </c>
      <c r="L460">
        <v>7</v>
      </c>
      <c r="M460" t="s">
        <v>39</v>
      </c>
      <c r="N460" t="s">
        <v>40</v>
      </c>
      <c r="O460" t="s">
        <v>18</v>
      </c>
    </row>
    <row r="461" spans="1:15" x14ac:dyDescent="0.3">
      <c r="A461">
        <v>460</v>
      </c>
      <c r="B461" t="s">
        <v>59</v>
      </c>
      <c r="C461" t="s">
        <v>886</v>
      </c>
      <c r="D461" t="s">
        <v>1494</v>
      </c>
      <c r="E461" t="s">
        <v>26</v>
      </c>
      <c r="F461" s="1">
        <v>38470</v>
      </c>
      <c r="G461" s="2">
        <v>2005</v>
      </c>
      <c r="H461">
        <v>2021</v>
      </c>
      <c r="I461" s="2">
        <v>16</v>
      </c>
      <c r="J461">
        <v>146167</v>
      </c>
      <c r="K461" t="s">
        <v>537</v>
      </c>
      <c r="L461">
        <v>5</v>
      </c>
      <c r="M461" t="s">
        <v>91</v>
      </c>
      <c r="N461" t="s">
        <v>40</v>
      </c>
      <c r="O461" t="s">
        <v>29</v>
      </c>
    </row>
    <row r="462" spans="1:15" x14ac:dyDescent="0.3">
      <c r="A462">
        <v>461</v>
      </c>
      <c r="B462" t="s">
        <v>205</v>
      </c>
      <c r="C462" t="s">
        <v>887</v>
      </c>
      <c r="D462" t="s">
        <v>1495</v>
      </c>
      <c r="E462" t="s">
        <v>122</v>
      </c>
      <c r="F462" s="1">
        <v>37715</v>
      </c>
      <c r="G462" s="2">
        <v>2003</v>
      </c>
      <c r="H462">
        <v>2021</v>
      </c>
      <c r="I462" s="2">
        <v>18</v>
      </c>
      <c r="J462">
        <v>94299</v>
      </c>
      <c r="K462" t="s">
        <v>888</v>
      </c>
      <c r="L462">
        <v>4</v>
      </c>
      <c r="M462" t="s">
        <v>55</v>
      </c>
      <c r="N462" t="s">
        <v>17</v>
      </c>
      <c r="O462" t="s">
        <v>123</v>
      </c>
    </row>
    <row r="463" spans="1:15" x14ac:dyDescent="0.3">
      <c r="A463">
        <v>462</v>
      </c>
      <c r="B463" t="s">
        <v>889</v>
      </c>
      <c r="C463" t="s">
        <v>890</v>
      </c>
      <c r="D463" t="s">
        <v>1494</v>
      </c>
      <c r="E463" t="s">
        <v>100</v>
      </c>
      <c r="F463" s="1">
        <v>38199</v>
      </c>
      <c r="G463" s="2">
        <v>2004</v>
      </c>
      <c r="H463">
        <v>2021</v>
      </c>
      <c r="I463" s="2">
        <v>17</v>
      </c>
      <c r="J463">
        <v>56382</v>
      </c>
      <c r="K463" t="s">
        <v>45</v>
      </c>
      <c r="L463">
        <v>3</v>
      </c>
      <c r="M463" t="s">
        <v>28</v>
      </c>
      <c r="N463" t="s">
        <v>17</v>
      </c>
      <c r="O463" t="s">
        <v>29</v>
      </c>
    </row>
    <row r="464" spans="1:15" x14ac:dyDescent="0.3">
      <c r="A464">
        <v>463</v>
      </c>
      <c r="B464" t="s">
        <v>293</v>
      </c>
      <c r="C464" t="s">
        <v>891</v>
      </c>
      <c r="D464" t="s">
        <v>1494</v>
      </c>
      <c r="E464" t="s">
        <v>44</v>
      </c>
      <c r="F464" s="1">
        <v>40533</v>
      </c>
      <c r="G464" s="2">
        <v>2010</v>
      </c>
      <c r="H464">
        <v>2021</v>
      </c>
      <c r="I464" s="2">
        <v>11</v>
      </c>
      <c r="J464">
        <v>120160</v>
      </c>
      <c r="K464" t="s">
        <v>806</v>
      </c>
      <c r="L464">
        <v>3</v>
      </c>
      <c r="M464" t="s">
        <v>28</v>
      </c>
      <c r="N464" t="s">
        <v>17</v>
      </c>
      <c r="O464" t="s">
        <v>29</v>
      </c>
    </row>
    <row r="465" spans="1:15" x14ac:dyDescent="0.3">
      <c r="A465">
        <v>464</v>
      </c>
      <c r="B465" t="s">
        <v>830</v>
      </c>
      <c r="C465" t="s">
        <v>892</v>
      </c>
      <c r="D465" t="s">
        <v>1495</v>
      </c>
      <c r="E465" t="s">
        <v>312</v>
      </c>
      <c r="F465" s="1">
        <v>39561</v>
      </c>
      <c r="G465" s="2">
        <v>2008</v>
      </c>
      <c r="H465">
        <v>2021</v>
      </c>
      <c r="I465" s="2">
        <v>13</v>
      </c>
      <c r="J465">
        <v>77060</v>
      </c>
      <c r="K465" t="s">
        <v>583</v>
      </c>
      <c r="L465">
        <v>3</v>
      </c>
      <c r="M465" t="s">
        <v>28</v>
      </c>
      <c r="N465" t="s">
        <v>17</v>
      </c>
      <c r="O465" t="s">
        <v>41</v>
      </c>
    </row>
    <row r="466" spans="1:15" x14ac:dyDescent="0.3">
      <c r="A466">
        <v>465</v>
      </c>
      <c r="B466" t="s">
        <v>587</v>
      </c>
      <c r="C466" t="s">
        <v>893</v>
      </c>
      <c r="D466" t="s">
        <v>1494</v>
      </c>
      <c r="E466" t="s">
        <v>14</v>
      </c>
      <c r="F466" s="1">
        <v>39372</v>
      </c>
      <c r="G466" s="2">
        <v>2007</v>
      </c>
      <c r="H466">
        <v>2021</v>
      </c>
      <c r="I466" s="2">
        <v>14</v>
      </c>
      <c r="J466">
        <v>122540</v>
      </c>
      <c r="K466" t="s">
        <v>441</v>
      </c>
      <c r="L466">
        <v>2</v>
      </c>
      <c r="M466" t="s">
        <v>16</v>
      </c>
      <c r="N466" t="s">
        <v>17</v>
      </c>
      <c r="O466" t="s">
        <v>18</v>
      </c>
    </row>
    <row r="467" spans="1:15" x14ac:dyDescent="0.3">
      <c r="A467">
        <v>466</v>
      </c>
      <c r="B467" t="s">
        <v>416</v>
      </c>
      <c r="C467" t="s">
        <v>894</v>
      </c>
      <c r="D467" t="s">
        <v>1495</v>
      </c>
      <c r="E467" t="s">
        <v>79</v>
      </c>
      <c r="F467" s="1">
        <v>39597</v>
      </c>
      <c r="G467" s="2">
        <v>2008</v>
      </c>
      <c r="H467">
        <v>2021</v>
      </c>
      <c r="I467" s="2">
        <v>13</v>
      </c>
      <c r="J467">
        <v>128562</v>
      </c>
      <c r="K467" t="s">
        <v>107</v>
      </c>
      <c r="L467">
        <v>7</v>
      </c>
      <c r="M467" t="s">
        <v>39</v>
      </c>
      <c r="N467" t="s">
        <v>40</v>
      </c>
      <c r="O467" t="s">
        <v>41</v>
      </c>
    </row>
    <row r="468" spans="1:15" x14ac:dyDescent="0.3">
      <c r="A468">
        <v>467</v>
      </c>
      <c r="B468" t="s">
        <v>555</v>
      </c>
      <c r="C468" t="s">
        <v>895</v>
      </c>
      <c r="D468" t="s">
        <v>1495</v>
      </c>
      <c r="E468" t="s">
        <v>21</v>
      </c>
      <c r="F468" s="1">
        <v>37330</v>
      </c>
      <c r="G468" s="2">
        <v>2002</v>
      </c>
      <c r="H468">
        <v>2021</v>
      </c>
      <c r="I468" s="2">
        <v>19</v>
      </c>
      <c r="J468">
        <v>60674</v>
      </c>
      <c r="K468" t="s">
        <v>896</v>
      </c>
      <c r="L468">
        <v>3</v>
      </c>
      <c r="M468" t="s">
        <v>28</v>
      </c>
      <c r="N468" t="s">
        <v>17</v>
      </c>
      <c r="O468" t="s">
        <v>23</v>
      </c>
    </row>
    <row r="469" spans="1:15" x14ac:dyDescent="0.3">
      <c r="A469">
        <v>468</v>
      </c>
      <c r="B469" t="s">
        <v>192</v>
      </c>
      <c r="C469" t="s">
        <v>897</v>
      </c>
      <c r="D469" t="s">
        <v>1494</v>
      </c>
      <c r="E469" t="s">
        <v>32</v>
      </c>
      <c r="F469" s="1">
        <v>38458</v>
      </c>
      <c r="G469" s="2">
        <v>2005</v>
      </c>
      <c r="H469">
        <v>2021</v>
      </c>
      <c r="I469" s="3">
        <v>16</v>
      </c>
      <c r="J469">
        <v>93609</v>
      </c>
      <c r="K469" t="s">
        <v>253</v>
      </c>
      <c r="L469">
        <v>6</v>
      </c>
      <c r="M469" t="s">
        <v>50</v>
      </c>
      <c r="N469" t="s">
        <v>40</v>
      </c>
      <c r="O469" t="s">
        <v>34</v>
      </c>
    </row>
    <row r="470" spans="1:15" x14ac:dyDescent="0.3">
      <c r="A470">
        <v>469</v>
      </c>
      <c r="B470" t="s">
        <v>377</v>
      </c>
      <c r="C470" t="s">
        <v>898</v>
      </c>
      <c r="D470" t="s">
        <v>1495</v>
      </c>
      <c r="E470" t="s">
        <v>85</v>
      </c>
      <c r="F470" s="1">
        <v>40398</v>
      </c>
      <c r="G470" s="2">
        <v>2010</v>
      </c>
      <c r="H470">
        <v>2021</v>
      </c>
      <c r="I470" s="2">
        <v>11</v>
      </c>
      <c r="J470">
        <v>97913</v>
      </c>
      <c r="K470" t="s">
        <v>209</v>
      </c>
      <c r="L470">
        <v>3</v>
      </c>
      <c r="M470" t="s">
        <v>28</v>
      </c>
      <c r="N470" t="s">
        <v>17</v>
      </c>
      <c r="O470" t="s">
        <v>41</v>
      </c>
    </row>
    <row r="471" spans="1:15" x14ac:dyDescent="0.3">
      <c r="A471">
        <v>470</v>
      </c>
      <c r="B471" t="s">
        <v>762</v>
      </c>
      <c r="C471" t="s">
        <v>899</v>
      </c>
      <c r="D471" t="s">
        <v>1495</v>
      </c>
      <c r="E471" t="s">
        <v>37</v>
      </c>
      <c r="F471" s="1">
        <v>38577</v>
      </c>
      <c r="G471" s="2">
        <v>2005</v>
      </c>
      <c r="H471">
        <v>2021</v>
      </c>
      <c r="I471" s="2">
        <v>16</v>
      </c>
      <c r="J471">
        <v>108380</v>
      </c>
      <c r="K471" t="s">
        <v>70</v>
      </c>
      <c r="L471">
        <v>5</v>
      </c>
      <c r="M471" t="s">
        <v>91</v>
      </c>
      <c r="N471" t="s">
        <v>40</v>
      </c>
      <c r="O471" t="s">
        <v>41</v>
      </c>
    </row>
    <row r="472" spans="1:15" x14ac:dyDescent="0.3">
      <c r="A472">
        <v>471</v>
      </c>
      <c r="B472" t="s">
        <v>614</v>
      </c>
      <c r="C472" t="s">
        <v>900</v>
      </c>
      <c r="D472" t="s">
        <v>1495</v>
      </c>
      <c r="E472" t="s">
        <v>73</v>
      </c>
      <c r="F472" s="1">
        <v>39402</v>
      </c>
      <c r="G472" s="2">
        <v>2007</v>
      </c>
      <c r="H472">
        <v>2021</v>
      </c>
      <c r="I472" s="2">
        <v>14</v>
      </c>
      <c r="J472">
        <v>50448</v>
      </c>
      <c r="K472" t="s">
        <v>232</v>
      </c>
      <c r="L472">
        <v>4</v>
      </c>
      <c r="M472" t="s">
        <v>55</v>
      </c>
      <c r="N472" t="s">
        <v>17</v>
      </c>
      <c r="O472" t="s">
        <v>41</v>
      </c>
    </row>
    <row r="473" spans="1:15" x14ac:dyDescent="0.3">
      <c r="A473">
        <v>472</v>
      </c>
      <c r="B473" t="s">
        <v>675</v>
      </c>
      <c r="C473" t="s">
        <v>901</v>
      </c>
      <c r="D473" t="s">
        <v>1495</v>
      </c>
      <c r="E473" t="s">
        <v>122</v>
      </c>
      <c r="F473" s="1">
        <v>40964</v>
      </c>
      <c r="G473" s="2">
        <v>2012</v>
      </c>
      <c r="H473">
        <v>2021</v>
      </c>
      <c r="I473" s="2">
        <v>9</v>
      </c>
      <c r="J473">
        <v>133781</v>
      </c>
      <c r="K473" t="s">
        <v>902</v>
      </c>
      <c r="L473">
        <v>4</v>
      </c>
      <c r="M473" t="s">
        <v>55</v>
      </c>
      <c r="N473" t="s">
        <v>17</v>
      </c>
      <c r="O473" t="s">
        <v>123</v>
      </c>
    </row>
    <row r="474" spans="1:15" x14ac:dyDescent="0.3">
      <c r="A474">
        <v>473</v>
      </c>
      <c r="B474" t="s">
        <v>218</v>
      </c>
      <c r="C474" t="s">
        <v>903</v>
      </c>
      <c r="D474" t="s">
        <v>1495</v>
      </c>
      <c r="E474" t="s">
        <v>122</v>
      </c>
      <c r="F474" s="1">
        <v>40131</v>
      </c>
      <c r="G474" s="2">
        <v>2009</v>
      </c>
      <c r="H474">
        <v>2021</v>
      </c>
      <c r="I474" s="2">
        <v>12</v>
      </c>
      <c r="J474">
        <v>90409</v>
      </c>
      <c r="K474" t="s">
        <v>904</v>
      </c>
      <c r="L474">
        <v>3</v>
      </c>
      <c r="M474" t="s">
        <v>28</v>
      </c>
      <c r="N474" t="s">
        <v>17</v>
      </c>
      <c r="O474" t="s">
        <v>123</v>
      </c>
    </row>
    <row r="475" spans="1:15" x14ac:dyDescent="0.3">
      <c r="A475">
        <v>474</v>
      </c>
      <c r="B475" t="s">
        <v>140</v>
      </c>
      <c r="C475" t="s">
        <v>905</v>
      </c>
      <c r="D475" t="s">
        <v>1494</v>
      </c>
      <c r="E475" t="s">
        <v>110</v>
      </c>
      <c r="F475" s="1">
        <v>37993</v>
      </c>
      <c r="G475" s="2">
        <v>2004</v>
      </c>
      <c r="H475">
        <v>2021</v>
      </c>
      <c r="I475" s="2">
        <v>17</v>
      </c>
      <c r="J475">
        <v>144953</v>
      </c>
      <c r="K475" t="s">
        <v>204</v>
      </c>
      <c r="L475">
        <v>7</v>
      </c>
      <c r="M475" t="s">
        <v>39</v>
      </c>
      <c r="N475" t="s">
        <v>40</v>
      </c>
      <c r="O475" t="s">
        <v>112</v>
      </c>
    </row>
    <row r="476" spans="1:15" x14ac:dyDescent="0.3">
      <c r="A476">
        <v>475</v>
      </c>
      <c r="B476" t="s">
        <v>679</v>
      </c>
      <c r="C476" t="s">
        <v>906</v>
      </c>
      <c r="D476" t="s">
        <v>1494</v>
      </c>
      <c r="E476" t="s">
        <v>148</v>
      </c>
      <c r="F476" s="1">
        <v>37247</v>
      </c>
      <c r="G476" s="2">
        <v>2001</v>
      </c>
      <c r="H476">
        <v>2021</v>
      </c>
      <c r="I476" s="2">
        <v>20</v>
      </c>
      <c r="J476">
        <v>46072</v>
      </c>
      <c r="K476" t="s">
        <v>153</v>
      </c>
      <c r="L476">
        <v>2</v>
      </c>
      <c r="M476" t="s">
        <v>16</v>
      </c>
      <c r="N476" t="s">
        <v>17</v>
      </c>
      <c r="O476" t="s">
        <v>112</v>
      </c>
    </row>
    <row r="477" spans="1:15" x14ac:dyDescent="0.3">
      <c r="A477">
        <v>476</v>
      </c>
      <c r="B477" t="s">
        <v>304</v>
      </c>
      <c r="C477" t="s">
        <v>907</v>
      </c>
      <c r="D477" t="s">
        <v>1494</v>
      </c>
      <c r="E477" t="s">
        <v>122</v>
      </c>
      <c r="F477" s="1">
        <v>40940</v>
      </c>
      <c r="G477" s="2">
        <v>2012</v>
      </c>
      <c r="H477">
        <v>2021</v>
      </c>
      <c r="I477" s="2">
        <v>9</v>
      </c>
      <c r="J477">
        <v>119602</v>
      </c>
      <c r="K477" t="s">
        <v>908</v>
      </c>
      <c r="L477">
        <v>5</v>
      </c>
      <c r="M477" t="s">
        <v>91</v>
      </c>
      <c r="N477" t="s">
        <v>40</v>
      </c>
      <c r="O477" t="s">
        <v>123</v>
      </c>
    </row>
    <row r="478" spans="1:15" x14ac:dyDescent="0.3">
      <c r="A478">
        <v>477</v>
      </c>
      <c r="B478" t="s">
        <v>548</v>
      </c>
      <c r="C478" t="s">
        <v>909</v>
      </c>
      <c r="D478" t="s">
        <v>1494</v>
      </c>
      <c r="E478" t="s">
        <v>14</v>
      </c>
      <c r="F478" s="1">
        <v>40468</v>
      </c>
      <c r="G478" s="2">
        <v>2010</v>
      </c>
      <c r="H478">
        <v>2021</v>
      </c>
      <c r="I478" s="2">
        <v>11</v>
      </c>
      <c r="J478">
        <v>122231</v>
      </c>
      <c r="K478" t="s">
        <v>242</v>
      </c>
      <c r="L478">
        <v>5</v>
      </c>
      <c r="M478" t="s">
        <v>91</v>
      </c>
      <c r="N478" t="s">
        <v>40</v>
      </c>
      <c r="O478" t="s">
        <v>18</v>
      </c>
    </row>
    <row r="479" spans="1:15" x14ac:dyDescent="0.3">
      <c r="A479">
        <v>478</v>
      </c>
      <c r="B479" t="s">
        <v>293</v>
      </c>
      <c r="C479" t="s">
        <v>910</v>
      </c>
      <c r="D479" t="s">
        <v>1494</v>
      </c>
      <c r="E479" t="s">
        <v>21</v>
      </c>
      <c r="F479" s="1">
        <v>37727</v>
      </c>
      <c r="G479" s="2">
        <v>2003</v>
      </c>
      <c r="H479">
        <v>2021</v>
      </c>
      <c r="I479" s="2">
        <v>18</v>
      </c>
      <c r="J479">
        <v>147166</v>
      </c>
      <c r="K479" t="s">
        <v>836</v>
      </c>
      <c r="L479">
        <v>6</v>
      </c>
      <c r="M479" t="s">
        <v>50</v>
      </c>
      <c r="N479" t="s">
        <v>40</v>
      </c>
      <c r="O479" t="s">
        <v>23</v>
      </c>
    </row>
    <row r="480" spans="1:15" x14ac:dyDescent="0.3">
      <c r="A480">
        <v>479</v>
      </c>
      <c r="B480" t="s">
        <v>911</v>
      </c>
      <c r="C480" t="s">
        <v>912</v>
      </c>
      <c r="D480" t="s">
        <v>1494</v>
      </c>
      <c r="E480" t="s">
        <v>37</v>
      </c>
      <c r="F480" s="1">
        <v>40064</v>
      </c>
      <c r="G480" s="2">
        <v>2009</v>
      </c>
      <c r="H480">
        <v>2021</v>
      </c>
      <c r="I480" s="2">
        <v>12</v>
      </c>
      <c r="J480">
        <v>56465</v>
      </c>
      <c r="K480" t="s">
        <v>86</v>
      </c>
      <c r="L480">
        <v>6</v>
      </c>
      <c r="M480" t="s">
        <v>50</v>
      </c>
      <c r="N480" t="s">
        <v>40</v>
      </c>
      <c r="O480" t="s">
        <v>41</v>
      </c>
    </row>
    <row r="481" spans="1:15" x14ac:dyDescent="0.3">
      <c r="A481">
        <v>480</v>
      </c>
      <c r="B481" t="s">
        <v>589</v>
      </c>
      <c r="C481" t="s">
        <v>913</v>
      </c>
      <c r="D481" t="s">
        <v>1494</v>
      </c>
      <c r="E481" t="s">
        <v>94</v>
      </c>
      <c r="F481" s="1">
        <v>36929</v>
      </c>
      <c r="G481" s="2">
        <v>2001</v>
      </c>
      <c r="H481">
        <v>2021</v>
      </c>
      <c r="I481" s="2">
        <v>20</v>
      </c>
      <c r="J481">
        <v>78158</v>
      </c>
      <c r="K481" t="s">
        <v>743</v>
      </c>
      <c r="L481">
        <v>5</v>
      </c>
      <c r="M481" t="s">
        <v>91</v>
      </c>
      <c r="N481" t="s">
        <v>40</v>
      </c>
      <c r="O481" t="s">
        <v>18</v>
      </c>
    </row>
    <row r="482" spans="1:15" x14ac:dyDescent="0.3">
      <c r="A482">
        <v>481</v>
      </c>
      <c r="B482" t="s">
        <v>331</v>
      </c>
      <c r="C482" t="s">
        <v>914</v>
      </c>
      <c r="D482" t="s">
        <v>1494</v>
      </c>
      <c r="E482" t="s">
        <v>32</v>
      </c>
      <c r="F482" s="1">
        <v>41430</v>
      </c>
      <c r="G482" s="2">
        <v>2013</v>
      </c>
      <c r="H482">
        <v>2021</v>
      </c>
      <c r="I482" s="3">
        <v>8</v>
      </c>
      <c r="J482">
        <v>62815</v>
      </c>
      <c r="K482" t="s">
        <v>74</v>
      </c>
      <c r="L482">
        <v>4</v>
      </c>
      <c r="M482" t="s">
        <v>55</v>
      </c>
      <c r="N482" t="s">
        <v>17</v>
      </c>
      <c r="O482" t="s">
        <v>34</v>
      </c>
    </row>
    <row r="483" spans="1:15" x14ac:dyDescent="0.3">
      <c r="A483">
        <v>482</v>
      </c>
      <c r="B483" t="s">
        <v>51</v>
      </c>
      <c r="C483" t="s">
        <v>915</v>
      </c>
      <c r="D483" t="s">
        <v>1494</v>
      </c>
      <c r="E483" t="s">
        <v>53</v>
      </c>
      <c r="F483" s="1">
        <v>39243</v>
      </c>
      <c r="G483" s="2">
        <v>2007</v>
      </c>
      <c r="H483">
        <v>2021</v>
      </c>
      <c r="I483" s="2">
        <v>14</v>
      </c>
      <c r="J483">
        <v>126468</v>
      </c>
      <c r="K483" t="s">
        <v>916</v>
      </c>
      <c r="L483">
        <v>4</v>
      </c>
      <c r="M483" t="s">
        <v>55</v>
      </c>
      <c r="N483" t="s">
        <v>17</v>
      </c>
      <c r="O483" t="s">
        <v>23</v>
      </c>
    </row>
    <row r="484" spans="1:15" x14ac:dyDescent="0.3">
      <c r="A484">
        <v>483</v>
      </c>
      <c r="B484" t="s">
        <v>917</v>
      </c>
      <c r="C484" t="s">
        <v>918</v>
      </c>
      <c r="D484" t="s">
        <v>1495</v>
      </c>
      <c r="E484" t="s">
        <v>129</v>
      </c>
      <c r="F484" s="1">
        <v>41039</v>
      </c>
      <c r="G484" s="2">
        <v>2012</v>
      </c>
      <c r="H484">
        <v>2021</v>
      </c>
      <c r="I484" s="2">
        <v>9</v>
      </c>
      <c r="J484">
        <v>79419</v>
      </c>
      <c r="K484" t="s">
        <v>107</v>
      </c>
      <c r="L484">
        <v>3</v>
      </c>
      <c r="M484" t="s">
        <v>28</v>
      </c>
      <c r="N484" t="s">
        <v>17</v>
      </c>
      <c r="O484" t="s">
        <v>41</v>
      </c>
    </row>
    <row r="485" spans="1:15" x14ac:dyDescent="0.3">
      <c r="A485">
        <v>484</v>
      </c>
      <c r="B485" t="s">
        <v>257</v>
      </c>
      <c r="C485" t="s">
        <v>919</v>
      </c>
      <c r="D485" t="s">
        <v>1494</v>
      </c>
      <c r="E485" t="s">
        <v>14</v>
      </c>
      <c r="F485" s="1">
        <v>39895</v>
      </c>
      <c r="G485" s="2">
        <v>2009</v>
      </c>
      <c r="H485">
        <v>2021</v>
      </c>
      <c r="I485" s="2">
        <v>12</v>
      </c>
      <c r="J485">
        <v>83093</v>
      </c>
      <c r="K485" t="s">
        <v>204</v>
      </c>
      <c r="L485">
        <v>1</v>
      </c>
      <c r="M485" t="s">
        <v>46</v>
      </c>
      <c r="N485" t="s">
        <v>17</v>
      </c>
      <c r="O485" t="s">
        <v>18</v>
      </c>
    </row>
    <row r="486" spans="1:15" x14ac:dyDescent="0.3">
      <c r="A486">
        <v>485</v>
      </c>
      <c r="B486" t="s">
        <v>325</v>
      </c>
      <c r="C486" t="s">
        <v>920</v>
      </c>
      <c r="D486" t="s">
        <v>1495</v>
      </c>
      <c r="E486" t="s">
        <v>85</v>
      </c>
      <c r="F486" s="1">
        <v>41946</v>
      </c>
      <c r="G486" s="2">
        <v>2014</v>
      </c>
      <c r="H486">
        <v>2021</v>
      </c>
      <c r="I486" s="2">
        <v>7</v>
      </c>
      <c r="J486">
        <v>90797</v>
      </c>
      <c r="K486" t="s">
        <v>327</v>
      </c>
      <c r="L486">
        <v>1</v>
      </c>
      <c r="M486" t="s">
        <v>46</v>
      </c>
      <c r="N486" t="s">
        <v>17</v>
      </c>
      <c r="O486" t="s">
        <v>41</v>
      </c>
    </row>
    <row r="487" spans="1:15" x14ac:dyDescent="0.3">
      <c r="A487">
        <v>486</v>
      </c>
      <c r="B487" t="s">
        <v>212</v>
      </c>
      <c r="C487" t="s">
        <v>921</v>
      </c>
      <c r="D487" t="s">
        <v>1495</v>
      </c>
      <c r="E487" t="s">
        <v>85</v>
      </c>
      <c r="F487" s="1">
        <v>39635</v>
      </c>
      <c r="G487" s="2">
        <v>2008</v>
      </c>
      <c r="H487">
        <v>2021</v>
      </c>
      <c r="I487" s="2">
        <v>13</v>
      </c>
      <c r="J487">
        <v>78755</v>
      </c>
      <c r="K487" t="s">
        <v>33</v>
      </c>
      <c r="L487">
        <v>5</v>
      </c>
      <c r="M487" t="s">
        <v>91</v>
      </c>
      <c r="N487" t="s">
        <v>40</v>
      </c>
      <c r="O487" t="s">
        <v>41</v>
      </c>
    </row>
    <row r="488" spans="1:15" x14ac:dyDescent="0.3">
      <c r="A488">
        <v>487</v>
      </c>
      <c r="B488" t="s">
        <v>341</v>
      </c>
      <c r="C488" t="s">
        <v>922</v>
      </c>
      <c r="D488" t="s">
        <v>1495</v>
      </c>
      <c r="E488" t="s">
        <v>85</v>
      </c>
      <c r="F488" s="1">
        <v>37729</v>
      </c>
      <c r="G488" s="2">
        <v>2003</v>
      </c>
      <c r="H488">
        <v>2021</v>
      </c>
      <c r="I488" s="2">
        <v>18</v>
      </c>
      <c r="J488">
        <v>128726</v>
      </c>
      <c r="K488" t="s">
        <v>115</v>
      </c>
      <c r="L488">
        <v>3</v>
      </c>
      <c r="M488" t="s">
        <v>28</v>
      </c>
      <c r="N488" t="s">
        <v>17</v>
      </c>
      <c r="O488" t="s">
        <v>41</v>
      </c>
    </row>
    <row r="489" spans="1:15" x14ac:dyDescent="0.3">
      <c r="A489">
        <v>488</v>
      </c>
      <c r="B489" t="s">
        <v>830</v>
      </c>
      <c r="C489" t="s">
        <v>923</v>
      </c>
      <c r="D489" t="s">
        <v>1494</v>
      </c>
      <c r="E489" t="s">
        <v>238</v>
      </c>
      <c r="F489" s="1">
        <v>40892</v>
      </c>
      <c r="G489" s="2">
        <v>2011</v>
      </c>
      <c r="H489">
        <v>2021</v>
      </c>
      <c r="I489" s="2">
        <v>10</v>
      </c>
      <c r="J489">
        <v>69026</v>
      </c>
      <c r="K489" t="s">
        <v>136</v>
      </c>
      <c r="L489">
        <v>6</v>
      </c>
      <c r="M489" t="s">
        <v>50</v>
      </c>
      <c r="N489" t="s">
        <v>40</v>
      </c>
      <c r="O489" t="s">
        <v>63</v>
      </c>
    </row>
    <row r="490" spans="1:15" x14ac:dyDescent="0.3">
      <c r="A490">
        <v>489</v>
      </c>
      <c r="B490" t="s">
        <v>816</v>
      </c>
      <c r="C490" t="s">
        <v>924</v>
      </c>
      <c r="D490" t="s">
        <v>1495</v>
      </c>
      <c r="E490" t="s">
        <v>110</v>
      </c>
      <c r="F490" s="1">
        <v>41655</v>
      </c>
      <c r="G490" s="2">
        <v>2014</v>
      </c>
      <c r="H490">
        <v>2021</v>
      </c>
      <c r="I490" s="2">
        <v>7</v>
      </c>
      <c r="J490">
        <v>78109</v>
      </c>
      <c r="K490" t="s">
        <v>370</v>
      </c>
      <c r="L490">
        <v>5</v>
      </c>
      <c r="M490" t="s">
        <v>91</v>
      </c>
      <c r="N490" t="s">
        <v>40</v>
      </c>
      <c r="O490" t="s">
        <v>112</v>
      </c>
    </row>
    <row r="491" spans="1:15" x14ac:dyDescent="0.3">
      <c r="A491">
        <v>490</v>
      </c>
      <c r="B491" t="s">
        <v>352</v>
      </c>
      <c r="C491" t="s">
        <v>925</v>
      </c>
      <c r="D491" t="s">
        <v>1494</v>
      </c>
      <c r="E491" t="s">
        <v>61</v>
      </c>
      <c r="F491" s="1">
        <v>36624</v>
      </c>
      <c r="G491" s="2">
        <v>2000</v>
      </c>
      <c r="H491">
        <v>2021</v>
      </c>
      <c r="I491" s="2">
        <v>21</v>
      </c>
      <c r="J491">
        <v>116480</v>
      </c>
      <c r="K491" t="s">
        <v>111</v>
      </c>
      <c r="L491">
        <v>5</v>
      </c>
      <c r="M491" t="s">
        <v>91</v>
      </c>
      <c r="N491" t="s">
        <v>40</v>
      </c>
      <c r="O491" t="s">
        <v>63</v>
      </c>
    </row>
    <row r="492" spans="1:15" x14ac:dyDescent="0.3">
      <c r="A492">
        <v>491</v>
      </c>
      <c r="B492" t="s">
        <v>530</v>
      </c>
      <c r="C492" t="s">
        <v>926</v>
      </c>
      <c r="D492" t="s">
        <v>1495</v>
      </c>
      <c r="E492" t="s">
        <v>53</v>
      </c>
      <c r="F492" s="1">
        <v>38151</v>
      </c>
      <c r="G492" s="2">
        <v>2004</v>
      </c>
      <c r="H492">
        <v>2021</v>
      </c>
      <c r="I492" s="2">
        <v>17</v>
      </c>
      <c r="J492">
        <v>108444</v>
      </c>
      <c r="K492" t="s">
        <v>194</v>
      </c>
      <c r="L492">
        <v>7</v>
      </c>
      <c r="M492" t="s">
        <v>39</v>
      </c>
      <c r="N492" t="s">
        <v>40</v>
      </c>
      <c r="O492" t="s">
        <v>23</v>
      </c>
    </row>
    <row r="493" spans="1:15" x14ac:dyDescent="0.3">
      <c r="A493">
        <v>492</v>
      </c>
      <c r="B493" t="s">
        <v>345</v>
      </c>
      <c r="C493" t="s">
        <v>927</v>
      </c>
      <c r="D493" t="s">
        <v>1494</v>
      </c>
      <c r="E493" t="s">
        <v>14</v>
      </c>
      <c r="F493" s="1">
        <v>40217</v>
      </c>
      <c r="G493" s="2">
        <v>2010</v>
      </c>
      <c r="H493">
        <v>2021</v>
      </c>
      <c r="I493" s="2">
        <v>11</v>
      </c>
      <c r="J493">
        <v>106535</v>
      </c>
      <c r="K493" t="s">
        <v>669</v>
      </c>
      <c r="L493">
        <v>1</v>
      </c>
      <c r="M493" t="s">
        <v>46</v>
      </c>
      <c r="N493" t="s">
        <v>17</v>
      </c>
      <c r="O493" t="s">
        <v>18</v>
      </c>
    </row>
    <row r="494" spans="1:15" x14ac:dyDescent="0.3">
      <c r="A494">
        <v>493</v>
      </c>
      <c r="B494" t="s">
        <v>630</v>
      </c>
      <c r="C494" t="s">
        <v>928</v>
      </c>
      <c r="D494" t="s">
        <v>1494</v>
      </c>
      <c r="E494" t="s">
        <v>14</v>
      </c>
      <c r="F494" s="1">
        <v>39623</v>
      </c>
      <c r="G494" s="2">
        <v>2008</v>
      </c>
      <c r="H494">
        <v>2021</v>
      </c>
      <c r="I494" s="2">
        <v>13</v>
      </c>
      <c r="J494">
        <v>137025</v>
      </c>
      <c r="K494" t="s">
        <v>370</v>
      </c>
      <c r="L494">
        <v>5</v>
      </c>
      <c r="M494" t="s">
        <v>91</v>
      </c>
      <c r="N494" t="s">
        <v>40</v>
      </c>
      <c r="O494" t="s">
        <v>18</v>
      </c>
    </row>
    <row r="495" spans="1:15" x14ac:dyDescent="0.3">
      <c r="A495">
        <v>494</v>
      </c>
      <c r="B495" t="s">
        <v>433</v>
      </c>
      <c r="C495" t="s">
        <v>929</v>
      </c>
      <c r="D495" t="s">
        <v>1494</v>
      </c>
      <c r="E495" t="s">
        <v>100</v>
      </c>
      <c r="F495" s="1">
        <v>38414</v>
      </c>
      <c r="G495" s="2">
        <v>2005</v>
      </c>
      <c r="H495">
        <v>2021</v>
      </c>
      <c r="I495" s="2">
        <v>16</v>
      </c>
      <c r="J495">
        <v>71663</v>
      </c>
      <c r="K495" t="s">
        <v>430</v>
      </c>
      <c r="L495">
        <v>3</v>
      </c>
      <c r="M495" t="s">
        <v>28</v>
      </c>
      <c r="N495" t="s">
        <v>17</v>
      </c>
      <c r="O495" t="s">
        <v>29</v>
      </c>
    </row>
    <row r="496" spans="1:15" x14ac:dyDescent="0.3">
      <c r="A496">
        <v>495</v>
      </c>
      <c r="B496" t="s">
        <v>67</v>
      </c>
      <c r="C496" t="s">
        <v>930</v>
      </c>
      <c r="D496" t="s">
        <v>1495</v>
      </c>
      <c r="E496" t="s">
        <v>122</v>
      </c>
      <c r="F496" s="1">
        <v>38268</v>
      </c>
      <c r="G496" s="2">
        <v>2004</v>
      </c>
      <c r="H496">
        <v>2021</v>
      </c>
      <c r="I496" s="2">
        <v>17</v>
      </c>
      <c r="J496">
        <v>80073</v>
      </c>
      <c r="K496" t="s">
        <v>107</v>
      </c>
      <c r="L496">
        <v>3</v>
      </c>
      <c r="M496" t="s">
        <v>28</v>
      </c>
      <c r="N496" t="s">
        <v>17</v>
      </c>
      <c r="O496" t="s">
        <v>123</v>
      </c>
    </row>
    <row r="497" spans="1:15" x14ac:dyDescent="0.3">
      <c r="A497">
        <v>496</v>
      </c>
      <c r="B497" t="s">
        <v>505</v>
      </c>
      <c r="C497" t="s">
        <v>931</v>
      </c>
      <c r="D497" t="s">
        <v>1494</v>
      </c>
      <c r="E497" t="s">
        <v>129</v>
      </c>
      <c r="F497" s="1">
        <v>39521</v>
      </c>
      <c r="G497" s="2">
        <v>2008</v>
      </c>
      <c r="H497">
        <v>2021</v>
      </c>
      <c r="I497" s="2">
        <v>13</v>
      </c>
      <c r="J497">
        <v>40254</v>
      </c>
      <c r="K497" t="s">
        <v>313</v>
      </c>
      <c r="L497">
        <v>5</v>
      </c>
      <c r="M497" t="s">
        <v>91</v>
      </c>
      <c r="N497" t="s">
        <v>40</v>
      </c>
      <c r="O497" t="s">
        <v>41</v>
      </c>
    </row>
    <row r="498" spans="1:15" x14ac:dyDescent="0.3">
      <c r="A498">
        <v>497</v>
      </c>
      <c r="B498" t="s">
        <v>679</v>
      </c>
      <c r="C498" t="s">
        <v>932</v>
      </c>
      <c r="D498" t="s">
        <v>1495</v>
      </c>
      <c r="E498" t="s">
        <v>37</v>
      </c>
      <c r="F498" s="1">
        <v>40612</v>
      </c>
      <c r="G498" s="2">
        <v>2011</v>
      </c>
      <c r="H498">
        <v>2021</v>
      </c>
      <c r="I498" s="2">
        <v>10</v>
      </c>
      <c r="J498">
        <v>80027</v>
      </c>
      <c r="K498" t="s">
        <v>95</v>
      </c>
      <c r="L498">
        <v>3</v>
      </c>
      <c r="M498" t="s">
        <v>28</v>
      </c>
      <c r="N498" t="s">
        <v>17</v>
      </c>
      <c r="O498" t="s">
        <v>41</v>
      </c>
    </row>
    <row r="499" spans="1:15" x14ac:dyDescent="0.3">
      <c r="A499">
        <v>498</v>
      </c>
      <c r="B499" t="s">
        <v>392</v>
      </c>
      <c r="C499" t="s">
        <v>933</v>
      </c>
      <c r="D499" t="s">
        <v>1495</v>
      </c>
      <c r="E499" t="s">
        <v>110</v>
      </c>
      <c r="F499" s="1">
        <v>37125</v>
      </c>
      <c r="G499" s="2">
        <v>2001</v>
      </c>
      <c r="H499">
        <v>2021</v>
      </c>
      <c r="I499" s="2">
        <v>20</v>
      </c>
      <c r="J499">
        <v>106994</v>
      </c>
      <c r="K499" t="s">
        <v>349</v>
      </c>
      <c r="L499">
        <v>3</v>
      </c>
      <c r="M499" t="s">
        <v>28</v>
      </c>
      <c r="N499" t="s">
        <v>17</v>
      </c>
      <c r="O499" t="s">
        <v>112</v>
      </c>
    </row>
    <row r="500" spans="1:15" x14ac:dyDescent="0.3">
      <c r="A500">
        <v>499</v>
      </c>
      <c r="B500" t="s">
        <v>934</v>
      </c>
      <c r="C500" t="s">
        <v>935</v>
      </c>
      <c r="D500" t="s">
        <v>1494</v>
      </c>
      <c r="E500" t="s">
        <v>53</v>
      </c>
      <c r="F500" s="1">
        <v>37010</v>
      </c>
      <c r="G500" s="2">
        <v>2001</v>
      </c>
      <c r="H500">
        <v>2021</v>
      </c>
      <c r="I500" s="2">
        <v>20</v>
      </c>
      <c r="J500">
        <v>145559</v>
      </c>
      <c r="K500" t="s">
        <v>796</v>
      </c>
      <c r="L500">
        <v>2</v>
      </c>
      <c r="M500" t="s">
        <v>16</v>
      </c>
      <c r="N500" t="s">
        <v>17</v>
      </c>
      <c r="O500" t="s">
        <v>23</v>
      </c>
    </row>
    <row r="501" spans="1:15" x14ac:dyDescent="0.3">
      <c r="A501">
        <v>500</v>
      </c>
      <c r="B501" t="s">
        <v>221</v>
      </c>
      <c r="C501" t="s">
        <v>936</v>
      </c>
      <c r="D501" t="s">
        <v>1494</v>
      </c>
      <c r="E501" t="s">
        <v>100</v>
      </c>
      <c r="F501" s="1">
        <v>36971</v>
      </c>
      <c r="G501" s="2">
        <v>2001</v>
      </c>
      <c r="H501">
        <v>2021</v>
      </c>
      <c r="I501" s="2">
        <v>20</v>
      </c>
      <c r="J501">
        <v>91994</v>
      </c>
      <c r="K501" t="s">
        <v>908</v>
      </c>
      <c r="L501">
        <v>5</v>
      </c>
      <c r="M501" t="s">
        <v>91</v>
      </c>
      <c r="N501" t="s">
        <v>40</v>
      </c>
      <c r="O501" t="s">
        <v>29</v>
      </c>
    </row>
    <row r="502" spans="1:15" x14ac:dyDescent="0.3">
      <c r="A502">
        <v>501</v>
      </c>
      <c r="B502" t="s">
        <v>864</v>
      </c>
      <c r="C502" t="s">
        <v>937</v>
      </c>
      <c r="D502" t="s">
        <v>1494</v>
      </c>
      <c r="E502" t="s">
        <v>238</v>
      </c>
      <c r="F502" s="1">
        <v>37108</v>
      </c>
      <c r="G502" s="2">
        <v>2001</v>
      </c>
      <c r="H502">
        <v>2021</v>
      </c>
      <c r="I502" s="2">
        <v>20</v>
      </c>
      <c r="J502">
        <v>138540</v>
      </c>
      <c r="K502" t="s">
        <v>938</v>
      </c>
      <c r="L502">
        <v>7</v>
      </c>
      <c r="M502" t="s">
        <v>39</v>
      </c>
      <c r="N502" t="s">
        <v>40</v>
      </c>
      <c r="O502" t="s">
        <v>63</v>
      </c>
    </row>
    <row r="503" spans="1:15" x14ac:dyDescent="0.3">
      <c r="A503">
        <v>502</v>
      </c>
      <c r="B503" t="s">
        <v>630</v>
      </c>
      <c r="C503" t="s">
        <v>939</v>
      </c>
      <c r="D503" t="s">
        <v>1495</v>
      </c>
      <c r="E503" t="s">
        <v>14</v>
      </c>
      <c r="F503" s="1">
        <v>40468</v>
      </c>
      <c r="G503" s="2">
        <v>2010</v>
      </c>
      <c r="H503">
        <v>2021</v>
      </c>
      <c r="I503" s="2">
        <v>11</v>
      </c>
      <c r="J503">
        <v>136034</v>
      </c>
      <c r="K503" t="s">
        <v>223</v>
      </c>
      <c r="L503">
        <v>4</v>
      </c>
      <c r="M503" t="s">
        <v>55</v>
      </c>
      <c r="N503" t="s">
        <v>17</v>
      </c>
      <c r="O503" t="s">
        <v>18</v>
      </c>
    </row>
    <row r="504" spans="1:15" x14ac:dyDescent="0.3">
      <c r="A504">
        <v>503</v>
      </c>
      <c r="B504" t="s">
        <v>379</v>
      </c>
      <c r="C504" t="s">
        <v>940</v>
      </c>
      <c r="D504" t="s">
        <v>1495</v>
      </c>
      <c r="E504" t="s">
        <v>73</v>
      </c>
      <c r="F504" s="1">
        <v>38005</v>
      </c>
      <c r="G504" s="2">
        <v>2004</v>
      </c>
      <c r="H504">
        <v>2021</v>
      </c>
      <c r="I504" s="2">
        <v>17</v>
      </c>
      <c r="J504">
        <v>127291</v>
      </c>
      <c r="K504" t="s">
        <v>261</v>
      </c>
      <c r="L504">
        <v>7</v>
      </c>
      <c r="M504" t="s">
        <v>39</v>
      </c>
      <c r="N504" t="s">
        <v>40</v>
      </c>
      <c r="O504" t="s">
        <v>41</v>
      </c>
    </row>
    <row r="505" spans="1:15" x14ac:dyDescent="0.3">
      <c r="A505">
        <v>504</v>
      </c>
      <c r="B505" t="s">
        <v>127</v>
      </c>
      <c r="C505" t="s">
        <v>941</v>
      </c>
      <c r="D505" t="s">
        <v>1494</v>
      </c>
      <c r="E505" t="s">
        <v>100</v>
      </c>
      <c r="F505" s="1">
        <v>36604</v>
      </c>
      <c r="G505" s="2">
        <v>2000</v>
      </c>
      <c r="H505">
        <v>2021</v>
      </c>
      <c r="I505" s="2">
        <v>21</v>
      </c>
      <c r="J505">
        <v>131283</v>
      </c>
      <c r="K505" t="s">
        <v>669</v>
      </c>
      <c r="L505">
        <v>4</v>
      </c>
      <c r="M505" t="s">
        <v>55</v>
      </c>
      <c r="N505" t="s">
        <v>17</v>
      </c>
      <c r="O505" t="s">
        <v>29</v>
      </c>
    </row>
    <row r="506" spans="1:15" x14ac:dyDescent="0.3">
      <c r="A506">
        <v>505</v>
      </c>
      <c r="B506" t="s">
        <v>560</v>
      </c>
      <c r="C506" t="s">
        <v>942</v>
      </c>
      <c r="D506" t="s">
        <v>1494</v>
      </c>
      <c r="E506" t="s">
        <v>14</v>
      </c>
      <c r="F506" s="1">
        <v>38523</v>
      </c>
      <c r="G506" s="2">
        <v>2005</v>
      </c>
      <c r="H506">
        <v>2021</v>
      </c>
      <c r="I506" s="2">
        <v>16</v>
      </c>
      <c r="J506">
        <v>122108</v>
      </c>
      <c r="K506" t="s">
        <v>430</v>
      </c>
      <c r="L506">
        <v>7</v>
      </c>
      <c r="M506" t="s">
        <v>39</v>
      </c>
      <c r="N506" t="s">
        <v>40</v>
      </c>
      <c r="O506" t="s">
        <v>18</v>
      </c>
    </row>
    <row r="507" spans="1:15" x14ac:dyDescent="0.3">
      <c r="A507">
        <v>506</v>
      </c>
      <c r="B507" t="s">
        <v>943</v>
      </c>
      <c r="C507" t="s">
        <v>944</v>
      </c>
      <c r="D507" t="s">
        <v>1495</v>
      </c>
      <c r="E507" t="s">
        <v>89</v>
      </c>
      <c r="F507" s="1">
        <v>39448</v>
      </c>
      <c r="G507" s="2">
        <v>2008</v>
      </c>
      <c r="H507">
        <v>2021</v>
      </c>
      <c r="I507" s="2">
        <v>13</v>
      </c>
      <c r="J507">
        <v>49048</v>
      </c>
      <c r="K507" t="s">
        <v>58</v>
      </c>
      <c r="L507">
        <v>1</v>
      </c>
      <c r="M507" t="s">
        <v>46</v>
      </c>
      <c r="N507" t="s">
        <v>17</v>
      </c>
      <c r="O507" t="s">
        <v>41</v>
      </c>
    </row>
    <row r="508" spans="1:15" x14ac:dyDescent="0.3">
      <c r="A508">
        <v>507</v>
      </c>
      <c r="B508" t="s">
        <v>140</v>
      </c>
      <c r="C508" t="s">
        <v>945</v>
      </c>
      <c r="D508" t="s">
        <v>1495</v>
      </c>
      <c r="E508" t="s">
        <v>73</v>
      </c>
      <c r="F508" s="1">
        <v>41214</v>
      </c>
      <c r="G508" s="2">
        <v>2012</v>
      </c>
      <c r="H508">
        <v>2021</v>
      </c>
      <c r="I508" s="2">
        <v>9</v>
      </c>
      <c r="J508">
        <v>97427</v>
      </c>
      <c r="K508" t="s">
        <v>209</v>
      </c>
      <c r="L508">
        <v>6</v>
      </c>
      <c r="M508" t="s">
        <v>50</v>
      </c>
      <c r="N508" t="s">
        <v>40</v>
      </c>
      <c r="O508" t="s">
        <v>41</v>
      </c>
    </row>
    <row r="509" spans="1:15" x14ac:dyDescent="0.3">
      <c r="A509">
        <v>508</v>
      </c>
      <c r="B509" t="s">
        <v>596</v>
      </c>
      <c r="C509" t="s">
        <v>946</v>
      </c>
      <c r="D509" t="s">
        <v>1494</v>
      </c>
      <c r="E509" t="s">
        <v>14</v>
      </c>
      <c r="F509" s="1">
        <v>39216</v>
      </c>
      <c r="G509" s="2">
        <v>2007</v>
      </c>
      <c r="H509">
        <v>2021</v>
      </c>
      <c r="I509" s="2">
        <v>14</v>
      </c>
      <c r="J509">
        <v>90960</v>
      </c>
      <c r="K509" t="s">
        <v>250</v>
      </c>
      <c r="L509">
        <v>7</v>
      </c>
      <c r="M509" t="s">
        <v>39</v>
      </c>
      <c r="N509" t="s">
        <v>40</v>
      </c>
      <c r="O509" t="s">
        <v>18</v>
      </c>
    </row>
    <row r="510" spans="1:15" x14ac:dyDescent="0.3">
      <c r="A510">
        <v>509</v>
      </c>
      <c r="B510" t="s">
        <v>548</v>
      </c>
      <c r="C510" t="s">
        <v>947</v>
      </c>
      <c r="D510" t="s">
        <v>1494</v>
      </c>
      <c r="E510" t="s">
        <v>203</v>
      </c>
      <c r="F510" s="1">
        <v>40907</v>
      </c>
      <c r="G510" s="2">
        <v>2011</v>
      </c>
      <c r="H510">
        <v>2021</v>
      </c>
      <c r="I510" s="2">
        <v>10</v>
      </c>
      <c r="J510">
        <v>43986</v>
      </c>
      <c r="K510" t="s">
        <v>938</v>
      </c>
      <c r="L510">
        <v>3</v>
      </c>
      <c r="M510" t="s">
        <v>28</v>
      </c>
      <c r="N510" t="s">
        <v>17</v>
      </c>
      <c r="O510" t="s">
        <v>41</v>
      </c>
    </row>
    <row r="511" spans="1:15" x14ac:dyDescent="0.3">
      <c r="A511">
        <v>510</v>
      </c>
      <c r="B511" t="s">
        <v>170</v>
      </c>
      <c r="C511" t="s">
        <v>948</v>
      </c>
      <c r="D511" t="s">
        <v>1494</v>
      </c>
      <c r="E511" t="s">
        <v>148</v>
      </c>
      <c r="F511" s="1">
        <v>41964</v>
      </c>
      <c r="G511" s="2">
        <v>2014</v>
      </c>
      <c r="H511">
        <v>2021</v>
      </c>
      <c r="I511" s="2">
        <v>7</v>
      </c>
      <c r="J511">
        <v>108748</v>
      </c>
      <c r="K511" t="s">
        <v>181</v>
      </c>
      <c r="L511">
        <v>4</v>
      </c>
      <c r="M511" t="s">
        <v>55</v>
      </c>
      <c r="N511" t="s">
        <v>17</v>
      </c>
      <c r="O511" t="s">
        <v>112</v>
      </c>
    </row>
    <row r="512" spans="1:15" x14ac:dyDescent="0.3">
      <c r="A512">
        <v>511</v>
      </c>
      <c r="B512" t="s">
        <v>80</v>
      </c>
      <c r="C512" t="s">
        <v>949</v>
      </c>
      <c r="D512" t="s">
        <v>1495</v>
      </c>
      <c r="E512" t="s">
        <v>100</v>
      </c>
      <c r="F512" s="1">
        <v>39054</v>
      </c>
      <c r="G512" s="2">
        <v>2006</v>
      </c>
      <c r="H512">
        <v>2021</v>
      </c>
      <c r="I512" s="2">
        <v>15</v>
      </c>
      <c r="J512">
        <v>102149</v>
      </c>
      <c r="K512" t="s">
        <v>62</v>
      </c>
      <c r="L512">
        <v>5</v>
      </c>
      <c r="M512" t="s">
        <v>91</v>
      </c>
      <c r="N512" t="s">
        <v>40</v>
      </c>
      <c r="O512" t="s">
        <v>29</v>
      </c>
    </row>
    <row r="513" spans="1:15" x14ac:dyDescent="0.3">
      <c r="A513">
        <v>512</v>
      </c>
      <c r="B513" t="s">
        <v>845</v>
      </c>
      <c r="C513" t="s">
        <v>950</v>
      </c>
      <c r="D513" t="s">
        <v>1494</v>
      </c>
      <c r="E513" t="s">
        <v>148</v>
      </c>
      <c r="F513" s="1">
        <v>39612</v>
      </c>
      <c r="G513" s="2">
        <v>2008</v>
      </c>
      <c r="H513">
        <v>2021</v>
      </c>
      <c r="I513" s="2">
        <v>13</v>
      </c>
      <c r="J513">
        <v>133360</v>
      </c>
      <c r="K513" t="s">
        <v>370</v>
      </c>
      <c r="L513">
        <v>7</v>
      </c>
      <c r="M513" t="s">
        <v>39</v>
      </c>
      <c r="N513" t="s">
        <v>40</v>
      </c>
      <c r="O513" t="s">
        <v>112</v>
      </c>
    </row>
    <row r="514" spans="1:15" x14ac:dyDescent="0.3">
      <c r="A514">
        <v>513</v>
      </c>
      <c r="B514" t="s">
        <v>657</v>
      </c>
      <c r="C514" t="s">
        <v>951</v>
      </c>
      <c r="D514" t="s">
        <v>1495</v>
      </c>
      <c r="E514" t="s">
        <v>110</v>
      </c>
      <c r="F514" s="1">
        <v>38177</v>
      </c>
      <c r="G514" s="2">
        <v>2004</v>
      </c>
      <c r="H514">
        <v>2021</v>
      </c>
      <c r="I514" s="2">
        <v>17</v>
      </c>
      <c r="J514">
        <v>70814</v>
      </c>
      <c r="K514" t="s">
        <v>952</v>
      </c>
      <c r="L514">
        <v>4</v>
      </c>
      <c r="M514" t="s">
        <v>55</v>
      </c>
      <c r="N514" t="s">
        <v>17</v>
      </c>
      <c r="O514" t="s">
        <v>112</v>
      </c>
    </row>
    <row r="515" spans="1:15" x14ac:dyDescent="0.3">
      <c r="A515">
        <v>514</v>
      </c>
      <c r="B515" t="s">
        <v>698</v>
      </c>
      <c r="C515" t="s">
        <v>953</v>
      </c>
      <c r="D515" t="s">
        <v>1494</v>
      </c>
      <c r="E515" t="s">
        <v>37</v>
      </c>
      <c r="F515" s="1">
        <v>40530</v>
      </c>
      <c r="G515" s="2">
        <v>2010</v>
      </c>
      <c r="H515">
        <v>2021</v>
      </c>
      <c r="I515" s="2">
        <v>11</v>
      </c>
      <c r="J515">
        <v>132037</v>
      </c>
      <c r="K515" t="s">
        <v>954</v>
      </c>
      <c r="L515">
        <v>6</v>
      </c>
      <c r="M515" t="s">
        <v>50</v>
      </c>
      <c r="N515" t="s">
        <v>40</v>
      </c>
      <c r="O515" t="s">
        <v>41</v>
      </c>
    </row>
    <row r="516" spans="1:15" x14ac:dyDescent="0.3">
      <c r="A516">
        <v>515</v>
      </c>
      <c r="B516" t="s">
        <v>275</v>
      </c>
      <c r="C516" t="s">
        <v>955</v>
      </c>
      <c r="D516" t="s">
        <v>1494</v>
      </c>
      <c r="E516" t="s">
        <v>69</v>
      </c>
      <c r="F516" s="1">
        <v>37377</v>
      </c>
      <c r="G516" s="2">
        <v>2002</v>
      </c>
      <c r="H516">
        <v>2021</v>
      </c>
      <c r="I516" s="2">
        <v>19</v>
      </c>
      <c r="J516">
        <v>55747</v>
      </c>
      <c r="K516" t="s">
        <v>449</v>
      </c>
      <c r="L516">
        <v>1</v>
      </c>
      <c r="M516" t="s">
        <v>46</v>
      </c>
      <c r="N516" t="s">
        <v>17</v>
      </c>
      <c r="O516" t="s">
        <v>41</v>
      </c>
    </row>
    <row r="517" spans="1:15" x14ac:dyDescent="0.3">
      <c r="A517">
        <v>516</v>
      </c>
      <c r="B517" t="s">
        <v>494</v>
      </c>
      <c r="C517" t="s">
        <v>956</v>
      </c>
      <c r="D517" t="s">
        <v>1495</v>
      </c>
      <c r="E517" t="s">
        <v>53</v>
      </c>
      <c r="F517" s="1">
        <v>38877</v>
      </c>
      <c r="G517" s="2">
        <v>2006</v>
      </c>
      <c r="H517">
        <v>2021</v>
      </c>
      <c r="I517" s="2">
        <v>15</v>
      </c>
      <c r="J517">
        <v>89324</v>
      </c>
      <c r="K517" t="s">
        <v>456</v>
      </c>
      <c r="L517">
        <v>3</v>
      </c>
      <c r="M517" t="s">
        <v>28</v>
      </c>
      <c r="N517" t="s">
        <v>17</v>
      </c>
      <c r="O517" t="s">
        <v>23</v>
      </c>
    </row>
    <row r="518" spans="1:15" x14ac:dyDescent="0.3">
      <c r="A518">
        <v>517</v>
      </c>
      <c r="B518" t="s">
        <v>845</v>
      </c>
      <c r="C518" t="s">
        <v>957</v>
      </c>
      <c r="D518" t="s">
        <v>1494</v>
      </c>
      <c r="E518" t="s">
        <v>14</v>
      </c>
      <c r="F518" s="1">
        <v>40582</v>
      </c>
      <c r="G518" s="2">
        <v>2011</v>
      </c>
      <c r="H518">
        <v>2021</v>
      </c>
      <c r="I518" s="2">
        <v>10</v>
      </c>
      <c r="J518">
        <v>124418</v>
      </c>
      <c r="K518" t="s">
        <v>958</v>
      </c>
      <c r="L518">
        <v>7</v>
      </c>
      <c r="M518" t="s">
        <v>39</v>
      </c>
      <c r="N518" t="s">
        <v>40</v>
      </c>
      <c r="O518" t="s">
        <v>18</v>
      </c>
    </row>
    <row r="519" spans="1:15" x14ac:dyDescent="0.3">
      <c r="A519">
        <v>518</v>
      </c>
      <c r="B519" t="s">
        <v>698</v>
      </c>
      <c r="C519" t="s">
        <v>959</v>
      </c>
      <c r="D519" t="s">
        <v>1495</v>
      </c>
      <c r="E519" t="s">
        <v>37</v>
      </c>
      <c r="F519" s="1">
        <v>38711</v>
      </c>
      <c r="G519" s="2">
        <v>2005</v>
      </c>
      <c r="H519">
        <v>2021</v>
      </c>
      <c r="I519" s="2">
        <v>16</v>
      </c>
      <c r="J519">
        <v>138093</v>
      </c>
      <c r="K519" t="s">
        <v>449</v>
      </c>
      <c r="L519">
        <v>3</v>
      </c>
      <c r="M519" t="s">
        <v>28</v>
      </c>
      <c r="N519" t="s">
        <v>17</v>
      </c>
      <c r="O519" t="s">
        <v>41</v>
      </c>
    </row>
    <row r="520" spans="1:15" x14ac:dyDescent="0.3">
      <c r="A520">
        <v>519</v>
      </c>
      <c r="B520" t="s">
        <v>273</v>
      </c>
      <c r="C520" t="s">
        <v>960</v>
      </c>
      <c r="D520" t="s">
        <v>1494</v>
      </c>
      <c r="E520" t="s">
        <v>94</v>
      </c>
      <c r="F520" s="1">
        <v>37859</v>
      </c>
      <c r="G520" s="2">
        <v>2003</v>
      </c>
      <c r="H520">
        <v>2021</v>
      </c>
      <c r="I520" s="2">
        <v>18</v>
      </c>
      <c r="J520">
        <v>141340</v>
      </c>
      <c r="K520" t="s">
        <v>916</v>
      </c>
      <c r="L520">
        <v>4</v>
      </c>
      <c r="M520" t="s">
        <v>55</v>
      </c>
      <c r="N520" t="s">
        <v>17</v>
      </c>
      <c r="O520" t="s">
        <v>18</v>
      </c>
    </row>
    <row r="521" spans="1:15" x14ac:dyDescent="0.3">
      <c r="A521">
        <v>520</v>
      </c>
      <c r="B521" t="s">
        <v>118</v>
      </c>
      <c r="C521" t="s">
        <v>961</v>
      </c>
      <c r="D521" t="s">
        <v>1494</v>
      </c>
      <c r="E521" t="s">
        <v>100</v>
      </c>
      <c r="F521" s="1">
        <v>38870</v>
      </c>
      <c r="G521" s="2">
        <v>2006</v>
      </c>
      <c r="H521">
        <v>2021</v>
      </c>
      <c r="I521" s="2">
        <v>15</v>
      </c>
      <c r="J521">
        <v>54672</v>
      </c>
      <c r="K521" t="s">
        <v>15</v>
      </c>
      <c r="L521">
        <v>4</v>
      </c>
      <c r="M521" t="s">
        <v>55</v>
      </c>
      <c r="N521" t="s">
        <v>17</v>
      </c>
      <c r="O521" t="s">
        <v>29</v>
      </c>
    </row>
    <row r="522" spans="1:15" x14ac:dyDescent="0.3">
      <c r="A522">
        <v>521</v>
      </c>
      <c r="B522" t="s">
        <v>47</v>
      </c>
      <c r="C522" t="s">
        <v>962</v>
      </c>
      <c r="D522" t="s">
        <v>1494</v>
      </c>
      <c r="E522" t="s">
        <v>69</v>
      </c>
      <c r="F522" s="1">
        <v>37900</v>
      </c>
      <c r="G522" s="2">
        <v>2003</v>
      </c>
      <c r="H522">
        <v>2021</v>
      </c>
      <c r="I522" s="2">
        <v>18</v>
      </c>
      <c r="J522">
        <v>118602</v>
      </c>
      <c r="K522" t="s">
        <v>242</v>
      </c>
      <c r="L522">
        <v>5</v>
      </c>
      <c r="M522" t="s">
        <v>91</v>
      </c>
      <c r="N522" t="s">
        <v>40</v>
      </c>
      <c r="O522" t="s">
        <v>41</v>
      </c>
    </row>
    <row r="523" spans="1:15" x14ac:dyDescent="0.3">
      <c r="A523">
        <v>522</v>
      </c>
      <c r="B523" t="s">
        <v>963</v>
      </c>
      <c r="C523" t="s">
        <v>964</v>
      </c>
      <c r="D523" t="s">
        <v>1494</v>
      </c>
      <c r="E523" t="s">
        <v>32</v>
      </c>
      <c r="F523" s="1">
        <v>36560</v>
      </c>
      <c r="G523" s="2">
        <v>2000</v>
      </c>
      <c r="H523">
        <v>2021</v>
      </c>
      <c r="I523" s="3">
        <v>21</v>
      </c>
      <c r="J523">
        <v>97745</v>
      </c>
      <c r="K523" t="s">
        <v>169</v>
      </c>
      <c r="L523">
        <v>7</v>
      </c>
      <c r="M523" t="s">
        <v>39</v>
      </c>
      <c r="N523" t="s">
        <v>40</v>
      </c>
      <c r="O523" t="s">
        <v>34</v>
      </c>
    </row>
    <row r="524" spans="1:15" x14ac:dyDescent="0.3">
      <c r="A524">
        <v>523</v>
      </c>
      <c r="B524" t="s">
        <v>594</v>
      </c>
      <c r="C524" t="s">
        <v>965</v>
      </c>
      <c r="D524" t="s">
        <v>1495</v>
      </c>
      <c r="E524" t="s">
        <v>203</v>
      </c>
      <c r="F524" s="1">
        <v>41070</v>
      </c>
      <c r="G524" s="2">
        <v>2012</v>
      </c>
      <c r="H524">
        <v>2021</v>
      </c>
      <c r="I524" s="2">
        <v>9</v>
      </c>
      <c r="J524">
        <v>143855</v>
      </c>
      <c r="K524" t="s">
        <v>510</v>
      </c>
      <c r="L524">
        <v>5</v>
      </c>
      <c r="M524" t="s">
        <v>91</v>
      </c>
      <c r="N524" t="s">
        <v>40</v>
      </c>
      <c r="O524" t="s">
        <v>41</v>
      </c>
    </row>
    <row r="525" spans="1:15" x14ac:dyDescent="0.3">
      <c r="A525">
        <v>524</v>
      </c>
      <c r="B525" t="s">
        <v>667</v>
      </c>
      <c r="C525" t="s">
        <v>966</v>
      </c>
      <c r="D525" t="s">
        <v>1495</v>
      </c>
      <c r="E525" t="s">
        <v>203</v>
      </c>
      <c r="F525" s="1">
        <v>39979</v>
      </c>
      <c r="G525" s="2">
        <v>2009</v>
      </c>
      <c r="H525">
        <v>2021</v>
      </c>
      <c r="I525" s="2">
        <v>12</v>
      </c>
      <c r="J525">
        <v>43431</v>
      </c>
      <c r="K525" t="s">
        <v>299</v>
      </c>
      <c r="L525">
        <v>6</v>
      </c>
      <c r="M525" t="s">
        <v>50</v>
      </c>
      <c r="N525" t="s">
        <v>40</v>
      </c>
      <c r="O525" t="s">
        <v>41</v>
      </c>
    </row>
    <row r="526" spans="1:15" x14ac:dyDescent="0.3">
      <c r="A526">
        <v>525</v>
      </c>
      <c r="B526" t="s">
        <v>791</v>
      </c>
      <c r="C526" t="s">
        <v>967</v>
      </c>
      <c r="D526" t="s">
        <v>1495</v>
      </c>
      <c r="E526" t="s">
        <v>44</v>
      </c>
      <c r="F526" s="1">
        <v>37316</v>
      </c>
      <c r="G526" s="2">
        <v>2002</v>
      </c>
      <c r="H526">
        <v>2021</v>
      </c>
      <c r="I526" s="2">
        <v>19</v>
      </c>
      <c r="J526">
        <v>94016</v>
      </c>
      <c r="K526" t="s">
        <v>97</v>
      </c>
      <c r="L526">
        <v>2</v>
      </c>
      <c r="M526" t="s">
        <v>16</v>
      </c>
      <c r="N526" t="s">
        <v>17</v>
      </c>
      <c r="O526" t="s">
        <v>29</v>
      </c>
    </row>
    <row r="527" spans="1:15" x14ac:dyDescent="0.3">
      <c r="A527">
        <v>526</v>
      </c>
      <c r="B527" t="s">
        <v>159</v>
      </c>
      <c r="C527" t="s">
        <v>968</v>
      </c>
      <c r="D527" t="s">
        <v>1495</v>
      </c>
      <c r="E527" t="s">
        <v>73</v>
      </c>
      <c r="F527" s="1">
        <v>40795</v>
      </c>
      <c r="G527" s="2">
        <v>2011</v>
      </c>
      <c r="H527">
        <v>2021</v>
      </c>
      <c r="I527" s="2">
        <v>10</v>
      </c>
      <c r="J527">
        <v>66847</v>
      </c>
      <c r="K527" t="s">
        <v>142</v>
      </c>
      <c r="L527">
        <v>2</v>
      </c>
      <c r="M527" t="s">
        <v>16</v>
      </c>
      <c r="N527" t="s">
        <v>17</v>
      </c>
      <c r="O527" t="s">
        <v>41</v>
      </c>
    </row>
    <row r="528" spans="1:15" x14ac:dyDescent="0.3">
      <c r="A528">
        <v>527</v>
      </c>
      <c r="B528" t="s">
        <v>969</v>
      </c>
      <c r="C528" t="s">
        <v>970</v>
      </c>
      <c r="D528" t="s">
        <v>1494</v>
      </c>
      <c r="E528" t="s">
        <v>69</v>
      </c>
      <c r="F528" s="1">
        <v>38462</v>
      </c>
      <c r="G528" s="2">
        <v>2005</v>
      </c>
      <c r="H528">
        <v>2021</v>
      </c>
      <c r="I528" s="2">
        <v>16</v>
      </c>
      <c r="J528">
        <v>69705</v>
      </c>
      <c r="K528" t="s">
        <v>107</v>
      </c>
      <c r="L528">
        <v>3</v>
      </c>
      <c r="M528" t="s">
        <v>28</v>
      </c>
      <c r="N528" t="s">
        <v>17</v>
      </c>
      <c r="O528" t="s">
        <v>41</v>
      </c>
    </row>
    <row r="529" spans="1:15" x14ac:dyDescent="0.3">
      <c r="A529">
        <v>528</v>
      </c>
      <c r="B529" t="s">
        <v>882</v>
      </c>
      <c r="C529" t="s">
        <v>971</v>
      </c>
      <c r="D529" t="s">
        <v>1494</v>
      </c>
      <c r="E529" t="s">
        <v>21</v>
      </c>
      <c r="F529" s="1">
        <v>40947</v>
      </c>
      <c r="G529" s="2">
        <v>2012</v>
      </c>
      <c r="H529">
        <v>2021</v>
      </c>
      <c r="I529" s="2">
        <v>9</v>
      </c>
      <c r="J529">
        <v>96739</v>
      </c>
      <c r="K529" t="s">
        <v>223</v>
      </c>
      <c r="L529">
        <v>2</v>
      </c>
      <c r="M529" t="s">
        <v>16</v>
      </c>
      <c r="N529" t="s">
        <v>17</v>
      </c>
      <c r="O529" t="s">
        <v>23</v>
      </c>
    </row>
    <row r="530" spans="1:15" x14ac:dyDescent="0.3">
      <c r="A530">
        <v>529</v>
      </c>
      <c r="B530" t="s">
        <v>407</v>
      </c>
      <c r="C530" t="s">
        <v>972</v>
      </c>
      <c r="D530" t="s">
        <v>1495</v>
      </c>
      <c r="E530" t="s">
        <v>110</v>
      </c>
      <c r="F530" s="1">
        <v>38961</v>
      </c>
      <c r="G530" s="2">
        <v>2006</v>
      </c>
      <c r="H530">
        <v>2021</v>
      </c>
      <c r="I530" s="2">
        <v>15</v>
      </c>
      <c r="J530">
        <v>52956</v>
      </c>
      <c r="K530" t="s">
        <v>107</v>
      </c>
      <c r="L530">
        <v>3</v>
      </c>
      <c r="M530" t="s">
        <v>28</v>
      </c>
      <c r="N530" t="s">
        <v>17</v>
      </c>
      <c r="O530" t="s">
        <v>112</v>
      </c>
    </row>
    <row r="531" spans="1:15" x14ac:dyDescent="0.3">
      <c r="A531">
        <v>530</v>
      </c>
      <c r="B531" t="s">
        <v>973</v>
      </c>
      <c r="C531" t="s">
        <v>974</v>
      </c>
      <c r="D531" t="s">
        <v>1495</v>
      </c>
      <c r="E531" t="s">
        <v>14</v>
      </c>
      <c r="F531" s="1">
        <v>41257</v>
      </c>
      <c r="G531" s="2">
        <v>2012</v>
      </c>
      <c r="H531">
        <v>2021</v>
      </c>
      <c r="I531" s="2">
        <v>9</v>
      </c>
      <c r="J531">
        <v>71559</v>
      </c>
      <c r="K531" t="s">
        <v>145</v>
      </c>
      <c r="L531">
        <v>1</v>
      </c>
      <c r="M531" t="s">
        <v>46</v>
      </c>
      <c r="N531" t="s">
        <v>17</v>
      </c>
      <c r="O531" t="s">
        <v>18</v>
      </c>
    </row>
    <row r="532" spans="1:15" x14ac:dyDescent="0.3">
      <c r="A532">
        <v>531</v>
      </c>
      <c r="B532" t="s">
        <v>720</v>
      </c>
      <c r="C532" t="s">
        <v>975</v>
      </c>
      <c r="D532" t="s">
        <v>1494</v>
      </c>
      <c r="E532" t="s">
        <v>89</v>
      </c>
      <c r="F532" s="1">
        <v>40499</v>
      </c>
      <c r="G532" s="2">
        <v>2010</v>
      </c>
      <c r="H532">
        <v>2021</v>
      </c>
      <c r="I532" s="2">
        <v>11</v>
      </c>
      <c r="J532">
        <v>143226</v>
      </c>
      <c r="K532" t="s">
        <v>613</v>
      </c>
      <c r="L532">
        <v>7</v>
      </c>
      <c r="M532" t="s">
        <v>39</v>
      </c>
      <c r="N532" t="s">
        <v>40</v>
      </c>
      <c r="O532" t="s">
        <v>41</v>
      </c>
    </row>
    <row r="533" spans="1:15" x14ac:dyDescent="0.3">
      <c r="A533">
        <v>532</v>
      </c>
      <c r="B533" t="s">
        <v>762</v>
      </c>
      <c r="C533" t="s">
        <v>976</v>
      </c>
      <c r="D533" t="s">
        <v>1494</v>
      </c>
      <c r="E533" t="s">
        <v>122</v>
      </c>
      <c r="F533" s="1">
        <v>40588</v>
      </c>
      <c r="G533" s="2">
        <v>2011</v>
      </c>
      <c r="H533">
        <v>2021</v>
      </c>
      <c r="I533" s="2">
        <v>10</v>
      </c>
      <c r="J533">
        <v>145747</v>
      </c>
      <c r="K533" t="s">
        <v>22</v>
      </c>
      <c r="L533">
        <v>3</v>
      </c>
      <c r="M533" t="s">
        <v>28</v>
      </c>
      <c r="N533" t="s">
        <v>17</v>
      </c>
      <c r="O533" t="s">
        <v>123</v>
      </c>
    </row>
    <row r="534" spans="1:15" x14ac:dyDescent="0.3">
      <c r="A534">
        <v>533</v>
      </c>
      <c r="B534" t="s">
        <v>316</v>
      </c>
      <c r="C534" t="s">
        <v>977</v>
      </c>
      <c r="D534" t="s">
        <v>1495</v>
      </c>
      <c r="E534" t="s">
        <v>100</v>
      </c>
      <c r="F534" s="1">
        <v>41562</v>
      </c>
      <c r="G534" s="2">
        <v>2013</v>
      </c>
      <c r="H534">
        <v>2021</v>
      </c>
      <c r="I534" s="2">
        <v>8</v>
      </c>
      <c r="J534">
        <v>72001</v>
      </c>
      <c r="K534" t="s">
        <v>978</v>
      </c>
      <c r="L534">
        <v>2</v>
      </c>
      <c r="M534" t="s">
        <v>16</v>
      </c>
      <c r="N534" t="s">
        <v>17</v>
      </c>
      <c r="O534" t="s">
        <v>29</v>
      </c>
    </row>
    <row r="535" spans="1:15" x14ac:dyDescent="0.3">
      <c r="A535">
        <v>534</v>
      </c>
      <c r="B535" t="s">
        <v>474</v>
      </c>
      <c r="C535" t="s">
        <v>979</v>
      </c>
      <c r="D535" t="s">
        <v>1495</v>
      </c>
      <c r="E535" t="s">
        <v>238</v>
      </c>
      <c r="F535" s="1">
        <v>36789</v>
      </c>
      <c r="G535" s="2">
        <v>2000</v>
      </c>
      <c r="H535">
        <v>2021</v>
      </c>
      <c r="I535" s="2">
        <v>21</v>
      </c>
      <c r="J535">
        <v>50308</v>
      </c>
      <c r="K535" t="s">
        <v>74</v>
      </c>
      <c r="L535">
        <v>6</v>
      </c>
      <c r="M535" t="s">
        <v>50</v>
      </c>
      <c r="N535" t="s">
        <v>40</v>
      </c>
      <c r="O535" t="s">
        <v>63</v>
      </c>
    </row>
    <row r="536" spans="1:15" x14ac:dyDescent="0.3">
      <c r="A536">
        <v>535</v>
      </c>
      <c r="B536" t="s">
        <v>328</v>
      </c>
      <c r="C536" t="s">
        <v>980</v>
      </c>
      <c r="D536" t="s">
        <v>1495</v>
      </c>
      <c r="E536" t="s">
        <v>89</v>
      </c>
      <c r="F536" s="1">
        <v>39288</v>
      </c>
      <c r="G536" s="2">
        <v>2007</v>
      </c>
      <c r="H536">
        <v>2021</v>
      </c>
      <c r="I536" s="2">
        <v>14</v>
      </c>
      <c r="J536">
        <v>131662</v>
      </c>
      <c r="K536" t="s">
        <v>327</v>
      </c>
      <c r="L536">
        <v>3</v>
      </c>
      <c r="M536" t="s">
        <v>28</v>
      </c>
      <c r="N536" t="s">
        <v>17</v>
      </c>
      <c r="O536" t="s">
        <v>41</v>
      </c>
    </row>
    <row r="537" spans="1:15" x14ac:dyDescent="0.3">
      <c r="A537">
        <v>536</v>
      </c>
      <c r="B537" t="s">
        <v>316</v>
      </c>
      <c r="C537" t="s">
        <v>981</v>
      </c>
      <c r="D537" t="s">
        <v>1495</v>
      </c>
      <c r="E537" t="s">
        <v>85</v>
      </c>
      <c r="F537" s="1">
        <v>40682</v>
      </c>
      <c r="G537" s="2">
        <v>2011</v>
      </c>
      <c r="H537">
        <v>2021</v>
      </c>
      <c r="I537" s="2">
        <v>10</v>
      </c>
      <c r="J537">
        <v>55730</v>
      </c>
      <c r="K537" t="s">
        <v>344</v>
      </c>
      <c r="L537">
        <v>7</v>
      </c>
      <c r="M537" t="s">
        <v>39</v>
      </c>
      <c r="N537" t="s">
        <v>40</v>
      </c>
      <c r="O537" t="s">
        <v>41</v>
      </c>
    </row>
    <row r="538" spans="1:15" x14ac:dyDescent="0.3">
      <c r="A538">
        <v>537</v>
      </c>
      <c r="B538" t="s">
        <v>75</v>
      </c>
      <c r="C538" t="s">
        <v>982</v>
      </c>
      <c r="D538" t="s">
        <v>1495</v>
      </c>
      <c r="E538" t="s">
        <v>79</v>
      </c>
      <c r="F538" s="1">
        <v>38395</v>
      </c>
      <c r="G538" s="2">
        <v>2005</v>
      </c>
      <c r="H538">
        <v>2021</v>
      </c>
      <c r="I538" s="2">
        <v>16</v>
      </c>
      <c r="J538">
        <v>63836</v>
      </c>
      <c r="K538" t="s">
        <v>209</v>
      </c>
      <c r="L538">
        <v>1</v>
      </c>
      <c r="M538" t="s">
        <v>46</v>
      </c>
      <c r="N538" t="s">
        <v>17</v>
      </c>
      <c r="O538" t="s">
        <v>41</v>
      </c>
    </row>
    <row r="539" spans="1:15" x14ac:dyDescent="0.3">
      <c r="A539">
        <v>538</v>
      </c>
      <c r="B539" t="s">
        <v>296</v>
      </c>
      <c r="C539" t="s">
        <v>983</v>
      </c>
      <c r="D539" t="s">
        <v>1494</v>
      </c>
      <c r="E539" t="s">
        <v>312</v>
      </c>
      <c r="F539" s="1">
        <v>38649</v>
      </c>
      <c r="G539" s="2">
        <v>2005</v>
      </c>
      <c r="H539">
        <v>2021</v>
      </c>
      <c r="I539" s="2">
        <v>16</v>
      </c>
      <c r="J539">
        <v>121296</v>
      </c>
      <c r="K539" t="s">
        <v>156</v>
      </c>
      <c r="L539">
        <v>2</v>
      </c>
      <c r="M539" t="s">
        <v>16</v>
      </c>
      <c r="N539" t="s">
        <v>17</v>
      </c>
      <c r="O539" t="s">
        <v>41</v>
      </c>
    </row>
    <row r="540" spans="1:15" x14ac:dyDescent="0.3">
      <c r="A540">
        <v>539</v>
      </c>
      <c r="B540" t="s">
        <v>12</v>
      </c>
      <c r="C540" t="s">
        <v>984</v>
      </c>
      <c r="D540" t="s">
        <v>1494</v>
      </c>
      <c r="E540" t="s">
        <v>61</v>
      </c>
      <c r="F540" s="1">
        <v>40988</v>
      </c>
      <c r="G540" s="2">
        <v>2012</v>
      </c>
      <c r="H540">
        <v>2021</v>
      </c>
      <c r="I540" s="2">
        <v>9</v>
      </c>
      <c r="J540">
        <v>110660</v>
      </c>
      <c r="K540" t="s">
        <v>247</v>
      </c>
      <c r="L540">
        <v>4</v>
      </c>
      <c r="M540" t="s">
        <v>55</v>
      </c>
      <c r="N540" t="s">
        <v>17</v>
      </c>
      <c r="O540" t="s">
        <v>63</v>
      </c>
    </row>
    <row r="541" spans="1:15" x14ac:dyDescent="0.3">
      <c r="A541">
        <v>540</v>
      </c>
      <c r="B541" t="s">
        <v>304</v>
      </c>
      <c r="C541" t="s">
        <v>985</v>
      </c>
      <c r="D541" t="s">
        <v>1494</v>
      </c>
      <c r="E541" t="s">
        <v>79</v>
      </c>
      <c r="F541" s="1">
        <v>37244</v>
      </c>
      <c r="G541" s="2">
        <v>2001</v>
      </c>
      <c r="H541">
        <v>2021</v>
      </c>
      <c r="I541" s="2">
        <v>20</v>
      </c>
      <c r="J541">
        <v>89114</v>
      </c>
      <c r="K541" t="s">
        <v>610</v>
      </c>
      <c r="L541">
        <v>5</v>
      </c>
      <c r="M541" t="s">
        <v>91</v>
      </c>
      <c r="N541" t="s">
        <v>40</v>
      </c>
      <c r="O541" t="s">
        <v>41</v>
      </c>
    </row>
    <row r="542" spans="1:15" x14ac:dyDescent="0.3">
      <c r="A542">
        <v>541</v>
      </c>
      <c r="B542" t="s">
        <v>986</v>
      </c>
      <c r="C542" t="s">
        <v>987</v>
      </c>
      <c r="D542" t="s">
        <v>1495</v>
      </c>
      <c r="E542" t="s">
        <v>238</v>
      </c>
      <c r="F542" s="1">
        <v>39322</v>
      </c>
      <c r="G542" s="2">
        <v>2007</v>
      </c>
      <c r="H542">
        <v>2021</v>
      </c>
      <c r="I542" s="2">
        <v>14</v>
      </c>
      <c r="J542">
        <v>48769</v>
      </c>
      <c r="K542" t="s">
        <v>153</v>
      </c>
      <c r="L542">
        <v>5</v>
      </c>
      <c r="M542" t="s">
        <v>91</v>
      </c>
      <c r="N542" t="s">
        <v>40</v>
      </c>
      <c r="O542" t="s">
        <v>63</v>
      </c>
    </row>
    <row r="543" spans="1:15" x14ac:dyDescent="0.3">
      <c r="A543">
        <v>542</v>
      </c>
      <c r="B543" t="s">
        <v>762</v>
      </c>
      <c r="C543" t="s">
        <v>988</v>
      </c>
      <c r="D543" t="s">
        <v>1494</v>
      </c>
      <c r="E543" t="s">
        <v>238</v>
      </c>
      <c r="F543" s="1">
        <v>39479</v>
      </c>
      <c r="G543" s="2">
        <v>2008</v>
      </c>
      <c r="H543">
        <v>2021</v>
      </c>
      <c r="I543" s="2">
        <v>13</v>
      </c>
      <c r="J543">
        <v>90069</v>
      </c>
      <c r="K543" t="s">
        <v>537</v>
      </c>
      <c r="L543">
        <v>5</v>
      </c>
      <c r="M543" t="s">
        <v>91</v>
      </c>
      <c r="N543" t="s">
        <v>40</v>
      </c>
      <c r="O543" t="s">
        <v>63</v>
      </c>
    </row>
    <row r="544" spans="1:15" x14ac:dyDescent="0.3">
      <c r="A544">
        <v>543</v>
      </c>
      <c r="B544" t="s">
        <v>560</v>
      </c>
      <c r="C544" t="s">
        <v>989</v>
      </c>
      <c r="D544" t="s">
        <v>1495</v>
      </c>
      <c r="E544" t="s">
        <v>89</v>
      </c>
      <c r="F544" s="1">
        <v>41524</v>
      </c>
      <c r="G544" s="2">
        <v>2013</v>
      </c>
      <c r="H544">
        <v>2021</v>
      </c>
      <c r="I544" s="2">
        <v>8</v>
      </c>
      <c r="J544">
        <v>120085</v>
      </c>
      <c r="K544" t="s">
        <v>664</v>
      </c>
      <c r="L544">
        <v>6</v>
      </c>
      <c r="M544" t="s">
        <v>50</v>
      </c>
      <c r="N544" t="s">
        <v>40</v>
      </c>
      <c r="O544" t="s">
        <v>41</v>
      </c>
    </row>
    <row r="545" spans="1:15" x14ac:dyDescent="0.3">
      <c r="A545">
        <v>544</v>
      </c>
      <c r="B545" t="s">
        <v>331</v>
      </c>
      <c r="C545" t="s">
        <v>990</v>
      </c>
      <c r="D545" t="s">
        <v>1495</v>
      </c>
      <c r="E545" t="s">
        <v>94</v>
      </c>
      <c r="F545" s="1">
        <v>39401</v>
      </c>
      <c r="G545" s="2">
        <v>2007</v>
      </c>
      <c r="H545">
        <v>2021</v>
      </c>
      <c r="I545" s="2">
        <v>14</v>
      </c>
      <c r="J545">
        <v>41697</v>
      </c>
      <c r="K545" t="s">
        <v>189</v>
      </c>
      <c r="L545">
        <v>7</v>
      </c>
      <c r="M545" t="s">
        <v>39</v>
      </c>
      <c r="N545" t="s">
        <v>40</v>
      </c>
      <c r="O545" t="s">
        <v>18</v>
      </c>
    </row>
    <row r="546" spans="1:15" x14ac:dyDescent="0.3">
      <c r="A546">
        <v>545</v>
      </c>
      <c r="B546" t="s">
        <v>600</v>
      </c>
      <c r="C546" t="s">
        <v>991</v>
      </c>
      <c r="D546" t="s">
        <v>1494</v>
      </c>
      <c r="E546" t="s">
        <v>85</v>
      </c>
      <c r="F546" s="1">
        <v>39937</v>
      </c>
      <c r="G546" s="2">
        <v>2009</v>
      </c>
      <c r="H546">
        <v>2021</v>
      </c>
      <c r="I546" s="2">
        <v>12</v>
      </c>
      <c r="J546">
        <v>44093</v>
      </c>
      <c r="K546" t="s">
        <v>992</v>
      </c>
      <c r="L546">
        <v>5</v>
      </c>
      <c r="M546" t="s">
        <v>91</v>
      </c>
      <c r="N546" t="s">
        <v>40</v>
      </c>
      <c r="O546" t="s">
        <v>41</v>
      </c>
    </row>
    <row r="547" spans="1:15" x14ac:dyDescent="0.3">
      <c r="A547">
        <v>546</v>
      </c>
      <c r="B547" t="s">
        <v>341</v>
      </c>
      <c r="C547" t="s">
        <v>993</v>
      </c>
      <c r="D547" t="s">
        <v>1495</v>
      </c>
      <c r="E547" t="s">
        <v>32</v>
      </c>
      <c r="F547" s="1">
        <v>39022</v>
      </c>
      <c r="G547" s="2">
        <v>2006</v>
      </c>
      <c r="H547">
        <v>2021</v>
      </c>
      <c r="I547" s="3">
        <v>15</v>
      </c>
      <c r="J547">
        <v>59294</v>
      </c>
      <c r="K547" t="s">
        <v>181</v>
      </c>
      <c r="L547">
        <v>6</v>
      </c>
      <c r="M547" t="s">
        <v>50</v>
      </c>
      <c r="N547" t="s">
        <v>40</v>
      </c>
      <c r="O547" t="s">
        <v>34</v>
      </c>
    </row>
    <row r="548" spans="1:15" x14ac:dyDescent="0.3">
      <c r="A548">
        <v>547</v>
      </c>
      <c r="B548" t="s">
        <v>508</v>
      </c>
      <c r="C548" t="s">
        <v>994</v>
      </c>
      <c r="D548" t="s">
        <v>1494</v>
      </c>
      <c r="E548" t="s">
        <v>100</v>
      </c>
      <c r="F548" s="1">
        <v>41507</v>
      </c>
      <c r="G548" s="2">
        <v>2013</v>
      </c>
      <c r="H548">
        <v>2021</v>
      </c>
      <c r="I548" s="2">
        <v>8</v>
      </c>
      <c r="J548">
        <v>140858</v>
      </c>
      <c r="K548" t="s">
        <v>691</v>
      </c>
      <c r="L548">
        <v>7</v>
      </c>
      <c r="M548" t="s">
        <v>39</v>
      </c>
      <c r="N548" t="s">
        <v>40</v>
      </c>
      <c r="O548" t="s">
        <v>29</v>
      </c>
    </row>
    <row r="549" spans="1:15" x14ac:dyDescent="0.3">
      <c r="A549">
        <v>548</v>
      </c>
      <c r="B549" t="s">
        <v>995</v>
      </c>
      <c r="C549" t="s">
        <v>996</v>
      </c>
      <c r="D549" t="s">
        <v>1495</v>
      </c>
      <c r="E549" t="s">
        <v>53</v>
      </c>
      <c r="F549" s="1">
        <v>39823</v>
      </c>
      <c r="G549" s="2">
        <v>2009</v>
      </c>
      <c r="H549">
        <v>2021</v>
      </c>
      <c r="I549" s="2">
        <v>12</v>
      </c>
      <c r="J549">
        <v>46444</v>
      </c>
      <c r="K549" t="s">
        <v>33</v>
      </c>
      <c r="L549">
        <v>6</v>
      </c>
      <c r="M549" t="s">
        <v>50</v>
      </c>
      <c r="N549" t="s">
        <v>40</v>
      </c>
      <c r="O549" t="s">
        <v>23</v>
      </c>
    </row>
    <row r="550" spans="1:15" x14ac:dyDescent="0.3">
      <c r="A550">
        <v>549</v>
      </c>
      <c r="B550" t="s">
        <v>457</v>
      </c>
      <c r="C550" t="s">
        <v>997</v>
      </c>
      <c r="D550" t="s">
        <v>1495</v>
      </c>
      <c r="E550" t="s">
        <v>122</v>
      </c>
      <c r="F550" s="1">
        <v>41178</v>
      </c>
      <c r="G550" s="2">
        <v>2012</v>
      </c>
      <c r="H550">
        <v>2021</v>
      </c>
      <c r="I550" s="2">
        <v>9</v>
      </c>
      <c r="J550">
        <v>85855</v>
      </c>
      <c r="K550" t="s">
        <v>22</v>
      </c>
      <c r="L550">
        <v>4</v>
      </c>
      <c r="M550" t="s">
        <v>55</v>
      </c>
      <c r="N550" t="s">
        <v>17</v>
      </c>
      <c r="O550" t="s">
        <v>123</v>
      </c>
    </row>
    <row r="551" spans="1:15" x14ac:dyDescent="0.3">
      <c r="A551">
        <v>550</v>
      </c>
      <c r="B551" t="s">
        <v>207</v>
      </c>
      <c r="C551" t="s">
        <v>998</v>
      </c>
      <c r="D551" t="s">
        <v>1494</v>
      </c>
      <c r="E551" t="s">
        <v>312</v>
      </c>
      <c r="F551" s="1">
        <v>36647</v>
      </c>
      <c r="G551" s="2">
        <v>2000</v>
      </c>
      <c r="H551">
        <v>2021</v>
      </c>
      <c r="I551" s="2">
        <v>21</v>
      </c>
      <c r="J551">
        <v>72334</v>
      </c>
      <c r="K551" t="s">
        <v>666</v>
      </c>
      <c r="L551">
        <v>3</v>
      </c>
      <c r="M551" t="s">
        <v>28</v>
      </c>
      <c r="N551" t="s">
        <v>17</v>
      </c>
      <c r="O551" t="s">
        <v>41</v>
      </c>
    </row>
    <row r="552" spans="1:15" x14ac:dyDescent="0.3">
      <c r="A552">
        <v>551</v>
      </c>
      <c r="B552" t="s">
        <v>150</v>
      </c>
      <c r="C552" t="s">
        <v>999</v>
      </c>
      <c r="D552" t="s">
        <v>1494</v>
      </c>
      <c r="E552" t="s">
        <v>238</v>
      </c>
      <c r="F552" s="1">
        <v>40820</v>
      </c>
      <c r="G552" s="2">
        <v>2011</v>
      </c>
      <c r="H552">
        <v>2021</v>
      </c>
      <c r="I552" s="2">
        <v>10</v>
      </c>
      <c r="J552">
        <v>69246</v>
      </c>
      <c r="K552" t="s">
        <v>82</v>
      </c>
      <c r="L552">
        <v>6</v>
      </c>
      <c r="M552" t="s">
        <v>50</v>
      </c>
      <c r="N552" t="s">
        <v>40</v>
      </c>
      <c r="O552" t="s">
        <v>63</v>
      </c>
    </row>
    <row r="553" spans="1:15" x14ac:dyDescent="0.3">
      <c r="A553">
        <v>552</v>
      </c>
      <c r="B553" t="s">
        <v>275</v>
      </c>
      <c r="C553" t="s">
        <v>1000</v>
      </c>
      <c r="D553" t="s">
        <v>1494</v>
      </c>
      <c r="E553" t="s">
        <v>129</v>
      </c>
      <c r="F553" s="1">
        <v>40620</v>
      </c>
      <c r="G553" s="2">
        <v>2011</v>
      </c>
      <c r="H553">
        <v>2021</v>
      </c>
      <c r="I553" s="2">
        <v>10</v>
      </c>
      <c r="J553">
        <v>107389</v>
      </c>
      <c r="K553" t="s">
        <v>66</v>
      </c>
      <c r="L553">
        <v>2</v>
      </c>
      <c r="M553" t="s">
        <v>16</v>
      </c>
      <c r="N553" t="s">
        <v>17</v>
      </c>
      <c r="O553" t="s">
        <v>41</v>
      </c>
    </row>
    <row r="554" spans="1:15" x14ac:dyDescent="0.3">
      <c r="A554">
        <v>553</v>
      </c>
      <c r="B554" t="s">
        <v>264</v>
      </c>
      <c r="C554" t="s">
        <v>1001</v>
      </c>
      <c r="D554" t="s">
        <v>1494</v>
      </c>
      <c r="E554" t="s">
        <v>26</v>
      </c>
      <c r="F554" s="1">
        <v>40163</v>
      </c>
      <c r="G554" s="2">
        <v>2009</v>
      </c>
      <c r="H554">
        <v>2021</v>
      </c>
      <c r="I554" s="2">
        <v>12</v>
      </c>
      <c r="J554">
        <v>141505</v>
      </c>
      <c r="K554" t="s">
        <v>360</v>
      </c>
      <c r="L554">
        <v>6</v>
      </c>
      <c r="M554" t="s">
        <v>50</v>
      </c>
      <c r="N554" t="s">
        <v>40</v>
      </c>
      <c r="O554" t="s">
        <v>29</v>
      </c>
    </row>
    <row r="555" spans="1:15" x14ac:dyDescent="0.3">
      <c r="A555">
        <v>554</v>
      </c>
      <c r="B555" t="s">
        <v>745</v>
      </c>
      <c r="C555" t="s">
        <v>1002</v>
      </c>
      <c r="D555" t="s">
        <v>1494</v>
      </c>
      <c r="E555" t="s">
        <v>53</v>
      </c>
      <c r="F555" s="1">
        <v>39453</v>
      </c>
      <c r="G555" s="2">
        <v>2008</v>
      </c>
      <c r="H555">
        <v>2021</v>
      </c>
      <c r="I555" s="2">
        <v>13</v>
      </c>
      <c r="J555">
        <v>60318</v>
      </c>
      <c r="K555" t="s">
        <v>636</v>
      </c>
      <c r="L555">
        <v>5</v>
      </c>
      <c r="M555" t="s">
        <v>91</v>
      </c>
      <c r="N555" t="s">
        <v>40</v>
      </c>
      <c r="O555" t="s">
        <v>23</v>
      </c>
    </row>
    <row r="556" spans="1:15" x14ac:dyDescent="0.3">
      <c r="A556">
        <v>555</v>
      </c>
      <c r="B556" t="s">
        <v>98</v>
      </c>
      <c r="C556" t="s">
        <v>1003</v>
      </c>
      <c r="D556" t="s">
        <v>1495</v>
      </c>
      <c r="E556" t="s">
        <v>148</v>
      </c>
      <c r="F556" s="1">
        <v>41802</v>
      </c>
      <c r="G556" s="2">
        <v>2014</v>
      </c>
      <c r="H556">
        <v>2021</v>
      </c>
      <c r="I556" s="2">
        <v>7</v>
      </c>
      <c r="J556">
        <v>148260</v>
      </c>
      <c r="K556" t="s">
        <v>45</v>
      </c>
      <c r="L556">
        <v>7</v>
      </c>
      <c r="M556" t="s">
        <v>39</v>
      </c>
      <c r="N556" t="s">
        <v>40</v>
      </c>
      <c r="O556" t="s">
        <v>112</v>
      </c>
    </row>
    <row r="557" spans="1:15" x14ac:dyDescent="0.3">
      <c r="A557">
        <v>556</v>
      </c>
      <c r="B557" t="s">
        <v>163</v>
      </c>
      <c r="C557" t="s">
        <v>1004</v>
      </c>
      <c r="D557" t="s">
        <v>1495</v>
      </c>
      <c r="E557" t="s">
        <v>94</v>
      </c>
      <c r="F557" s="1">
        <v>39071</v>
      </c>
      <c r="G557" s="2">
        <v>2006</v>
      </c>
      <c r="H557">
        <v>2021</v>
      </c>
      <c r="I557" s="2">
        <v>15</v>
      </c>
      <c r="J557">
        <v>73199</v>
      </c>
      <c r="K557" t="s">
        <v>149</v>
      </c>
      <c r="L557">
        <v>2</v>
      </c>
      <c r="M557" t="s">
        <v>16</v>
      </c>
      <c r="N557" t="s">
        <v>17</v>
      </c>
      <c r="O557" t="s">
        <v>18</v>
      </c>
    </row>
    <row r="558" spans="1:15" x14ac:dyDescent="0.3">
      <c r="A558">
        <v>557</v>
      </c>
      <c r="B558" t="s">
        <v>745</v>
      </c>
      <c r="C558" t="s">
        <v>1005</v>
      </c>
      <c r="D558" t="s">
        <v>1494</v>
      </c>
      <c r="E558" t="s">
        <v>85</v>
      </c>
      <c r="F558" s="1">
        <v>37494</v>
      </c>
      <c r="G558" s="2">
        <v>2002</v>
      </c>
      <c r="H558">
        <v>2021</v>
      </c>
      <c r="I558" s="2">
        <v>19</v>
      </c>
      <c r="J558">
        <v>111244</v>
      </c>
      <c r="K558" t="s">
        <v>253</v>
      </c>
      <c r="L558">
        <v>6</v>
      </c>
      <c r="M558" t="s">
        <v>50</v>
      </c>
      <c r="N558" t="s">
        <v>40</v>
      </c>
      <c r="O558" t="s">
        <v>41</v>
      </c>
    </row>
    <row r="559" spans="1:15" x14ac:dyDescent="0.3">
      <c r="A559">
        <v>558</v>
      </c>
      <c r="B559" t="s">
        <v>720</v>
      </c>
      <c r="C559" t="s">
        <v>1006</v>
      </c>
      <c r="D559" t="s">
        <v>1494</v>
      </c>
      <c r="E559" t="s">
        <v>73</v>
      </c>
      <c r="F559" s="1">
        <v>40989</v>
      </c>
      <c r="G559" s="2">
        <v>2012</v>
      </c>
      <c r="H559">
        <v>2021</v>
      </c>
      <c r="I559" s="2">
        <v>9</v>
      </c>
      <c r="J559">
        <v>103845</v>
      </c>
      <c r="K559" t="s">
        <v>111</v>
      </c>
      <c r="L559">
        <v>1</v>
      </c>
      <c r="M559" t="s">
        <v>46</v>
      </c>
      <c r="N559" t="s">
        <v>17</v>
      </c>
      <c r="O559" t="s">
        <v>41</v>
      </c>
    </row>
    <row r="560" spans="1:15" x14ac:dyDescent="0.3">
      <c r="A560">
        <v>559</v>
      </c>
      <c r="B560" t="s">
        <v>622</v>
      </c>
      <c r="C560" t="s">
        <v>1007</v>
      </c>
      <c r="D560" t="s">
        <v>1495</v>
      </c>
      <c r="E560" t="s">
        <v>14</v>
      </c>
      <c r="F560" s="1">
        <v>39740</v>
      </c>
      <c r="G560" s="2">
        <v>2008</v>
      </c>
      <c r="H560">
        <v>2021</v>
      </c>
      <c r="I560" s="2">
        <v>13</v>
      </c>
      <c r="J560">
        <v>88666</v>
      </c>
      <c r="K560" t="s">
        <v>181</v>
      </c>
      <c r="L560">
        <v>7</v>
      </c>
      <c r="M560" t="s">
        <v>39</v>
      </c>
      <c r="N560" t="s">
        <v>40</v>
      </c>
      <c r="O560" t="s">
        <v>18</v>
      </c>
    </row>
    <row r="561" spans="1:15" x14ac:dyDescent="0.3">
      <c r="A561">
        <v>560</v>
      </c>
      <c r="B561" t="s">
        <v>1008</v>
      </c>
      <c r="C561" t="s">
        <v>1009</v>
      </c>
      <c r="D561" t="s">
        <v>1494</v>
      </c>
      <c r="E561" t="s">
        <v>69</v>
      </c>
      <c r="F561" s="1">
        <v>41661</v>
      </c>
      <c r="G561" s="2">
        <v>2014</v>
      </c>
      <c r="H561">
        <v>2021</v>
      </c>
      <c r="I561" s="2">
        <v>7</v>
      </c>
      <c r="J561">
        <v>67845</v>
      </c>
      <c r="K561" t="s">
        <v>441</v>
      </c>
      <c r="L561">
        <v>7</v>
      </c>
      <c r="M561" t="s">
        <v>39</v>
      </c>
      <c r="N561" t="s">
        <v>40</v>
      </c>
      <c r="O561" t="s">
        <v>41</v>
      </c>
    </row>
    <row r="562" spans="1:15" x14ac:dyDescent="0.3">
      <c r="A562">
        <v>561</v>
      </c>
      <c r="B562" t="s">
        <v>221</v>
      </c>
      <c r="C562" t="s">
        <v>1010</v>
      </c>
      <c r="D562" t="s">
        <v>1494</v>
      </c>
      <c r="E562" t="s">
        <v>21</v>
      </c>
      <c r="F562" s="1">
        <v>38085</v>
      </c>
      <c r="G562" s="2">
        <v>2004</v>
      </c>
      <c r="H562">
        <v>2021</v>
      </c>
      <c r="I562" s="2">
        <v>17</v>
      </c>
      <c r="J562">
        <v>62527</v>
      </c>
      <c r="K562" t="s">
        <v>391</v>
      </c>
      <c r="L562">
        <v>1</v>
      </c>
      <c r="M562" t="s">
        <v>46</v>
      </c>
      <c r="N562" t="s">
        <v>17</v>
      </c>
      <c r="O562" t="s">
        <v>23</v>
      </c>
    </row>
    <row r="563" spans="1:15" x14ac:dyDescent="0.3">
      <c r="A563">
        <v>562</v>
      </c>
      <c r="B563" t="s">
        <v>741</v>
      </c>
      <c r="C563" t="s">
        <v>1011</v>
      </c>
      <c r="D563" t="s">
        <v>1494</v>
      </c>
      <c r="E563" t="s">
        <v>44</v>
      </c>
      <c r="F563" s="1">
        <v>37758</v>
      </c>
      <c r="G563" s="2">
        <v>2003</v>
      </c>
      <c r="H563">
        <v>2021</v>
      </c>
      <c r="I563" s="2">
        <v>18</v>
      </c>
      <c r="J563">
        <v>73412</v>
      </c>
      <c r="K563" t="s">
        <v>145</v>
      </c>
      <c r="L563">
        <v>5</v>
      </c>
      <c r="M563" t="s">
        <v>91</v>
      </c>
      <c r="N563" t="s">
        <v>40</v>
      </c>
      <c r="O563" t="s">
        <v>29</v>
      </c>
    </row>
    <row r="564" spans="1:15" x14ac:dyDescent="0.3">
      <c r="A564">
        <v>563</v>
      </c>
      <c r="B564" t="s">
        <v>512</v>
      </c>
      <c r="C564" t="s">
        <v>1012</v>
      </c>
      <c r="D564" t="s">
        <v>1494</v>
      </c>
      <c r="E564" t="s">
        <v>129</v>
      </c>
      <c r="F564" s="1">
        <v>40654</v>
      </c>
      <c r="G564" s="2">
        <v>2011</v>
      </c>
      <c r="H564">
        <v>2021</v>
      </c>
      <c r="I564" s="2">
        <v>10</v>
      </c>
      <c r="J564">
        <v>123391</v>
      </c>
      <c r="K564" t="s">
        <v>22</v>
      </c>
      <c r="L564">
        <v>7</v>
      </c>
      <c r="M564" t="s">
        <v>39</v>
      </c>
      <c r="N564" t="s">
        <v>40</v>
      </c>
      <c r="O564" t="s">
        <v>41</v>
      </c>
    </row>
    <row r="565" spans="1:15" x14ac:dyDescent="0.3">
      <c r="A565">
        <v>564</v>
      </c>
      <c r="B565" t="s">
        <v>270</v>
      </c>
      <c r="C565" t="s">
        <v>1013</v>
      </c>
      <c r="D565" t="s">
        <v>1495</v>
      </c>
      <c r="E565" t="s">
        <v>203</v>
      </c>
      <c r="F565" s="1">
        <v>38406</v>
      </c>
      <c r="G565" s="2">
        <v>2005</v>
      </c>
      <c r="H565">
        <v>2021</v>
      </c>
      <c r="I565" s="2">
        <v>16</v>
      </c>
      <c r="J565">
        <v>99508</v>
      </c>
      <c r="K565" t="s">
        <v>97</v>
      </c>
      <c r="L565">
        <v>5</v>
      </c>
      <c r="M565" t="s">
        <v>91</v>
      </c>
      <c r="N565" t="s">
        <v>40</v>
      </c>
      <c r="O565" t="s">
        <v>41</v>
      </c>
    </row>
    <row r="566" spans="1:15" x14ac:dyDescent="0.3">
      <c r="A566">
        <v>565</v>
      </c>
      <c r="B566" t="s">
        <v>1014</v>
      </c>
      <c r="C566" t="s">
        <v>1015</v>
      </c>
      <c r="D566" t="s">
        <v>1495</v>
      </c>
      <c r="E566" t="s">
        <v>32</v>
      </c>
      <c r="F566" s="1">
        <v>41746</v>
      </c>
      <c r="G566" s="2">
        <v>2014</v>
      </c>
      <c r="H566">
        <v>2021</v>
      </c>
      <c r="I566" s="3">
        <v>7</v>
      </c>
      <c r="J566">
        <v>55726</v>
      </c>
      <c r="K566" t="s">
        <v>324</v>
      </c>
      <c r="L566">
        <v>7</v>
      </c>
      <c r="M566" t="s">
        <v>39</v>
      </c>
      <c r="N566" t="s">
        <v>40</v>
      </c>
      <c r="O566" t="s">
        <v>34</v>
      </c>
    </row>
    <row r="567" spans="1:15" x14ac:dyDescent="0.3">
      <c r="A567">
        <v>566</v>
      </c>
      <c r="B567" t="s">
        <v>600</v>
      </c>
      <c r="C567" t="s">
        <v>1016</v>
      </c>
      <c r="D567" t="s">
        <v>1494</v>
      </c>
      <c r="E567" t="s">
        <v>94</v>
      </c>
      <c r="F567" s="1">
        <v>40887</v>
      </c>
      <c r="G567" s="2">
        <v>2011</v>
      </c>
      <c r="H567">
        <v>2021</v>
      </c>
      <c r="I567" s="2">
        <v>10</v>
      </c>
      <c r="J567">
        <v>67140</v>
      </c>
      <c r="K567" t="s">
        <v>374</v>
      </c>
      <c r="L567">
        <v>3</v>
      </c>
      <c r="M567" t="s">
        <v>28</v>
      </c>
      <c r="N567" t="s">
        <v>17</v>
      </c>
      <c r="O567" t="s">
        <v>18</v>
      </c>
    </row>
    <row r="568" spans="1:15" x14ac:dyDescent="0.3">
      <c r="A568">
        <v>567</v>
      </c>
      <c r="B568" t="s">
        <v>677</v>
      </c>
      <c r="C568" t="s">
        <v>1017</v>
      </c>
      <c r="D568" t="s">
        <v>1495</v>
      </c>
      <c r="E568" t="s">
        <v>89</v>
      </c>
      <c r="F568" s="1">
        <v>40325</v>
      </c>
      <c r="G568" s="2">
        <v>2010</v>
      </c>
      <c r="H568">
        <v>2021</v>
      </c>
      <c r="I568" s="2">
        <v>11</v>
      </c>
      <c r="J568">
        <v>139060</v>
      </c>
      <c r="K568" t="s">
        <v>537</v>
      </c>
      <c r="L568">
        <v>7</v>
      </c>
      <c r="M568" t="s">
        <v>39</v>
      </c>
      <c r="N568" t="s">
        <v>40</v>
      </c>
      <c r="O568" t="s">
        <v>41</v>
      </c>
    </row>
    <row r="569" spans="1:15" x14ac:dyDescent="0.3">
      <c r="A569">
        <v>568</v>
      </c>
      <c r="B569" t="s">
        <v>92</v>
      </c>
      <c r="C569" t="s">
        <v>1018</v>
      </c>
      <c r="D569" t="s">
        <v>1494</v>
      </c>
      <c r="E569" t="s">
        <v>89</v>
      </c>
      <c r="F569" s="1">
        <v>38188</v>
      </c>
      <c r="G569" s="2">
        <v>2004</v>
      </c>
      <c r="H569">
        <v>2021</v>
      </c>
      <c r="I569" s="2">
        <v>17</v>
      </c>
      <c r="J569">
        <v>135993</v>
      </c>
      <c r="K569" t="s">
        <v>938</v>
      </c>
      <c r="L569">
        <v>4</v>
      </c>
      <c r="M569" t="s">
        <v>55</v>
      </c>
      <c r="N569" t="s">
        <v>17</v>
      </c>
      <c r="O569" t="s">
        <v>41</v>
      </c>
    </row>
    <row r="570" spans="1:15" x14ac:dyDescent="0.3">
      <c r="A570">
        <v>569</v>
      </c>
      <c r="B570" t="s">
        <v>257</v>
      </c>
      <c r="C570" t="s">
        <v>1019</v>
      </c>
      <c r="D570" t="s">
        <v>1495</v>
      </c>
      <c r="E570" t="s">
        <v>122</v>
      </c>
      <c r="F570" s="1">
        <v>40494</v>
      </c>
      <c r="G570" s="2">
        <v>2010</v>
      </c>
      <c r="H570">
        <v>2021</v>
      </c>
      <c r="I570" s="2">
        <v>11</v>
      </c>
      <c r="J570">
        <v>80788</v>
      </c>
      <c r="K570" t="s">
        <v>750</v>
      </c>
      <c r="L570">
        <v>4</v>
      </c>
      <c r="M570" t="s">
        <v>55</v>
      </c>
      <c r="N570" t="s">
        <v>17</v>
      </c>
      <c r="O570" t="s">
        <v>123</v>
      </c>
    </row>
    <row r="571" spans="1:15" x14ac:dyDescent="0.3">
      <c r="A571">
        <v>570</v>
      </c>
      <c r="B571" t="s">
        <v>56</v>
      </c>
      <c r="C571" t="s">
        <v>1020</v>
      </c>
      <c r="D571" t="s">
        <v>1495</v>
      </c>
      <c r="E571" t="s">
        <v>69</v>
      </c>
      <c r="F571" s="1">
        <v>36971</v>
      </c>
      <c r="G571" s="2">
        <v>2001</v>
      </c>
      <c r="H571">
        <v>2021</v>
      </c>
      <c r="I571" s="2">
        <v>20</v>
      </c>
      <c r="J571">
        <v>136377</v>
      </c>
      <c r="K571" t="s">
        <v>896</v>
      </c>
      <c r="L571">
        <v>7</v>
      </c>
      <c r="M571" t="s">
        <v>39</v>
      </c>
      <c r="N571" t="s">
        <v>40</v>
      </c>
      <c r="O571" t="s">
        <v>41</v>
      </c>
    </row>
    <row r="572" spans="1:15" x14ac:dyDescent="0.3">
      <c r="A572">
        <v>571</v>
      </c>
      <c r="B572" t="s">
        <v>284</v>
      </c>
      <c r="C572" t="s">
        <v>1021</v>
      </c>
      <c r="D572" t="s">
        <v>1495</v>
      </c>
      <c r="E572" t="s">
        <v>94</v>
      </c>
      <c r="F572" s="1">
        <v>39983</v>
      </c>
      <c r="G572" s="2">
        <v>2009</v>
      </c>
      <c r="H572">
        <v>2021</v>
      </c>
      <c r="I572" s="2">
        <v>12</v>
      </c>
      <c r="J572">
        <v>46247</v>
      </c>
      <c r="K572" t="s">
        <v>196</v>
      </c>
      <c r="L572">
        <v>3</v>
      </c>
      <c r="M572" t="s">
        <v>28</v>
      </c>
      <c r="N572" t="s">
        <v>17</v>
      </c>
      <c r="O572" t="s">
        <v>18</v>
      </c>
    </row>
    <row r="573" spans="1:15" x14ac:dyDescent="0.3">
      <c r="A573">
        <v>572</v>
      </c>
      <c r="B573" t="s">
        <v>592</v>
      </c>
      <c r="C573" t="s">
        <v>1022</v>
      </c>
      <c r="D573" t="s">
        <v>1494</v>
      </c>
      <c r="E573" t="s">
        <v>26</v>
      </c>
      <c r="F573" s="1">
        <v>41715</v>
      </c>
      <c r="G573" s="2">
        <v>2014</v>
      </c>
      <c r="H573">
        <v>2021</v>
      </c>
      <c r="I573" s="2">
        <v>7</v>
      </c>
      <c r="J573">
        <v>45774</v>
      </c>
      <c r="K573" t="s">
        <v>169</v>
      </c>
      <c r="L573">
        <v>2</v>
      </c>
      <c r="M573" t="s">
        <v>16</v>
      </c>
      <c r="N573" t="s">
        <v>17</v>
      </c>
      <c r="O573" t="s">
        <v>29</v>
      </c>
    </row>
    <row r="574" spans="1:15" x14ac:dyDescent="0.3">
      <c r="A574">
        <v>573</v>
      </c>
      <c r="B574" t="s">
        <v>154</v>
      </c>
      <c r="C574" t="s">
        <v>1023</v>
      </c>
      <c r="D574" t="s">
        <v>1495</v>
      </c>
      <c r="E574" t="s">
        <v>21</v>
      </c>
      <c r="F574" s="1">
        <v>40291</v>
      </c>
      <c r="G574" s="2">
        <v>2010</v>
      </c>
      <c r="H574">
        <v>2021</v>
      </c>
      <c r="I574" s="2">
        <v>11</v>
      </c>
      <c r="J574">
        <v>100741</v>
      </c>
      <c r="K574" t="s">
        <v>290</v>
      </c>
      <c r="L574">
        <v>1</v>
      </c>
      <c r="M574" t="s">
        <v>46</v>
      </c>
      <c r="N574" t="s">
        <v>17</v>
      </c>
      <c r="O574" t="s">
        <v>23</v>
      </c>
    </row>
    <row r="575" spans="1:15" x14ac:dyDescent="0.3">
      <c r="A575">
        <v>574</v>
      </c>
      <c r="B575" t="s">
        <v>1014</v>
      </c>
      <c r="C575" t="s">
        <v>1024</v>
      </c>
      <c r="D575" t="s">
        <v>1494</v>
      </c>
      <c r="E575" t="s">
        <v>37</v>
      </c>
      <c r="F575" s="1">
        <v>38615</v>
      </c>
      <c r="G575" s="2">
        <v>2005</v>
      </c>
      <c r="H575">
        <v>2021</v>
      </c>
      <c r="I575" s="2">
        <v>16</v>
      </c>
      <c r="J575">
        <v>45534</v>
      </c>
      <c r="K575" t="s">
        <v>226</v>
      </c>
      <c r="L575">
        <v>1</v>
      </c>
      <c r="M575" t="s">
        <v>46</v>
      </c>
      <c r="N575" t="s">
        <v>17</v>
      </c>
      <c r="O575" t="s">
        <v>41</v>
      </c>
    </row>
    <row r="576" spans="1:15" x14ac:dyDescent="0.3">
      <c r="A576">
        <v>575</v>
      </c>
      <c r="B576" t="s">
        <v>624</v>
      </c>
      <c r="C576" t="s">
        <v>1025</v>
      </c>
      <c r="D576" t="s">
        <v>1494</v>
      </c>
      <c r="E576" t="s">
        <v>79</v>
      </c>
      <c r="F576" s="1">
        <v>37372</v>
      </c>
      <c r="G576" s="2">
        <v>2002</v>
      </c>
      <c r="H576">
        <v>2021</v>
      </c>
      <c r="I576" s="2">
        <v>19</v>
      </c>
      <c r="J576">
        <v>75399</v>
      </c>
      <c r="K576" t="s">
        <v>97</v>
      </c>
      <c r="L576">
        <v>7</v>
      </c>
      <c r="M576" t="s">
        <v>39</v>
      </c>
      <c r="N576" t="s">
        <v>40</v>
      </c>
      <c r="O576" t="s">
        <v>41</v>
      </c>
    </row>
    <row r="577" spans="1:15" x14ac:dyDescent="0.3">
      <c r="A577">
        <v>576</v>
      </c>
      <c r="B577" t="s">
        <v>1026</v>
      </c>
      <c r="C577" t="s">
        <v>1027</v>
      </c>
      <c r="D577" t="s">
        <v>1494</v>
      </c>
      <c r="E577" t="s">
        <v>69</v>
      </c>
      <c r="F577" s="1">
        <v>38911</v>
      </c>
      <c r="G577" s="2">
        <v>2006</v>
      </c>
      <c r="H577">
        <v>2021</v>
      </c>
      <c r="I577" s="2">
        <v>15</v>
      </c>
      <c r="J577">
        <v>50235</v>
      </c>
      <c r="K577" t="s">
        <v>142</v>
      </c>
      <c r="L577">
        <v>1</v>
      </c>
      <c r="M577" t="s">
        <v>46</v>
      </c>
      <c r="N577" t="s">
        <v>17</v>
      </c>
      <c r="O577" t="s">
        <v>41</v>
      </c>
    </row>
    <row r="578" spans="1:15" x14ac:dyDescent="0.3">
      <c r="A578">
        <v>577</v>
      </c>
      <c r="B578" t="s">
        <v>1028</v>
      </c>
      <c r="C578" t="s">
        <v>1029</v>
      </c>
      <c r="D578" t="s">
        <v>1494</v>
      </c>
      <c r="E578" t="s">
        <v>73</v>
      </c>
      <c r="F578" s="1">
        <v>40570</v>
      </c>
      <c r="G578" s="2">
        <v>2011</v>
      </c>
      <c r="H578">
        <v>2021</v>
      </c>
      <c r="I578" s="2">
        <v>10</v>
      </c>
      <c r="J578">
        <v>128048</v>
      </c>
      <c r="K578" t="s">
        <v>245</v>
      </c>
      <c r="L578">
        <v>5</v>
      </c>
      <c r="M578" t="s">
        <v>91</v>
      </c>
      <c r="N578" t="s">
        <v>40</v>
      </c>
      <c r="O578" t="s">
        <v>41</v>
      </c>
    </row>
    <row r="579" spans="1:15" x14ac:dyDescent="0.3">
      <c r="A579">
        <v>578</v>
      </c>
      <c r="B579" t="s">
        <v>600</v>
      </c>
      <c r="C579" t="s">
        <v>1030</v>
      </c>
      <c r="D579" t="s">
        <v>1494</v>
      </c>
      <c r="E579" t="s">
        <v>69</v>
      </c>
      <c r="F579" s="1">
        <v>38839</v>
      </c>
      <c r="G579" s="2">
        <v>2006</v>
      </c>
      <c r="H579">
        <v>2021</v>
      </c>
      <c r="I579" s="2">
        <v>15</v>
      </c>
      <c r="J579">
        <v>111318</v>
      </c>
      <c r="K579" t="s">
        <v>349</v>
      </c>
      <c r="L579">
        <v>3</v>
      </c>
      <c r="M579" t="s">
        <v>28</v>
      </c>
      <c r="N579" t="s">
        <v>17</v>
      </c>
      <c r="O579" t="s">
        <v>41</v>
      </c>
    </row>
    <row r="580" spans="1:15" x14ac:dyDescent="0.3">
      <c r="A580">
        <v>579</v>
      </c>
      <c r="B580" t="s">
        <v>395</v>
      </c>
      <c r="C580" t="s">
        <v>1031</v>
      </c>
      <c r="D580" t="s">
        <v>1495</v>
      </c>
      <c r="E580" t="s">
        <v>110</v>
      </c>
      <c r="F580" s="1">
        <v>36883</v>
      </c>
      <c r="G580" s="2">
        <v>2000</v>
      </c>
      <c r="H580">
        <v>2021</v>
      </c>
      <c r="I580" s="2">
        <v>21</v>
      </c>
      <c r="J580">
        <v>100763</v>
      </c>
      <c r="K580" t="s">
        <v>394</v>
      </c>
      <c r="L580">
        <v>7</v>
      </c>
      <c r="M580" t="s">
        <v>39</v>
      </c>
      <c r="N580" t="s">
        <v>40</v>
      </c>
      <c r="O580" t="s">
        <v>112</v>
      </c>
    </row>
    <row r="581" spans="1:15" x14ac:dyDescent="0.3">
      <c r="A581">
        <v>580</v>
      </c>
      <c r="B581" t="s">
        <v>127</v>
      </c>
      <c r="C581" t="s">
        <v>1032</v>
      </c>
      <c r="D581" t="s">
        <v>1494</v>
      </c>
      <c r="E581" t="s">
        <v>14</v>
      </c>
      <c r="F581" s="1">
        <v>41052</v>
      </c>
      <c r="G581" s="2">
        <v>2012</v>
      </c>
      <c r="H581">
        <v>2021</v>
      </c>
      <c r="I581" s="2">
        <v>9</v>
      </c>
      <c r="J581">
        <v>54231</v>
      </c>
      <c r="K581" t="s">
        <v>1033</v>
      </c>
      <c r="L581">
        <v>3</v>
      </c>
      <c r="M581" t="s">
        <v>28</v>
      </c>
      <c r="N581" t="s">
        <v>17</v>
      </c>
      <c r="O581" t="s">
        <v>18</v>
      </c>
    </row>
    <row r="582" spans="1:15" x14ac:dyDescent="0.3">
      <c r="A582">
        <v>581</v>
      </c>
      <c r="B582" t="s">
        <v>255</v>
      </c>
      <c r="C582" t="s">
        <v>1034</v>
      </c>
      <c r="D582" t="s">
        <v>1495</v>
      </c>
      <c r="E582" t="s">
        <v>21</v>
      </c>
      <c r="F582" s="1">
        <v>40262</v>
      </c>
      <c r="G582" s="2">
        <v>2010</v>
      </c>
      <c r="H582">
        <v>2021</v>
      </c>
      <c r="I582" s="2">
        <v>11</v>
      </c>
      <c r="J582">
        <v>92334</v>
      </c>
      <c r="K582" t="s">
        <v>610</v>
      </c>
      <c r="L582">
        <v>3</v>
      </c>
      <c r="M582" t="s">
        <v>28</v>
      </c>
      <c r="N582" t="s">
        <v>17</v>
      </c>
      <c r="O582" t="s">
        <v>23</v>
      </c>
    </row>
    <row r="583" spans="1:15" x14ac:dyDescent="0.3">
      <c r="A583">
        <v>582</v>
      </c>
      <c r="B583" t="s">
        <v>1035</v>
      </c>
      <c r="C583" t="s">
        <v>1036</v>
      </c>
      <c r="D583" t="s">
        <v>1494</v>
      </c>
      <c r="E583" t="s">
        <v>32</v>
      </c>
      <c r="F583" s="1">
        <v>38427</v>
      </c>
      <c r="G583" s="2">
        <v>2005</v>
      </c>
      <c r="H583">
        <v>2021</v>
      </c>
      <c r="I583" s="3">
        <v>16</v>
      </c>
      <c r="J583">
        <v>58111</v>
      </c>
      <c r="K583" t="s">
        <v>709</v>
      </c>
      <c r="L583">
        <v>5</v>
      </c>
      <c r="M583" t="s">
        <v>91</v>
      </c>
      <c r="N583" t="s">
        <v>40</v>
      </c>
      <c r="O583" t="s">
        <v>34</v>
      </c>
    </row>
    <row r="584" spans="1:15" x14ac:dyDescent="0.3">
      <c r="A584">
        <v>583</v>
      </c>
      <c r="B584" t="s">
        <v>650</v>
      </c>
      <c r="C584" t="s">
        <v>1037</v>
      </c>
      <c r="D584" t="s">
        <v>1495</v>
      </c>
      <c r="E584" t="s">
        <v>312</v>
      </c>
      <c r="F584" s="1">
        <v>36872</v>
      </c>
      <c r="G584" s="2">
        <v>2000</v>
      </c>
      <c r="H584">
        <v>2021</v>
      </c>
      <c r="I584" s="2">
        <v>21</v>
      </c>
      <c r="J584">
        <v>112048</v>
      </c>
      <c r="K584" t="s">
        <v>1038</v>
      </c>
      <c r="L584">
        <v>5</v>
      </c>
      <c r="M584" t="s">
        <v>91</v>
      </c>
      <c r="N584" t="s">
        <v>40</v>
      </c>
      <c r="O584" t="s">
        <v>41</v>
      </c>
    </row>
    <row r="585" spans="1:15" x14ac:dyDescent="0.3">
      <c r="A585">
        <v>584</v>
      </c>
      <c r="B585" t="s">
        <v>1039</v>
      </c>
      <c r="C585" t="s">
        <v>1040</v>
      </c>
      <c r="D585" t="s">
        <v>1495</v>
      </c>
      <c r="E585" t="s">
        <v>238</v>
      </c>
      <c r="F585" s="1">
        <v>39581</v>
      </c>
      <c r="G585" s="2">
        <v>2008</v>
      </c>
      <c r="H585">
        <v>2021</v>
      </c>
      <c r="I585" s="2">
        <v>13</v>
      </c>
      <c r="J585">
        <v>109404</v>
      </c>
      <c r="K585" t="s">
        <v>958</v>
      </c>
      <c r="L585">
        <v>6</v>
      </c>
      <c r="M585" t="s">
        <v>50</v>
      </c>
      <c r="N585" t="s">
        <v>40</v>
      </c>
      <c r="O585" t="s">
        <v>63</v>
      </c>
    </row>
    <row r="586" spans="1:15" x14ac:dyDescent="0.3">
      <c r="A586">
        <v>585</v>
      </c>
      <c r="B586" t="s">
        <v>443</v>
      </c>
      <c r="C586" t="s">
        <v>1041</v>
      </c>
      <c r="D586" t="s">
        <v>1494</v>
      </c>
      <c r="E586" t="s">
        <v>110</v>
      </c>
      <c r="F586" s="1">
        <v>39282</v>
      </c>
      <c r="G586" s="2">
        <v>2007</v>
      </c>
      <c r="H586">
        <v>2021</v>
      </c>
      <c r="I586" s="2">
        <v>14</v>
      </c>
      <c r="J586">
        <v>138776</v>
      </c>
      <c r="K586" t="s">
        <v>181</v>
      </c>
      <c r="L586">
        <v>2</v>
      </c>
      <c r="M586" t="s">
        <v>16</v>
      </c>
      <c r="N586" t="s">
        <v>17</v>
      </c>
      <c r="O586" t="s">
        <v>112</v>
      </c>
    </row>
    <row r="587" spans="1:15" x14ac:dyDescent="0.3">
      <c r="A587">
        <v>586</v>
      </c>
      <c r="B587" t="s">
        <v>801</v>
      </c>
      <c r="C587" t="s">
        <v>1042</v>
      </c>
      <c r="D587" t="s">
        <v>1495</v>
      </c>
      <c r="E587" t="s">
        <v>89</v>
      </c>
      <c r="F587" s="1">
        <v>37803</v>
      </c>
      <c r="G587" s="2">
        <v>2003</v>
      </c>
      <c r="H587">
        <v>2021</v>
      </c>
      <c r="I587" s="2">
        <v>18</v>
      </c>
      <c r="J587">
        <v>110411</v>
      </c>
      <c r="K587" t="s">
        <v>74</v>
      </c>
      <c r="L587">
        <v>3</v>
      </c>
      <c r="M587" t="s">
        <v>28</v>
      </c>
      <c r="N587" t="s">
        <v>17</v>
      </c>
      <c r="O587" t="s">
        <v>41</v>
      </c>
    </row>
    <row r="588" spans="1:15" x14ac:dyDescent="0.3">
      <c r="A588">
        <v>587</v>
      </c>
      <c r="B588" t="s">
        <v>339</v>
      </c>
      <c r="C588" t="s">
        <v>1043</v>
      </c>
      <c r="D588" t="s">
        <v>1495</v>
      </c>
      <c r="E588" t="s">
        <v>53</v>
      </c>
      <c r="F588" s="1">
        <v>37506</v>
      </c>
      <c r="G588" s="2">
        <v>2002</v>
      </c>
      <c r="H588">
        <v>2021</v>
      </c>
      <c r="I588" s="2">
        <v>19</v>
      </c>
      <c r="J588">
        <v>74973</v>
      </c>
      <c r="K588" t="s">
        <v>321</v>
      </c>
      <c r="L588">
        <v>7</v>
      </c>
      <c r="M588" t="s">
        <v>39</v>
      </c>
      <c r="N588" t="s">
        <v>40</v>
      </c>
      <c r="O588" t="s">
        <v>23</v>
      </c>
    </row>
    <row r="589" spans="1:15" x14ac:dyDescent="0.3">
      <c r="A589">
        <v>588</v>
      </c>
      <c r="B589" t="s">
        <v>92</v>
      </c>
      <c r="C589" t="s">
        <v>1044</v>
      </c>
      <c r="D589" t="s">
        <v>1495</v>
      </c>
      <c r="E589" t="s">
        <v>44</v>
      </c>
      <c r="F589" s="1">
        <v>37544</v>
      </c>
      <c r="G589" s="2">
        <v>2002</v>
      </c>
      <c r="H589">
        <v>2021</v>
      </c>
      <c r="I589" s="2">
        <v>19</v>
      </c>
      <c r="J589">
        <v>129890</v>
      </c>
      <c r="K589" t="s">
        <v>101</v>
      </c>
      <c r="L589">
        <v>4</v>
      </c>
      <c r="M589" t="s">
        <v>55</v>
      </c>
      <c r="N589" t="s">
        <v>17</v>
      </c>
      <c r="O589" t="s">
        <v>29</v>
      </c>
    </row>
    <row r="590" spans="1:15" x14ac:dyDescent="0.3">
      <c r="A590">
        <v>589</v>
      </c>
      <c r="B590" t="s">
        <v>675</v>
      </c>
      <c r="C590" t="s">
        <v>1045</v>
      </c>
      <c r="D590" t="s">
        <v>1494</v>
      </c>
      <c r="E590" t="s">
        <v>61</v>
      </c>
      <c r="F590" s="1">
        <v>38379</v>
      </c>
      <c r="G590" s="2">
        <v>2005</v>
      </c>
      <c r="H590">
        <v>2021</v>
      </c>
      <c r="I590" s="2">
        <v>16</v>
      </c>
      <c r="J590">
        <v>135786</v>
      </c>
      <c r="K590" t="s">
        <v>952</v>
      </c>
      <c r="L590">
        <v>7</v>
      </c>
      <c r="M590" t="s">
        <v>39</v>
      </c>
      <c r="N590" t="s">
        <v>40</v>
      </c>
      <c r="O590" t="s">
        <v>63</v>
      </c>
    </row>
    <row r="591" spans="1:15" x14ac:dyDescent="0.3">
      <c r="A591">
        <v>590</v>
      </c>
      <c r="B591" t="s">
        <v>159</v>
      </c>
      <c r="C591" t="s">
        <v>1046</v>
      </c>
      <c r="D591" t="s">
        <v>1495</v>
      </c>
      <c r="E591" t="s">
        <v>37</v>
      </c>
      <c r="F591" s="1">
        <v>39248</v>
      </c>
      <c r="G591" s="2">
        <v>2007</v>
      </c>
      <c r="H591">
        <v>2021</v>
      </c>
      <c r="I591" s="2">
        <v>14</v>
      </c>
      <c r="J591">
        <v>132998</v>
      </c>
      <c r="K591" t="s">
        <v>115</v>
      </c>
      <c r="L591">
        <v>3</v>
      </c>
      <c r="M591" t="s">
        <v>28</v>
      </c>
      <c r="N591" t="s">
        <v>17</v>
      </c>
      <c r="O591" t="s">
        <v>41</v>
      </c>
    </row>
    <row r="592" spans="1:15" x14ac:dyDescent="0.3">
      <c r="A592">
        <v>591</v>
      </c>
      <c r="B592" t="s">
        <v>333</v>
      </c>
      <c r="C592" t="s">
        <v>1047</v>
      </c>
      <c r="D592" t="s">
        <v>1495</v>
      </c>
      <c r="E592" t="s">
        <v>73</v>
      </c>
      <c r="F592" s="1">
        <v>41698</v>
      </c>
      <c r="G592" s="2">
        <v>2014</v>
      </c>
      <c r="H592">
        <v>2021</v>
      </c>
      <c r="I592" s="2">
        <v>7</v>
      </c>
      <c r="J592">
        <v>84318</v>
      </c>
      <c r="K592" t="s">
        <v>437</v>
      </c>
      <c r="L592">
        <v>2</v>
      </c>
      <c r="M592" t="s">
        <v>16</v>
      </c>
      <c r="N592" t="s">
        <v>17</v>
      </c>
      <c r="O592" t="s">
        <v>41</v>
      </c>
    </row>
    <row r="593" spans="1:15" x14ac:dyDescent="0.3">
      <c r="A593">
        <v>592</v>
      </c>
      <c r="B593" t="s">
        <v>592</v>
      </c>
      <c r="C593" t="s">
        <v>1048</v>
      </c>
      <c r="D593" t="s">
        <v>1494</v>
      </c>
      <c r="E593" t="s">
        <v>312</v>
      </c>
      <c r="F593" s="1">
        <v>38088</v>
      </c>
      <c r="G593" s="2">
        <v>2004</v>
      </c>
      <c r="H593">
        <v>2021</v>
      </c>
      <c r="I593" s="2">
        <v>17</v>
      </c>
      <c r="J593">
        <v>110407</v>
      </c>
      <c r="K593" t="s">
        <v>58</v>
      </c>
      <c r="L593">
        <v>5</v>
      </c>
      <c r="M593" t="s">
        <v>91</v>
      </c>
      <c r="N593" t="s">
        <v>40</v>
      </c>
      <c r="O593" t="s">
        <v>41</v>
      </c>
    </row>
    <row r="594" spans="1:15" x14ac:dyDescent="0.3">
      <c r="A594">
        <v>593</v>
      </c>
      <c r="B594" t="s">
        <v>345</v>
      </c>
      <c r="C594" t="s">
        <v>1049</v>
      </c>
      <c r="D594" t="s">
        <v>1495</v>
      </c>
      <c r="E594" t="s">
        <v>89</v>
      </c>
      <c r="F594" s="1">
        <v>36692</v>
      </c>
      <c r="G594" s="2">
        <v>2000</v>
      </c>
      <c r="H594">
        <v>2021</v>
      </c>
      <c r="I594" s="2">
        <v>21</v>
      </c>
      <c r="J594">
        <v>94980</v>
      </c>
      <c r="K594" t="s">
        <v>22</v>
      </c>
      <c r="L594">
        <v>4</v>
      </c>
      <c r="M594" t="s">
        <v>55</v>
      </c>
      <c r="N594" t="s">
        <v>17</v>
      </c>
      <c r="O594" t="s">
        <v>41</v>
      </c>
    </row>
    <row r="595" spans="1:15" x14ac:dyDescent="0.3">
      <c r="A595">
        <v>594</v>
      </c>
      <c r="B595" t="s">
        <v>105</v>
      </c>
      <c r="C595" t="s">
        <v>1050</v>
      </c>
      <c r="D595" t="s">
        <v>1495</v>
      </c>
      <c r="E595" t="s">
        <v>100</v>
      </c>
      <c r="F595" s="1">
        <v>38053</v>
      </c>
      <c r="G595" s="2">
        <v>2004</v>
      </c>
      <c r="H595">
        <v>2021</v>
      </c>
      <c r="I595" s="2">
        <v>17</v>
      </c>
      <c r="J595">
        <v>125843</v>
      </c>
      <c r="K595" t="s">
        <v>803</v>
      </c>
      <c r="L595">
        <v>4</v>
      </c>
      <c r="M595" t="s">
        <v>55</v>
      </c>
      <c r="N595" t="s">
        <v>17</v>
      </c>
      <c r="O595" t="s">
        <v>29</v>
      </c>
    </row>
    <row r="596" spans="1:15" x14ac:dyDescent="0.3">
      <c r="A596">
        <v>595</v>
      </c>
      <c r="B596" t="s">
        <v>124</v>
      </c>
      <c r="C596" t="s">
        <v>1051</v>
      </c>
      <c r="D596" t="s">
        <v>1495</v>
      </c>
      <c r="E596" t="s">
        <v>37</v>
      </c>
      <c r="F596" s="1">
        <v>36552</v>
      </c>
      <c r="G596" s="2">
        <v>2000</v>
      </c>
      <c r="H596">
        <v>2021</v>
      </c>
      <c r="I596" s="2">
        <v>21</v>
      </c>
      <c r="J596">
        <v>66180</v>
      </c>
      <c r="K596" t="s">
        <v>669</v>
      </c>
      <c r="L596">
        <v>5</v>
      </c>
      <c r="M596" t="s">
        <v>91</v>
      </c>
      <c r="N596" t="s">
        <v>40</v>
      </c>
      <c r="O596" t="s">
        <v>41</v>
      </c>
    </row>
    <row r="597" spans="1:15" x14ac:dyDescent="0.3">
      <c r="A597">
        <v>596</v>
      </c>
      <c r="B597" t="s">
        <v>555</v>
      </c>
      <c r="C597" t="s">
        <v>1052</v>
      </c>
      <c r="D597" t="s">
        <v>1495</v>
      </c>
      <c r="E597" t="s">
        <v>32</v>
      </c>
      <c r="F597" s="1">
        <v>41970</v>
      </c>
      <c r="G597" s="2">
        <v>2014</v>
      </c>
      <c r="H597">
        <v>2021</v>
      </c>
      <c r="I597" s="3">
        <v>7</v>
      </c>
      <c r="J597">
        <v>88854</v>
      </c>
      <c r="K597" t="s">
        <v>952</v>
      </c>
      <c r="L597">
        <v>4</v>
      </c>
      <c r="M597" t="s">
        <v>55</v>
      </c>
      <c r="N597" t="s">
        <v>17</v>
      </c>
      <c r="O597" t="s">
        <v>34</v>
      </c>
    </row>
    <row r="598" spans="1:15" x14ac:dyDescent="0.3">
      <c r="A598">
        <v>597</v>
      </c>
      <c r="B598" t="s">
        <v>600</v>
      </c>
      <c r="C598" t="s">
        <v>1053</v>
      </c>
      <c r="D598" t="s">
        <v>1495</v>
      </c>
      <c r="E598" t="s">
        <v>129</v>
      </c>
      <c r="F598" s="1">
        <v>38027</v>
      </c>
      <c r="G598" s="2">
        <v>2004</v>
      </c>
      <c r="H598">
        <v>2021</v>
      </c>
      <c r="I598" s="2">
        <v>17</v>
      </c>
      <c r="J598">
        <v>71448</v>
      </c>
      <c r="K598" t="s">
        <v>169</v>
      </c>
      <c r="L598">
        <v>1</v>
      </c>
      <c r="M598" t="s">
        <v>46</v>
      </c>
      <c r="N598" t="s">
        <v>17</v>
      </c>
      <c r="O598" t="s">
        <v>41</v>
      </c>
    </row>
    <row r="599" spans="1:15" x14ac:dyDescent="0.3">
      <c r="A599">
        <v>598</v>
      </c>
      <c r="B599" t="s">
        <v>410</v>
      </c>
      <c r="C599" t="s">
        <v>1054</v>
      </c>
      <c r="D599" t="s">
        <v>1495</v>
      </c>
      <c r="E599" t="s">
        <v>21</v>
      </c>
      <c r="F599" s="1">
        <v>37562</v>
      </c>
      <c r="G599" s="2">
        <v>2002</v>
      </c>
      <c r="H599">
        <v>2021</v>
      </c>
      <c r="I599" s="2">
        <v>19</v>
      </c>
      <c r="J599">
        <v>60547</v>
      </c>
      <c r="K599" t="s">
        <v>66</v>
      </c>
      <c r="L599">
        <v>2</v>
      </c>
      <c r="M599" t="s">
        <v>16</v>
      </c>
      <c r="N599" t="s">
        <v>17</v>
      </c>
      <c r="O599" t="s">
        <v>23</v>
      </c>
    </row>
    <row r="600" spans="1:15" x14ac:dyDescent="0.3">
      <c r="A600">
        <v>599</v>
      </c>
      <c r="B600" t="s">
        <v>161</v>
      </c>
      <c r="C600" t="s">
        <v>1055</v>
      </c>
      <c r="D600" t="s">
        <v>1495</v>
      </c>
      <c r="E600" t="s">
        <v>148</v>
      </c>
      <c r="F600" s="1">
        <v>40503</v>
      </c>
      <c r="G600" s="2">
        <v>2010</v>
      </c>
      <c r="H600">
        <v>2021</v>
      </c>
      <c r="I600" s="2">
        <v>11</v>
      </c>
      <c r="J600">
        <v>128805</v>
      </c>
      <c r="K600" t="s">
        <v>209</v>
      </c>
      <c r="L600">
        <v>5</v>
      </c>
      <c r="M600" t="s">
        <v>91</v>
      </c>
      <c r="N600" t="s">
        <v>40</v>
      </c>
      <c r="O600" t="s">
        <v>112</v>
      </c>
    </row>
    <row r="601" spans="1:15" x14ac:dyDescent="0.3">
      <c r="A601">
        <v>600</v>
      </c>
      <c r="B601" t="s">
        <v>553</v>
      </c>
      <c r="C601" t="s">
        <v>1056</v>
      </c>
      <c r="D601" t="s">
        <v>1495</v>
      </c>
      <c r="E601" t="s">
        <v>148</v>
      </c>
      <c r="F601" s="1">
        <v>38848</v>
      </c>
      <c r="G601" s="2">
        <v>2006</v>
      </c>
      <c r="H601">
        <v>2021</v>
      </c>
      <c r="I601" s="2">
        <v>15</v>
      </c>
      <c r="J601">
        <v>96782</v>
      </c>
      <c r="K601" t="s">
        <v>806</v>
      </c>
      <c r="L601">
        <v>5</v>
      </c>
      <c r="M601" t="s">
        <v>91</v>
      </c>
      <c r="N601" t="s">
        <v>40</v>
      </c>
      <c r="O601" t="s">
        <v>112</v>
      </c>
    </row>
    <row r="602" spans="1:15" x14ac:dyDescent="0.3">
      <c r="A602">
        <v>601</v>
      </c>
      <c r="B602" t="s">
        <v>443</v>
      </c>
      <c r="C602" t="s">
        <v>1057</v>
      </c>
      <c r="D602" t="s">
        <v>1494</v>
      </c>
      <c r="E602" t="s">
        <v>203</v>
      </c>
      <c r="F602" s="1">
        <v>36962</v>
      </c>
      <c r="G602" s="2">
        <v>2001</v>
      </c>
      <c r="H602">
        <v>2021</v>
      </c>
      <c r="I602" s="2">
        <v>20</v>
      </c>
      <c r="J602">
        <v>125944</v>
      </c>
      <c r="K602" t="s">
        <v>724</v>
      </c>
      <c r="L602">
        <v>2</v>
      </c>
      <c r="M602" t="s">
        <v>16</v>
      </c>
      <c r="N602" t="s">
        <v>17</v>
      </c>
      <c r="O602" t="s">
        <v>41</v>
      </c>
    </row>
    <row r="603" spans="1:15" x14ac:dyDescent="0.3">
      <c r="A603">
        <v>602</v>
      </c>
      <c r="B603" t="s">
        <v>1058</v>
      </c>
      <c r="C603" t="s">
        <v>1059</v>
      </c>
      <c r="D603" t="s">
        <v>1494</v>
      </c>
      <c r="E603" t="s">
        <v>44</v>
      </c>
      <c r="F603" s="1">
        <v>40803</v>
      </c>
      <c r="G603" s="2">
        <v>2011</v>
      </c>
      <c r="H603">
        <v>2021</v>
      </c>
      <c r="I603" s="2">
        <v>10</v>
      </c>
      <c r="J603">
        <v>101937</v>
      </c>
      <c r="K603" t="s">
        <v>527</v>
      </c>
      <c r="L603">
        <v>7</v>
      </c>
      <c r="M603" t="s">
        <v>39</v>
      </c>
      <c r="N603" t="s">
        <v>40</v>
      </c>
      <c r="O603" t="s">
        <v>29</v>
      </c>
    </row>
    <row r="604" spans="1:15" x14ac:dyDescent="0.3">
      <c r="A604">
        <v>603</v>
      </c>
      <c r="B604" t="s">
        <v>75</v>
      </c>
      <c r="C604" t="s">
        <v>1060</v>
      </c>
      <c r="D604" t="s">
        <v>1494</v>
      </c>
      <c r="E604" t="s">
        <v>32</v>
      </c>
      <c r="F604" s="1">
        <v>36866</v>
      </c>
      <c r="G604" s="2">
        <v>2000</v>
      </c>
      <c r="H604">
        <v>2021</v>
      </c>
      <c r="I604" s="3">
        <v>21</v>
      </c>
      <c r="J604">
        <v>127569</v>
      </c>
      <c r="K604" t="s">
        <v>425</v>
      </c>
      <c r="L604">
        <v>7</v>
      </c>
      <c r="M604" t="s">
        <v>39</v>
      </c>
      <c r="N604" t="s">
        <v>40</v>
      </c>
      <c r="O604" t="s">
        <v>34</v>
      </c>
    </row>
    <row r="605" spans="1:15" x14ac:dyDescent="0.3">
      <c r="A605">
        <v>604</v>
      </c>
      <c r="B605" t="s">
        <v>137</v>
      </c>
      <c r="C605" t="s">
        <v>1061</v>
      </c>
      <c r="D605" t="s">
        <v>1494</v>
      </c>
      <c r="E605" t="s">
        <v>69</v>
      </c>
      <c r="F605" s="1">
        <v>38168</v>
      </c>
      <c r="G605" s="2">
        <v>2004</v>
      </c>
      <c r="H605">
        <v>2021</v>
      </c>
      <c r="I605" s="2">
        <v>17</v>
      </c>
      <c r="J605">
        <v>104517</v>
      </c>
      <c r="K605" t="s">
        <v>1062</v>
      </c>
      <c r="L605">
        <v>2</v>
      </c>
      <c r="M605" t="s">
        <v>16</v>
      </c>
      <c r="N605" t="s">
        <v>17</v>
      </c>
      <c r="O605" t="s">
        <v>41</v>
      </c>
    </row>
    <row r="606" spans="1:15" x14ac:dyDescent="0.3">
      <c r="A606">
        <v>605</v>
      </c>
      <c r="B606" t="s">
        <v>113</v>
      </c>
      <c r="C606" t="s">
        <v>1063</v>
      </c>
      <c r="D606" t="s">
        <v>1495</v>
      </c>
      <c r="E606" t="s">
        <v>37</v>
      </c>
      <c r="F606" s="1">
        <v>40523</v>
      </c>
      <c r="G606" s="2">
        <v>2010</v>
      </c>
      <c r="H606">
        <v>2021</v>
      </c>
      <c r="I606" s="2">
        <v>11</v>
      </c>
      <c r="J606">
        <v>110366</v>
      </c>
      <c r="K606" t="s">
        <v>370</v>
      </c>
      <c r="L606">
        <v>6</v>
      </c>
      <c r="M606" t="s">
        <v>50</v>
      </c>
      <c r="N606" t="s">
        <v>40</v>
      </c>
      <c r="O606" t="s">
        <v>41</v>
      </c>
    </row>
    <row r="607" spans="1:15" x14ac:dyDescent="0.3">
      <c r="A607">
        <v>606</v>
      </c>
      <c r="B607" t="s">
        <v>816</v>
      </c>
      <c r="C607" t="s">
        <v>1064</v>
      </c>
      <c r="D607" t="s">
        <v>1495</v>
      </c>
      <c r="E607" t="s">
        <v>100</v>
      </c>
      <c r="F607" s="1">
        <v>37660</v>
      </c>
      <c r="G607" s="2">
        <v>2003</v>
      </c>
      <c r="H607">
        <v>2021</v>
      </c>
      <c r="I607" s="2">
        <v>18</v>
      </c>
      <c r="J607">
        <v>136917</v>
      </c>
      <c r="K607" t="s">
        <v>537</v>
      </c>
      <c r="L607">
        <v>4</v>
      </c>
      <c r="M607" t="s">
        <v>55</v>
      </c>
      <c r="N607" t="s">
        <v>17</v>
      </c>
      <c r="O607" t="s">
        <v>29</v>
      </c>
    </row>
    <row r="608" spans="1:15" x14ac:dyDescent="0.3">
      <c r="A608">
        <v>607</v>
      </c>
      <c r="B608" t="s">
        <v>973</v>
      </c>
      <c r="C608" t="s">
        <v>1065</v>
      </c>
      <c r="D608" t="s">
        <v>1494</v>
      </c>
      <c r="E608" t="s">
        <v>21</v>
      </c>
      <c r="F608" s="1">
        <v>39284</v>
      </c>
      <c r="G608" s="2">
        <v>2007</v>
      </c>
      <c r="H608">
        <v>2021</v>
      </c>
      <c r="I608" s="2">
        <v>14</v>
      </c>
      <c r="J608">
        <v>130563</v>
      </c>
      <c r="K608" t="s">
        <v>136</v>
      </c>
      <c r="L608">
        <v>7</v>
      </c>
      <c r="M608" t="s">
        <v>39</v>
      </c>
      <c r="N608" t="s">
        <v>40</v>
      </c>
      <c r="O608" t="s">
        <v>23</v>
      </c>
    </row>
    <row r="609" spans="1:15" x14ac:dyDescent="0.3">
      <c r="A609">
        <v>608</v>
      </c>
      <c r="B609" t="s">
        <v>722</v>
      </c>
      <c r="C609" t="s">
        <v>1066</v>
      </c>
      <c r="D609" t="s">
        <v>1494</v>
      </c>
      <c r="E609" t="s">
        <v>203</v>
      </c>
      <c r="F609" s="1">
        <v>38304</v>
      </c>
      <c r="G609" s="2">
        <v>2004</v>
      </c>
      <c r="H609">
        <v>2021</v>
      </c>
      <c r="I609" s="2">
        <v>17</v>
      </c>
      <c r="J609">
        <v>73553</v>
      </c>
      <c r="K609" t="s">
        <v>381</v>
      </c>
      <c r="L609">
        <v>6</v>
      </c>
      <c r="M609" t="s">
        <v>50</v>
      </c>
      <c r="N609" t="s">
        <v>40</v>
      </c>
      <c r="O609" t="s">
        <v>41</v>
      </c>
    </row>
    <row r="610" spans="1:15" x14ac:dyDescent="0.3">
      <c r="A610">
        <v>609</v>
      </c>
      <c r="B610" t="s">
        <v>462</v>
      </c>
      <c r="C610" t="s">
        <v>1067</v>
      </c>
      <c r="D610" t="s">
        <v>1494</v>
      </c>
      <c r="E610" t="s">
        <v>94</v>
      </c>
      <c r="F610" s="1">
        <v>39103</v>
      </c>
      <c r="G610" s="2">
        <v>2007</v>
      </c>
      <c r="H610">
        <v>2021</v>
      </c>
      <c r="I610" s="2">
        <v>14</v>
      </c>
      <c r="J610">
        <v>93995</v>
      </c>
      <c r="K610" t="s">
        <v>527</v>
      </c>
      <c r="L610">
        <v>2</v>
      </c>
      <c r="M610" t="s">
        <v>16</v>
      </c>
      <c r="N610" t="s">
        <v>17</v>
      </c>
      <c r="O610" t="s">
        <v>18</v>
      </c>
    </row>
    <row r="611" spans="1:15" x14ac:dyDescent="0.3">
      <c r="A611">
        <v>610</v>
      </c>
      <c r="B611" t="s">
        <v>377</v>
      </c>
      <c r="C611" t="s">
        <v>1068</v>
      </c>
      <c r="D611" t="s">
        <v>1494</v>
      </c>
      <c r="E611" t="s">
        <v>203</v>
      </c>
      <c r="F611" s="1">
        <v>40048</v>
      </c>
      <c r="G611" s="2">
        <v>2009</v>
      </c>
      <c r="H611">
        <v>2021</v>
      </c>
      <c r="I611" s="2">
        <v>12</v>
      </c>
      <c r="J611">
        <v>45270</v>
      </c>
      <c r="K611" t="s">
        <v>191</v>
      </c>
      <c r="L611">
        <v>7</v>
      </c>
      <c r="M611" t="s">
        <v>39</v>
      </c>
      <c r="N611" t="s">
        <v>40</v>
      </c>
      <c r="O611" t="s">
        <v>41</v>
      </c>
    </row>
    <row r="612" spans="1:15" x14ac:dyDescent="0.3">
      <c r="A612">
        <v>611</v>
      </c>
      <c r="B612" t="s">
        <v>555</v>
      </c>
      <c r="C612" t="s">
        <v>1069</v>
      </c>
      <c r="D612" t="s">
        <v>1495</v>
      </c>
      <c r="E612" t="s">
        <v>312</v>
      </c>
      <c r="F612" s="1">
        <v>40115</v>
      </c>
      <c r="G612" s="2">
        <v>2009</v>
      </c>
      <c r="H612">
        <v>2021</v>
      </c>
      <c r="I612" s="2">
        <v>12</v>
      </c>
      <c r="J612">
        <v>147739</v>
      </c>
      <c r="K612" t="s">
        <v>54</v>
      </c>
      <c r="L612">
        <v>5</v>
      </c>
      <c r="M612" t="s">
        <v>91</v>
      </c>
      <c r="N612" t="s">
        <v>40</v>
      </c>
      <c r="O612" t="s">
        <v>41</v>
      </c>
    </row>
    <row r="613" spans="1:15" x14ac:dyDescent="0.3">
      <c r="A613">
        <v>612</v>
      </c>
      <c r="B613" t="s">
        <v>523</v>
      </c>
      <c r="C613" t="s">
        <v>1070</v>
      </c>
      <c r="D613" t="s">
        <v>1495</v>
      </c>
      <c r="E613" t="s">
        <v>203</v>
      </c>
      <c r="F613" s="1">
        <v>37874</v>
      </c>
      <c r="G613" s="2">
        <v>2003</v>
      </c>
      <c r="H613">
        <v>2021</v>
      </c>
      <c r="I613" s="2">
        <v>18</v>
      </c>
      <c r="J613">
        <v>142211</v>
      </c>
      <c r="K613" t="s">
        <v>1071</v>
      </c>
      <c r="L613">
        <v>4</v>
      </c>
      <c r="M613" t="s">
        <v>55</v>
      </c>
      <c r="N613" t="s">
        <v>17</v>
      </c>
      <c r="O613" t="s">
        <v>41</v>
      </c>
    </row>
    <row r="614" spans="1:15" x14ac:dyDescent="0.3">
      <c r="A614">
        <v>613</v>
      </c>
      <c r="B614" t="s">
        <v>187</v>
      </c>
      <c r="C614" t="s">
        <v>1072</v>
      </c>
      <c r="D614" t="s">
        <v>1495</v>
      </c>
      <c r="E614" t="s">
        <v>129</v>
      </c>
      <c r="F614" s="1">
        <v>38986</v>
      </c>
      <c r="G614" s="2">
        <v>2006</v>
      </c>
      <c r="H614">
        <v>2021</v>
      </c>
      <c r="I614" s="2">
        <v>15</v>
      </c>
      <c r="J614">
        <v>48791</v>
      </c>
      <c r="K614" t="s">
        <v>527</v>
      </c>
      <c r="L614">
        <v>1</v>
      </c>
      <c r="M614" t="s">
        <v>46</v>
      </c>
      <c r="N614" t="s">
        <v>17</v>
      </c>
      <c r="O614" t="s">
        <v>41</v>
      </c>
    </row>
    <row r="615" spans="1:15" x14ac:dyDescent="0.3">
      <c r="A615">
        <v>614</v>
      </c>
      <c r="B615" t="s">
        <v>1035</v>
      </c>
      <c r="C615" t="s">
        <v>1073</v>
      </c>
      <c r="D615" t="s">
        <v>1495</v>
      </c>
      <c r="E615" t="s">
        <v>94</v>
      </c>
      <c r="F615" s="1">
        <v>39754</v>
      </c>
      <c r="G615" s="2">
        <v>2008</v>
      </c>
      <c r="H615">
        <v>2021</v>
      </c>
      <c r="I615" s="2">
        <v>13</v>
      </c>
      <c r="J615">
        <v>112929</v>
      </c>
      <c r="K615" t="s">
        <v>617</v>
      </c>
      <c r="L615">
        <v>5</v>
      </c>
      <c r="M615" t="s">
        <v>91</v>
      </c>
      <c r="N615" t="s">
        <v>40</v>
      </c>
      <c r="O615" t="s">
        <v>18</v>
      </c>
    </row>
    <row r="616" spans="1:15" x14ac:dyDescent="0.3">
      <c r="A616">
        <v>615</v>
      </c>
      <c r="B616" t="s">
        <v>102</v>
      </c>
      <c r="C616" t="s">
        <v>1074</v>
      </c>
      <c r="D616" t="s">
        <v>1495</v>
      </c>
      <c r="E616" t="s">
        <v>69</v>
      </c>
      <c r="F616" s="1">
        <v>40172</v>
      </c>
      <c r="G616" s="2">
        <v>2009</v>
      </c>
      <c r="H616">
        <v>2021</v>
      </c>
      <c r="I616" s="2">
        <v>12</v>
      </c>
      <c r="J616">
        <v>72854</v>
      </c>
      <c r="K616" t="s">
        <v>104</v>
      </c>
      <c r="L616">
        <v>7</v>
      </c>
      <c r="M616" t="s">
        <v>39</v>
      </c>
      <c r="N616" t="s">
        <v>40</v>
      </c>
      <c r="O616" t="s">
        <v>41</v>
      </c>
    </row>
    <row r="617" spans="1:15" x14ac:dyDescent="0.3">
      <c r="A617">
        <v>616</v>
      </c>
      <c r="B617" t="s">
        <v>596</v>
      </c>
      <c r="C617" t="s">
        <v>1075</v>
      </c>
      <c r="D617" t="s">
        <v>1495</v>
      </c>
      <c r="E617" t="s">
        <v>26</v>
      </c>
      <c r="F617" s="1">
        <v>39000</v>
      </c>
      <c r="G617" s="2">
        <v>2006</v>
      </c>
      <c r="H617">
        <v>2021</v>
      </c>
      <c r="I617" s="2">
        <v>15</v>
      </c>
      <c r="J617">
        <v>47281</v>
      </c>
      <c r="K617" t="s">
        <v>95</v>
      </c>
      <c r="L617">
        <v>6</v>
      </c>
      <c r="M617" t="s">
        <v>50</v>
      </c>
      <c r="N617" t="s">
        <v>40</v>
      </c>
      <c r="O617" t="s">
        <v>29</v>
      </c>
    </row>
    <row r="618" spans="1:15" x14ac:dyDescent="0.3">
      <c r="A618">
        <v>617</v>
      </c>
      <c r="B618" t="s">
        <v>224</v>
      </c>
      <c r="C618" t="s">
        <v>1076</v>
      </c>
      <c r="D618" t="s">
        <v>1495</v>
      </c>
      <c r="E618" t="s">
        <v>203</v>
      </c>
      <c r="F618" s="1">
        <v>41437</v>
      </c>
      <c r="G618" s="2">
        <v>2013</v>
      </c>
      <c r="H618">
        <v>2021</v>
      </c>
      <c r="I618" s="2">
        <v>8</v>
      </c>
      <c r="J618">
        <v>49410</v>
      </c>
      <c r="K618" t="s">
        <v>1077</v>
      </c>
      <c r="L618">
        <v>1</v>
      </c>
      <c r="M618" t="s">
        <v>46</v>
      </c>
      <c r="N618" t="s">
        <v>17</v>
      </c>
      <c r="O618" t="s">
        <v>41</v>
      </c>
    </row>
    <row r="619" spans="1:15" x14ac:dyDescent="0.3">
      <c r="A619">
        <v>618</v>
      </c>
      <c r="B619" t="s">
        <v>42</v>
      </c>
      <c r="C619" t="s">
        <v>1078</v>
      </c>
      <c r="D619" t="s">
        <v>1494</v>
      </c>
      <c r="E619" t="s">
        <v>69</v>
      </c>
      <c r="F619" s="1">
        <v>37049</v>
      </c>
      <c r="G619" s="2">
        <v>2001</v>
      </c>
      <c r="H619">
        <v>2021</v>
      </c>
      <c r="I619" s="2">
        <v>20</v>
      </c>
      <c r="J619">
        <v>128205</v>
      </c>
      <c r="K619" t="s">
        <v>62</v>
      </c>
      <c r="L619">
        <v>6</v>
      </c>
      <c r="M619" t="s">
        <v>50</v>
      </c>
      <c r="N619" t="s">
        <v>40</v>
      </c>
      <c r="O619" t="s">
        <v>41</v>
      </c>
    </row>
    <row r="620" spans="1:15" x14ac:dyDescent="0.3">
      <c r="A620">
        <v>619</v>
      </c>
      <c r="B620" t="s">
        <v>882</v>
      </c>
      <c r="C620" t="s">
        <v>1079</v>
      </c>
      <c r="D620" t="s">
        <v>1494</v>
      </c>
      <c r="E620" t="s">
        <v>44</v>
      </c>
      <c r="F620" s="1">
        <v>41792</v>
      </c>
      <c r="G620" s="2">
        <v>2014</v>
      </c>
      <c r="H620">
        <v>2021</v>
      </c>
      <c r="I620" s="2">
        <v>7</v>
      </c>
      <c r="J620">
        <v>133190</v>
      </c>
      <c r="K620" t="s">
        <v>370</v>
      </c>
      <c r="L620">
        <v>7</v>
      </c>
      <c r="M620" t="s">
        <v>39</v>
      </c>
      <c r="N620" t="s">
        <v>40</v>
      </c>
      <c r="O620" t="s">
        <v>29</v>
      </c>
    </row>
    <row r="621" spans="1:15" x14ac:dyDescent="0.3">
      <c r="A621">
        <v>620</v>
      </c>
      <c r="B621" t="s">
        <v>801</v>
      </c>
      <c r="C621" t="s">
        <v>1080</v>
      </c>
      <c r="D621" t="s">
        <v>1495</v>
      </c>
      <c r="E621" t="s">
        <v>122</v>
      </c>
      <c r="F621" s="1">
        <v>40039</v>
      </c>
      <c r="G621" s="2">
        <v>2009</v>
      </c>
      <c r="H621">
        <v>2021</v>
      </c>
      <c r="I621" s="2">
        <v>12</v>
      </c>
      <c r="J621">
        <v>59644</v>
      </c>
      <c r="K621" t="s">
        <v>374</v>
      </c>
      <c r="L621">
        <v>1</v>
      </c>
      <c r="M621" t="s">
        <v>46</v>
      </c>
      <c r="N621" t="s">
        <v>17</v>
      </c>
      <c r="O621" t="s">
        <v>123</v>
      </c>
    </row>
    <row r="622" spans="1:15" x14ac:dyDescent="0.3">
      <c r="A622">
        <v>621</v>
      </c>
      <c r="B622" t="s">
        <v>457</v>
      </c>
      <c r="C622" t="s">
        <v>1081</v>
      </c>
      <c r="D622" t="s">
        <v>1494</v>
      </c>
      <c r="E622" t="s">
        <v>85</v>
      </c>
      <c r="F622" s="1">
        <v>38291</v>
      </c>
      <c r="G622" s="2">
        <v>2004</v>
      </c>
      <c r="H622">
        <v>2021</v>
      </c>
      <c r="I622" s="2">
        <v>17</v>
      </c>
      <c r="J622">
        <v>111427</v>
      </c>
      <c r="K622" t="s">
        <v>750</v>
      </c>
      <c r="L622">
        <v>4</v>
      </c>
      <c r="M622" t="s">
        <v>55</v>
      </c>
      <c r="N622" t="s">
        <v>17</v>
      </c>
      <c r="O622" t="s">
        <v>41</v>
      </c>
    </row>
    <row r="623" spans="1:15" x14ac:dyDescent="0.3">
      <c r="A623">
        <v>622</v>
      </c>
      <c r="B623" t="s">
        <v>710</v>
      </c>
      <c r="C623" t="s">
        <v>1082</v>
      </c>
      <c r="D623" t="s">
        <v>1494</v>
      </c>
      <c r="E623" t="s">
        <v>94</v>
      </c>
      <c r="F623" s="1">
        <v>37330</v>
      </c>
      <c r="G623" s="2">
        <v>2002</v>
      </c>
      <c r="H623">
        <v>2021</v>
      </c>
      <c r="I623" s="2">
        <v>19</v>
      </c>
      <c r="J623">
        <v>98339</v>
      </c>
      <c r="K623" t="s">
        <v>139</v>
      </c>
      <c r="L623">
        <v>3</v>
      </c>
      <c r="M623" t="s">
        <v>28</v>
      </c>
      <c r="N623" t="s">
        <v>17</v>
      </c>
      <c r="O623" t="s">
        <v>18</v>
      </c>
    </row>
    <row r="624" spans="1:15" x14ac:dyDescent="0.3">
      <c r="A624">
        <v>623</v>
      </c>
      <c r="B624" t="s">
        <v>555</v>
      </c>
      <c r="C624" t="s">
        <v>1083</v>
      </c>
      <c r="D624" t="s">
        <v>1494</v>
      </c>
      <c r="E624" t="s">
        <v>129</v>
      </c>
      <c r="F624" s="1">
        <v>38775</v>
      </c>
      <c r="G624" s="2">
        <v>2006</v>
      </c>
      <c r="H624">
        <v>2021</v>
      </c>
      <c r="I624" s="2">
        <v>15</v>
      </c>
      <c r="J624">
        <v>72948</v>
      </c>
      <c r="K624" t="s">
        <v>527</v>
      </c>
      <c r="L624">
        <v>6</v>
      </c>
      <c r="M624" t="s">
        <v>50</v>
      </c>
      <c r="N624" t="s">
        <v>40</v>
      </c>
      <c r="O624" t="s">
        <v>41</v>
      </c>
    </row>
    <row r="625" spans="1:15" x14ac:dyDescent="0.3">
      <c r="A625">
        <v>624</v>
      </c>
      <c r="B625" t="s">
        <v>722</v>
      </c>
      <c r="C625" t="s">
        <v>1084</v>
      </c>
      <c r="D625" t="s">
        <v>1494</v>
      </c>
      <c r="E625" t="s">
        <v>122</v>
      </c>
      <c r="F625" s="1">
        <v>39778</v>
      </c>
      <c r="G625" s="2">
        <v>2008</v>
      </c>
      <c r="H625">
        <v>2021</v>
      </c>
      <c r="I625" s="2">
        <v>13</v>
      </c>
      <c r="J625">
        <v>60203</v>
      </c>
      <c r="K625" t="s">
        <v>223</v>
      </c>
      <c r="L625">
        <v>2</v>
      </c>
      <c r="M625" t="s">
        <v>16</v>
      </c>
      <c r="N625" t="s">
        <v>17</v>
      </c>
      <c r="O625" t="s">
        <v>123</v>
      </c>
    </row>
    <row r="626" spans="1:15" x14ac:dyDescent="0.3">
      <c r="A626">
        <v>625</v>
      </c>
      <c r="B626" t="s">
        <v>505</v>
      </c>
      <c r="C626" t="s">
        <v>1085</v>
      </c>
      <c r="D626" t="s">
        <v>1495</v>
      </c>
      <c r="E626" t="s">
        <v>148</v>
      </c>
      <c r="F626" s="1">
        <v>39418</v>
      </c>
      <c r="G626" s="2">
        <v>2007</v>
      </c>
      <c r="H626">
        <v>2021</v>
      </c>
      <c r="I626" s="2">
        <v>14</v>
      </c>
      <c r="J626">
        <v>147003</v>
      </c>
      <c r="K626" t="s">
        <v>287</v>
      </c>
      <c r="L626">
        <v>1</v>
      </c>
      <c r="M626" t="s">
        <v>46</v>
      </c>
      <c r="N626" t="s">
        <v>17</v>
      </c>
      <c r="O626" t="s">
        <v>112</v>
      </c>
    </row>
    <row r="627" spans="1:15" x14ac:dyDescent="0.3">
      <c r="A627">
        <v>626</v>
      </c>
      <c r="B627" t="s">
        <v>553</v>
      </c>
      <c r="C627" t="s">
        <v>1086</v>
      </c>
      <c r="D627" t="s">
        <v>1495</v>
      </c>
      <c r="E627" t="s">
        <v>110</v>
      </c>
      <c r="F627" s="1">
        <v>39825</v>
      </c>
      <c r="G627" s="2">
        <v>2009</v>
      </c>
      <c r="H627">
        <v>2021</v>
      </c>
      <c r="I627" s="2">
        <v>12</v>
      </c>
      <c r="J627">
        <v>83706</v>
      </c>
      <c r="K627" t="s">
        <v>142</v>
      </c>
      <c r="L627">
        <v>2</v>
      </c>
      <c r="M627" t="s">
        <v>16</v>
      </c>
      <c r="N627" t="s">
        <v>17</v>
      </c>
      <c r="O627" t="s">
        <v>112</v>
      </c>
    </row>
    <row r="628" spans="1:15" x14ac:dyDescent="0.3">
      <c r="A628">
        <v>627</v>
      </c>
      <c r="B628" t="s">
        <v>161</v>
      </c>
      <c r="C628" t="s">
        <v>1087</v>
      </c>
      <c r="D628" t="s">
        <v>1495</v>
      </c>
      <c r="E628" t="s">
        <v>37</v>
      </c>
      <c r="F628" s="1">
        <v>36546</v>
      </c>
      <c r="G628" s="2">
        <v>2000</v>
      </c>
      <c r="H628">
        <v>2021</v>
      </c>
      <c r="I628" s="2">
        <v>21</v>
      </c>
      <c r="J628">
        <v>80245</v>
      </c>
      <c r="K628" t="s">
        <v>459</v>
      </c>
      <c r="L628">
        <v>6</v>
      </c>
      <c r="M628" t="s">
        <v>50</v>
      </c>
      <c r="N628" t="s">
        <v>40</v>
      </c>
      <c r="O628" t="s">
        <v>41</v>
      </c>
    </row>
    <row r="629" spans="1:15" x14ac:dyDescent="0.3">
      <c r="A629">
        <v>628</v>
      </c>
      <c r="B629" t="s">
        <v>410</v>
      </c>
      <c r="C629" t="s">
        <v>1088</v>
      </c>
      <c r="D629" t="s">
        <v>1494</v>
      </c>
      <c r="E629" t="s">
        <v>32</v>
      </c>
      <c r="F629" s="1">
        <v>39671</v>
      </c>
      <c r="G629" s="2">
        <v>2008</v>
      </c>
      <c r="H629">
        <v>2021</v>
      </c>
      <c r="I629" s="3">
        <v>13</v>
      </c>
      <c r="J629">
        <v>65110</v>
      </c>
      <c r="K629" t="s">
        <v>74</v>
      </c>
      <c r="L629">
        <v>5</v>
      </c>
      <c r="M629" t="s">
        <v>91</v>
      </c>
      <c r="N629" t="s">
        <v>40</v>
      </c>
      <c r="O629" t="s">
        <v>34</v>
      </c>
    </row>
    <row r="630" spans="1:15" x14ac:dyDescent="0.3">
      <c r="A630">
        <v>629</v>
      </c>
      <c r="B630" t="s">
        <v>161</v>
      </c>
      <c r="C630" t="s">
        <v>1089</v>
      </c>
      <c r="D630" t="s">
        <v>1494</v>
      </c>
      <c r="E630" t="s">
        <v>32</v>
      </c>
      <c r="F630" s="1">
        <v>40753</v>
      </c>
      <c r="G630" s="2">
        <v>2011</v>
      </c>
      <c r="H630">
        <v>2021</v>
      </c>
      <c r="I630" s="3">
        <v>10</v>
      </c>
      <c r="J630">
        <v>128617</v>
      </c>
      <c r="K630" t="s">
        <v>181</v>
      </c>
      <c r="L630">
        <v>4</v>
      </c>
      <c r="M630" t="s">
        <v>55</v>
      </c>
      <c r="N630" t="s">
        <v>17</v>
      </c>
      <c r="O630" t="s">
        <v>34</v>
      </c>
    </row>
    <row r="631" spans="1:15" x14ac:dyDescent="0.3">
      <c r="A631">
        <v>630</v>
      </c>
      <c r="B631" t="s">
        <v>1014</v>
      </c>
      <c r="C631" t="s">
        <v>1090</v>
      </c>
      <c r="D631" t="s">
        <v>1494</v>
      </c>
      <c r="E631" t="s">
        <v>148</v>
      </c>
      <c r="F631" s="1">
        <v>37296</v>
      </c>
      <c r="G631" s="2">
        <v>2002</v>
      </c>
      <c r="H631">
        <v>2021</v>
      </c>
      <c r="I631" s="2">
        <v>19</v>
      </c>
      <c r="J631">
        <v>96107</v>
      </c>
      <c r="K631" t="s">
        <v>908</v>
      </c>
      <c r="L631">
        <v>5</v>
      </c>
      <c r="M631" t="s">
        <v>91</v>
      </c>
      <c r="N631" t="s">
        <v>40</v>
      </c>
      <c r="O631" t="s">
        <v>112</v>
      </c>
    </row>
    <row r="632" spans="1:15" x14ac:dyDescent="0.3">
      <c r="A632">
        <v>631</v>
      </c>
      <c r="B632" t="s">
        <v>741</v>
      </c>
      <c r="C632" t="s">
        <v>1091</v>
      </c>
      <c r="D632" t="s">
        <v>1495</v>
      </c>
      <c r="E632" t="s">
        <v>44</v>
      </c>
      <c r="F632" s="1">
        <v>41804</v>
      </c>
      <c r="G632" s="2">
        <v>2014</v>
      </c>
      <c r="H632">
        <v>2021</v>
      </c>
      <c r="I632" s="2">
        <v>7</v>
      </c>
      <c r="J632">
        <v>44788</v>
      </c>
      <c r="K632" t="s">
        <v>454</v>
      </c>
      <c r="L632">
        <v>2</v>
      </c>
      <c r="M632" t="s">
        <v>16</v>
      </c>
      <c r="N632" t="s">
        <v>17</v>
      </c>
      <c r="O632" t="s">
        <v>29</v>
      </c>
    </row>
    <row r="633" spans="1:15" x14ac:dyDescent="0.3">
      <c r="A633">
        <v>632</v>
      </c>
      <c r="B633" t="s">
        <v>443</v>
      </c>
      <c r="C633" t="s">
        <v>1092</v>
      </c>
      <c r="D633" t="s">
        <v>1495</v>
      </c>
      <c r="E633" t="s">
        <v>110</v>
      </c>
      <c r="F633" s="1">
        <v>37987</v>
      </c>
      <c r="G633" s="2">
        <v>2004</v>
      </c>
      <c r="H633">
        <v>2021</v>
      </c>
      <c r="I633" s="2">
        <v>17</v>
      </c>
      <c r="J633">
        <v>86207</v>
      </c>
      <c r="K633" t="s">
        <v>562</v>
      </c>
      <c r="L633">
        <v>4</v>
      </c>
      <c r="M633" t="s">
        <v>55</v>
      </c>
      <c r="N633" t="s">
        <v>17</v>
      </c>
      <c r="O633" t="s">
        <v>112</v>
      </c>
    </row>
    <row r="634" spans="1:15" x14ac:dyDescent="0.3">
      <c r="A634">
        <v>633</v>
      </c>
      <c r="B634" t="s">
        <v>296</v>
      </c>
      <c r="C634" t="s">
        <v>1093</v>
      </c>
      <c r="D634" t="s">
        <v>1494</v>
      </c>
      <c r="E634" t="s">
        <v>312</v>
      </c>
      <c r="F634" s="1">
        <v>36824</v>
      </c>
      <c r="G634" s="2">
        <v>2000</v>
      </c>
      <c r="H634">
        <v>2021</v>
      </c>
      <c r="I634" s="2">
        <v>21</v>
      </c>
      <c r="J634">
        <v>79845</v>
      </c>
      <c r="K634" t="s">
        <v>527</v>
      </c>
      <c r="L634">
        <v>1</v>
      </c>
      <c r="M634" t="s">
        <v>46</v>
      </c>
      <c r="N634" t="s">
        <v>17</v>
      </c>
      <c r="O634" t="s">
        <v>41</v>
      </c>
    </row>
    <row r="635" spans="1:15" x14ac:dyDescent="0.3">
      <c r="A635">
        <v>634</v>
      </c>
      <c r="B635" t="s">
        <v>523</v>
      </c>
      <c r="C635" t="s">
        <v>1094</v>
      </c>
      <c r="D635" t="s">
        <v>1495</v>
      </c>
      <c r="E635" t="s">
        <v>148</v>
      </c>
      <c r="F635" s="1">
        <v>40639</v>
      </c>
      <c r="G635" s="2">
        <v>2011</v>
      </c>
      <c r="H635">
        <v>2021</v>
      </c>
      <c r="I635" s="2">
        <v>10</v>
      </c>
      <c r="J635">
        <v>104264</v>
      </c>
      <c r="K635" t="s">
        <v>669</v>
      </c>
      <c r="L635">
        <v>6</v>
      </c>
      <c r="M635" t="s">
        <v>50</v>
      </c>
      <c r="N635" t="s">
        <v>40</v>
      </c>
      <c r="O635" t="s">
        <v>112</v>
      </c>
    </row>
    <row r="636" spans="1:15" x14ac:dyDescent="0.3">
      <c r="A636">
        <v>635</v>
      </c>
      <c r="B636" t="s">
        <v>221</v>
      </c>
      <c r="C636" t="s">
        <v>1095</v>
      </c>
      <c r="D636" t="s">
        <v>1495</v>
      </c>
      <c r="E636" t="s">
        <v>44</v>
      </c>
      <c r="F636" s="1">
        <v>40539</v>
      </c>
      <c r="G636" s="2">
        <v>2010</v>
      </c>
      <c r="H636">
        <v>2021</v>
      </c>
      <c r="I636" s="2">
        <v>11</v>
      </c>
      <c r="J636">
        <v>77005</v>
      </c>
      <c r="K636" t="s">
        <v>456</v>
      </c>
      <c r="L636">
        <v>1</v>
      </c>
      <c r="M636" t="s">
        <v>46</v>
      </c>
      <c r="N636" t="s">
        <v>17</v>
      </c>
      <c r="O636" t="s">
        <v>29</v>
      </c>
    </row>
    <row r="637" spans="1:15" x14ac:dyDescent="0.3">
      <c r="A637">
        <v>636</v>
      </c>
      <c r="B637" t="s">
        <v>387</v>
      </c>
      <c r="C637" t="s">
        <v>1096</v>
      </c>
      <c r="D637" t="s">
        <v>1495</v>
      </c>
      <c r="E637" t="s">
        <v>100</v>
      </c>
      <c r="F637" s="1">
        <v>40811</v>
      </c>
      <c r="G637" s="2">
        <v>2011</v>
      </c>
      <c r="H637">
        <v>2021</v>
      </c>
      <c r="I637" s="2">
        <v>10</v>
      </c>
      <c r="J637">
        <v>69564</v>
      </c>
      <c r="K637" t="s">
        <v>181</v>
      </c>
      <c r="L637">
        <v>6</v>
      </c>
      <c r="M637" t="s">
        <v>50</v>
      </c>
      <c r="N637" t="s">
        <v>40</v>
      </c>
      <c r="O637" t="s">
        <v>29</v>
      </c>
    </row>
    <row r="638" spans="1:15" x14ac:dyDescent="0.3">
      <c r="A638">
        <v>637</v>
      </c>
      <c r="B638" t="s">
        <v>236</v>
      </c>
      <c r="C638" t="s">
        <v>1097</v>
      </c>
      <c r="D638" t="s">
        <v>1495</v>
      </c>
      <c r="E638" t="s">
        <v>312</v>
      </c>
      <c r="F638" s="1">
        <v>39288</v>
      </c>
      <c r="G638" s="2">
        <v>2007</v>
      </c>
      <c r="H638">
        <v>2021</v>
      </c>
      <c r="I638" s="2">
        <v>14</v>
      </c>
      <c r="J638">
        <v>84549</v>
      </c>
      <c r="K638" t="s">
        <v>290</v>
      </c>
      <c r="L638">
        <v>5</v>
      </c>
      <c r="M638" t="s">
        <v>91</v>
      </c>
      <c r="N638" t="s">
        <v>40</v>
      </c>
      <c r="O638" t="s">
        <v>41</v>
      </c>
    </row>
    <row r="639" spans="1:15" x14ac:dyDescent="0.3">
      <c r="A639">
        <v>638</v>
      </c>
      <c r="B639" t="s">
        <v>560</v>
      </c>
      <c r="C639" t="s">
        <v>1098</v>
      </c>
      <c r="D639" t="s">
        <v>1494</v>
      </c>
      <c r="E639" t="s">
        <v>79</v>
      </c>
      <c r="F639" s="1">
        <v>38877</v>
      </c>
      <c r="G639" s="2">
        <v>2006</v>
      </c>
      <c r="H639">
        <v>2021</v>
      </c>
      <c r="I639" s="2">
        <v>15</v>
      </c>
      <c r="J639">
        <v>134488</v>
      </c>
      <c r="K639" t="s">
        <v>101</v>
      </c>
      <c r="L639">
        <v>1</v>
      </c>
      <c r="M639" t="s">
        <v>46</v>
      </c>
      <c r="N639" t="s">
        <v>17</v>
      </c>
      <c r="O639" t="s">
        <v>41</v>
      </c>
    </row>
    <row r="640" spans="1:15" x14ac:dyDescent="0.3">
      <c r="A640">
        <v>639</v>
      </c>
      <c r="B640" t="s">
        <v>116</v>
      </c>
      <c r="C640" t="s">
        <v>1099</v>
      </c>
      <c r="D640" t="s">
        <v>1494</v>
      </c>
      <c r="E640" t="s">
        <v>312</v>
      </c>
      <c r="F640" s="1">
        <v>39126</v>
      </c>
      <c r="G640" s="2">
        <v>2007</v>
      </c>
      <c r="H640">
        <v>2021</v>
      </c>
      <c r="I640" s="2">
        <v>14</v>
      </c>
      <c r="J640">
        <v>140243</v>
      </c>
      <c r="K640" t="s">
        <v>22</v>
      </c>
      <c r="L640">
        <v>5</v>
      </c>
      <c r="M640" t="s">
        <v>91</v>
      </c>
      <c r="N640" t="s">
        <v>40</v>
      </c>
      <c r="O640" t="s">
        <v>41</v>
      </c>
    </row>
    <row r="641" spans="1:15" x14ac:dyDescent="0.3">
      <c r="A641">
        <v>640</v>
      </c>
      <c r="B641" t="s">
        <v>243</v>
      </c>
      <c r="C641" t="s">
        <v>1100</v>
      </c>
      <c r="D641" t="s">
        <v>1494</v>
      </c>
      <c r="E641" t="s">
        <v>32</v>
      </c>
      <c r="F641" s="1">
        <v>37674</v>
      </c>
      <c r="G641" s="2">
        <v>2003</v>
      </c>
      <c r="H641">
        <v>2021</v>
      </c>
      <c r="I641" s="3">
        <v>18</v>
      </c>
      <c r="J641">
        <v>44096</v>
      </c>
      <c r="K641" t="s">
        <v>938</v>
      </c>
      <c r="L641">
        <v>4</v>
      </c>
      <c r="M641" t="s">
        <v>55</v>
      </c>
      <c r="N641" t="s">
        <v>17</v>
      </c>
      <c r="O641" t="s">
        <v>34</v>
      </c>
    </row>
    <row r="642" spans="1:15" x14ac:dyDescent="0.3">
      <c r="A642">
        <v>641</v>
      </c>
      <c r="B642" t="s">
        <v>423</v>
      </c>
      <c r="C642" t="s">
        <v>1101</v>
      </c>
      <c r="D642" t="s">
        <v>1495</v>
      </c>
      <c r="E642" t="s">
        <v>203</v>
      </c>
      <c r="F642" s="1">
        <v>40275</v>
      </c>
      <c r="G642" s="2">
        <v>2010</v>
      </c>
      <c r="H642">
        <v>2021</v>
      </c>
      <c r="I642" s="2">
        <v>11</v>
      </c>
      <c r="J642">
        <v>69454</v>
      </c>
      <c r="K642" t="s">
        <v>803</v>
      </c>
      <c r="L642">
        <v>1</v>
      </c>
      <c r="M642" t="s">
        <v>46</v>
      </c>
      <c r="N642" t="s">
        <v>17</v>
      </c>
      <c r="O642" t="s">
        <v>41</v>
      </c>
    </row>
    <row r="643" spans="1:15" x14ac:dyDescent="0.3">
      <c r="A643">
        <v>642</v>
      </c>
      <c r="B643" t="s">
        <v>1102</v>
      </c>
      <c r="C643" t="s">
        <v>1103</v>
      </c>
      <c r="D643" t="s">
        <v>1495</v>
      </c>
      <c r="E643" t="s">
        <v>61</v>
      </c>
      <c r="F643" s="1">
        <v>39948</v>
      </c>
      <c r="G643" s="2">
        <v>2009</v>
      </c>
      <c r="H643">
        <v>2021</v>
      </c>
      <c r="I643" s="2">
        <v>12</v>
      </c>
      <c r="J643">
        <v>126201</v>
      </c>
      <c r="K643" t="s">
        <v>169</v>
      </c>
      <c r="L643">
        <v>2</v>
      </c>
      <c r="M643" t="s">
        <v>16</v>
      </c>
      <c r="N643" t="s">
        <v>17</v>
      </c>
      <c r="O643" t="s">
        <v>63</v>
      </c>
    </row>
    <row r="644" spans="1:15" x14ac:dyDescent="0.3">
      <c r="A644">
        <v>643</v>
      </c>
      <c r="B644" t="s">
        <v>594</v>
      </c>
      <c r="C644" t="s">
        <v>1104</v>
      </c>
      <c r="D644" t="s">
        <v>1494</v>
      </c>
      <c r="E644" t="s">
        <v>32</v>
      </c>
      <c r="F644" s="1">
        <v>41719</v>
      </c>
      <c r="G644" s="2">
        <v>2014</v>
      </c>
      <c r="H644">
        <v>2021</v>
      </c>
      <c r="I644" s="3">
        <v>7</v>
      </c>
      <c r="J644">
        <v>123820</v>
      </c>
      <c r="K644" t="s">
        <v>1105</v>
      </c>
      <c r="L644">
        <v>4</v>
      </c>
      <c r="M644" t="s">
        <v>55</v>
      </c>
      <c r="N644" t="s">
        <v>17</v>
      </c>
      <c r="O644" t="s">
        <v>34</v>
      </c>
    </row>
    <row r="645" spans="1:15" x14ac:dyDescent="0.3">
      <c r="A645">
        <v>644</v>
      </c>
      <c r="B645" t="s">
        <v>416</v>
      </c>
      <c r="C645" t="s">
        <v>1106</v>
      </c>
      <c r="D645" t="s">
        <v>1494</v>
      </c>
      <c r="E645" t="s">
        <v>37</v>
      </c>
      <c r="F645" s="1">
        <v>37352</v>
      </c>
      <c r="G645" s="2">
        <v>2002</v>
      </c>
      <c r="H645">
        <v>2021</v>
      </c>
      <c r="I645" s="2">
        <v>19</v>
      </c>
      <c r="J645">
        <v>52956</v>
      </c>
      <c r="K645" t="s">
        <v>74</v>
      </c>
      <c r="L645">
        <v>7</v>
      </c>
      <c r="M645" t="s">
        <v>39</v>
      </c>
      <c r="N645" t="s">
        <v>40</v>
      </c>
      <c r="O645" t="s">
        <v>41</v>
      </c>
    </row>
    <row r="646" spans="1:15" x14ac:dyDescent="0.3">
      <c r="A646">
        <v>645</v>
      </c>
      <c r="B646" t="s">
        <v>75</v>
      </c>
      <c r="C646" t="s">
        <v>1107</v>
      </c>
      <c r="D646" t="s">
        <v>1494</v>
      </c>
      <c r="E646" t="s">
        <v>44</v>
      </c>
      <c r="F646" s="1">
        <v>39234</v>
      </c>
      <c r="G646" s="2">
        <v>2007</v>
      </c>
      <c r="H646">
        <v>2021</v>
      </c>
      <c r="I646" s="2">
        <v>14</v>
      </c>
      <c r="J646">
        <v>143595</v>
      </c>
      <c r="K646" t="s">
        <v>500</v>
      </c>
      <c r="L646">
        <v>6</v>
      </c>
      <c r="M646" t="s">
        <v>50</v>
      </c>
      <c r="N646" t="s">
        <v>40</v>
      </c>
      <c r="O646" t="s">
        <v>29</v>
      </c>
    </row>
    <row r="647" spans="1:15" x14ac:dyDescent="0.3">
      <c r="A647">
        <v>646</v>
      </c>
      <c r="B647" t="s">
        <v>375</v>
      </c>
      <c r="C647" t="s">
        <v>1108</v>
      </c>
      <c r="D647" t="s">
        <v>1494</v>
      </c>
      <c r="E647" t="s">
        <v>129</v>
      </c>
      <c r="F647" s="1">
        <v>41865</v>
      </c>
      <c r="G647" s="2">
        <v>2014</v>
      </c>
      <c r="H647">
        <v>2021</v>
      </c>
      <c r="I647" s="2">
        <v>7</v>
      </c>
      <c r="J647">
        <v>124707</v>
      </c>
      <c r="K647" t="s">
        <v>204</v>
      </c>
      <c r="L647">
        <v>6</v>
      </c>
      <c r="M647" t="s">
        <v>50</v>
      </c>
      <c r="N647" t="s">
        <v>40</v>
      </c>
      <c r="O647" t="s">
        <v>41</v>
      </c>
    </row>
    <row r="648" spans="1:15" x14ac:dyDescent="0.3">
      <c r="A648">
        <v>647</v>
      </c>
      <c r="B648" t="s">
        <v>243</v>
      </c>
      <c r="C648" t="s">
        <v>1109</v>
      </c>
      <c r="D648" t="s">
        <v>1494</v>
      </c>
      <c r="E648" t="s">
        <v>94</v>
      </c>
      <c r="F648" s="1">
        <v>40101</v>
      </c>
      <c r="G648" s="2">
        <v>2009</v>
      </c>
      <c r="H648">
        <v>2021</v>
      </c>
      <c r="I648" s="2">
        <v>12</v>
      </c>
      <c r="J648">
        <v>57092</v>
      </c>
      <c r="K648" t="s">
        <v>510</v>
      </c>
      <c r="L648">
        <v>2</v>
      </c>
      <c r="M648" t="s">
        <v>16</v>
      </c>
      <c r="N648" t="s">
        <v>17</v>
      </c>
      <c r="O648" t="s">
        <v>18</v>
      </c>
    </row>
    <row r="649" spans="1:15" x14ac:dyDescent="0.3">
      <c r="A649">
        <v>648</v>
      </c>
      <c r="B649" t="s">
        <v>652</v>
      </c>
      <c r="C649" t="s">
        <v>1110</v>
      </c>
      <c r="D649" t="s">
        <v>1494</v>
      </c>
      <c r="E649" t="s">
        <v>129</v>
      </c>
      <c r="F649" s="1">
        <v>39125</v>
      </c>
      <c r="G649" s="2">
        <v>2007</v>
      </c>
      <c r="H649">
        <v>2021</v>
      </c>
      <c r="I649" s="2">
        <v>14</v>
      </c>
      <c r="J649">
        <v>149099</v>
      </c>
      <c r="K649" t="s">
        <v>45</v>
      </c>
      <c r="L649">
        <v>3</v>
      </c>
      <c r="M649" t="s">
        <v>28</v>
      </c>
      <c r="N649" t="s">
        <v>17</v>
      </c>
      <c r="O649" t="s">
        <v>41</v>
      </c>
    </row>
    <row r="650" spans="1:15" x14ac:dyDescent="0.3">
      <c r="A650">
        <v>649</v>
      </c>
      <c r="B650" t="s">
        <v>419</v>
      </c>
      <c r="C650" t="s">
        <v>1111</v>
      </c>
      <c r="D650" t="s">
        <v>1494</v>
      </c>
      <c r="E650" t="s">
        <v>312</v>
      </c>
      <c r="F650" s="1">
        <v>39404</v>
      </c>
      <c r="G650" s="2">
        <v>2007</v>
      </c>
      <c r="H650">
        <v>2021</v>
      </c>
      <c r="I650" s="2">
        <v>14</v>
      </c>
      <c r="J650">
        <v>99352</v>
      </c>
      <c r="K650" t="s">
        <v>27</v>
      </c>
      <c r="L650">
        <v>1</v>
      </c>
      <c r="M650" t="s">
        <v>46</v>
      </c>
      <c r="N650" t="s">
        <v>17</v>
      </c>
      <c r="O650" t="s">
        <v>41</v>
      </c>
    </row>
    <row r="651" spans="1:15" x14ac:dyDescent="0.3">
      <c r="A651">
        <v>650</v>
      </c>
      <c r="B651" t="s">
        <v>745</v>
      </c>
      <c r="C651" t="s">
        <v>1112</v>
      </c>
      <c r="D651" t="s">
        <v>1494</v>
      </c>
      <c r="E651" t="s">
        <v>37</v>
      </c>
      <c r="F651" s="1">
        <v>41296</v>
      </c>
      <c r="G651" s="2">
        <v>2013</v>
      </c>
      <c r="H651">
        <v>2021</v>
      </c>
      <c r="I651" s="2">
        <v>8</v>
      </c>
      <c r="J651">
        <v>44919</v>
      </c>
      <c r="K651" t="s">
        <v>126</v>
      </c>
      <c r="L651">
        <v>7</v>
      </c>
      <c r="M651" t="s">
        <v>39</v>
      </c>
      <c r="N651" t="s">
        <v>40</v>
      </c>
      <c r="O651" t="s">
        <v>41</v>
      </c>
    </row>
    <row r="652" spans="1:15" x14ac:dyDescent="0.3">
      <c r="A652">
        <v>651</v>
      </c>
      <c r="B652" t="s">
        <v>296</v>
      </c>
      <c r="C652" t="s">
        <v>1113</v>
      </c>
      <c r="D652" t="s">
        <v>1495</v>
      </c>
      <c r="E652" t="s">
        <v>203</v>
      </c>
      <c r="F652" s="1">
        <v>38957</v>
      </c>
      <c r="G652" s="2">
        <v>2006</v>
      </c>
      <c r="H652">
        <v>2021</v>
      </c>
      <c r="I652" s="2">
        <v>15</v>
      </c>
      <c r="J652">
        <v>55034</v>
      </c>
      <c r="K652" t="s">
        <v>441</v>
      </c>
      <c r="L652">
        <v>4</v>
      </c>
      <c r="M652" t="s">
        <v>55</v>
      </c>
      <c r="N652" t="s">
        <v>17</v>
      </c>
      <c r="O652" t="s">
        <v>41</v>
      </c>
    </row>
    <row r="653" spans="1:15" x14ac:dyDescent="0.3">
      <c r="A653">
        <v>652</v>
      </c>
      <c r="B653" t="s">
        <v>302</v>
      </c>
      <c r="C653" t="s">
        <v>1114</v>
      </c>
      <c r="D653" t="s">
        <v>1494</v>
      </c>
      <c r="E653" t="s">
        <v>32</v>
      </c>
      <c r="F653" s="1">
        <v>38884</v>
      </c>
      <c r="G653" s="2">
        <v>2006</v>
      </c>
      <c r="H653">
        <v>2021</v>
      </c>
      <c r="I653" s="3">
        <v>15</v>
      </c>
      <c r="J653">
        <v>60396</v>
      </c>
      <c r="K653" t="s">
        <v>764</v>
      </c>
      <c r="L653">
        <v>7</v>
      </c>
      <c r="M653" t="s">
        <v>39</v>
      </c>
      <c r="N653" t="s">
        <v>40</v>
      </c>
      <c r="O653" t="s">
        <v>34</v>
      </c>
    </row>
    <row r="654" spans="1:15" x14ac:dyDescent="0.3">
      <c r="A654">
        <v>653</v>
      </c>
      <c r="B654" t="s">
        <v>1035</v>
      </c>
      <c r="C654" t="s">
        <v>1115</v>
      </c>
      <c r="D654" t="s">
        <v>1494</v>
      </c>
      <c r="E654" t="s">
        <v>53</v>
      </c>
      <c r="F654" s="1">
        <v>41461</v>
      </c>
      <c r="G654" s="2">
        <v>2013</v>
      </c>
      <c r="H654">
        <v>2021</v>
      </c>
      <c r="I654" s="2">
        <v>8</v>
      </c>
      <c r="J654">
        <v>147862</v>
      </c>
      <c r="K654" t="s">
        <v>287</v>
      </c>
      <c r="L654">
        <v>5</v>
      </c>
      <c r="M654" t="s">
        <v>91</v>
      </c>
      <c r="N654" t="s">
        <v>40</v>
      </c>
      <c r="O654" t="s">
        <v>23</v>
      </c>
    </row>
    <row r="655" spans="1:15" x14ac:dyDescent="0.3">
      <c r="A655">
        <v>654</v>
      </c>
      <c r="B655" t="s">
        <v>781</v>
      </c>
      <c r="C655" t="s">
        <v>1116</v>
      </c>
      <c r="D655" t="s">
        <v>1494</v>
      </c>
      <c r="E655" t="s">
        <v>26</v>
      </c>
      <c r="F655" s="1">
        <v>37563</v>
      </c>
      <c r="G655" s="2">
        <v>2002</v>
      </c>
      <c r="H655">
        <v>2021</v>
      </c>
      <c r="I655" s="2">
        <v>19</v>
      </c>
      <c r="J655">
        <v>69594</v>
      </c>
      <c r="K655" t="s">
        <v>27</v>
      </c>
      <c r="L655">
        <v>3</v>
      </c>
      <c r="M655" t="s">
        <v>28</v>
      </c>
      <c r="N655" t="s">
        <v>17</v>
      </c>
      <c r="O655" t="s">
        <v>29</v>
      </c>
    </row>
    <row r="656" spans="1:15" x14ac:dyDescent="0.3">
      <c r="A656">
        <v>655</v>
      </c>
      <c r="B656" t="s">
        <v>407</v>
      </c>
      <c r="C656" t="s">
        <v>1117</v>
      </c>
      <c r="D656" t="s">
        <v>1495</v>
      </c>
      <c r="E656" t="s">
        <v>21</v>
      </c>
      <c r="F656" s="1">
        <v>41798</v>
      </c>
      <c r="G656" s="2">
        <v>2014</v>
      </c>
      <c r="H656">
        <v>2021</v>
      </c>
      <c r="I656" s="2">
        <v>7</v>
      </c>
      <c r="J656">
        <v>145363</v>
      </c>
      <c r="K656" t="s">
        <v>610</v>
      </c>
      <c r="L656">
        <v>3</v>
      </c>
      <c r="M656" t="s">
        <v>28</v>
      </c>
      <c r="N656" t="s">
        <v>17</v>
      </c>
      <c r="O656" t="s">
        <v>23</v>
      </c>
    </row>
    <row r="657" spans="1:15" x14ac:dyDescent="0.3">
      <c r="A657">
        <v>656</v>
      </c>
      <c r="B657" t="s">
        <v>728</v>
      </c>
      <c r="C657" t="s">
        <v>1118</v>
      </c>
      <c r="D657" t="s">
        <v>1494</v>
      </c>
      <c r="E657" t="s">
        <v>122</v>
      </c>
      <c r="F657" s="1">
        <v>39541</v>
      </c>
      <c r="G657" s="2">
        <v>2008</v>
      </c>
      <c r="H657">
        <v>2021</v>
      </c>
      <c r="I657" s="2">
        <v>13</v>
      </c>
      <c r="J657">
        <v>70804</v>
      </c>
      <c r="K657" t="s">
        <v>126</v>
      </c>
      <c r="L657">
        <v>2</v>
      </c>
      <c r="M657" t="s">
        <v>16</v>
      </c>
      <c r="N657" t="s">
        <v>17</v>
      </c>
      <c r="O657" t="s">
        <v>123</v>
      </c>
    </row>
    <row r="658" spans="1:15" x14ac:dyDescent="0.3">
      <c r="A658">
        <v>657</v>
      </c>
      <c r="B658" t="s">
        <v>1119</v>
      </c>
      <c r="C658" t="s">
        <v>1120</v>
      </c>
      <c r="D658" t="s">
        <v>1495</v>
      </c>
      <c r="E658" t="s">
        <v>69</v>
      </c>
      <c r="F658" s="1">
        <v>41454</v>
      </c>
      <c r="G658" s="2">
        <v>2013</v>
      </c>
      <c r="H658">
        <v>2021</v>
      </c>
      <c r="I658" s="2">
        <v>8</v>
      </c>
      <c r="J658">
        <v>65154</v>
      </c>
      <c r="K658" t="s">
        <v>62</v>
      </c>
      <c r="L658">
        <v>5</v>
      </c>
      <c r="M658" t="s">
        <v>91</v>
      </c>
      <c r="N658" t="s">
        <v>40</v>
      </c>
      <c r="O658" t="s">
        <v>41</v>
      </c>
    </row>
    <row r="659" spans="1:15" x14ac:dyDescent="0.3">
      <c r="A659">
        <v>658</v>
      </c>
      <c r="B659" t="s">
        <v>262</v>
      </c>
      <c r="C659" t="s">
        <v>1121</v>
      </c>
      <c r="D659" t="s">
        <v>1494</v>
      </c>
      <c r="E659" t="s">
        <v>94</v>
      </c>
      <c r="F659" s="1">
        <v>41555</v>
      </c>
      <c r="G659" s="2">
        <v>2013</v>
      </c>
      <c r="H659">
        <v>2021</v>
      </c>
      <c r="I659" s="2">
        <v>8</v>
      </c>
      <c r="J659">
        <v>61332</v>
      </c>
      <c r="K659" t="s">
        <v>104</v>
      </c>
      <c r="L659">
        <v>3</v>
      </c>
      <c r="M659" t="s">
        <v>28</v>
      </c>
      <c r="N659" t="s">
        <v>17</v>
      </c>
      <c r="O659" t="s">
        <v>18</v>
      </c>
    </row>
    <row r="660" spans="1:15" x14ac:dyDescent="0.3">
      <c r="A660">
        <v>659</v>
      </c>
      <c r="B660" t="s">
        <v>772</v>
      </c>
      <c r="C660" t="s">
        <v>1122</v>
      </c>
      <c r="D660" t="s">
        <v>1495</v>
      </c>
      <c r="E660" t="s">
        <v>148</v>
      </c>
      <c r="F660" s="1">
        <v>37871</v>
      </c>
      <c r="G660" s="2">
        <v>2003</v>
      </c>
      <c r="H660">
        <v>2021</v>
      </c>
      <c r="I660" s="2">
        <v>18</v>
      </c>
      <c r="J660">
        <v>72319</v>
      </c>
      <c r="K660" t="s">
        <v>313</v>
      </c>
      <c r="L660">
        <v>1</v>
      </c>
      <c r="M660" t="s">
        <v>46</v>
      </c>
      <c r="N660" t="s">
        <v>17</v>
      </c>
      <c r="O660" t="s">
        <v>112</v>
      </c>
    </row>
    <row r="661" spans="1:15" x14ac:dyDescent="0.3">
      <c r="A661">
        <v>660</v>
      </c>
      <c r="B661" t="s">
        <v>911</v>
      </c>
      <c r="C661" t="s">
        <v>1123</v>
      </c>
      <c r="D661" t="s">
        <v>1494</v>
      </c>
      <c r="E661" t="s">
        <v>312</v>
      </c>
      <c r="F661" s="1">
        <v>37233</v>
      </c>
      <c r="G661" s="2">
        <v>2001</v>
      </c>
      <c r="H661">
        <v>2021</v>
      </c>
      <c r="I661" s="2">
        <v>20</v>
      </c>
      <c r="J661">
        <v>139564</v>
      </c>
      <c r="K661" t="s">
        <v>386</v>
      </c>
      <c r="L661">
        <v>7</v>
      </c>
      <c r="M661" t="s">
        <v>39</v>
      </c>
      <c r="N661" t="s">
        <v>40</v>
      </c>
      <c r="O661" t="s">
        <v>41</v>
      </c>
    </row>
    <row r="662" spans="1:15" x14ac:dyDescent="0.3">
      <c r="A662">
        <v>661</v>
      </c>
      <c r="B662" t="s">
        <v>521</v>
      </c>
      <c r="C662" t="s">
        <v>1124</v>
      </c>
      <c r="D662" t="s">
        <v>1495</v>
      </c>
      <c r="E662" t="s">
        <v>26</v>
      </c>
      <c r="F662" s="1">
        <v>38251</v>
      </c>
      <c r="G662" s="2">
        <v>2004</v>
      </c>
      <c r="H662">
        <v>2021</v>
      </c>
      <c r="I662" s="2">
        <v>17</v>
      </c>
      <c r="J662">
        <v>63364</v>
      </c>
      <c r="K662" t="s">
        <v>66</v>
      </c>
      <c r="L662">
        <v>4</v>
      </c>
      <c r="M662" t="s">
        <v>55</v>
      </c>
      <c r="N662" t="s">
        <v>17</v>
      </c>
      <c r="O662" t="s">
        <v>29</v>
      </c>
    </row>
    <row r="663" spans="1:15" x14ac:dyDescent="0.3">
      <c r="A663">
        <v>662</v>
      </c>
      <c r="B663" t="s">
        <v>120</v>
      </c>
      <c r="C663" t="s">
        <v>1125</v>
      </c>
      <c r="D663" t="s">
        <v>1494</v>
      </c>
      <c r="E663" t="s">
        <v>73</v>
      </c>
      <c r="F663" s="1">
        <v>36543</v>
      </c>
      <c r="G663" s="2">
        <v>2000</v>
      </c>
      <c r="H663">
        <v>2021</v>
      </c>
      <c r="I663" s="2">
        <v>21</v>
      </c>
      <c r="J663">
        <v>86497</v>
      </c>
      <c r="K663" t="s">
        <v>441</v>
      </c>
      <c r="L663">
        <v>6</v>
      </c>
      <c r="M663" t="s">
        <v>50</v>
      </c>
      <c r="N663" t="s">
        <v>40</v>
      </c>
      <c r="O663" t="s">
        <v>41</v>
      </c>
    </row>
    <row r="664" spans="1:15" x14ac:dyDescent="0.3">
      <c r="A664">
        <v>663</v>
      </c>
      <c r="B664" t="s">
        <v>600</v>
      </c>
      <c r="C664" t="s">
        <v>1126</v>
      </c>
      <c r="D664" t="s">
        <v>1495</v>
      </c>
      <c r="E664" t="s">
        <v>148</v>
      </c>
      <c r="F664" s="1">
        <v>37646</v>
      </c>
      <c r="G664" s="2">
        <v>2003</v>
      </c>
      <c r="H664">
        <v>2021</v>
      </c>
      <c r="I664" s="2">
        <v>18</v>
      </c>
      <c r="J664">
        <v>117248</v>
      </c>
      <c r="K664" t="s">
        <v>406</v>
      </c>
      <c r="L664">
        <v>1</v>
      </c>
      <c r="M664" t="s">
        <v>46</v>
      </c>
      <c r="N664" t="s">
        <v>17</v>
      </c>
      <c r="O664" t="s">
        <v>112</v>
      </c>
    </row>
    <row r="665" spans="1:15" x14ac:dyDescent="0.3">
      <c r="A665">
        <v>664</v>
      </c>
      <c r="B665" t="s">
        <v>161</v>
      </c>
      <c r="C665" t="s">
        <v>1127</v>
      </c>
      <c r="D665" t="s">
        <v>1495</v>
      </c>
      <c r="E665" t="s">
        <v>21</v>
      </c>
      <c r="F665" s="1">
        <v>41314</v>
      </c>
      <c r="G665" s="2">
        <v>2013</v>
      </c>
      <c r="H665">
        <v>2021</v>
      </c>
      <c r="I665" s="2">
        <v>8</v>
      </c>
      <c r="J665">
        <v>133507</v>
      </c>
      <c r="K665" t="s">
        <v>568</v>
      </c>
      <c r="L665">
        <v>1</v>
      </c>
      <c r="M665" t="s">
        <v>46</v>
      </c>
      <c r="N665" t="s">
        <v>17</v>
      </c>
      <c r="O665" t="s">
        <v>23</v>
      </c>
    </row>
    <row r="666" spans="1:15" x14ac:dyDescent="0.3">
      <c r="A666">
        <v>665</v>
      </c>
      <c r="B666" t="s">
        <v>201</v>
      </c>
      <c r="C666" t="s">
        <v>1128</v>
      </c>
      <c r="D666" t="s">
        <v>1495</v>
      </c>
      <c r="E666" t="s">
        <v>203</v>
      </c>
      <c r="F666" s="1">
        <v>39756</v>
      </c>
      <c r="G666" s="2">
        <v>2008</v>
      </c>
      <c r="H666">
        <v>2021</v>
      </c>
      <c r="I666" s="2">
        <v>13</v>
      </c>
      <c r="J666">
        <v>135132</v>
      </c>
      <c r="K666" t="s">
        <v>1062</v>
      </c>
      <c r="L666">
        <v>7</v>
      </c>
      <c r="M666" t="s">
        <v>39</v>
      </c>
      <c r="N666" t="s">
        <v>40</v>
      </c>
      <c r="O666" t="s">
        <v>41</v>
      </c>
    </row>
    <row r="667" spans="1:15" x14ac:dyDescent="0.3">
      <c r="A667">
        <v>666</v>
      </c>
      <c r="B667" t="s">
        <v>675</v>
      </c>
      <c r="C667" t="s">
        <v>1129</v>
      </c>
      <c r="D667" t="s">
        <v>1495</v>
      </c>
      <c r="E667" t="s">
        <v>312</v>
      </c>
      <c r="F667" s="1">
        <v>41386</v>
      </c>
      <c r="G667" s="2">
        <v>2013</v>
      </c>
      <c r="H667">
        <v>2021</v>
      </c>
      <c r="I667" s="2">
        <v>8</v>
      </c>
      <c r="J667">
        <v>52041</v>
      </c>
      <c r="K667" t="s">
        <v>394</v>
      </c>
      <c r="L667">
        <v>2</v>
      </c>
      <c r="M667" t="s">
        <v>16</v>
      </c>
      <c r="N667" t="s">
        <v>17</v>
      </c>
      <c r="O667" t="s">
        <v>41</v>
      </c>
    </row>
    <row r="668" spans="1:15" x14ac:dyDescent="0.3">
      <c r="A668">
        <v>667</v>
      </c>
      <c r="B668" t="s">
        <v>131</v>
      </c>
      <c r="C668" t="s">
        <v>1130</v>
      </c>
      <c r="D668" t="s">
        <v>1495</v>
      </c>
      <c r="E668" t="s">
        <v>238</v>
      </c>
      <c r="F668" s="1">
        <v>40980</v>
      </c>
      <c r="G668" s="2">
        <v>2012</v>
      </c>
      <c r="H668">
        <v>2021</v>
      </c>
      <c r="I668" s="2">
        <v>9</v>
      </c>
      <c r="J668">
        <v>73425</v>
      </c>
      <c r="K668" t="s">
        <v>1131</v>
      </c>
      <c r="L668">
        <v>3</v>
      </c>
      <c r="M668" t="s">
        <v>28</v>
      </c>
      <c r="N668" t="s">
        <v>17</v>
      </c>
      <c r="O668" t="s">
        <v>63</v>
      </c>
    </row>
    <row r="669" spans="1:15" x14ac:dyDescent="0.3">
      <c r="A669">
        <v>668</v>
      </c>
      <c r="B669" t="s">
        <v>358</v>
      </c>
      <c r="C669" t="s">
        <v>1132</v>
      </c>
      <c r="D669" t="s">
        <v>1495</v>
      </c>
      <c r="E669" t="s">
        <v>14</v>
      </c>
      <c r="F669" s="1">
        <v>36967</v>
      </c>
      <c r="G669" s="2">
        <v>2001</v>
      </c>
      <c r="H669">
        <v>2021</v>
      </c>
      <c r="I669" s="2">
        <v>20</v>
      </c>
      <c r="J669">
        <v>46960</v>
      </c>
      <c r="K669" t="s">
        <v>22</v>
      </c>
      <c r="L669">
        <v>4</v>
      </c>
      <c r="M669" t="s">
        <v>55</v>
      </c>
      <c r="N669" t="s">
        <v>17</v>
      </c>
      <c r="O669" t="s">
        <v>18</v>
      </c>
    </row>
    <row r="670" spans="1:15" x14ac:dyDescent="0.3">
      <c r="A670">
        <v>669</v>
      </c>
      <c r="B670" t="s">
        <v>118</v>
      </c>
      <c r="C670" t="s">
        <v>1133</v>
      </c>
      <c r="D670" t="s">
        <v>1494</v>
      </c>
      <c r="E670" t="s">
        <v>53</v>
      </c>
      <c r="F670" s="1">
        <v>37017</v>
      </c>
      <c r="G670" s="2">
        <v>2001</v>
      </c>
      <c r="H670">
        <v>2021</v>
      </c>
      <c r="I670" s="2">
        <v>20</v>
      </c>
      <c r="J670">
        <v>104373</v>
      </c>
      <c r="K670" t="s">
        <v>336</v>
      </c>
      <c r="L670">
        <v>6</v>
      </c>
      <c r="M670" t="s">
        <v>50</v>
      </c>
      <c r="N670" t="s">
        <v>40</v>
      </c>
      <c r="O670" t="s">
        <v>23</v>
      </c>
    </row>
    <row r="671" spans="1:15" x14ac:dyDescent="0.3">
      <c r="A671">
        <v>670</v>
      </c>
      <c r="B671" t="s">
        <v>508</v>
      </c>
      <c r="C671" t="s">
        <v>1134</v>
      </c>
      <c r="D671" t="s">
        <v>1495</v>
      </c>
      <c r="E671" t="s">
        <v>312</v>
      </c>
      <c r="F671" s="1">
        <v>41899</v>
      </c>
      <c r="G671" s="2">
        <v>2014</v>
      </c>
      <c r="H671">
        <v>2021</v>
      </c>
      <c r="I671" s="2">
        <v>7</v>
      </c>
      <c r="J671">
        <v>102493</v>
      </c>
      <c r="K671" t="s">
        <v>764</v>
      </c>
      <c r="L671">
        <v>5</v>
      </c>
      <c r="M671" t="s">
        <v>91</v>
      </c>
      <c r="N671" t="s">
        <v>40</v>
      </c>
      <c r="O671" t="s">
        <v>41</v>
      </c>
    </row>
    <row r="672" spans="1:15" x14ac:dyDescent="0.3">
      <c r="A672">
        <v>671</v>
      </c>
      <c r="B672" t="s">
        <v>608</v>
      </c>
      <c r="C672" t="s">
        <v>1135</v>
      </c>
      <c r="D672" t="s">
        <v>1494</v>
      </c>
      <c r="E672" t="s">
        <v>312</v>
      </c>
      <c r="F672" s="1">
        <v>39427</v>
      </c>
      <c r="G672" s="2">
        <v>2007</v>
      </c>
      <c r="H672">
        <v>2021</v>
      </c>
      <c r="I672" s="2">
        <v>14</v>
      </c>
      <c r="J672">
        <v>55568</v>
      </c>
      <c r="K672" t="s">
        <v>290</v>
      </c>
      <c r="L672">
        <v>7</v>
      </c>
      <c r="M672" t="s">
        <v>39</v>
      </c>
      <c r="N672" t="s">
        <v>40</v>
      </c>
      <c r="O672" t="s">
        <v>41</v>
      </c>
    </row>
    <row r="673" spans="1:15" x14ac:dyDescent="0.3">
      <c r="A673">
        <v>672</v>
      </c>
      <c r="B673" t="s">
        <v>523</v>
      </c>
      <c r="C673" t="s">
        <v>1136</v>
      </c>
      <c r="D673" t="s">
        <v>1494</v>
      </c>
      <c r="E673" t="s">
        <v>21</v>
      </c>
      <c r="F673" s="1">
        <v>38842</v>
      </c>
      <c r="G673" s="2">
        <v>2006</v>
      </c>
      <c r="H673">
        <v>2021</v>
      </c>
      <c r="I673" s="2">
        <v>15</v>
      </c>
      <c r="J673">
        <v>75159</v>
      </c>
      <c r="K673" t="s">
        <v>626</v>
      </c>
      <c r="L673">
        <v>2</v>
      </c>
      <c r="M673" t="s">
        <v>16</v>
      </c>
      <c r="N673" t="s">
        <v>17</v>
      </c>
      <c r="O673" t="s">
        <v>23</v>
      </c>
    </row>
    <row r="674" spans="1:15" x14ac:dyDescent="0.3">
      <c r="A674">
        <v>673</v>
      </c>
      <c r="B674" t="s">
        <v>279</v>
      </c>
      <c r="C674" t="s">
        <v>1137</v>
      </c>
      <c r="D674" t="s">
        <v>1494</v>
      </c>
      <c r="E674" t="s">
        <v>203</v>
      </c>
      <c r="F674" s="1">
        <v>41939</v>
      </c>
      <c r="G674" s="2">
        <v>2014</v>
      </c>
      <c r="H674">
        <v>2021</v>
      </c>
      <c r="I674" s="2">
        <v>7</v>
      </c>
      <c r="J674">
        <v>51782</v>
      </c>
      <c r="K674" t="s">
        <v>235</v>
      </c>
      <c r="L674">
        <v>6</v>
      </c>
      <c r="M674" t="s">
        <v>50</v>
      </c>
      <c r="N674" t="s">
        <v>40</v>
      </c>
      <c r="O674" t="s">
        <v>41</v>
      </c>
    </row>
    <row r="675" spans="1:15" x14ac:dyDescent="0.3">
      <c r="A675">
        <v>674</v>
      </c>
      <c r="B675" t="s">
        <v>308</v>
      </c>
      <c r="C675" t="s">
        <v>1138</v>
      </c>
      <c r="D675" t="s">
        <v>1494</v>
      </c>
      <c r="E675" t="s">
        <v>53</v>
      </c>
      <c r="F675" s="1">
        <v>40053</v>
      </c>
      <c r="G675" s="2">
        <v>2009</v>
      </c>
      <c r="H675">
        <v>2021</v>
      </c>
      <c r="I675" s="2">
        <v>12</v>
      </c>
      <c r="J675">
        <v>41855</v>
      </c>
      <c r="K675" t="s">
        <v>149</v>
      </c>
      <c r="L675">
        <v>7</v>
      </c>
      <c r="M675" t="s">
        <v>39</v>
      </c>
      <c r="N675" t="s">
        <v>40</v>
      </c>
      <c r="O675" t="s">
        <v>23</v>
      </c>
    </row>
    <row r="676" spans="1:15" x14ac:dyDescent="0.3">
      <c r="A676">
        <v>675</v>
      </c>
      <c r="B676" t="s">
        <v>184</v>
      </c>
      <c r="C676" t="s">
        <v>1139</v>
      </c>
      <c r="D676" t="s">
        <v>1494</v>
      </c>
      <c r="E676" t="s">
        <v>79</v>
      </c>
      <c r="F676" s="1">
        <v>38525</v>
      </c>
      <c r="G676" s="2">
        <v>2005</v>
      </c>
      <c r="H676">
        <v>2021</v>
      </c>
      <c r="I676" s="2">
        <v>16</v>
      </c>
      <c r="J676">
        <v>143846</v>
      </c>
      <c r="K676" t="s">
        <v>82</v>
      </c>
      <c r="L676">
        <v>3</v>
      </c>
      <c r="M676" t="s">
        <v>28</v>
      </c>
      <c r="N676" t="s">
        <v>17</v>
      </c>
      <c r="O676" t="s">
        <v>41</v>
      </c>
    </row>
    <row r="677" spans="1:15" x14ac:dyDescent="0.3">
      <c r="A677">
        <v>676</v>
      </c>
      <c r="B677" t="s">
        <v>433</v>
      </c>
      <c r="C677" t="s">
        <v>1140</v>
      </c>
      <c r="D677" t="s">
        <v>1494</v>
      </c>
      <c r="E677" t="s">
        <v>238</v>
      </c>
      <c r="F677" s="1">
        <v>41546</v>
      </c>
      <c r="G677" s="2">
        <v>2013</v>
      </c>
      <c r="H677">
        <v>2021</v>
      </c>
      <c r="I677" s="2">
        <v>8</v>
      </c>
      <c r="J677">
        <v>101756</v>
      </c>
      <c r="K677" t="s">
        <v>86</v>
      </c>
      <c r="L677">
        <v>5</v>
      </c>
      <c r="M677" t="s">
        <v>91</v>
      </c>
      <c r="N677" t="s">
        <v>40</v>
      </c>
      <c r="O677" t="s">
        <v>63</v>
      </c>
    </row>
    <row r="678" spans="1:15" x14ac:dyDescent="0.3">
      <c r="A678">
        <v>677</v>
      </c>
      <c r="B678" t="s">
        <v>435</v>
      </c>
      <c r="C678" t="s">
        <v>1141</v>
      </c>
      <c r="D678" t="s">
        <v>1494</v>
      </c>
      <c r="E678" t="s">
        <v>14</v>
      </c>
      <c r="F678" s="1">
        <v>41855</v>
      </c>
      <c r="G678" s="2">
        <v>2014</v>
      </c>
      <c r="H678">
        <v>2021</v>
      </c>
      <c r="I678" s="2">
        <v>7</v>
      </c>
      <c r="J678">
        <v>136492</v>
      </c>
      <c r="K678" t="s">
        <v>74</v>
      </c>
      <c r="L678">
        <v>4</v>
      </c>
      <c r="M678" t="s">
        <v>55</v>
      </c>
      <c r="N678" t="s">
        <v>17</v>
      </c>
      <c r="O678" t="s">
        <v>18</v>
      </c>
    </row>
    <row r="679" spans="1:15" x14ac:dyDescent="0.3">
      <c r="A679">
        <v>678</v>
      </c>
      <c r="B679" t="s">
        <v>224</v>
      </c>
      <c r="C679" t="s">
        <v>1142</v>
      </c>
      <c r="D679" t="s">
        <v>1494</v>
      </c>
      <c r="E679" t="s">
        <v>238</v>
      </c>
      <c r="F679" s="1">
        <v>40650</v>
      </c>
      <c r="G679" s="2">
        <v>2011</v>
      </c>
      <c r="H679">
        <v>2021</v>
      </c>
      <c r="I679" s="2">
        <v>10</v>
      </c>
      <c r="J679">
        <v>82979</v>
      </c>
      <c r="K679" t="s">
        <v>764</v>
      </c>
      <c r="L679">
        <v>6</v>
      </c>
      <c r="M679" t="s">
        <v>50</v>
      </c>
      <c r="N679" t="s">
        <v>40</v>
      </c>
      <c r="O679" t="s">
        <v>63</v>
      </c>
    </row>
    <row r="680" spans="1:15" x14ac:dyDescent="0.3">
      <c r="A680">
        <v>679</v>
      </c>
      <c r="B680" t="s">
        <v>602</v>
      </c>
      <c r="C680" t="s">
        <v>1143</v>
      </c>
      <c r="D680" t="s">
        <v>1494</v>
      </c>
      <c r="E680" t="s">
        <v>94</v>
      </c>
      <c r="F680" s="1">
        <v>41774</v>
      </c>
      <c r="G680" s="2">
        <v>2014</v>
      </c>
      <c r="H680">
        <v>2021</v>
      </c>
      <c r="I680" s="2">
        <v>7</v>
      </c>
      <c r="J680">
        <v>40218</v>
      </c>
      <c r="K680" t="s">
        <v>539</v>
      </c>
      <c r="L680">
        <v>2</v>
      </c>
      <c r="M680" t="s">
        <v>16</v>
      </c>
      <c r="N680" t="s">
        <v>17</v>
      </c>
      <c r="O680" t="s">
        <v>18</v>
      </c>
    </row>
    <row r="681" spans="1:15" x14ac:dyDescent="0.3">
      <c r="A681">
        <v>680</v>
      </c>
      <c r="B681" t="s">
        <v>165</v>
      </c>
      <c r="C681" t="s">
        <v>1144</v>
      </c>
      <c r="D681" t="s">
        <v>1495</v>
      </c>
      <c r="E681" t="s">
        <v>79</v>
      </c>
      <c r="F681" s="1">
        <v>37234</v>
      </c>
      <c r="G681" s="2">
        <v>2001</v>
      </c>
      <c r="H681">
        <v>2021</v>
      </c>
      <c r="I681" s="2">
        <v>20</v>
      </c>
      <c r="J681">
        <v>60695</v>
      </c>
      <c r="K681" t="s">
        <v>287</v>
      </c>
      <c r="L681">
        <v>2</v>
      </c>
      <c r="M681" t="s">
        <v>16</v>
      </c>
      <c r="N681" t="s">
        <v>17</v>
      </c>
      <c r="O681" t="s">
        <v>41</v>
      </c>
    </row>
    <row r="682" spans="1:15" x14ac:dyDescent="0.3">
      <c r="A682">
        <v>681</v>
      </c>
      <c r="B682" t="s">
        <v>465</v>
      </c>
      <c r="C682" t="s">
        <v>1145</v>
      </c>
      <c r="D682" t="s">
        <v>1494</v>
      </c>
      <c r="E682" t="s">
        <v>89</v>
      </c>
      <c r="F682" s="1">
        <v>39782</v>
      </c>
      <c r="G682" s="2">
        <v>2008</v>
      </c>
      <c r="H682">
        <v>2021</v>
      </c>
      <c r="I682" s="2">
        <v>13</v>
      </c>
      <c r="J682">
        <v>47994</v>
      </c>
      <c r="K682" t="s">
        <v>764</v>
      </c>
      <c r="L682">
        <v>4</v>
      </c>
      <c r="M682" t="s">
        <v>55</v>
      </c>
      <c r="N682" t="s">
        <v>17</v>
      </c>
      <c r="O682" t="s">
        <v>41</v>
      </c>
    </row>
    <row r="683" spans="1:15" x14ac:dyDescent="0.3">
      <c r="A683">
        <v>682</v>
      </c>
      <c r="B683" t="s">
        <v>120</v>
      </c>
      <c r="C683" t="s">
        <v>1146</v>
      </c>
      <c r="D683" t="s">
        <v>1494</v>
      </c>
      <c r="E683" t="s">
        <v>110</v>
      </c>
      <c r="F683" s="1">
        <v>38233</v>
      </c>
      <c r="G683" s="2">
        <v>2004</v>
      </c>
      <c r="H683">
        <v>2021</v>
      </c>
      <c r="I683" s="2">
        <v>17</v>
      </c>
      <c r="J683">
        <v>50057</v>
      </c>
      <c r="K683" t="s">
        <v>401</v>
      </c>
      <c r="L683">
        <v>2</v>
      </c>
      <c r="M683" t="s">
        <v>16</v>
      </c>
      <c r="N683" t="s">
        <v>17</v>
      </c>
      <c r="O683" t="s">
        <v>112</v>
      </c>
    </row>
    <row r="684" spans="1:15" x14ac:dyDescent="0.3">
      <c r="A684">
        <v>683</v>
      </c>
      <c r="B684" t="s">
        <v>134</v>
      </c>
      <c r="C684" t="s">
        <v>1147</v>
      </c>
      <c r="D684" t="s">
        <v>1495</v>
      </c>
      <c r="E684" t="s">
        <v>79</v>
      </c>
      <c r="F684" s="1">
        <v>38787</v>
      </c>
      <c r="G684" s="2">
        <v>2006</v>
      </c>
      <c r="H684">
        <v>2021</v>
      </c>
      <c r="I684" s="2">
        <v>15</v>
      </c>
      <c r="J684">
        <v>135886</v>
      </c>
      <c r="K684" t="s">
        <v>142</v>
      </c>
      <c r="L684">
        <v>3</v>
      </c>
      <c r="M684" t="s">
        <v>28</v>
      </c>
      <c r="N684" t="s">
        <v>17</v>
      </c>
      <c r="O684" t="s">
        <v>41</v>
      </c>
    </row>
    <row r="685" spans="1:15" x14ac:dyDescent="0.3">
      <c r="A685">
        <v>684</v>
      </c>
      <c r="B685" t="s">
        <v>766</v>
      </c>
      <c r="C685" t="s">
        <v>1148</v>
      </c>
      <c r="D685" t="s">
        <v>1494</v>
      </c>
      <c r="E685" t="s">
        <v>32</v>
      </c>
      <c r="F685" s="1">
        <v>40009</v>
      </c>
      <c r="G685" s="2">
        <v>2009</v>
      </c>
      <c r="H685">
        <v>2021</v>
      </c>
      <c r="I685" s="3">
        <v>12</v>
      </c>
      <c r="J685">
        <v>77924</v>
      </c>
      <c r="K685" t="s">
        <v>226</v>
      </c>
      <c r="L685">
        <v>7</v>
      </c>
      <c r="M685" t="s">
        <v>39</v>
      </c>
      <c r="N685" t="s">
        <v>40</v>
      </c>
      <c r="O685" t="s">
        <v>34</v>
      </c>
    </row>
    <row r="686" spans="1:15" x14ac:dyDescent="0.3">
      <c r="A686">
        <v>685</v>
      </c>
      <c r="B686" t="s">
        <v>587</v>
      </c>
      <c r="C686" t="s">
        <v>1149</v>
      </c>
      <c r="D686" t="s">
        <v>1495</v>
      </c>
      <c r="E686" t="s">
        <v>129</v>
      </c>
      <c r="F686" s="1">
        <v>39789</v>
      </c>
      <c r="G686" s="2">
        <v>2008</v>
      </c>
      <c r="H686">
        <v>2021</v>
      </c>
      <c r="I686" s="2">
        <v>13</v>
      </c>
      <c r="J686">
        <v>136356</v>
      </c>
      <c r="K686" t="s">
        <v>217</v>
      </c>
      <c r="L686">
        <v>1</v>
      </c>
      <c r="M686" t="s">
        <v>46</v>
      </c>
      <c r="N686" t="s">
        <v>17</v>
      </c>
      <c r="O686" t="s">
        <v>41</v>
      </c>
    </row>
    <row r="687" spans="1:15" x14ac:dyDescent="0.3">
      <c r="A687">
        <v>686</v>
      </c>
      <c r="B687" t="s">
        <v>161</v>
      </c>
      <c r="C687" t="s">
        <v>1150</v>
      </c>
      <c r="D687" t="s">
        <v>1494</v>
      </c>
      <c r="E687" t="s">
        <v>53</v>
      </c>
      <c r="F687" s="1">
        <v>38070</v>
      </c>
      <c r="G687" s="2">
        <v>2004</v>
      </c>
      <c r="H687">
        <v>2021</v>
      </c>
      <c r="I687" s="2">
        <v>17</v>
      </c>
      <c r="J687">
        <v>104444</v>
      </c>
      <c r="K687" t="s">
        <v>115</v>
      </c>
      <c r="L687">
        <v>2</v>
      </c>
      <c r="M687" t="s">
        <v>16</v>
      </c>
      <c r="N687" t="s">
        <v>17</v>
      </c>
      <c r="O687" t="s">
        <v>23</v>
      </c>
    </row>
    <row r="688" spans="1:15" x14ac:dyDescent="0.3">
      <c r="A688">
        <v>687</v>
      </c>
      <c r="B688" t="s">
        <v>314</v>
      </c>
      <c r="C688" t="s">
        <v>1151</v>
      </c>
      <c r="D688" t="s">
        <v>1495</v>
      </c>
      <c r="E688" t="s">
        <v>14</v>
      </c>
      <c r="F688" s="1">
        <v>36863</v>
      </c>
      <c r="G688" s="2">
        <v>2000</v>
      </c>
      <c r="H688">
        <v>2021</v>
      </c>
      <c r="I688" s="2">
        <v>21</v>
      </c>
      <c r="J688">
        <v>49693</v>
      </c>
      <c r="K688" t="s">
        <v>287</v>
      </c>
      <c r="L688">
        <v>2</v>
      </c>
      <c r="M688" t="s">
        <v>16</v>
      </c>
      <c r="N688" t="s">
        <v>17</v>
      </c>
      <c r="O688" t="s">
        <v>18</v>
      </c>
    </row>
    <row r="689" spans="1:15" x14ac:dyDescent="0.3">
      <c r="A689">
        <v>688</v>
      </c>
      <c r="B689" t="s">
        <v>150</v>
      </c>
      <c r="C689" t="s">
        <v>1152</v>
      </c>
      <c r="D689" t="s">
        <v>1494</v>
      </c>
      <c r="E689" t="s">
        <v>89</v>
      </c>
      <c r="F689" s="1">
        <v>41089</v>
      </c>
      <c r="G689" s="2">
        <v>2012</v>
      </c>
      <c r="H689">
        <v>2021</v>
      </c>
      <c r="I689" s="2">
        <v>9</v>
      </c>
      <c r="J689">
        <v>90829</v>
      </c>
      <c r="K689" t="s">
        <v>391</v>
      </c>
      <c r="L689">
        <v>6</v>
      </c>
      <c r="M689" t="s">
        <v>50</v>
      </c>
      <c r="N689" t="s">
        <v>40</v>
      </c>
      <c r="O689" t="s">
        <v>41</v>
      </c>
    </row>
    <row r="690" spans="1:15" x14ac:dyDescent="0.3">
      <c r="A690">
        <v>689</v>
      </c>
      <c r="B690" t="s">
        <v>325</v>
      </c>
      <c r="C690" t="s">
        <v>1153</v>
      </c>
      <c r="D690" t="s">
        <v>1495</v>
      </c>
      <c r="E690" t="s">
        <v>94</v>
      </c>
      <c r="F690" s="1">
        <v>39386</v>
      </c>
      <c r="G690" s="2">
        <v>2007</v>
      </c>
      <c r="H690">
        <v>2021</v>
      </c>
      <c r="I690" s="2">
        <v>14</v>
      </c>
      <c r="J690">
        <v>62293</v>
      </c>
      <c r="K690" t="s">
        <v>441</v>
      </c>
      <c r="L690">
        <v>4</v>
      </c>
      <c r="M690" t="s">
        <v>55</v>
      </c>
      <c r="N690" t="s">
        <v>17</v>
      </c>
      <c r="O690" t="s">
        <v>18</v>
      </c>
    </row>
    <row r="691" spans="1:15" x14ac:dyDescent="0.3">
      <c r="A691">
        <v>690</v>
      </c>
      <c r="B691" t="s">
        <v>318</v>
      </c>
      <c r="C691" t="s">
        <v>1154</v>
      </c>
      <c r="D691" t="s">
        <v>1494</v>
      </c>
      <c r="E691" t="s">
        <v>238</v>
      </c>
      <c r="F691" s="1">
        <v>36655</v>
      </c>
      <c r="G691" s="2">
        <v>2000</v>
      </c>
      <c r="H691">
        <v>2021</v>
      </c>
      <c r="I691" s="2">
        <v>21</v>
      </c>
      <c r="J691">
        <v>57988</v>
      </c>
      <c r="K691" t="s">
        <v>228</v>
      </c>
      <c r="L691">
        <v>4</v>
      </c>
      <c r="M691" t="s">
        <v>55</v>
      </c>
      <c r="N691" t="s">
        <v>17</v>
      </c>
      <c r="O691" t="s">
        <v>63</v>
      </c>
    </row>
    <row r="692" spans="1:15" x14ac:dyDescent="0.3">
      <c r="A692">
        <v>691</v>
      </c>
      <c r="B692" t="s">
        <v>934</v>
      </c>
      <c r="C692" t="s">
        <v>1155</v>
      </c>
      <c r="D692" t="s">
        <v>1495</v>
      </c>
      <c r="E692" t="s">
        <v>129</v>
      </c>
      <c r="F692" s="1">
        <v>40213</v>
      </c>
      <c r="G692" s="2">
        <v>2010</v>
      </c>
      <c r="H692">
        <v>2021</v>
      </c>
      <c r="I692" s="2">
        <v>11</v>
      </c>
      <c r="J692">
        <v>113893</v>
      </c>
      <c r="K692" t="s">
        <v>397</v>
      </c>
      <c r="L692">
        <v>7</v>
      </c>
      <c r="M692" t="s">
        <v>39</v>
      </c>
      <c r="N692" t="s">
        <v>40</v>
      </c>
      <c r="O692" t="s">
        <v>41</v>
      </c>
    </row>
    <row r="693" spans="1:15" x14ac:dyDescent="0.3">
      <c r="A693">
        <v>692</v>
      </c>
      <c r="B693" t="s">
        <v>118</v>
      </c>
      <c r="C693" t="s">
        <v>1156</v>
      </c>
      <c r="D693" t="s">
        <v>1494</v>
      </c>
      <c r="E693" t="s">
        <v>312</v>
      </c>
      <c r="F693" s="1">
        <v>41344</v>
      </c>
      <c r="G693" s="2">
        <v>2013</v>
      </c>
      <c r="H693">
        <v>2021</v>
      </c>
      <c r="I693" s="2">
        <v>8</v>
      </c>
      <c r="J693">
        <v>58265</v>
      </c>
      <c r="K693" t="s">
        <v>111</v>
      </c>
      <c r="L693">
        <v>3</v>
      </c>
      <c r="M693" t="s">
        <v>28</v>
      </c>
      <c r="N693" t="s">
        <v>17</v>
      </c>
      <c r="O693" t="s">
        <v>41</v>
      </c>
    </row>
    <row r="694" spans="1:15" x14ac:dyDescent="0.3">
      <c r="A694">
        <v>693</v>
      </c>
      <c r="B694" t="s">
        <v>24</v>
      </c>
      <c r="C694" t="s">
        <v>1157</v>
      </c>
      <c r="D694" t="s">
        <v>1494</v>
      </c>
      <c r="E694" t="s">
        <v>110</v>
      </c>
      <c r="F694" s="1">
        <v>38369</v>
      </c>
      <c r="G694" s="2">
        <v>2005</v>
      </c>
      <c r="H694">
        <v>2021</v>
      </c>
      <c r="I694" s="2">
        <v>16</v>
      </c>
      <c r="J694">
        <v>143570</v>
      </c>
      <c r="K694" t="s">
        <v>908</v>
      </c>
      <c r="L694">
        <v>4</v>
      </c>
      <c r="M694" t="s">
        <v>55</v>
      </c>
      <c r="N694" t="s">
        <v>17</v>
      </c>
      <c r="O694" t="s">
        <v>112</v>
      </c>
    </row>
    <row r="695" spans="1:15" x14ac:dyDescent="0.3">
      <c r="A695">
        <v>694</v>
      </c>
      <c r="B695" t="s">
        <v>354</v>
      </c>
      <c r="C695" t="s">
        <v>1158</v>
      </c>
      <c r="D695" t="s">
        <v>1495</v>
      </c>
      <c r="E695" t="s">
        <v>37</v>
      </c>
      <c r="F695" s="1">
        <v>39191</v>
      </c>
      <c r="G695" s="2">
        <v>2007</v>
      </c>
      <c r="H695">
        <v>2021</v>
      </c>
      <c r="I695" s="2">
        <v>14</v>
      </c>
      <c r="J695">
        <v>116894</v>
      </c>
      <c r="K695" t="s">
        <v>958</v>
      </c>
      <c r="L695">
        <v>6</v>
      </c>
      <c r="M695" t="s">
        <v>50</v>
      </c>
      <c r="N695" t="s">
        <v>40</v>
      </c>
      <c r="O695" t="s">
        <v>41</v>
      </c>
    </row>
    <row r="696" spans="1:15" x14ac:dyDescent="0.3">
      <c r="A696">
        <v>695</v>
      </c>
      <c r="B696" t="s">
        <v>491</v>
      </c>
      <c r="C696" t="s">
        <v>1159</v>
      </c>
      <c r="D696" t="s">
        <v>1495</v>
      </c>
      <c r="E696" t="s">
        <v>26</v>
      </c>
      <c r="F696" s="1">
        <v>38741</v>
      </c>
      <c r="G696" s="2">
        <v>2006</v>
      </c>
      <c r="H696">
        <v>2021</v>
      </c>
      <c r="I696" s="2">
        <v>15</v>
      </c>
      <c r="J696">
        <v>82244</v>
      </c>
      <c r="K696" t="s">
        <v>717</v>
      </c>
      <c r="L696">
        <v>2</v>
      </c>
      <c r="M696" t="s">
        <v>16</v>
      </c>
      <c r="N696" t="s">
        <v>17</v>
      </c>
      <c r="O696" t="s">
        <v>29</v>
      </c>
    </row>
    <row r="697" spans="1:15" x14ac:dyDescent="0.3">
      <c r="A697">
        <v>696</v>
      </c>
      <c r="B697" t="s">
        <v>483</v>
      </c>
      <c r="C697" t="s">
        <v>1160</v>
      </c>
      <c r="D697" t="s">
        <v>1494</v>
      </c>
      <c r="E697" t="s">
        <v>79</v>
      </c>
      <c r="F697" s="1">
        <v>41189</v>
      </c>
      <c r="G697" s="2">
        <v>2012</v>
      </c>
      <c r="H697">
        <v>2021</v>
      </c>
      <c r="I697" s="2">
        <v>9</v>
      </c>
      <c r="J697">
        <v>92640</v>
      </c>
      <c r="K697" t="s">
        <v>45</v>
      </c>
      <c r="L697">
        <v>7</v>
      </c>
      <c r="M697" t="s">
        <v>39</v>
      </c>
      <c r="N697" t="s">
        <v>40</v>
      </c>
      <c r="O697" t="s">
        <v>41</v>
      </c>
    </row>
    <row r="698" spans="1:15" x14ac:dyDescent="0.3">
      <c r="A698">
        <v>697</v>
      </c>
      <c r="B698" t="s">
        <v>488</v>
      </c>
      <c r="C698" t="s">
        <v>1161</v>
      </c>
      <c r="D698" t="s">
        <v>1494</v>
      </c>
      <c r="E698" t="s">
        <v>129</v>
      </c>
      <c r="F698" s="1">
        <v>36700</v>
      </c>
      <c r="G698" s="2">
        <v>2000</v>
      </c>
      <c r="H698">
        <v>2021</v>
      </c>
      <c r="I698" s="2">
        <v>21</v>
      </c>
      <c r="J698">
        <v>123995</v>
      </c>
      <c r="K698" t="s">
        <v>142</v>
      </c>
      <c r="L698">
        <v>5</v>
      </c>
      <c r="M698" t="s">
        <v>91</v>
      </c>
      <c r="N698" t="s">
        <v>40</v>
      </c>
      <c r="O698" t="s">
        <v>41</v>
      </c>
    </row>
    <row r="699" spans="1:15" x14ac:dyDescent="0.3">
      <c r="A699">
        <v>698</v>
      </c>
      <c r="B699" t="s">
        <v>1039</v>
      </c>
      <c r="C699" t="s">
        <v>1162</v>
      </c>
      <c r="D699" t="s">
        <v>1494</v>
      </c>
      <c r="E699" t="s">
        <v>110</v>
      </c>
      <c r="F699" s="1">
        <v>38698</v>
      </c>
      <c r="G699" s="2">
        <v>2005</v>
      </c>
      <c r="H699">
        <v>2021</v>
      </c>
      <c r="I699" s="2">
        <v>16</v>
      </c>
      <c r="J699">
        <v>97351</v>
      </c>
      <c r="K699" t="s">
        <v>632</v>
      </c>
      <c r="L699">
        <v>4</v>
      </c>
      <c r="M699" t="s">
        <v>55</v>
      </c>
      <c r="N699" t="s">
        <v>17</v>
      </c>
      <c r="O699" t="s">
        <v>112</v>
      </c>
    </row>
    <row r="700" spans="1:15" x14ac:dyDescent="0.3">
      <c r="A700">
        <v>699</v>
      </c>
      <c r="B700" t="s">
        <v>124</v>
      </c>
      <c r="C700" t="s">
        <v>1163</v>
      </c>
      <c r="D700" t="s">
        <v>1495</v>
      </c>
      <c r="E700" t="s">
        <v>69</v>
      </c>
      <c r="F700" s="1">
        <v>37646</v>
      </c>
      <c r="G700" s="2">
        <v>2003</v>
      </c>
      <c r="H700">
        <v>2021</v>
      </c>
      <c r="I700" s="2">
        <v>18</v>
      </c>
      <c r="J700">
        <v>133091</v>
      </c>
      <c r="K700" t="s">
        <v>196</v>
      </c>
      <c r="L700">
        <v>7</v>
      </c>
      <c r="M700" t="s">
        <v>39</v>
      </c>
      <c r="N700" t="s">
        <v>40</v>
      </c>
      <c r="O700" t="s">
        <v>41</v>
      </c>
    </row>
    <row r="701" spans="1:15" x14ac:dyDescent="0.3">
      <c r="A701">
        <v>700</v>
      </c>
      <c r="B701" t="s">
        <v>602</v>
      </c>
      <c r="C701" t="s">
        <v>1164</v>
      </c>
      <c r="D701" t="s">
        <v>1494</v>
      </c>
      <c r="E701" t="s">
        <v>110</v>
      </c>
      <c r="F701" s="1">
        <v>38183</v>
      </c>
      <c r="G701" s="2">
        <v>2004</v>
      </c>
      <c r="H701">
        <v>2021</v>
      </c>
      <c r="I701" s="2">
        <v>17</v>
      </c>
      <c r="J701">
        <v>100746</v>
      </c>
      <c r="K701" t="s">
        <v>97</v>
      </c>
      <c r="L701">
        <v>6</v>
      </c>
      <c r="M701" t="s">
        <v>50</v>
      </c>
      <c r="N701" t="s">
        <v>40</v>
      </c>
      <c r="O701" t="s">
        <v>112</v>
      </c>
    </row>
    <row r="702" spans="1:15" x14ac:dyDescent="0.3">
      <c r="A702">
        <v>701</v>
      </c>
      <c r="B702" t="s">
        <v>268</v>
      </c>
      <c r="C702" t="s">
        <v>1165</v>
      </c>
      <c r="D702" t="s">
        <v>1494</v>
      </c>
      <c r="E702" t="s">
        <v>32</v>
      </c>
      <c r="F702" s="1">
        <v>37542</v>
      </c>
      <c r="G702" s="2">
        <v>2002</v>
      </c>
      <c r="H702">
        <v>2021</v>
      </c>
      <c r="I702" s="3">
        <v>19</v>
      </c>
      <c r="J702">
        <v>101599</v>
      </c>
      <c r="K702" t="s">
        <v>1166</v>
      </c>
      <c r="L702">
        <v>7</v>
      </c>
      <c r="M702" t="s">
        <v>39</v>
      </c>
      <c r="N702" t="s">
        <v>40</v>
      </c>
      <c r="O702" t="s">
        <v>34</v>
      </c>
    </row>
    <row r="703" spans="1:15" x14ac:dyDescent="0.3">
      <c r="A703">
        <v>702</v>
      </c>
      <c r="B703" t="s">
        <v>337</v>
      </c>
      <c r="C703" t="s">
        <v>1167</v>
      </c>
      <c r="D703" t="s">
        <v>1494</v>
      </c>
      <c r="E703" t="s">
        <v>21</v>
      </c>
      <c r="F703" s="1">
        <v>41792</v>
      </c>
      <c r="G703" s="2">
        <v>2014</v>
      </c>
      <c r="H703">
        <v>2021</v>
      </c>
      <c r="I703" s="2">
        <v>7</v>
      </c>
      <c r="J703">
        <v>77293</v>
      </c>
      <c r="K703" t="s">
        <v>490</v>
      </c>
      <c r="L703">
        <v>5</v>
      </c>
      <c r="M703" t="s">
        <v>91</v>
      </c>
      <c r="N703" t="s">
        <v>40</v>
      </c>
      <c r="O703" t="s">
        <v>23</v>
      </c>
    </row>
    <row r="704" spans="1:15" x14ac:dyDescent="0.3">
      <c r="A704">
        <v>703</v>
      </c>
      <c r="B704" t="s">
        <v>402</v>
      </c>
      <c r="C704" t="s">
        <v>1168</v>
      </c>
      <c r="D704" t="s">
        <v>1495</v>
      </c>
      <c r="E704" t="s">
        <v>79</v>
      </c>
      <c r="F704" s="1">
        <v>41702</v>
      </c>
      <c r="G704" s="2">
        <v>2014</v>
      </c>
      <c r="H704">
        <v>2021</v>
      </c>
      <c r="I704" s="2">
        <v>7</v>
      </c>
      <c r="J704">
        <v>119787</v>
      </c>
      <c r="K704" t="s">
        <v>344</v>
      </c>
      <c r="L704">
        <v>1</v>
      </c>
      <c r="M704" t="s">
        <v>46</v>
      </c>
      <c r="N704" t="s">
        <v>17</v>
      </c>
      <c r="O704" t="s">
        <v>41</v>
      </c>
    </row>
    <row r="705" spans="1:15" x14ac:dyDescent="0.3">
      <c r="A705">
        <v>704</v>
      </c>
      <c r="B705" t="s">
        <v>620</v>
      </c>
      <c r="C705" t="s">
        <v>1169</v>
      </c>
      <c r="D705" t="s">
        <v>1494</v>
      </c>
      <c r="E705" t="s">
        <v>14</v>
      </c>
      <c r="F705" s="1">
        <v>41437</v>
      </c>
      <c r="G705" s="2">
        <v>2013</v>
      </c>
      <c r="H705">
        <v>2021</v>
      </c>
      <c r="I705" s="2">
        <v>8</v>
      </c>
      <c r="J705">
        <v>114690</v>
      </c>
      <c r="K705" t="s">
        <v>669</v>
      </c>
      <c r="L705">
        <v>2</v>
      </c>
      <c r="M705" t="s">
        <v>16</v>
      </c>
      <c r="N705" t="s">
        <v>17</v>
      </c>
      <c r="O705" t="s">
        <v>18</v>
      </c>
    </row>
    <row r="706" spans="1:15" x14ac:dyDescent="0.3">
      <c r="A706">
        <v>705</v>
      </c>
      <c r="B706" t="s">
        <v>642</v>
      </c>
      <c r="C706" t="s">
        <v>1170</v>
      </c>
      <c r="D706" t="s">
        <v>1494</v>
      </c>
      <c r="E706" t="s">
        <v>61</v>
      </c>
      <c r="F706" s="1">
        <v>40111</v>
      </c>
      <c r="G706" s="2">
        <v>2009</v>
      </c>
      <c r="H706">
        <v>2021</v>
      </c>
      <c r="I706" s="2">
        <v>12</v>
      </c>
      <c r="J706">
        <v>97150</v>
      </c>
      <c r="K706" t="s">
        <v>196</v>
      </c>
      <c r="L706">
        <v>6</v>
      </c>
      <c r="M706" t="s">
        <v>50</v>
      </c>
      <c r="N706" t="s">
        <v>40</v>
      </c>
      <c r="O706" t="s">
        <v>63</v>
      </c>
    </row>
    <row r="707" spans="1:15" x14ac:dyDescent="0.3">
      <c r="A707">
        <v>706</v>
      </c>
      <c r="B707" t="s">
        <v>986</v>
      </c>
      <c r="C707" t="s">
        <v>1171</v>
      </c>
      <c r="D707" t="s">
        <v>1495</v>
      </c>
      <c r="E707" t="s">
        <v>89</v>
      </c>
      <c r="F707" s="1">
        <v>40882</v>
      </c>
      <c r="G707" s="2">
        <v>2011</v>
      </c>
      <c r="H707">
        <v>2021</v>
      </c>
      <c r="I707" s="2">
        <v>10</v>
      </c>
      <c r="J707">
        <v>91655</v>
      </c>
      <c r="K707" t="s">
        <v>691</v>
      </c>
      <c r="L707">
        <v>5</v>
      </c>
      <c r="M707" t="s">
        <v>91</v>
      </c>
      <c r="N707" t="s">
        <v>40</v>
      </c>
      <c r="O707" t="s">
        <v>41</v>
      </c>
    </row>
    <row r="708" spans="1:15" x14ac:dyDescent="0.3">
      <c r="A708">
        <v>707</v>
      </c>
      <c r="B708" t="s">
        <v>889</v>
      </c>
      <c r="C708" t="s">
        <v>1172</v>
      </c>
      <c r="D708" t="s">
        <v>1494</v>
      </c>
      <c r="E708" t="s">
        <v>100</v>
      </c>
      <c r="F708" s="1">
        <v>39029</v>
      </c>
      <c r="G708" s="2">
        <v>2006</v>
      </c>
      <c r="H708">
        <v>2021</v>
      </c>
      <c r="I708" s="2">
        <v>15</v>
      </c>
      <c r="J708">
        <v>124296</v>
      </c>
      <c r="K708" t="s">
        <v>167</v>
      </c>
      <c r="L708">
        <v>1</v>
      </c>
      <c r="M708" t="s">
        <v>46</v>
      </c>
      <c r="N708" t="s">
        <v>17</v>
      </c>
      <c r="O708" t="s">
        <v>29</v>
      </c>
    </row>
    <row r="709" spans="1:15" x14ac:dyDescent="0.3">
      <c r="A709">
        <v>708</v>
      </c>
      <c r="B709" t="s">
        <v>379</v>
      </c>
      <c r="C709" t="s">
        <v>1173</v>
      </c>
      <c r="D709" t="s">
        <v>1495</v>
      </c>
      <c r="E709" t="s">
        <v>26</v>
      </c>
      <c r="F709" s="1">
        <v>40901</v>
      </c>
      <c r="G709" s="2">
        <v>2011</v>
      </c>
      <c r="H709">
        <v>2021</v>
      </c>
      <c r="I709" s="2">
        <v>10</v>
      </c>
      <c r="J709">
        <v>66063</v>
      </c>
      <c r="K709" t="s">
        <v>437</v>
      </c>
      <c r="L709">
        <v>7</v>
      </c>
      <c r="M709" t="s">
        <v>39</v>
      </c>
      <c r="N709" t="s">
        <v>40</v>
      </c>
      <c r="O709" t="s">
        <v>29</v>
      </c>
    </row>
    <row r="710" spans="1:15" x14ac:dyDescent="0.3">
      <c r="A710">
        <v>709</v>
      </c>
      <c r="B710" t="s">
        <v>791</v>
      </c>
      <c r="C710" t="s">
        <v>1174</v>
      </c>
      <c r="D710" t="s">
        <v>1495</v>
      </c>
      <c r="E710" t="s">
        <v>122</v>
      </c>
      <c r="F710" s="1">
        <v>39094</v>
      </c>
      <c r="G710" s="2">
        <v>2007</v>
      </c>
      <c r="H710">
        <v>2021</v>
      </c>
      <c r="I710" s="2">
        <v>14</v>
      </c>
      <c r="J710">
        <v>138137</v>
      </c>
      <c r="K710" t="s">
        <v>666</v>
      </c>
      <c r="L710">
        <v>2</v>
      </c>
      <c r="M710" t="s">
        <v>16</v>
      </c>
      <c r="N710" t="s">
        <v>17</v>
      </c>
      <c r="O710" t="s">
        <v>123</v>
      </c>
    </row>
    <row r="711" spans="1:15" x14ac:dyDescent="0.3">
      <c r="A711">
        <v>710</v>
      </c>
      <c r="B711" t="s">
        <v>224</v>
      </c>
      <c r="C711" t="s">
        <v>1175</v>
      </c>
      <c r="D711" t="s">
        <v>1495</v>
      </c>
      <c r="E711" t="s">
        <v>238</v>
      </c>
      <c r="F711" s="1">
        <v>38374</v>
      </c>
      <c r="G711" s="2">
        <v>2005</v>
      </c>
      <c r="H711">
        <v>2021</v>
      </c>
      <c r="I711" s="2">
        <v>16</v>
      </c>
      <c r="J711">
        <v>49326</v>
      </c>
      <c r="K711" t="s">
        <v>287</v>
      </c>
      <c r="L711">
        <v>7</v>
      </c>
      <c r="M711" t="s">
        <v>39</v>
      </c>
      <c r="N711" t="s">
        <v>40</v>
      </c>
      <c r="O711" t="s">
        <v>63</v>
      </c>
    </row>
    <row r="712" spans="1:15" x14ac:dyDescent="0.3">
      <c r="A712">
        <v>711</v>
      </c>
      <c r="B712" t="s">
        <v>414</v>
      </c>
      <c r="C712" t="s">
        <v>1176</v>
      </c>
      <c r="D712" t="s">
        <v>1494</v>
      </c>
      <c r="E712" t="s">
        <v>69</v>
      </c>
      <c r="F712" s="1">
        <v>40046</v>
      </c>
      <c r="G712" s="2">
        <v>2009</v>
      </c>
      <c r="H712">
        <v>2021</v>
      </c>
      <c r="I712" s="2">
        <v>12</v>
      </c>
      <c r="J712">
        <v>80743</v>
      </c>
      <c r="K712" t="s">
        <v>500</v>
      </c>
      <c r="L712">
        <v>4</v>
      </c>
      <c r="M712" t="s">
        <v>55</v>
      </c>
      <c r="N712" t="s">
        <v>17</v>
      </c>
      <c r="O712" t="s">
        <v>41</v>
      </c>
    </row>
    <row r="713" spans="1:15" x14ac:dyDescent="0.3">
      <c r="A713">
        <v>712</v>
      </c>
      <c r="B713" t="s">
        <v>134</v>
      </c>
      <c r="C713" t="s">
        <v>1177</v>
      </c>
      <c r="D713" t="s">
        <v>1494</v>
      </c>
      <c r="E713" t="s">
        <v>32</v>
      </c>
      <c r="F713" s="1">
        <v>39439</v>
      </c>
      <c r="G713" s="2">
        <v>2007</v>
      </c>
      <c r="H713">
        <v>2021</v>
      </c>
      <c r="I713" s="3">
        <v>14</v>
      </c>
      <c r="J713">
        <v>105686</v>
      </c>
      <c r="K713" t="s">
        <v>107</v>
      </c>
      <c r="L713">
        <v>6</v>
      </c>
      <c r="M713" t="s">
        <v>50</v>
      </c>
      <c r="N713" t="s">
        <v>40</v>
      </c>
      <c r="O713" t="s">
        <v>34</v>
      </c>
    </row>
    <row r="714" spans="1:15" x14ac:dyDescent="0.3">
      <c r="A714">
        <v>713</v>
      </c>
      <c r="B714" t="s">
        <v>377</v>
      </c>
      <c r="C714" t="s">
        <v>1178</v>
      </c>
      <c r="D714" t="s">
        <v>1495</v>
      </c>
      <c r="E714" t="s">
        <v>21</v>
      </c>
      <c r="F714" s="1">
        <v>41631</v>
      </c>
      <c r="G714" s="2">
        <v>2013</v>
      </c>
      <c r="H714">
        <v>2021</v>
      </c>
      <c r="I714" s="2">
        <v>8</v>
      </c>
      <c r="J714">
        <v>65650</v>
      </c>
      <c r="K714" t="s">
        <v>454</v>
      </c>
      <c r="L714">
        <v>1</v>
      </c>
      <c r="M714" t="s">
        <v>46</v>
      </c>
      <c r="N714" t="s">
        <v>17</v>
      </c>
      <c r="O714" t="s">
        <v>23</v>
      </c>
    </row>
    <row r="715" spans="1:15" x14ac:dyDescent="0.3">
      <c r="A715">
        <v>714</v>
      </c>
      <c r="B715" t="s">
        <v>215</v>
      </c>
      <c r="C715" t="s">
        <v>1179</v>
      </c>
      <c r="D715" t="s">
        <v>1494</v>
      </c>
      <c r="E715" t="s">
        <v>79</v>
      </c>
      <c r="F715" s="1">
        <v>37890</v>
      </c>
      <c r="G715" s="2">
        <v>2003</v>
      </c>
      <c r="H715">
        <v>2021</v>
      </c>
      <c r="I715" s="2">
        <v>18</v>
      </c>
      <c r="J715">
        <v>86446</v>
      </c>
      <c r="K715" t="s">
        <v>517</v>
      </c>
      <c r="L715">
        <v>4</v>
      </c>
      <c r="M715" t="s">
        <v>55</v>
      </c>
      <c r="N715" t="s">
        <v>17</v>
      </c>
      <c r="O715" t="s">
        <v>41</v>
      </c>
    </row>
    <row r="716" spans="1:15" x14ac:dyDescent="0.3">
      <c r="A716">
        <v>715</v>
      </c>
      <c r="B716" t="s">
        <v>426</v>
      </c>
      <c r="C716" t="s">
        <v>1180</v>
      </c>
      <c r="D716" t="s">
        <v>1495</v>
      </c>
      <c r="E716" t="s">
        <v>79</v>
      </c>
      <c r="F716" s="1">
        <v>40355</v>
      </c>
      <c r="G716" s="2">
        <v>2010</v>
      </c>
      <c r="H716">
        <v>2021</v>
      </c>
      <c r="I716" s="2">
        <v>11</v>
      </c>
      <c r="J716">
        <v>132421</v>
      </c>
      <c r="K716" t="s">
        <v>1131</v>
      </c>
      <c r="L716">
        <v>1</v>
      </c>
      <c r="M716" t="s">
        <v>46</v>
      </c>
      <c r="N716" t="s">
        <v>17</v>
      </c>
      <c r="O716" t="s">
        <v>41</v>
      </c>
    </row>
    <row r="717" spans="1:15" x14ac:dyDescent="0.3">
      <c r="A717">
        <v>716</v>
      </c>
      <c r="B717" t="s">
        <v>64</v>
      </c>
      <c r="C717" t="s">
        <v>1181</v>
      </c>
      <c r="D717" t="s">
        <v>1494</v>
      </c>
      <c r="E717" t="s">
        <v>94</v>
      </c>
      <c r="F717" s="1">
        <v>38156</v>
      </c>
      <c r="G717" s="2">
        <v>2004</v>
      </c>
      <c r="H717">
        <v>2021</v>
      </c>
      <c r="I717" s="2">
        <v>17</v>
      </c>
      <c r="J717">
        <v>69855</v>
      </c>
      <c r="K717" t="s">
        <v>149</v>
      </c>
      <c r="L717">
        <v>4</v>
      </c>
      <c r="M717" t="s">
        <v>55</v>
      </c>
      <c r="N717" t="s">
        <v>17</v>
      </c>
      <c r="O717" t="s">
        <v>18</v>
      </c>
    </row>
    <row r="718" spans="1:15" x14ac:dyDescent="0.3">
      <c r="A718">
        <v>717</v>
      </c>
      <c r="B718" t="s">
        <v>137</v>
      </c>
      <c r="C718" t="s">
        <v>1182</v>
      </c>
      <c r="D718" t="s">
        <v>1495</v>
      </c>
      <c r="E718" t="s">
        <v>148</v>
      </c>
      <c r="F718" s="1">
        <v>39271</v>
      </c>
      <c r="G718" s="2">
        <v>2007</v>
      </c>
      <c r="H718">
        <v>2021</v>
      </c>
      <c r="I718" s="2">
        <v>14</v>
      </c>
      <c r="J718">
        <v>80999</v>
      </c>
      <c r="K718" t="s">
        <v>842</v>
      </c>
      <c r="L718">
        <v>6</v>
      </c>
      <c r="M718" t="s">
        <v>50</v>
      </c>
      <c r="N718" t="s">
        <v>40</v>
      </c>
      <c r="O718" t="s">
        <v>112</v>
      </c>
    </row>
    <row r="719" spans="1:15" x14ac:dyDescent="0.3">
      <c r="A719">
        <v>718</v>
      </c>
      <c r="B719" t="s">
        <v>19</v>
      </c>
      <c r="C719" t="s">
        <v>1183</v>
      </c>
      <c r="D719" t="s">
        <v>1494</v>
      </c>
      <c r="E719" t="s">
        <v>203</v>
      </c>
      <c r="F719" s="1">
        <v>37624</v>
      </c>
      <c r="G719" s="2">
        <v>2003</v>
      </c>
      <c r="H719">
        <v>2021</v>
      </c>
      <c r="I719" s="2">
        <v>18</v>
      </c>
      <c r="J719">
        <v>66447</v>
      </c>
      <c r="K719" t="s">
        <v>617</v>
      </c>
      <c r="L719">
        <v>2</v>
      </c>
      <c r="M719" t="s">
        <v>16</v>
      </c>
      <c r="N719" t="s">
        <v>17</v>
      </c>
      <c r="O719" t="s">
        <v>41</v>
      </c>
    </row>
    <row r="720" spans="1:15" x14ac:dyDescent="0.3">
      <c r="A720">
        <v>719</v>
      </c>
      <c r="B720" t="s">
        <v>350</v>
      </c>
      <c r="C720" t="s">
        <v>1184</v>
      </c>
      <c r="D720" t="s">
        <v>1494</v>
      </c>
      <c r="E720" t="s">
        <v>129</v>
      </c>
      <c r="F720" s="1">
        <v>41278</v>
      </c>
      <c r="G720" s="2">
        <v>2013</v>
      </c>
      <c r="H720">
        <v>2021</v>
      </c>
      <c r="I720" s="2">
        <v>8</v>
      </c>
      <c r="J720">
        <v>135445</v>
      </c>
      <c r="K720" t="s">
        <v>235</v>
      </c>
      <c r="L720">
        <v>2</v>
      </c>
      <c r="M720" t="s">
        <v>16</v>
      </c>
      <c r="N720" t="s">
        <v>17</v>
      </c>
      <c r="O720" t="s">
        <v>41</v>
      </c>
    </row>
    <row r="721" spans="1:15" x14ac:dyDescent="0.3">
      <c r="A721">
        <v>720</v>
      </c>
      <c r="B721" t="s">
        <v>762</v>
      </c>
      <c r="C721" t="s">
        <v>1185</v>
      </c>
      <c r="D721" t="s">
        <v>1495</v>
      </c>
      <c r="E721" t="s">
        <v>32</v>
      </c>
      <c r="F721" s="1">
        <v>40490</v>
      </c>
      <c r="G721" s="2">
        <v>2010</v>
      </c>
      <c r="H721">
        <v>2021</v>
      </c>
      <c r="I721" s="3">
        <v>11</v>
      </c>
      <c r="J721">
        <v>57781</v>
      </c>
      <c r="K721" t="s">
        <v>49</v>
      </c>
      <c r="L721">
        <v>4</v>
      </c>
      <c r="M721" t="s">
        <v>55</v>
      </c>
      <c r="N721" t="s">
        <v>17</v>
      </c>
      <c r="O721" t="s">
        <v>34</v>
      </c>
    </row>
    <row r="722" spans="1:15" x14ac:dyDescent="0.3">
      <c r="A722">
        <v>721</v>
      </c>
      <c r="B722" t="s">
        <v>143</v>
      </c>
      <c r="C722" t="s">
        <v>1186</v>
      </c>
      <c r="D722" t="s">
        <v>1495</v>
      </c>
      <c r="E722" t="s">
        <v>203</v>
      </c>
      <c r="F722" s="1">
        <v>38616</v>
      </c>
      <c r="G722" s="2">
        <v>2005</v>
      </c>
      <c r="H722">
        <v>2021</v>
      </c>
      <c r="I722" s="2">
        <v>16</v>
      </c>
      <c r="J722">
        <v>83802</v>
      </c>
      <c r="K722" t="s">
        <v>904</v>
      </c>
      <c r="L722">
        <v>7</v>
      </c>
      <c r="M722" t="s">
        <v>39</v>
      </c>
      <c r="N722" t="s">
        <v>40</v>
      </c>
      <c r="O722" t="s">
        <v>41</v>
      </c>
    </row>
    <row r="723" spans="1:15" x14ac:dyDescent="0.3">
      <c r="A723">
        <v>722</v>
      </c>
      <c r="B723" t="s">
        <v>1187</v>
      </c>
      <c r="C723" t="s">
        <v>1188</v>
      </c>
      <c r="D723" t="s">
        <v>1495</v>
      </c>
      <c r="E723" t="s">
        <v>69</v>
      </c>
      <c r="F723" s="1">
        <v>37499</v>
      </c>
      <c r="G723" s="2">
        <v>2002</v>
      </c>
      <c r="H723">
        <v>2021</v>
      </c>
      <c r="I723" s="2">
        <v>19</v>
      </c>
      <c r="J723">
        <v>73262</v>
      </c>
      <c r="K723" t="s">
        <v>200</v>
      </c>
      <c r="L723">
        <v>5</v>
      </c>
      <c r="M723" t="s">
        <v>91</v>
      </c>
      <c r="N723" t="s">
        <v>40</v>
      </c>
      <c r="O723" t="s">
        <v>41</v>
      </c>
    </row>
    <row r="724" spans="1:15" x14ac:dyDescent="0.3">
      <c r="A724">
        <v>723</v>
      </c>
      <c r="B724" t="s">
        <v>532</v>
      </c>
      <c r="C724" t="s">
        <v>1189</v>
      </c>
      <c r="D724" t="s">
        <v>1495</v>
      </c>
      <c r="E724" t="s">
        <v>73</v>
      </c>
      <c r="F724" s="1">
        <v>37318</v>
      </c>
      <c r="G724" s="2">
        <v>2002</v>
      </c>
      <c r="H724">
        <v>2021</v>
      </c>
      <c r="I724" s="2">
        <v>19</v>
      </c>
      <c r="J724">
        <v>89035</v>
      </c>
      <c r="K724" t="s">
        <v>181</v>
      </c>
      <c r="L724">
        <v>5</v>
      </c>
      <c r="M724" t="s">
        <v>91</v>
      </c>
      <c r="N724" t="s">
        <v>40</v>
      </c>
      <c r="O724" t="s">
        <v>41</v>
      </c>
    </row>
    <row r="725" spans="1:15" x14ac:dyDescent="0.3">
      <c r="A725">
        <v>724</v>
      </c>
      <c r="B725" t="s">
        <v>347</v>
      </c>
      <c r="C725" t="s">
        <v>1190</v>
      </c>
      <c r="D725" t="s">
        <v>1494</v>
      </c>
      <c r="E725" t="s">
        <v>100</v>
      </c>
      <c r="F725" s="1">
        <v>37031</v>
      </c>
      <c r="G725" s="2">
        <v>2001</v>
      </c>
      <c r="H725">
        <v>2021</v>
      </c>
      <c r="I725" s="2">
        <v>20</v>
      </c>
      <c r="J725">
        <v>125115</v>
      </c>
      <c r="K725" t="s">
        <v>764</v>
      </c>
      <c r="L725">
        <v>3</v>
      </c>
      <c r="M725" t="s">
        <v>28</v>
      </c>
      <c r="N725" t="s">
        <v>17</v>
      </c>
      <c r="O725" t="s">
        <v>29</v>
      </c>
    </row>
    <row r="726" spans="1:15" x14ac:dyDescent="0.3">
      <c r="A726">
        <v>725</v>
      </c>
      <c r="B726" t="s">
        <v>969</v>
      </c>
      <c r="C726" t="s">
        <v>1191</v>
      </c>
      <c r="D726" t="s">
        <v>1494</v>
      </c>
      <c r="E726" t="s">
        <v>73</v>
      </c>
      <c r="F726" s="1">
        <v>37896</v>
      </c>
      <c r="G726" s="2">
        <v>2003</v>
      </c>
      <c r="H726">
        <v>2021</v>
      </c>
      <c r="I726" s="2">
        <v>18</v>
      </c>
      <c r="J726">
        <v>80939</v>
      </c>
      <c r="K726" t="s">
        <v>425</v>
      </c>
      <c r="L726">
        <v>1</v>
      </c>
      <c r="M726" t="s">
        <v>46</v>
      </c>
      <c r="N726" t="s">
        <v>17</v>
      </c>
      <c r="O726" t="s">
        <v>41</v>
      </c>
    </row>
    <row r="727" spans="1:15" x14ac:dyDescent="0.3">
      <c r="A727">
        <v>726</v>
      </c>
      <c r="B727" t="s">
        <v>259</v>
      </c>
      <c r="C727" t="s">
        <v>1192</v>
      </c>
      <c r="D727" t="s">
        <v>1494</v>
      </c>
      <c r="E727" t="s">
        <v>89</v>
      </c>
      <c r="F727" s="1">
        <v>39702</v>
      </c>
      <c r="G727" s="2">
        <v>2008</v>
      </c>
      <c r="H727">
        <v>2021</v>
      </c>
      <c r="I727" s="2">
        <v>13</v>
      </c>
      <c r="J727">
        <v>49463</v>
      </c>
      <c r="K727" t="s">
        <v>370</v>
      </c>
      <c r="L727">
        <v>1</v>
      </c>
      <c r="M727" t="s">
        <v>46</v>
      </c>
      <c r="N727" t="s">
        <v>17</v>
      </c>
      <c r="O727" t="s">
        <v>41</v>
      </c>
    </row>
    <row r="728" spans="1:15" x14ac:dyDescent="0.3">
      <c r="A728">
        <v>727</v>
      </c>
      <c r="B728" t="s">
        <v>175</v>
      </c>
      <c r="C728" t="s">
        <v>1193</v>
      </c>
      <c r="D728" t="s">
        <v>1494</v>
      </c>
      <c r="E728" t="s">
        <v>61</v>
      </c>
      <c r="F728" s="1">
        <v>41050</v>
      </c>
      <c r="G728" s="2">
        <v>2012</v>
      </c>
      <c r="H728">
        <v>2021</v>
      </c>
      <c r="I728" s="2">
        <v>9</v>
      </c>
      <c r="J728">
        <v>83165</v>
      </c>
      <c r="K728" t="s">
        <v>952</v>
      </c>
      <c r="L728">
        <v>5</v>
      </c>
      <c r="M728" t="s">
        <v>91</v>
      </c>
      <c r="N728" t="s">
        <v>40</v>
      </c>
      <c r="O728" t="s">
        <v>63</v>
      </c>
    </row>
    <row r="729" spans="1:15" x14ac:dyDescent="0.3">
      <c r="A729">
        <v>728</v>
      </c>
      <c r="B729" t="s">
        <v>412</v>
      </c>
      <c r="C729" t="s">
        <v>1194</v>
      </c>
      <c r="D729" t="s">
        <v>1495</v>
      </c>
      <c r="E729" t="s">
        <v>148</v>
      </c>
      <c r="F729" s="1">
        <v>38828</v>
      </c>
      <c r="G729" s="2">
        <v>2006</v>
      </c>
      <c r="H729">
        <v>2021</v>
      </c>
      <c r="I729" s="2">
        <v>15</v>
      </c>
      <c r="J729">
        <v>125574</v>
      </c>
      <c r="K729" t="s">
        <v>709</v>
      </c>
      <c r="L729">
        <v>1</v>
      </c>
      <c r="M729" t="s">
        <v>46</v>
      </c>
      <c r="N729" t="s">
        <v>17</v>
      </c>
      <c r="O729" t="s">
        <v>112</v>
      </c>
    </row>
    <row r="730" spans="1:15" x14ac:dyDescent="0.3">
      <c r="A730">
        <v>729</v>
      </c>
      <c r="B730" t="s">
        <v>630</v>
      </c>
      <c r="C730" t="s">
        <v>1195</v>
      </c>
      <c r="D730" t="s">
        <v>1494</v>
      </c>
      <c r="E730" t="s">
        <v>32</v>
      </c>
      <c r="F730" s="1">
        <v>41593</v>
      </c>
      <c r="G730" s="2">
        <v>2013</v>
      </c>
      <c r="H730">
        <v>2021</v>
      </c>
      <c r="I730" s="3">
        <v>8</v>
      </c>
      <c r="J730">
        <v>119747</v>
      </c>
      <c r="K730" t="s">
        <v>336</v>
      </c>
      <c r="L730">
        <v>5</v>
      </c>
      <c r="M730" t="s">
        <v>91</v>
      </c>
      <c r="N730" t="s">
        <v>40</v>
      </c>
      <c r="O730" t="s">
        <v>34</v>
      </c>
    </row>
    <row r="731" spans="1:15" x14ac:dyDescent="0.3">
      <c r="A731">
        <v>730</v>
      </c>
      <c r="B731" t="s">
        <v>594</v>
      </c>
      <c r="C731" t="s">
        <v>1196</v>
      </c>
      <c r="D731" t="s">
        <v>1495</v>
      </c>
      <c r="E731" t="s">
        <v>21</v>
      </c>
      <c r="F731" s="1">
        <v>39776</v>
      </c>
      <c r="G731" s="2">
        <v>2008</v>
      </c>
      <c r="H731">
        <v>2021</v>
      </c>
      <c r="I731" s="2">
        <v>13</v>
      </c>
      <c r="J731">
        <v>57651</v>
      </c>
      <c r="K731" t="s">
        <v>327</v>
      </c>
      <c r="L731">
        <v>6</v>
      </c>
      <c r="M731" t="s">
        <v>50</v>
      </c>
      <c r="N731" t="s">
        <v>40</v>
      </c>
      <c r="O731" t="s">
        <v>23</v>
      </c>
    </row>
    <row r="732" spans="1:15" x14ac:dyDescent="0.3">
      <c r="A732">
        <v>731</v>
      </c>
      <c r="B732" t="s">
        <v>163</v>
      </c>
      <c r="C732" t="s">
        <v>1197</v>
      </c>
      <c r="D732" t="s">
        <v>1495</v>
      </c>
      <c r="E732" t="s">
        <v>89</v>
      </c>
      <c r="F732" s="1">
        <v>39992</v>
      </c>
      <c r="G732" s="2">
        <v>2009</v>
      </c>
      <c r="H732">
        <v>2021</v>
      </c>
      <c r="I732" s="2">
        <v>12</v>
      </c>
      <c r="J732">
        <v>70524</v>
      </c>
      <c r="K732" t="s">
        <v>196</v>
      </c>
      <c r="L732">
        <v>2</v>
      </c>
      <c r="M732" t="s">
        <v>16</v>
      </c>
      <c r="N732" t="s">
        <v>17</v>
      </c>
      <c r="O732" t="s">
        <v>41</v>
      </c>
    </row>
    <row r="733" spans="1:15" x14ac:dyDescent="0.3">
      <c r="A733">
        <v>732</v>
      </c>
      <c r="B733" t="s">
        <v>30</v>
      </c>
      <c r="C733" t="s">
        <v>1198</v>
      </c>
      <c r="D733" t="s">
        <v>1494</v>
      </c>
      <c r="E733" t="s">
        <v>69</v>
      </c>
      <c r="F733" s="1">
        <v>38214</v>
      </c>
      <c r="G733" s="2">
        <v>2004</v>
      </c>
      <c r="H733">
        <v>2021</v>
      </c>
      <c r="I733" s="2">
        <v>17</v>
      </c>
      <c r="J733">
        <v>50511</v>
      </c>
      <c r="K733" t="s">
        <v>290</v>
      </c>
      <c r="L733">
        <v>3</v>
      </c>
      <c r="M733" t="s">
        <v>28</v>
      </c>
      <c r="N733" t="s">
        <v>17</v>
      </c>
      <c r="O733" t="s">
        <v>41</v>
      </c>
    </row>
    <row r="734" spans="1:15" x14ac:dyDescent="0.3">
      <c r="A734">
        <v>733</v>
      </c>
      <c r="B734" t="s">
        <v>410</v>
      </c>
      <c r="C734" t="s">
        <v>1199</v>
      </c>
      <c r="D734" t="s">
        <v>1494</v>
      </c>
      <c r="E734" t="s">
        <v>89</v>
      </c>
      <c r="F734" s="1">
        <v>36850</v>
      </c>
      <c r="G734" s="2">
        <v>2000</v>
      </c>
      <c r="H734">
        <v>2021</v>
      </c>
      <c r="I734" s="2">
        <v>21</v>
      </c>
      <c r="J734">
        <v>58847</v>
      </c>
      <c r="K734" t="s">
        <v>66</v>
      </c>
      <c r="L734">
        <v>4</v>
      </c>
      <c r="M734" t="s">
        <v>55</v>
      </c>
      <c r="N734" t="s">
        <v>17</v>
      </c>
      <c r="O734" t="s">
        <v>41</v>
      </c>
    </row>
    <row r="735" spans="1:15" x14ac:dyDescent="0.3">
      <c r="A735">
        <v>734</v>
      </c>
      <c r="B735" t="s">
        <v>165</v>
      </c>
      <c r="C735" t="s">
        <v>1200</v>
      </c>
      <c r="D735" t="s">
        <v>1495</v>
      </c>
      <c r="E735" t="s">
        <v>26</v>
      </c>
      <c r="F735" s="1">
        <v>38403</v>
      </c>
      <c r="G735" s="2">
        <v>2005</v>
      </c>
      <c r="H735">
        <v>2021</v>
      </c>
      <c r="I735" s="2">
        <v>16</v>
      </c>
      <c r="J735">
        <v>58555</v>
      </c>
      <c r="K735" t="s">
        <v>736</v>
      </c>
      <c r="L735">
        <v>2</v>
      </c>
      <c r="M735" t="s">
        <v>16</v>
      </c>
      <c r="N735" t="s">
        <v>17</v>
      </c>
      <c r="O735" t="s">
        <v>29</v>
      </c>
    </row>
    <row r="736" spans="1:15" x14ac:dyDescent="0.3">
      <c r="A736">
        <v>735</v>
      </c>
      <c r="B736" t="s">
        <v>969</v>
      </c>
      <c r="C736" t="s">
        <v>1201</v>
      </c>
      <c r="D736" t="s">
        <v>1494</v>
      </c>
      <c r="E736" t="s">
        <v>69</v>
      </c>
      <c r="F736" s="1">
        <v>41957</v>
      </c>
      <c r="G736" s="2">
        <v>2014</v>
      </c>
      <c r="H736">
        <v>2021</v>
      </c>
      <c r="I736" s="2">
        <v>7</v>
      </c>
      <c r="J736">
        <v>116333</v>
      </c>
      <c r="K736" t="s">
        <v>330</v>
      </c>
      <c r="L736">
        <v>5</v>
      </c>
      <c r="M736" t="s">
        <v>91</v>
      </c>
      <c r="N736" t="s">
        <v>40</v>
      </c>
      <c r="O736" t="s">
        <v>41</v>
      </c>
    </row>
    <row r="737" spans="1:15" x14ac:dyDescent="0.3">
      <c r="A737">
        <v>736</v>
      </c>
      <c r="B737" t="s">
        <v>83</v>
      </c>
      <c r="C737" t="s">
        <v>1202</v>
      </c>
      <c r="D737" t="s">
        <v>1494</v>
      </c>
      <c r="E737" t="s">
        <v>73</v>
      </c>
      <c r="F737" s="1">
        <v>40052</v>
      </c>
      <c r="G737" s="2">
        <v>2009</v>
      </c>
      <c r="H737">
        <v>2021</v>
      </c>
      <c r="I737" s="2">
        <v>12</v>
      </c>
      <c r="J737">
        <v>80813</v>
      </c>
      <c r="K737" t="s">
        <v>764</v>
      </c>
      <c r="L737">
        <v>6</v>
      </c>
      <c r="M737" t="s">
        <v>50</v>
      </c>
      <c r="N737" t="s">
        <v>40</v>
      </c>
      <c r="O737" t="s">
        <v>41</v>
      </c>
    </row>
    <row r="738" spans="1:15" x14ac:dyDescent="0.3">
      <c r="A738">
        <v>737</v>
      </c>
      <c r="B738" t="s">
        <v>124</v>
      </c>
      <c r="C738" t="s">
        <v>1203</v>
      </c>
      <c r="D738" t="s">
        <v>1494</v>
      </c>
      <c r="E738" t="s">
        <v>203</v>
      </c>
      <c r="F738" s="1">
        <v>38194</v>
      </c>
      <c r="G738" s="2">
        <v>2004</v>
      </c>
      <c r="H738">
        <v>2021</v>
      </c>
      <c r="I738" s="2">
        <v>17</v>
      </c>
      <c r="J738">
        <v>142794</v>
      </c>
      <c r="K738" t="s">
        <v>27</v>
      </c>
      <c r="L738">
        <v>1</v>
      </c>
      <c r="M738" t="s">
        <v>46</v>
      </c>
      <c r="N738" t="s">
        <v>17</v>
      </c>
      <c r="O738" t="s">
        <v>41</v>
      </c>
    </row>
    <row r="739" spans="1:15" x14ac:dyDescent="0.3">
      <c r="A739">
        <v>738</v>
      </c>
      <c r="B739" t="s">
        <v>720</v>
      </c>
      <c r="C739" t="s">
        <v>1204</v>
      </c>
      <c r="D739" t="s">
        <v>1495</v>
      </c>
      <c r="E739" t="s">
        <v>14</v>
      </c>
      <c r="F739" s="1">
        <v>37625</v>
      </c>
      <c r="G739" s="2">
        <v>2003</v>
      </c>
      <c r="H739">
        <v>2021</v>
      </c>
      <c r="I739" s="2">
        <v>18</v>
      </c>
      <c r="J739">
        <v>65083</v>
      </c>
      <c r="K739" t="s">
        <v>104</v>
      </c>
      <c r="L739">
        <v>6</v>
      </c>
      <c r="M739" t="s">
        <v>50</v>
      </c>
      <c r="N739" t="s">
        <v>40</v>
      </c>
      <c r="O739" t="s">
        <v>18</v>
      </c>
    </row>
    <row r="740" spans="1:15" x14ac:dyDescent="0.3">
      <c r="A740">
        <v>739</v>
      </c>
      <c r="B740" t="s">
        <v>416</v>
      </c>
      <c r="C740" t="s">
        <v>1205</v>
      </c>
      <c r="D740" t="s">
        <v>1495</v>
      </c>
      <c r="E740" t="s">
        <v>73</v>
      </c>
      <c r="F740" s="1">
        <v>41711</v>
      </c>
      <c r="G740" s="2">
        <v>2014</v>
      </c>
      <c r="H740">
        <v>2021</v>
      </c>
      <c r="I740" s="2">
        <v>7</v>
      </c>
      <c r="J740">
        <v>125398</v>
      </c>
      <c r="K740" t="s">
        <v>537</v>
      </c>
      <c r="L740">
        <v>2</v>
      </c>
      <c r="M740" t="s">
        <v>16</v>
      </c>
      <c r="N740" t="s">
        <v>17</v>
      </c>
      <c r="O740" t="s">
        <v>41</v>
      </c>
    </row>
    <row r="741" spans="1:15" x14ac:dyDescent="0.3">
      <c r="A741">
        <v>740</v>
      </c>
      <c r="B741" t="s">
        <v>652</v>
      </c>
      <c r="C741" t="s">
        <v>1206</v>
      </c>
      <c r="D741" t="s">
        <v>1495</v>
      </c>
      <c r="E741" t="s">
        <v>85</v>
      </c>
      <c r="F741" s="1">
        <v>39460</v>
      </c>
      <c r="G741" s="2">
        <v>2008</v>
      </c>
      <c r="H741">
        <v>2021</v>
      </c>
      <c r="I741" s="2">
        <v>13</v>
      </c>
      <c r="J741">
        <v>98502</v>
      </c>
      <c r="K741" t="s">
        <v>490</v>
      </c>
      <c r="L741">
        <v>7</v>
      </c>
      <c r="M741" t="s">
        <v>39</v>
      </c>
      <c r="N741" t="s">
        <v>40</v>
      </c>
      <c r="O741" t="s">
        <v>41</v>
      </c>
    </row>
    <row r="742" spans="1:15" x14ac:dyDescent="0.3">
      <c r="A742">
        <v>741</v>
      </c>
      <c r="B742" t="s">
        <v>816</v>
      </c>
      <c r="C742" t="s">
        <v>1207</v>
      </c>
      <c r="D742" t="s">
        <v>1495</v>
      </c>
      <c r="E742" t="s">
        <v>312</v>
      </c>
      <c r="F742" s="1">
        <v>37621</v>
      </c>
      <c r="G742" s="2">
        <v>2002</v>
      </c>
      <c r="H742">
        <v>2021</v>
      </c>
      <c r="I742" s="2">
        <v>19</v>
      </c>
      <c r="J742">
        <v>90086</v>
      </c>
      <c r="K742" t="s">
        <v>709</v>
      </c>
      <c r="L742">
        <v>4</v>
      </c>
      <c r="M742" t="s">
        <v>55</v>
      </c>
      <c r="N742" t="s">
        <v>17</v>
      </c>
      <c r="O742" t="s">
        <v>41</v>
      </c>
    </row>
    <row r="743" spans="1:15" x14ac:dyDescent="0.3">
      <c r="A743">
        <v>742</v>
      </c>
      <c r="B743" t="s">
        <v>87</v>
      </c>
      <c r="C743" t="s">
        <v>1208</v>
      </c>
      <c r="D743" t="s">
        <v>1494</v>
      </c>
      <c r="E743" t="s">
        <v>21</v>
      </c>
      <c r="F743" s="1">
        <v>39419</v>
      </c>
      <c r="G743" s="2">
        <v>2007</v>
      </c>
      <c r="H743">
        <v>2021</v>
      </c>
      <c r="I743" s="2">
        <v>14</v>
      </c>
      <c r="J743">
        <v>77382</v>
      </c>
      <c r="K743" t="s">
        <v>186</v>
      </c>
      <c r="L743">
        <v>6</v>
      </c>
      <c r="M743" t="s">
        <v>50</v>
      </c>
      <c r="N743" t="s">
        <v>40</v>
      </c>
      <c r="O743" t="s">
        <v>23</v>
      </c>
    </row>
    <row r="744" spans="1:15" x14ac:dyDescent="0.3">
      <c r="A744">
        <v>743</v>
      </c>
      <c r="B744" t="s">
        <v>722</v>
      </c>
      <c r="C744" t="s">
        <v>1209</v>
      </c>
      <c r="D744" t="s">
        <v>1495</v>
      </c>
      <c r="E744" t="s">
        <v>94</v>
      </c>
      <c r="F744" s="1">
        <v>41996</v>
      </c>
      <c r="G744" s="2">
        <v>2014</v>
      </c>
      <c r="H744">
        <v>2021</v>
      </c>
      <c r="I744" s="2">
        <v>7</v>
      </c>
      <c r="J744">
        <v>113278</v>
      </c>
      <c r="K744" t="s">
        <v>306</v>
      </c>
      <c r="L744">
        <v>2</v>
      </c>
      <c r="M744" t="s">
        <v>16</v>
      </c>
      <c r="N744" t="s">
        <v>17</v>
      </c>
      <c r="O744" t="s">
        <v>18</v>
      </c>
    </row>
    <row r="745" spans="1:15" x14ac:dyDescent="0.3">
      <c r="A745">
        <v>744</v>
      </c>
      <c r="B745" t="s">
        <v>480</v>
      </c>
      <c r="C745" t="s">
        <v>1210</v>
      </c>
      <c r="D745" t="s">
        <v>1494</v>
      </c>
      <c r="E745" t="s">
        <v>26</v>
      </c>
      <c r="F745" s="1">
        <v>37152</v>
      </c>
      <c r="G745" s="2">
        <v>2001</v>
      </c>
      <c r="H745">
        <v>2021</v>
      </c>
      <c r="I745" s="2">
        <v>20</v>
      </c>
      <c r="J745">
        <v>129324</v>
      </c>
      <c r="K745" t="s">
        <v>1211</v>
      </c>
      <c r="L745">
        <v>4</v>
      </c>
      <c r="M745" t="s">
        <v>55</v>
      </c>
      <c r="N745" t="s">
        <v>17</v>
      </c>
      <c r="O745" t="s">
        <v>29</v>
      </c>
    </row>
    <row r="746" spans="1:15" x14ac:dyDescent="0.3">
      <c r="A746">
        <v>745</v>
      </c>
      <c r="B746" t="s">
        <v>140</v>
      </c>
      <c r="C746" t="s">
        <v>1212</v>
      </c>
      <c r="D746" t="s">
        <v>1495</v>
      </c>
      <c r="E746" t="s">
        <v>148</v>
      </c>
      <c r="F746" s="1">
        <v>38677</v>
      </c>
      <c r="G746" s="2">
        <v>2005</v>
      </c>
      <c r="H746">
        <v>2021</v>
      </c>
      <c r="I746" s="2">
        <v>16</v>
      </c>
      <c r="J746">
        <v>108504</v>
      </c>
      <c r="K746" t="s">
        <v>386</v>
      </c>
      <c r="L746">
        <v>1</v>
      </c>
      <c r="M746" t="s">
        <v>46</v>
      </c>
      <c r="N746" t="s">
        <v>17</v>
      </c>
      <c r="O746" t="s">
        <v>112</v>
      </c>
    </row>
    <row r="747" spans="1:15" x14ac:dyDescent="0.3">
      <c r="A747">
        <v>746</v>
      </c>
      <c r="B747" t="s">
        <v>198</v>
      </c>
      <c r="C747" t="s">
        <v>1213</v>
      </c>
      <c r="D747" t="s">
        <v>1494</v>
      </c>
      <c r="E747" t="s">
        <v>100</v>
      </c>
      <c r="F747" s="1">
        <v>37168</v>
      </c>
      <c r="G747" s="2">
        <v>2001</v>
      </c>
      <c r="H747">
        <v>2021</v>
      </c>
      <c r="I747" s="2">
        <v>20</v>
      </c>
      <c r="J747">
        <v>145283</v>
      </c>
      <c r="K747" t="s">
        <v>149</v>
      </c>
      <c r="L747">
        <v>1</v>
      </c>
      <c r="M747" t="s">
        <v>46</v>
      </c>
      <c r="N747" t="s">
        <v>17</v>
      </c>
      <c r="O747" t="s">
        <v>29</v>
      </c>
    </row>
    <row r="748" spans="1:15" x14ac:dyDescent="0.3">
      <c r="A748">
        <v>747</v>
      </c>
      <c r="B748" t="s">
        <v>416</v>
      </c>
      <c r="C748" t="s">
        <v>1214</v>
      </c>
      <c r="D748" t="s">
        <v>1494</v>
      </c>
      <c r="E748" t="s">
        <v>85</v>
      </c>
      <c r="F748" s="1">
        <v>38928</v>
      </c>
      <c r="G748" s="2">
        <v>2006</v>
      </c>
      <c r="H748">
        <v>2021</v>
      </c>
      <c r="I748" s="2">
        <v>15</v>
      </c>
      <c r="J748">
        <v>82674</v>
      </c>
      <c r="K748" t="s">
        <v>172</v>
      </c>
      <c r="L748">
        <v>4</v>
      </c>
      <c r="M748" t="s">
        <v>55</v>
      </c>
      <c r="N748" t="s">
        <v>17</v>
      </c>
      <c r="O748" t="s">
        <v>41</v>
      </c>
    </row>
    <row r="749" spans="1:15" x14ac:dyDescent="0.3">
      <c r="A749">
        <v>748</v>
      </c>
      <c r="B749" t="s">
        <v>347</v>
      </c>
      <c r="C749" t="s">
        <v>1215</v>
      </c>
      <c r="D749" t="s">
        <v>1494</v>
      </c>
      <c r="E749" t="s">
        <v>69</v>
      </c>
      <c r="F749" s="1">
        <v>40156</v>
      </c>
      <c r="G749" s="2">
        <v>2009</v>
      </c>
      <c r="H749">
        <v>2021</v>
      </c>
      <c r="I749" s="2">
        <v>12</v>
      </c>
      <c r="J749">
        <v>119097</v>
      </c>
      <c r="K749" t="s">
        <v>604</v>
      </c>
      <c r="L749">
        <v>2</v>
      </c>
      <c r="M749" t="s">
        <v>16</v>
      </c>
      <c r="N749" t="s">
        <v>17</v>
      </c>
      <c r="O749" t="s">
        <v>41</v>
      </c>
    </row>
    <row r="750" spans="1:15" x14ac:dyDescent="0.3">
      <c r="A750">
        <v>749</v>
      </c>
      <c r="B750" t="s">
        <v>816</v>
      </c>
      <c r="C750" t="s">
        <v>1216</v>
      </c>
      <c r="D750" t="s">
        <v>1495</v>
      </c>
      <c r="E750" t="s">
        <v>32</v>
      </c>
      <c r="F750" s="1">
        <v>41157</v>
      </c>
      <c r="G750" s="2">
        <v>2012</v>
      </c>
      <c r="H750">
        <v>2021</v>
      </c>
      <c r="I750" s="3">
        <v>9</v>
      </c>
      <c r="J750">
        <v>60498</v>
      </c>
      <c r="K750" t="s">
        <v>133</v>
      </c>
      <c r="L750">
        <v>4</v>
      </c>
      <c r="M750" t="s">
        <v>55</v>
      </c>
      <c r="N750" t="s">
        <v>17</v>
      </c>
      <c r="O750" t="s">
        <v>34</v>
      </c>
    </row>
    <row r="751" spans="1:15" x14ac:dyDescent="0.3">
      <c r="A751">
        <v>750</v>
      </c>
      <c r="B751" t="s">
        <v>809</v>
      </c>
      <c r="C751" t="s">
        <v>1217</v>
      </c>
      <c r="D751" t="s">
        <v>1494</v>
      </c>
      <c r="E751" t="s">
        <v>238</v>
      </c>
      <c r="F751" s="1">
        <v>41836</v>
      </c>
      <c r="G751" s="2">
        <v>2014</v>
      </c>
      <c r="H751">
        <v>2021</v>
      </c>
      <c r="I751" s="2">
        <v>7</v>
      </c>
      <c r="J751">
        <v>108228</v>
      </c>
      <c r="K751" t="s">
        <v>95</v>
      </c>
      <c r="L751">
        <v>3</v>
      </c>
      <c r="M751" t="s">
        <v>28</v>
      </c>
      <c r="N751" t="s">
        <v>17</v>
      </c>
      <c r="O751" t="s">
        <v>63</v>
      </c>
    </row>
    <row r="752" spans="1:15" x14ac:dyDescent="0.3">
      <c r="A752">
        <v>751</v>
      </c>
      <c r="B752" t="s">
        <v>12</v>
      </c>
      <c r="C752" t="s">
        <v>1218</v>
      </c>
      <c r="D752" t="s">
        <v>1494</v>
      </c>
      <c r="E752" t="s">
        <v>94</v>
      </c>
      <c r="F752" s="1">
        <v>38479</v>
      </c>
      <c r="G752" s="2">
        <v>2005</v>
      </c>
      <c r="H752">
        <v>2021</v>
      </c>
      <c r="I752" s="2">
        <v>16</v>
      </c>
      <c r="J752">
        <v>106602</v>
      </c>
      <c r="K752" t="s">
        <v>209</v>
      </c>
      <c r="L752">
        <v>2</v>
      </c>
      <c r="M752" t="s">
        <v>16</v>
      </c>
      <c r="N752" t="s">
        <v>17</v>
      </c>
      <c r="O752" t="s">
        <v>18</v>
      </c>
    </row>
    <row r="753" spans="1:15" x14ac:dyDescent="0.3">
      <c r="A753">
        <v>752</v>
      </c>
      <c r="B753" t="s">
        <v>569</v>
      </c>
      <c r="C753" t="s">
        <v>1219</v>
      </c>
      <c r="D753" t="s">
        <v>1495</v>
      </c>
      <c r="E753" t="s">
        <v>89</v>
      </c>
      <c r="F753" s="1">
        <v>40567</v>
      </c>
      <c r="G753" s="2">
        <v>2011</v>
      </c>
      <c r="H753">
        <v>2021</v>
      </c>
      <c r="I753" s="2">
        <v>10</v>
      </c>
      <c r="J753">
        <v>95810</v>
      </c>
      <c r="K753" t="s">
        <v>613</v>
      </c>
      <c r="L753">
        <v>4</v>
      </c>
      <c r="M753" t="s">
        <v>55</v>
      </c>
      <c r="N753" t="s">
        <v>17</v>
      </c>
      <c r="O753" t="s">
        <v>41</v>
      </c>
    </row>
    <row r="754" spans="1:15" x14ac:dyDescent="0.3">
      <c r="A754">
        <v>753</v>
      </c>
      <c r="B754" t="s">
        <v>1220</v>
      </c>
      <c r="C754" t="s">
        <v>1221</v>
      </c>
      <c r="D754" t="s">
        <v>1495</v>
      </c>
      <c r="E754" t="s">
        <v>94</v>
      </c>
      <c r="F754" s="1">
        <v>38388</v>
      </c>
      <c r="G754" s="2">
        <v>2005</v>
      </c>
      <c r="H754">
        <v>2021</v>
      </c>
      <c r="I754" s="2">
        <v>16</v>
      </c>
      <c r="J754">
        <v>149597</v>
      </c>
      <c r="K754" t="s">
        <v>490</v>
      </c>
      <c r="L754">
        <v>1</v>
      </c>
      <c r="M754" t="s">
        <v>46</v>
      </c>
      <c r="N754" t="s">
        <v>17</v>
      </c>
      <c r="O754" t="s">
        <v>18</v>
      </c>
    </row>
    <row r="755" spans="1:15" x14ac:dyDescent="0.3">
      <c r="A755">
        <v>754</v>
      </c>
      <c r="B755" t="s">
        <v>986</v>
      </c>
      <c r="C755" t="s">
        <v>1222</v>
      </c>
      <c r="D755" t="s">
        <v>1495</v>
      </c>
      <c r="E755" t="s">
        <v>94</v>
      </c>
      <c r="F755" s="1">
        <v>36602</v>
      </c>
      <c r="G755" s="2">
        <v>2000</v>
      </c>
      <c r="H755">
        <v>2021</v>
      </c>
      <c r="I755" s="2">
        <v>21</v>
      </c>
      <c r="J755">
        <v>57331</v>
      </c>
      <c r="K755" t="s">
        <v>209</v>
      </c>
      <c r="L755">
        <v>3</v>
      </c>
      <c r="M755" t="s">
        <v>28</v>
      </c>
      <c r="N755" t="s">
        <v>17</v>
      </c>
      <c r="O755" t="s">
        <v>18</v>
      </c>
    </row>
    <row r="756" spans="1:15" x14ac:dyDescent="0.3">
      <c r="A756">
        <v>755</v>
      </c>
      <c r="B756" t="s">
        <v>564</v>
      </c>
      <c r="C756" t="s">
        <v>1223</v>
      </c>
      <c r="D756" t="s">
        <v>1494</v>
      </c>
      <c r="E756" t="s">
        <v>100</v>
      </c>
      <c r="F756" s="1">
        <v>40772</v>
      </c>
      <c r="G756" s="2">
        <v>2011</v>
      </c>
      <c r="H756">
        <v>2021</v>
      </c>
      <c r="I756" s="2">
        <v>10</v>
      </c>
      <c r="J756">
        <v>49113</v>
      </c>
      <c r="K756" t="s">
        <v>115</v>
      </c>
      <c r="L756">
        <v>7</v>
      </c>
      <c r="M756" t="s">
        <v>39</v>
      </c>
      <c r="N756" t="s">
        <v>40</v>
      </c>
      <c r="O756" t="s">
        <v>29</v>
      </c>
    </row>
    <row r="757" spans="1:15" x14ac:dyDescent="0.3">
      <c r="A757">
        <v>756</v>
      </c>
      <c r="B757" t="s">
        <v>341</v>
      </c>
      <c r="C757" t="s">
        <v>1224</v>
      </c>
      <c r="D757" t="s">
        <v>1495</v>
      </c>
      <c r="E757" t="s">
        <v>37</v>
      </c>
      <c r="F757" s="1">
        <v>38550</v>
      </c>
      <c r="G757" s="2">
        <v>2005</v>
      </c>
      <c r="H757">
        <v>2021</v>
      </c>
      <c r="I757" s="2">
        <v>16</v>
      </c>
      <c r="J757">
        <v>80417</v>
      </c>
      <c r="K757" t="s">
        <v>142</v>
      </c>
      <c r="L757">
        <v>7</v>
      </c>
      <c r="M757" t="s">
        <v>39</v>
      </c>
      <c r="N757" t="s">
        <v>40</v>
      </c>
      <c r="O757" t="s">
        <v>41</v>
      </c>
    </row>
    <row r="758" spans="1:15" x14ac:dyDescent="0.3">
      <c r="A758">
        <v>757</v>
      </c>
      <c r="B758" t="s">
        <v>345</v>
      </c>
      <c r="C758" t="s">
        <v>1225</v>
      </c>
      <c r="D758" t="s">
        <v>1494</v>
      </c>
      <c r="E758" t="s">
        <v>79</v>
      </c>
      <c r="F758" s="1">
        <v>41004</v>
      </c>
      <c r="G758" s="2">
        <v>2012</v>
      </c>
      <c r="H758">
        <v>2021</v>
      </c>
      <c r="I758" s="2">
        <v>9</v>
      </c>
      <c r="J758">
        <v>122595</v>
      </c>
      <c r="K758" t="s">
        <v>189</v>
      </c>
      <c r="L758">
        <v>6</v>
      </c>
      <c r="M758" t="s">
        <v>50</v>
      </c>
      <c r="N758" t="s">
        <v>40</v>
      </c>
      <c r="O758" t="s">
        <v>41</v>
      </c>
    </row>
    <row r="759" spans="1:15" x14ac:dyDescent="0.3">
      <c r="A759">
        <v>758</v>
      </c>
      <c r="B759" t="s">
        <v>689</v>
      </c>
      <c r="C759" t="s">
        <v>1226</v>
      </c>
      <c r="D759" t="s">
        <v>1494</v>
      </c>
      <c r="E759" t="s">
        <v>53</v>
      </c>
      <c r="F759" s="1">
        <v>41570</v>
      </c>
      <c r="G759" s="2">
        <v>2013</v>
      </c>
      <c r="H759">
        <v>2021</v>
      </c>
      <c r="I759" s="2">
        <v>8</v>
      </c>
      <c r="J759">
        <v>126661</v>
      </c>
      <c r="K759" t="s">
        <v>836</v>
      </c>
      <c r="L759">
        <v>2</v>
      </c>
      <c r="M759" t="s">
        <v>16</v>
      </c>
      <c r="N759" t="s">
        <v>17</v>
      </c>
      <c r="O759" t="s">
        <v>23</v>
      </c>
    </row>
    <row r="760" spans="1:15" x14ac:dyDescent="0.3">
      <c r="A760">
        <v>759</v>
      </c>
      <c r="B760" t="s">
        <v>233</v>
      </c>
      <c r="C760" t="s">
        <v>1227</v>
      </c>
      <c r="D760" t="s">
        <v>1494</v>
      </c>
      <c r="E760" t="s">
        <v>110</v>
      </c>
      <c r="F760" s="1">
        <v>36618</v>
      </c>
      <c r="G760" s="2">
        <v>2000</v>
      </c>
      <c r="H760">
        <v>2021</v>
      </c>
      <c r="I760" s="2">
        <v>21</v>
      </c>
      <c r="J760">
        <v>127695</v>
      </c>
      <c r="K760" t="s">
        <v>836</v>
      </c>
      <c r="L760">
        <v>7</v>
      </c>
      <c r="M760" t="s">
        <v>39</v>
      </c>
      <c r="N760" t="s">
        <v>40</v>
      </c>
      <c r="O760" t="s">
        <v>112</v>
      </c>
    </row>
    <row r="761" spans="1:15" x14ac:dyDescent="0.3">
      <c r="A761">
        <v>760</v>
      </c>
      <c r="B761" t="s">
        <v>300</v>
      </c>
      <c r="C761" t="s">
        <v>1228</v>
      </c>
      <c r="D761" t="s">
        <v>1494</v>
      </c>
      <c r="E761" t="s">
        <v>73</v>
      </c>
      <c r="F761" s="1">
        <v>39653</v>
      </c>
      <c r="G761" s="2">
        <v>2008</v>
      </c>
      <c r="H761">
        <v>2021</v>
      </c>
      <c r="I761" s="2">
        <v>13</v>
      </c>
      <c r="J761">
        <v>66608</v>
      </c>
      <c r="K761" t="s">
        <v>321</v>
      </c>
      <c r="L761">
        <v>1</v>
      </c>
      <c r="M761" t="s">
        <v>46</v>
      </c>
      <c r="N761" t="s">
        <v>17</v>
      </c>
      <c r="O761" t="s">
        <v>41</v>
      </c>
    </row>
    <row r="762" spans="1:15" x14ac:dyDescent="0.3">
      <c r="A762">
        <v>761</v>
      </c>
      <c r="B762" t="s">
        <v>620</v>
      </c>
      <c r="C762" t="s">
        <v>1229</v>
      </c>
      <c r="D762" t="s">
        <v>1495</v>
      </c>
      <c r="E762" t="s">
        <v>89</v>
      </c>
      <c r="F762" s="1">
        <v>41987</v>
      </c>
      <c r="G762" s="2">
        <v>2014</v>
      </c>
      <c r="H762">
        <v>2021</v>
      </c>
      <c r="I762" s="2">
        <v>7</v>
      </c>
      <c r="J762">
        <v>106033</v>
      </c>
      <c r="K762" t="s">
        <v>313</v>
      </c>
      <c r="L762">
        <v>1</v>
      </c>
      <c r="M762" t="s">
        <v>46</v>
      </c>
      <c r="N762" t="s">
        <v>17</v>
      </c>
      <c r="O762" t="s">
        <v>41</v>
      </c>
    </row>
    <row r="763" spans="1:15" x14ac:dyDescent="0.3">
      <c r="A763">
        <v>762</v>
      </c>
      <c r="B763" t="s">
        <v>494</v>
      </c>
      <c r="C763" t="s">
        <v>1230</v>
      </c>
      <c r="D763" t="s">
        <v>1494</v>
      </c>
      <c r="E763" t="s">
        <v>94</v>
      </c>
      <c r="F763" s="1">
        <v>41495</v>
      </c>
      <c r="G763" s="2">
        <v>2013</v>
      </c>
      <c r="H763">
        <v>2021</v>
      </c>
      <c r="I763" s="2">
        <v>8</v>
      </c>
      <c r="J763">
        <v>103237</v>
      </c>
      <c r="K763" t="s">
        <v>401</v>
      </c>
      <c r="L763">
        <v>7</v>
      </c>
      <c r="M763" t="s">
        <v>39</v>
      </c>
      <c r="N763" t="s">
        <v>40</v>
      </c>
      <c r="O763" t="s">
        <v>18</v>
      </c>
    </row>
    <row r="764" spans="1:15" x14ac:dyDescent="0.3">
      <c r="A764">
        <v>763</v>
      </c>
      <c r="B764" t="s">
        <v>300</v>
      </c>
      <c r="C764" t="s">
        <v>1231</v>
      </c>
      <c r="D764" t="s">
        <v>1494</v>
      </c>
      <c r="E764" t="s">
        <v>14</v>
      </c>
      <c r="F764" s="1">
        <v>37368</v>
      </c>
      <c r="G764" s="2">
        <v>2002</v>
      </c>
      <c r="H764">
        <v>2021</v>
      </c>
      <c r="I764" s="2">
        <v>19</v>
      </c>
      <c r="J764">
        <v>122843</v>
      </c>
      <c r="K764" t="s">
        <v>381</v>
      </c>
      <c r="L764">
        <v>2</v>
      </c>
      <c r="M764" t="s">
        <v>16</v>
      </c>
      <c r="N764" t="s">
        <v>17</v>
      </c>
      <c r="O764" t="s">
        <v>18</v>
      </c>
    </row>
    <row r="765" spans="1:15" x14ac:dyDescent="0.3">
      <c r="A765">
        <v>764</v>
      </c>
      <c r="B765" t="s">
        <v>64</v>
      </c>
      <c r="C765" t="s">
        <v>1232</v>
      </c>
      <c r="D765" t="s">
        <v>1495</v>
      </c>
      <c r="E765" t="s">
        <v>238</v>
      </c>
      <c r="F765" s="1">
        <v>38174</v>
      </c>
      <c r="G765" s="2">
        <v>2004</v>
      </c>
      <c r="H765">
        <v>2021</v>
      </c>
      <c r="I765" s="2">
        <v>17</v>
      </c>
      <c r="J765">
        <v>51771</v>
      </c>
      <c r="K765" t="s">
        <v>659</v>
      </c>
      <c r="L765">
        <v>3</v>
      </c>
      <c r="M765" t="s">
        <v>28</v>
      </c>
      <c r="N765" t="s">
        <v>17</v>
      </c>
      <c r="O765" t="s">
        <v>63</v>
      </c>
    </row>
    <row r="766" spans="1:15" x14ac:dyDescent="0.3">
      <c r="A766">
        <v>765</v>
      </c>
      <c r="B766" t="s">
        <v>268</v>
      </c>
      <c r="C766" t="s">
        <v>1233</v>
      </c>
      <c r="D766" t="s">
        <v>1494</v>
      </c>
      <c r="E766" t="s">
        <v>44</v>
      </c>
      <c r="F766" s="1">
        <v>40124</v>
      </c>
      <c r="G766" s="2">
        <v>2009</v>
      </c>
      <c r="H766">
        <v>2021</v>
      </c>
      <c r="I766" s="2">
        <v>12</v>
      </c>
      <c r="J766">
        <v>107709</v>
      </c>
      <c r="K766" t="s">
        <v>136</v>
      </c>
      <c r="L766">
        <v>1</v>
      </c>
      <c r="M766" t="s">
        <v>46</v>
      </c>
      <c r="N766" t="s">
        <v>17</v>
      </c>
      <c r="O766" t="s">
        <v>29</v>
      </c>
    </row>
    <row r="767" spans="1:15" x14ac:dyDescent="0.3">
      <c r="A767">
        <v>766</v>
      </c>
      <c r="B767" t="s">
        <v>347</v>
      </c>
      <c r="C767" t="s">
        <v>1234</v>
      </c>
      <c r="D767" t="s">
        <v>1494</v>
      </c>
      <c r="E767" t="s">
        <v>122</v>
      </c>
      <c r="F767" s="1">
        <v>40165</v>
      </c>
      <c r="G767" s="2">
        <v>2009</v>
      </c>
      <c r="H767">
        <v>2021</v>
      </c>
      <c r="I767" s="2">
        <v>12</v>
      </c>
      <c r="J767">
        <v>104149</v>
      </c>
      <c r="K767" t="s">
        <v>613</v>
      </c>
      <c r="L767">
        <v>2</v>
      </c>
      <c r="M767" t="s">
        <v>16</v>
      </c>
      <c r="N767" t="s">
        <v>17</v>
      </c>
      <c r="O767" t="s">
        <v>123</v>
      </c>
    </row>
    <row r="768" spans="1:15" x14ac:dyDescent="0.3">
      <c r="A768">
        <v>767</v>
      </c>
      <c r="B768" t="s">
        <v>766</v>
      </c>
      <c r="C768" t="s">
        <v>1235</v>
      </c>
      <c r="D768" t="s">
        <v>1494</v>
      </c>
      <c r="E768" t="s">
        <v>122</v>
      </c>
      <c r="F768" s="1">
        <v>38201</v>
      </c>
      <c r="G768" s="2">
        <v>2004</v>
      </c>
      <c r="H768">
        <v>2021</v>
      </c>
      <c r="I768" s="2">
        <v>17</v>
      </c>
      <c r="J768">
        <v>91501</v>
      </c>
      <c r="K768" t="s">
        <v>179</v>
      </c>
      <c r="L768">
        <v>7</v>
      </c>
      <c r="M768" t="s">
        <v>39</v>
      </c>
      <c r="N768" t="s">
        <v>40</v>
      </c>
      <c r="O768" t="s">
        <v>123</v>
      </c>
    </row>
    <row r="769" spans="1:15" x14ac:dyDescent="0.3">
      <c r="A769">
        <v>768</v>
      </c>
      <c r="B769" t="s">
        <v>407</v>
      </c>
      <c r="C769" t="s">
        <v>1236</v>
      </c>
      <c r="D769" t="s">
        <v>1495</v>
      </c>
      <c r="E769" t="s">
        <v>26</v>
      </c>
      <c r="F769" s="1">
        <v>41844</v>
      </c>
      <c r="G769" s="2">
        <v>2014</v>
      </c>
      <c r="H769">
        <v>2021</v>
      </c>
      <c r="I769" s="2">
        <v>7</v>
      </c>
      <c r="J769">
        <v>42602</v>
      </c>
      <c r="K769" t="s">
        <v>86</v>
      </c>
      <c r="L769">
        <v>2</v>
      </c>
      <c r="M769" t="s">
        <v>16</v>
      </c>
      <c r="N769" t="s">
        <v>17</v>
      </c>
      <c r="O769" t="s">
        <v>29</v>
      </c>
    </row>
    <row r="770" spans="1:15" x14ac:dyDescent="0.3">
      <c r="A770">
        <v>769</v>
      </c>
      <c r="B770" t="s">
        <v>108</v>
      </c>
      <c r="C770" t="s">
        <v>1237</v>
      </c>
      <c r="D770" t="s">
        <v>1495</v>
      </c>
      <c r="E770" t="s">
        <v>85</v>
      </c>
      <c r="F770" s="1">
        <v>41602</v>
      </c>
      <c r="G770" s="2">
        <v>2013</v>
      </c>
      <c r="H770">
        <v>2021</v>
      </c>
      <c r="I770" s="2">
        <v>8</v>
      </c>
      <c r="J770">
        <v>132676</v>
      </c>
      <c r="K770" t="s">
        <v>49</v>
      </c>
      <c r="L770">
        <v>4</v>
      </c>
      <c r="M770" t="s">
        <v>55</v>
      </c>
      <c r="N770" t="s">
        <v>17</v>
      </c>
      <c r="O770" t="s">
        <v>41</v>
      </c>
    </row>
    <row r="771" spans="1:15" x14ac:dyDescent="0.3">
      <c r="A771">
        <v>770</v>
      </c>
      <c r="B771" t="s">
        <v>358</v>
      </c>
      <c r="C771" t="s">
        <v>1238</v>
      </c>
      <c r="D771" t="s">
        <v>1495</v>
      </c>
      <c r="E771" t="s">
        <v>79</v>
      </c>
      <c r="F771" s="1">
        <v>38841</v>
      </c>
      <c r="G771" s="2">
        <v>2006</v>
      </c>
      <c r="H771">
        <v>2021</v>
      </c>
      <c r="I771" s="2">
        <v>15</v>
      </c>
      <c r="J771">
        <v>140688</v>
      </c>
      <c r="K771" t="s">
        <v>733</v>
      </c>
      <c r="L771">
        <v>3</v>
      </c>
      <c r="M771" t="s">
        <v>28</v>
      </c>
      <c r="N771" t="s">
        <v>17</v>
      </c>
      <c r="O771" t="s">
        <v>41</v>
      </c>
    </row>
    <row r="772" spans="1:15" x14ac:dyDescent="0.3">
      <c r="A772">
        <v>771</v>
      </c>
      <c r="B772" t="s">
        <v>642</v>
      </c>
      <c r="C772" t="s">
        <v>1239</v>
      </c>
      <c r="D772" t="s">
        <v>1495</v>
      </c>
      <c r="E772" t="s">
        <v>110</v>
      </c>
      <c r="F772" s="1">
        <v>41891</v>
      </c>
      <c r="G772" s="2">
        <v>2014</v>
      </c>
      <c r="H772">
        <v>2021</v>
      </c>
      <c r="I772" s="2">
        <v>7</v>
      </c>
      <c r="J772">
        <v>51792</v>
      </c>
      <c r="K772" t="s">
        <v>101</v>
      </c>
      <c r="L772">
        <v>4</v>
      </c>
      <c r="M772" t="s">
        <v>55</v>
      </c>
      <c r="N772" t="s">
        <v>17</v>
      </c>
      <c r="O772" t="s">
        <v>112</v>
      </c>
    </row>
    <row r="773" spans="1:15" x14ac:dyDescent="0.3">
      <c r="A773">
        <v>772</v>
      </c>
      <c r="B773" t="s">
        <v>347</v>
      </c>
      <c r="C773" t="s">
        <v>1240</v>
      </c>
      <c r="D773" t="s">
        <v>1494</v>
      </c>
      <c r="E773" t="s">
        <v>61</v>
      </c>
      <c r="F773" s="1">
        <v>38273</v>
      </c>
      <c r="G773" s="2">
        <v>2004</v>
      </c>
      <c r="H773">
        <v>2021</v>
      </c>
      <c r="I773" s="2">
        <v>17</v>
      </c>
      <c r="J773">
        <v>100570</v>
      </c>
      <c r="K773" t="s">
        <v>247</v>
      </c>
      <c r="L773">
        <v>5</v>
      </c>
      <c r="M773" t="s">
        <v>91</v>
      </c>
      <c r="N773" t="s">
        <v>40</v>
      </c>
      <c r="O773" t="s">
        <v>63</v>
      </c>
    </row>
    <row r="774" spans="1:15" x14ac:dyDescent="0.3">
      <c r="A774">
        <v>773</v>
      </c>
      <c r="B774" t="s">
        <v>182</v>
      </c>
      <c r="C774" t="s">
        <v>1241</v>
      </c>
      <c r="D774" t="s">
        <v>1494</v>
      </c>
      <c r="E774" t="s">
        <v>44</v>
      </c>
      <c r="F774" s="1">
        <v>39265</v>
      </c>
      <c r="G774" s="2">
        <v>2007</v>
      </c>
      <c r="H774">
        <v>2021</v>
      </c>
      <c r="I774" s="2">
        <v>14</v>
      </c>
      <c r="J774">
        <v>60383</v>
      </c>
      <c r="K774" t="s">
        <v>459</v>
      </c>
      <c r="L774">
        <v>1</v>
      </c>
      <c r="M774" t="s">
        <v>46</v>
      </c>
      <c r="N774" t="s">
        <v>17</v>
      </c>
      <c r="O774" t="s">
        <v>29</v>
      </c>
    </row>
    <row r="775" spans="1:15" x14ac:dyDescent="0.3">
      <c r="A775">
        <v>774</v>
      </c>
      <c r="B775" t="s">
        <v>969</v>
      </c>
      <c r="C775" t="s">
        <v>1242</v>
      </c>
      <c r="D775" t="s">
        <v>1494</v>
      </c>
      <c r="E775" t="s">
        <v>312</v>
      </c>
      <c r="F775" s="1">
        <v>38797</v>
      </c>
      <c r="G775" s="2">
        <v>2006</v>
      </c>
      <c r="H775">
        <v>2021</v>
      </c>
      <c r="I775" s="2">
        <v>15</v>
      </c>
      <c r="J775">
        <v>68761</v>
      </c>
      <c r="K775" t="s">
        <v>336</v>
      </c>
      <c r="L775">
        <v>1</v>
      </c>
      <c r="M775" t="s">
        <v>46</v>
      </c>
      <c r="N775" t="s">
        <v>17</v>
      </c>
      <c r="O775" t="s">
        <v>41</v>
      </c>
    </row>
    <row r="776" spans="1:15" x14ac:dyDescent="0.3">
      <c r="A776">
        <v>775</v>
      </c>
      <c r="B776" t="s">
        <v>548</v>
      </c>
      <c r="C776" t="s">
        <v>1243</v>
      </c>
      <c r="D776" t="s">
        <v>1495</v>
      </c>
      <c r="E776" t="s">
        <v>44</v>
      </c>
      <c r="F776" s="1">
        <v>40100</v>
      </c>
      <c r="G776" s="2">
        <v>2009</v>
      </c>
      <c r="H776">
        <v>2021</v>
      </c>
      <c r="I776" s="2">
        <v>12</v>
      </c>
      <c r="J776">
        <v>131830</v>
      </c>
      <c r="K776" t="s">
        <v>610</v>
      </c>
      <c r="L776">
        <v>2</v>
      </c>
      <c r="M776" t="s">
        <v>16</v>
      </c>
      <c r="N776" t="s">
        <v>17</v>
      </c>
      <c r="O776" t="s">
        <v>29</v>
      </c>
    </row>
    <row r="777" spans="1:15" x14ac:dyDescent="0.3">
      <c r="A777">
        <v>776</v>
      </c>
      <c r="B777" t="s">
        <v>801</v>
      </c>
      <c r="C777" t="s">
        <v>1244</v>
      </c>
      <c r="D777" t="s">
        <v>1495</v>
      </c>
      <c r="E777" t="s">
        <v>69</v>
      </c>
      <c r="F777" s="1">
        <v>41544</v>
      </c>
      <c r="G777" s="2">
        <v>2013</v>
      </c>
      <c r="H777">
        <v>2021</v>
      </c>
      <c r="I777" s="2">
        <v>8</v>
      </c>
      <c r="J777">
        <v>107535</v>
      </c>
      <c r="K777" t="s">
        <v>796</v>
      </c>
      <c r="L777">
        <v>7</v>
      </c>
      <c r="M777" t="s">
        <v>39</v>
      </c>
      <c r="N777" t="s">
        <v>40</v>
      </c>
      <c r="O777" t="s">
        <v>41</v>
      </c>
    </row>
    <row r="778" spans="1:15" x14ac:dyDescent="0.3">
      <c r="A778">
        <v>777</v>
      </c>
      <c r="B778" t="s">
        <v>333</v>
      </c>
      <c r="C778" t="s">
        <v>1245</v>
      </c>
      <c r="D778" t="s">
        <v>1494</v>
      </c>
      <c r="E778" t="s">
        <v>100</v>
      </c>
      <c r="F778" s="1">
        <v>37210</v>
      </c>
      <c r="G778" s="2">
        <v>2001</v>
      </c>
      <c r="H778">
        <v>2021</v>
      </c>
      <c r="I778" s="2">
        <v>20</v>
      </c>
      <c r="J778">
        <v>95548</v>
      </c>
      <c r="K778" t="s">
        <v>58</v>
      </c>
      <c r="L778">
        <v>3</v>
      </c>
      <c r="M778" t="s">
        <v>28</v>
      </c>
      <c r="N778" t="s">
        <v>17</v>
      </c>
      <c r="O778" t="s">
        <v>29</v>
      </c>
    </row>
    <row r="779" spans="1:15" x14ac:dyDescent="0.3">
      <c r="A779">
        <v>778</v>
      </c>
      <c r="B779" t="s">
        <v>279</v>
      </c>
      <c r="C779" t="s">
        <v>1246</v>
      </c>
      <c r="D779" t="s">
        <v>1494</v>
      </c>
      <c r="E779" t="s">
        <v>26</v>
      </c>
      <c r="F779" s="1">
        <v>41410</v>
      </c>
      <c r="G779" s="2">
        <v>2013</v>
      </c>
      <c r="H779">
        <v>2021</v>
      </c>
      <c r="I779" s="2">
        <v>8</v>
      </c>
      <c r="J779">
        <v>116487</v>
      </c>
      <c r="K779" t="s">
        <v>336</v>
      </c>
      <c r="L779">
        <v>1</v>
      </c>
      <c r="M779" t="s">
        <v>46</v>
      </c>
      <c r="N779" t="s">
        <v>17</v>
      </c>
      <c r="O779" t="s">
        <v>29</v>
      </c>
    </row>
    <row r="780" spans="1:15" x14ac:dyDescent="0.3">
      <c r="A780">
        <v>779</v>
      </c>
      <c r="B780" t="s">
        <v>548</v>
      </c>
      <c r="C780" t="s">
        <v>1247</v>
      </c>
      <c r="D780" t="s">
        <v>1494</v>
      </c>
      <c r="E780" t="s">
        <v>37</v>
      </c>
      <c r="F780" s="1">
        <v>38386</v>
      </c>
      <c r="G780" s="2">
        <v>2005</v>
      </c>
      <c r="H780">
        <v>2021</v>
      </c>
      <c r="I780" s="2">
        <v>16</v>
      </c>
      <c r="J780">
        <v>148106</v>
      </c>
      <c r="K780" t="s">
        <v>62</v>
      </c>
      <c r="L780">
        <v>2</v>
      </c>
      <c r="M780" t="s">
        <v>16</v>
      </c>
      <c r="N780" t="s">
        <v>17</v>
      </c>
      <c r="O780" t="s">
        <v>41</v>
      </c>
    </row>
    <row r="781" spans="1:15" x14ac:dyDescent="0.3">
      <c r="A781">
        <v>780</v>
      </c>
      <c r="B781" t="s">
        <v>943</v>
      </c>
      <c r="C781" t="s">
        <v>1248</v>
      </c>
      <c r="D781" t="s">
        <v>1494</v>
      </c>
      <c r="E781" t="s">
        <v>79</v>
      </c>
      <c r="F781" s="1">
        <v>39176</v>
      </c>
      <c r="G781" s="2">
        <v>2007</v>
      </c>
      <c r="H781">
        <v>2021</v>
      </c>
      <c r="I781" s="2">
        <v>14</v>
      </c>
      <c r="J781">
        <v>135719</v>
      </c>
      <c r="K781" t="s">
        <v>394</v>
      </c>
      <c r="L781">
        <v>5</v>
      </c>
      <c r="M781" t="s">
        <v>91</v>
      </c>
      <c r="N781" t="s">
        <v>40</v>
      </c>
      <c r="O781" t="s">
        <v>41</v>
      </c>
    </row>
    <row r="782" spans="1:15" x14ac:dyDescent="0.3">
      <c r="A782">
        <v>781</v>
      </c>
      <c r="B782" t="s">
        <v>71</v>
      </c>
      <c r="C782" t="s">
        <v>1249</v>
      </c>
      <c r="D782" t="s">
        <v>1495</v>
      </c>
      <c r="E782" t="s">
        <v>26</v>
      </c>
      <c r="F782" s="1">
        <v>40272</v>
      </c>
      <c r="G782" s="2">
        <v>2010</v>
      </c>
      <c r="H782">
        <v>2021</v>
      </c>
      <c r="I782" s="2">
        <v>11</v>
      </c>
      <c r="J782">
        <v>121300</v>
      </c>
      <c r="K782" t="s">
        <v>543</v>
      </c>
      <c r="L782">
        <v>5</v>
      </c>
      <c r="M782" t="s">
        <v>91</v>
      </c>
      <c r="N782" t="s">
        <v>40</v>
      </c>
      <c r="O782" t="s">
        <v>29</v>
      </c>
    </row>
    <row r="783" spans="1:15" x14ac:dyDescent="0.3">
      <c r="A783">
        <v>782</v>
      </c>
      <c r="B783" t="s">
        <v>127</v>
      </c>
      <c r="C783" t="s">
        <v>1250</v>
      </c>
      <c r="D783" t="s">
        <v>1494</v>
      </c>
      <c r="E783" t="s">
        <v>61</v>
      </c>
      <c r="F783" s="1">
        <v>40856</v>
      </c>
      <c r="G783" s="2">
        <v>2011</v>
      </c>
      <c r="H783">
        <v>2021</v>
      </c>
      <c r="I783" s="2">
        <v>10</v>
      </c>
      <c r="J783">
        <v>120226</v>
      </c>
      <c r="K783" t="s">
        <v>1038</v>
      </c>
      <c r="L783">
        <v>4</v>
      </c>
      <c r="M783" t="s">
        <v>55</v>
      </c>
      <c r="N783" t="s">
        <v>17</v>
      </c>
      <c r="O783" t="s">
        <v>63</v>
      </c>
    </row>
    <row r="784" spans="1:15" x14ac:dyDescent="0.3">
      <c r="A784">
        <v>783</v>
      </c>
      <c r="B784" t="s">
        <v>445</v>
      </c>
      <c r="C784" t="s">
        <v>1251</v>
      </c>
      <c r="D784" t="s">
        <v>1494</v>
      </c>
      <c r="E784" t="s">
        <v>26</v>
      </c>
      <c r="F784" s="1">
        <v>38212</v>
      </c>
      <c r="G784" s="2">
        <v>2004</v>
      </c>
      <c r="H784">
        <v>2021</v>
      </c>
      <c r="I784" s="2">
        <v>17</v>
      </c>
      <c r="J784">
        <v>44377</v>
      </c>
      <c r="K784" t="s">
        <v>349</v>
      </c>
      <c r="L784">
        <v>4</v>
      </c>
      <c r="M784" t="s">
        <v>55</v>
      </c>
      <c r="N784" t="s">
        <v>17</v>
      </c>
      <c r="O784" t="s">
        <v>29</v>
      </c>
    </row>
    <row r="785" spans="1:15" x14ac:dyDescent="0.3">
      <c r="A785">
        <v>784</v>
      </c>
      <c r="B785" t="s">
        <v>445</v>
      </c>
      <c r="C785" t="s">
        <v>1252</v>
      </c>
      <c r="D785" t="s">
        <v>1494</v>
      </c>
      <c r="E785" t="s">
        <v>94</v>
      </c>
      <c r="F785" s="1">
        <v>39493</v>
      </c>
      <c r="G785" s="2">
        <v>2008</v>
      </c>
      <c r="H785">
        <v>2021</v>
      </c>
      <c r="I785" s="2">
        <v>13</v>
      </c>
      <c r="J785">
        <v>102001</v>
      </c>
      <c r="K785" t="s">
        <v>167</v>
      </c>
      <c r="L785">
        <v>4</v>
      </c>
      <c r="M785" t="s">
        <v>55</v>
      </c>
      <c r="N785" t="s">
        <v>17</v>
      </c>
      <c r="O785" t="s">
        <v>18</v>
      </c>
    </row>
    <row r="786" spans="1:15" x14ac:dyDescent="0.3">
      <c r="A786">
        <v>785</v>
      </c>
      <c r="B786" t="s">
        <v>589</v>
      </c>
      <c r="C786" t="s">
        <v>1253</v>
      </c>
      <c r="D786" t="s">
        <v>1494</v>
      </c>
      <c r="E786" t="s">
        <v>238</v>
      </c>
      <c r="F786" s="1">
        <v>39882</v>
      </c>
      <c r="G786" s="2">
        <v>2009</v>
      </c>
      <c r="H786">
        <v>2021</v>
      </c>
      <c r="I786" s="2">
        <v>12</v>
      </c>
      <c r="J786">
        <v>99151</v>
      </c>
      <c r="K786" t="s">
        <v>200</v>
      </c>
      <c r="L786">
        <v>1</v>
      </c>
      <c r="M786" t="s">
        <v>46</v>
      </c>
      <c r="N786" t="s">
        <v>17</v>
      </c>
      <c r="O786" t="s">
        <v>63</v>
      </c>
    </row>
    <row r="787" spans="1:15" x14ac:dyDescent="0.3">
      <c r="A787">
        <v>786</v>
      </c>
      <c r="B787" t="s">
        <v>131</v>
      </c>
      <c r="C787" t="s">
        <v>1254</v>
      </c>
      <c r="D787" t="s">
        <v>1494</v>
      </c>
      <c r="E787" t="s">
        <v>110</v>
      </c>
      <c r="F787" s="1">
        <v>36807</v>
      </c>
      <c r="G787" s="2">
        <v>2000</v>
      </c>
      <c r="H787">
        <v>2021</v>
      </c>
      <c r="I787" s="2">
        <v>21</v>
      </c>
      <c r="J787">
        <v>123427</v>
      </c>
      <c r="K787" t="s">
        <v>321</v>
      </c>
      <c r="L787">
        <v>4</v>
      </c>
      <c r="M787" t="s">
        <v>55</v>
      </c>
      <c r="N787" t="s">
        <v>17</v>
      </c>
      <c r="O787" t="s">
        <v>112</v>
      </c>
    </row>
    <row r="788" spans="1:15" x14ac:dyDescent="0.3">
      <c r="A788">
        <v>787</v>
      </c>
      <c r="B788" t="s">
        <v>47</v>
      </c>
      <c r="C788" t="s">
        <v>1255</v>
      </c>
      <c r="D788" t="s">
        <v>1495</v>
      </c>
      <c r="E788" t="s">
        <v>44</v>
      </c>
      <c r="F788" s="1">
        <v>37689</v>
      </c>
      <c r="G788" s="2">
        <v>2003</v>
      </c>
      <c r="H788">
        <v>2021</v>
      </c>
      <c r="I788" s="2">
        <v>18</v>
      </c>
      <c r="J788">
        <v>135695</v>
      </c>
      <c r="K788" t="s">
        <v>916</v>
      </c>
      <c r="L788">
        <v>6</v>
      </c>
      <c r="M788" t="s">
        <v>50</v>
      </c>
      <c r="N788" t="s">
        <v>40</v>
      </c>
      <c r="O788" t="s">
        <v>29</v>
      </c>
    </row>
    <row r="789" spans="1:15" x14ac:dyDescent="0.3">
      <c r="A789">
        <v>788</v>
      </c>
      <c r="B789" t="s">
        <v>42</v>
      </c>
      <c r="C789" t="s">
        <v>1256</v>
      </c>
      <c r="D789" t="s">
        <v>1495</v>
      </c>
      <c r="E789" t="s">
        <v>53</v>
      </c>
      <c r="F789" s="1">
        <v>38106</v>
      </c>
      <c r="G789" s="2">
        <v>2004</v>
      </c>
      <c r="H789">
        <v>2021</v>
      </c>
      <c r="I789" s="2">
        <v>17</v>
      </c>
      <c r="J789">
        <v>102793</v>
      </c>
      <c r="K789" t="s">
        <v>179</v>
      </c>
      <c r="L789">
        <v>4</v>
      </c>
      <c r="M789" t="s">
        <v>55</v>
      </c>
      <c r="N789" t="s">
        <v>17</v>
      </c>
      <c r="O789" t="s">
        <v>23</v>
      </c>
    </row>
    <row r="790" spans="1:15" x14ac:dyDescent="0.3">
      <c r="A790">
        <v>789</v>
      </c>
      <c r="B790" t="s">
        <v>56</v>
      </c>
      <c r="C790" t="s">
        <v>1257</v>
      </c>
      <c r="D790" t="s">
        <v>1494</v>
      </c>
      <c r="E790" t="s">
        <v>69</v>
      </c>
      <c r="F790" s="1">
        <v>38431</v>
      </c>
      <c r="G790" s="2">
        <v>2005</v>
      </c>
      <c r="H790">
        <v>2021</v>
      </c>
      <c r="I790" s="2">
        <v>16</v>
      </c>
      <c r="J790">
        <v>130188</v>
      </c>
      <c r="K790" t="s">
        <v>490</v>
      </c>
      <c r="L790">
        <v>1</v>
      </c>
      <c r="M790" t="s">
        <v>46</v>
      </c>
      <c r="N790" t="s">
        <v>17</v>
      </c>
      <c r="O790" t="s">
        <v>41</v>
      </c>
    </row>
    <row r="791" spans="1:15" x14ac:dyDescent="0.3">
      <c r="A791">
        <v>790</v>
      </c>
      <c r="B791" t="s">
        <v>30</v>
      </c>
      <c r="C791" t="s">
        <v>1258</v>
      </c>
      <c r="D791" t="s">
        <v>1495</v>
      </c>
      <c r="E791" t="s">
        <v>89</v>
      </c>
      <c r="F791" s="1">
        <v>41389</v>
      </c>
      <c r="G791" s="2">
        <v>2013</v>
      </c>
      <c r="H791">
        <v>2021</v>
      </c>
      <c r="I791" s="2">
        <v>8</v>
      </c>
      <c r="J791">
        <v>97607</v>
      </c>
      <c r="K791" t="s">
        <v>381</v>
      </c>
      <c r="L791">
        <v>3</v>
      </c>
      <c r="M791" t="s">
        <v>28</v>
      </c>
      <c r="N791" t="s">
        <v>17</v>
      </c>
      <c r="O791" t="s">
        <v>41</v>
      </c>
    </row>
    <row r="792" spans="1:15" x14ac:dyDescent="0.3">
      <c r="A792">
        <v>791</v>
      </c>
      <c r="B792" t="s">
        <v>42</v>
      </c>
      <c r="C792" t="s">
        <v>1259</v>
      </c>
      <c r="D792" t="s">
        <v>1495</v>
      </c>
      <c r="E792" t="s">
        <v>21</v>
      </c>
      <c r="F792" s="1">
        <v>41619</v>
      </c>
      <c r="G792" s="2">
        <v>2013</v>
      </c>
      <c r="H792">
        <v>2021</v>
      </c>
      <c r="I792" s="2">
        <v>8</v>
      </c>
      <c r="J792">
        <v>93534</v>
      </c>
      <c r="K792" t="s">
        <v>992</v>
      </c>
      <c r="L792">
        <v>1</v>
      </c>
      <c r="M792" t="s">
        <v>46</v>
      </c>
      <c r="N792" t="s">
        <v>17</v>
      </c>
      <c r="O792" t="s">
        <v>23</v>
      </c>
    </row>
    <row r="793" spans="1:15" x14ac:dyDescent="0.3">
      <c r="A793">
        <v>792</v>
      </c>
      <c r="B793" t="s">
        <v>682</v>
      </c>
      <c r="C793" t="s">
        <v>1260</v>
      </c>
      <c r="D793" t="s">
        <v>1494</v>
      </c>
      <c r="E793" t="s">
        <v>100</v>
      </c>
      <c r="F793" s="1">
        <v>39345</v>
      </c>
      <c r="G793" s="2">
        <v>2007</v>
      </c>
      <c r="H793">
        <v>2021</v>
      </c>
      <c r="I793" s="2">
        <v>14</v>
      </c>
      <c r="J793">
        <v>95787</v>
      </c>
      <c r="K793" t="s">
        <v>493</v>
      </c>
      <c r="L793">
        <v>2</v>
      </c>
      <c r="M793" t="s">
        <v>16</v>
      </c>
      <c r="N793" t="s">
        <v>17</v>
      </c>
      <c r="O793" t="s">
        <v>29</v>
      </c>
    </row>
    <row r="794" spans="1:15" x14ac:dyDescent="0.3">
      <c r="A794">
        <v>793</v>
      </c>
      <c r="B794" t="s">
        <v>108</v>
      </c>
      <c r="C794" t="s">
        <v>1261</v>
      </c>
      <c r="D794" t="s">
        <v>1495</v>
      </c>
      <c r="E794" t="s">
        <v>79</v>
      </c>
      <c r="F794" s="1">
        <v>40649</v>
      </c>
      <c r="G794" s="2">
        <v>2011</v>
      </c>
      <c r="H794">
        <v>2021</v>
      </c>
      <c r="I794" s="2">
        <v>10</v>
      </c>
      <c r="J794">
        <v>120086</v>
      </c>
      <c r="K794" t="s">
        <v>497</v>
      </c>
      <c r="L794">
        <v>6</v>
      </c>
      <c r="M794" t="s">
        <v>50</v>
      </c>
      <c r="N794" t="s">
        <v>40</v>
      </c>
      <c r="O794" t="s">
        <v>41</v>
      </c>
    </row>
    <row r="795" spans="1:15" x14ac:dyDescent="0.3">
      <c r="A795">
        <v>794</v>
      </c>
      <c r="B795" t="s">
        <v>412</v>
      </c>
      <c r="C795" t="s">
        <v>1262</v>
      </c>
      <c r="D795" t="s">
        <v>1495</v>
      </c>
      <c r="E795" t="s">
        <v>148</v>
      </c>
      <c r="F795" s="1">
        <v>39814</v>
      </c>
      <c r="G795" s="2">
        <v>2009</v>
      </c>
      <c r="H795">
        <v>2021</v>
      </c>
      <c r="I795" s="2">
        <v>12</v>
      </c>
      <c r="J795">
        <v>119414</v>
      </c>
      <c r="K795" t="s">
        <v>904</v>
      </c>
      <c r="L795">
        <v>1</v>
      </c>
      <c r="M795" t="s">
        <v>46</v>
      </c>
      <c r="N795" t="s">
        <v>17</v>
      </c>
      <c r="O795" t="s">
        <v>112</v>
      </c>
    </row>
    <row r="796" spans="1:15" x14ac:dyDescent="0.3">
      <c r="A796">
        <v>795</v>
      </c>
      <c r="B796" t="s">
        <v>934</v>
      </c>
      <c r="C796" t="s">
        <v>1263</v>
      </c>
      <c r="D796" t="s">
        <v>1495</v>
      </c>
      <c r="E796" t="s">
        <v>110</v>
      </c>
      <c r="F796" s="1">
        <v>39703</v>
      </c>
      <c r="G796" s="2">
        <v>2008</v>
      </c>
      <c r="H796">
        <v>2021</v>
      </c>
      <c r="I796" s="2">
        <v>13</v>
      </c>
      <c r="J796">
        <v>79952</v>
      </c>
      <c r="K796" t="s">
        <v>74</v>
      </c>
      <c r="L796">
        <v>4</v>
      </c>
      <c r="M796" t="s">
        <v>55</v>
      </c>
      <c r="N796" t="s">
        <v>17</v>
      </c>
      <c r="O796" t="s">
        <v>112</v>
      </c>
    </row>
    <row r="797" spans="1:15" x14ac:dyDescent="0.3">
      <c r="A797">
        <v>796</v>
      </c>
      <c r="B797" t="s">
        <v>118</v>
      </c>
      <c r="C797" t="s">
        <v>1264</v>
      </c>
      <c r="D797" t="s">
        <v>1494</v>
      </c>
      <c r="E797" t="s">
        <v>129</v>
      </c>
      <c r="F797" s="1">
        <v>38216</v>
      </c>
      <c r="G797" s="2">
        <v>2004</v>
      </c>
      <c r="H797">
        <v>2021</v>
      </c>
      <c r="I797" s="2">
        <v>17</v>
      </c>
      <c r="J797">
        <v>138682</v>
      </c>
      <c r="K797" t="s">
        <v>425</v>
      </c>
      <c r="L797">
        <v>7</v>
      </c>
      <c r="M797" t="s">
        <v>39</v>
      </c>
      <c r="N797" t="s">
        <v>40</v>
      </c>
      <c r="O797" t="s">
        <v>41</v>
      </c>
    </row>
    <row r="798" spans="1:15" x14ac:dyDescent="0.3">
      <c r="A798">
        <v>797</v>
      </c>
      <c r="B798" t="s">
        <v>772</v>
      </c>
      <c r="C798" t="s">
        <v>1265</v>
      </c>
      <c r="D798" t="s">
        <v>1495</v>
      </c>
      <c r="E798" t="s">
        <v>203</v>
      </c>
      <c r="F798" s="1">
        <v>37761</v>
      </c>
      <c r="G798" s="2">
        <v>2003</v>
      </c>
      <c r="H798">
        <v>2021</v>
      </c>
      <c r="I798" s="2">
        <v>18</v>
      </c>
      <c r="J798">
        <v>49667</v>
      </c>
      <c r="K798" t="s">
        <v>581</v>
      </c>
      <c r="L798">
        <v>6</v>
      </c>
      <c r="M798" t="s">
        <v>50</v>
      </c>
      <c r="N798" t="s">
        <v>40</v>
      </c>
      <c r="O798" t="s">
        <v>41</v>
      </c>
    </row>
    <row r="799" spans="1:15" x14ac:dyDescent="0.3">
      <c r="A799">
        <v>798</v>
      </c>
      <c r="B799" t="s">
        <v>1008</v>
      </c>
      <c r="C799" t="s">
        <v>1266</v>
      </c>
      <c r="D799" t="s">
        <v>1494</v>
      </c>
      <c r="E799" t="s">
        <v>110</v>
      </c>
      <c r="F799" s="1">
        <v>39642</v>
      </c>
      <c r="G799" s="2">
        <v>2008</v>
      </c>
      <c r="H799">
        <v>2021</v>
      </c>
      <c r="I799" s="2">
        <v>13</v>
      </c>
      <c r="J799">
        <v>83798</v>
      </c>
      <c r="K799" t="s">
        <v>349</v>
      </c>
      <c r="L799">
        <v>5</v>
      </c>
      <c r="M799" t="s">
        <v>91</v>
      </c>
      <c r="N799" t="s">
        <v>40</v>
      </c>
      <c r="O799" t="s">
        <v>112</v>
      </c>
    </row>
    <row r="800" spans="1:15" x14ac:dyDescent="0.3">
      <c r="A800">
        <v>799</v>
      </c>
      <c r="B800" t="s">
        <v>333</v>
      </c>
      <c r="C800" t="s">
        <v>1267</v>
      </c>
      <c r="D800" t="s">
        <v>1495</v>
      </c>
      <c r="E800" t="s">
        <v>69</v>
      </c>
      <c r="F800" s="1">
        <v>41342</v>
      </c>
      <c r="G800" s="2">
        <v>2013</v>
      </c>
      <c r="H800">
        <v>2021</v>
      </c>
      <c r="I800" s="2">
        <v>8</v>
      </c>
      <c r="J800">
        <v>146024</v>
      </c>
      <c r="K800" t="s">
        <v>908</v>
      </c>
      <c r="L800">
        <v>7</v>
      </c>
      <c r="M800" t="s">
        <v>39</v>
      </c>
      <c r="N800" t="s">
        <v>40</v>
      </c>
      <c r="O800" t="s">
        <v>41</v>
      </c>
    </row>
    <row r="801" spans="1:15" x14ac:dyDescent="0.3">
      <c r="A801">
        <v>800</v>
      </c>
      <c r="B801" t="s">
        <v>519</v>
      </c>
      <c r="C801" t="s">
        <v>1268</v>
      </c>
      <c r="D801" t="s">
        <v>1494</v>
      </c>
      <c r="E801" t="s">
        <v>148</v>
      </c>
      <c r="F801" s="1">
        <v>36777</v>
      </c>
      <c r="G801" s="2">
        <v>2000</v>
      </c>
      <c r="H801">
        <v>2021</v>
      </c>
      <c r="I801" s="2">
        <v>21</v>
      </c>
      <c r="J801">
        <v>144841</v>
      </c>
      <c r="K801" t="s">
        <v>228</v>
      </c>
      <c r="L801">
        <v>4</v>
      </c>
      <c r="M801" t="s">
        <v>55</v>
      </c>
      <c r="N801" t="s">
        <v>17</v>
      </c>
      <c r="O801" t="s">
        <v>112</v>
      </c>
    </row>
    <row r="802" spans="1:15" x14ac:dyDescent="0.3">
      <c r="A802">
        <v>801</v>
      </c>
      <c r="B802" t="s">
        <v>275</v>
      </c>
      <c r="C802" t="s">
        <v>1269</v>
      </c>
      <c r="D802" t="s">
        <v>1495</v>
      </c>
      <c r="E802" t="s">
        <v>61</v>
      </c>
      <c r="F802" s="1">
        <v>41172</v>
      </c>
      <c r="G802" s="2">
        <v>2012</v>
      </c>
      <c r="H802">
        <v>2021</v>
      </c>
      <c r="I802" s="2">
        <v>9</v>
      </c>
      <c r="J802">
        <v>101582</v>
      </c>
      <c r="K802" t="s">
        <v>1270</v>
      </c>
      <c r="L802">
        <v>7</v>
      </c>
      <c r="M802" t="s">
        <v>39</v>
      </c>
      <c r="N802" t="s">
        <v>40</v>
      </c>
      <c r="O802" t="s">
        <v>63</v>
      </c>
    </row>
    <row r="803" spans="1:15" x14ac:dyDescent="0.3">
      <c r="A803">
        <v>802</v>
      </c>
      <c r="B803" t="s">
        <v>236</v>
      </c>
      <c r="C803" t="s">
        <v>1271</v>
      </c>
      <c r="D803" t="s">
        <v>1495</v>
      </c>
      <c r="E803" t="s">
        <v>61</v>
      </c>
      <c r="F803" s="1">
        <v>38867</v>
      </c>
      <c r="G803" s="2">
        <v>2006</v>
      </c>
      <c r="H803">
        <v>2021</v>
      </c>
      <c r="I803" s="2">
        <v>15</v>
      </c>
      <c r="J803">
        <v>100716</v>
      </c>
      <c r="K803" t="s">
        <v>327</v>
      </c>
      <c r="L803">
        <v>3</v>
      </c>
      <c r="M803" t="s">
        <v>28</v>
      </c>
      <c r="N803" t="s">
        <v>17</v>
      </c>
      <c r="O803" t="s">
        <v>63</v>
      </c>
    </row>
    <row r="804" spans="1:15" x14ac:dyDescent="0.3">
      <c r="A804">
        <v>803</v>
      </c>
      <c r="B804" t="s">
        <v>288</v>
      </c>
      <c r="C804" t="s">
        <v>1272</v>
      </c>
      <c r="D804" t="s">
        <v>1495</v>
      </c>
      <c r="E804" t="s">
        <v>129</v>
      </c>
      <c r="F804" s="1">
        <v>40618</v>
      </c>
      <c r="G804" s="2">
        <v>2011</v>
      </c>
      <c r="H804">
        <v>2021</v>
      </c>
      <c r="I804" s="2">
        <v>10</v>
      </c>
      <c r="J804">
        <v>72016</v>
      </c>
      <c r="K804" t="s">
        <v>598</v>
      </c>
      <c r="L804">
        <v>4</v>
      </c>
      <c r="M804" t="s">
        <v>55</v>
      </c>
      <c r="N804" t="s">
        <v>17</v>
      </c>
      <c r="O804" t="s">
        <v>41</v>
      </c>
    </row>
    <row r="805" spans="1:15" x14ac:dyDescent="0.3">
      <c r="A805">
        <v>804</v>
      </c>
      <c r="B805" t="s">
        <v>650</v>
      </c>
      <c r="C805" t="s">
        <v>1273</v>
      </c>
      <c r="D805" t="s">
        <v>1495</v>
      </c>
      <c r="E805" t="s">
        <v>122</v>
      </c>
      <c r="F805" s="1">
        <v>38564</v>
      </c>
      <c r="G805" s="2">
        <v>2005</v>
      </c>
      <c r="H805">
        <v>2021</v>
      </c>
      <c r="I805" s="2">
        <v>16</v>
      </c>
      <c r="J805">
        <v>123156</v>
      </c>
      <c r="K805" t="s">
        <v>472</v>
      </c>
      <c r="L805">
        <v>1</v>
      </c>
      <c r="M805" t="s">
        <v>46</v>
      </c>
      <c r="N805" t="s">
        <v>17</v>
      </c>
      <c r="O805" t="s">
        <v>123</v>
      </c>
    </row>
    <row r="806" spans="1:15" x14ac:dyDescent="0.3">
      <c r="A806">
        <v>805</v>
      </c>
      <c r="B806" t="s">
        <v>480</v>
      </c>
      <c r="C806" t="s">
        <v>1274</v>
      </c>
      <c r="D806" t="s">
        <v>1494</v>
      </c>
      <c r="E806" t="s">
        <v>73</v>
      </c>
      <c r="F806" s="1">
        <v>41864</v>
      </c>
      <c r="G806" s="2">
        <v>2014</v>
      </c>
      <c r="H806">
        <v>2021</v>
      </c>
      <c r="I806" s="2">
        <v>7</v>
      </c>
      <c r="J806">
        <v>110058</v>
      </c>
      <c r="K806" t="s">
        <v>115</v>
      </c>
      <c r="L806">
        <v>1</v>
      </c>
      <c r="M806" t="s">
        <v>46</v>
      </c>
      <c r="N806" t="s">
        <v>17</v>
      </c>
      <c r="O806" t="s">
        <v>41</v>
      </c>
    </row>
    <row r="807" spans="1:15" x14ac:dyDescent="0.3">
      <c r="A807">
        <v>806</v>
      </c>
      <c r="B807" t="s">
        <v>1187</v>
      </c>
      <c r="C807" t="s">
        <v>1275</v>
      </c>
      <c r="D807" t="s">
        <v>1494</v>
      </c>
      <c r="E807" t="s">
        <v>312</v>
      </c>
      <c r="F807" s="1">
        <v>40892</v>
      </c>
      <c r="G807" s="2">
        <v>2011</v>
      </c>
      <c r="H807">
        <v>2021</v>
      </c>
      <c r="I807" s="2">
        <v>10</v>
      </c>
      <c r="J807">
        <v>117092</v>
      </c>
      <c r="K807" t="s">
        <v>459</v>
      </c>
      <c r="L807">
        <v>5</v>
      </c>
      <c r="M807" t="s">
        <v>91</v>
      </c>
      <c r="N807" t="s">
        <v>40</v>
      </c>
      <c r="O807" t="s">
        <v>41</v>
      </c>
    </row>
    <row r="808" spans="1:15" x14ac:dyDescent="0.3">
      <c r="A808">
        <v>807</v>
      </c>
      <c r="B808" t="s">
        <v>363</v>
      </c>
      <c r="C808" t="s">
        <v>1276</v>
      </c>
      <c r="D808" t="s">
        <v>1494</v>
      </c>
      <c r="E808" t="s">
        <v>100</v>
      </c>
      <c r="F808" s="1">
        <v>38701</v>
      </c>
      <c r="G808" s="2">
        <v>2005</v>
      </c>
      <c r="H808">
        <v>2021</v>
      </c>
      <c r="I808" s="2">
        <v>16</v>
      </c>
      <c r="J808">
        <v>148816</v>
      </c>
      <c r="K808" t="s">
        <v>235</v>
      </c>
      <c r="L808">
        <v>4</v>
      </c>
      <c r="M808" t="s">
        <v>55</v>
      </c>
      <c r="N808" t="s">
        <v>17</v>
      </c>
      <c r="O808" t="s">
        <v>29</v>
      </c>
    </row>
    <row r="809" spans="1:15" x14ac:dyDescent="0.3">
      <c r="A809">
        <v>808</v>
      </c>
      <c r="B809" t="s">
        <v>224</v>
      </c>
      <c r="C809" t="s">
        <v>1277</v>
      </c>
      <c r="D809" t="s">
        <v>1495</v>
      </c>
      <c r="E809" t="s">
        <v>79</v>
      </c>
      <c r="F809" s="1">
        <v>39917</v>
      </c>
      <c r="G809" s="2">
        <v>2009</v>
      </c>
      <c r="H809">
        <v>2021</v>
      </c>
      <c r="I809" s="2">
        <v>12</v>
      </c>
      <c r="J809">
        <v>79031</v>
      </c>
      <c r="K809" t="s">
        <v>169</v>
      </c>
      <c r="L809">
        <v>3</v>
      </c>
      <c r="M809" t="s">
        <v>28</v>
      </c>
      <c r="N809" t="s">
        <v>17</v>
      </c>
      <c r="O809" t="s">
        <v>41</v>
      </c>
    </row>
    <row r="810" spans="1:15" x14ac:dyDescent="0.3">
      <c r="A810">
        <v>809</v>
      </c>
      <c r="B810" t="s">
        <v>465</v>
      </c>
      <c r="C810" t="s">
        <v>1278</v>
      </c>
      <c r="D810" t="s">
        <v>1494</v>
      </c>
      <c r="E810" t="s">
        <v>26</v>
      </c>
      <c r="F810" s="1">
        <v>38938</v>
      </c>
      <c r="G810" s="2">
        <v>2006</v>
      </c>
      <c r="H810">
        <v>2021</v>
      </c>
      <c r="I810" s="2">
        <v>15</v>
      </c>
      <c r="J810">
        <v>128448</v>
      </c>
      <c r="K810" t="s">
        <v>349</v>
      </c>
      <c r="L810">
        <v>3</v>
      </c>
      <c r="M810" t="s">
        <v>28</v>
      </c>
      <c r="N810" t="s">
        <v>17</v>
      </c>
      <c r="O810" t="s">
        <v>29</v>
      </c>
    </row>
    <row r="811" spans="1:15" x14ac:dyDescent="0.3">
      <c r="A811">
        <v>810</v>
      </c>
      <c r="B811" t="s">
        <v>521</v>
      </c>
      <c r="C811" t="s">
        <v>1279</v>
      </c>
      <c r="D811" t="s">
        <v>1495</v>
      </c>
      <c r="E811" t="s">
        <v>203</v>
      </c>
      <c r="F811" s="1">
        <v>41281</v>
      </c>
      <c r="G811" s="2">
        <v>2013</v>
      </c>
      <c r="H811">
        <v>2021</v>
      </c>
      <c r="I811" s="2">
        <v>8</v>
      </c>
      <c r="J811">
        <v>138478</v>
      </c>
      <c r="K811" t="s">
        <v>1071</v>
      </c>
      <c r="L811">
        <v>4</v>
      </c>
      <c r="M811" t="s">
        <v>55</v>
      </c>
      <c r="N811" t="s">
        <v>17</v>
      </c>
      <c r="O811" t="s">
        <v>41</v>
      </c>
    </row>
    <row r="812" spans="1:15" x14ac:dyDescent="0.3">
      <c r="A812">
        <v>811</v>
      </c>
      <c r="B812" t="s">
        <v>474</v>
      </c>
      <c r="C812" t="s">
        <v>1280</v>
      </c>
      <c r="D812" t="s">
        <v>1494</v>
      </c>
      <c r="E812" t="s">
        <v>32</v>
      </c>
      <c r="F812" s="1">
        <v>40459</v>
      </c>
      <c r="G812" s="2">
        <v>2010</v>
      </c>
      <c r="H812">
        <v>2021</v>
      </c>
      <c r="I812" s="3">
        <v>11</v>
      </c>
      <c r="J812">
        <v>41026</v>
      </c>
      <c r="K812" t="s">
        <v>497</v>
      </c>
      <c r="L812">
        <v>1</v>
      </c>
      <c r="M812" t="s">
        <v>46</v>
      </c>
      <c r="N812" t="s">
        <v>17</v>
      </c>
      <c r="O812" t="s">
        <v>34</v>
      </c>
    </row>
    <row r="813" spans="1:15" x14ac:dyDescent="0.3">
      <c r="A813">
        <v>812</v>
      </c>
      <c r="B813" t="s">
        <v>375</v>
      </c>
      <c r="C813" t="s">
        <v>1281</v>
      </c>
      <c r="D813" t="s">
        <v>1494</v>
      </c>
      <c r="E813" t="s">
        <v>129</v>
      </c>
      <c r="F813" s="1">
        <v>38985</v>
      </c>
      <c r="G813" s="2">
        <v>2006</v>
      </c>
      <c r="H813">
        <v>2021</v>
      </c>
      <c r="I813" s="2">
        <v>15</v>
      </c>
      <c r="J813">
        <v>131816</v>
      </c>
      <c r="K813" t="s">
        <v>62</v>
      </c>
      <c r="L813">
        <v>1</v>
      </c>
      <c r="M813" t="s">
        <v>46</v>
      </c>
      <c r="N813" t="s">
        <v>17</v>
      </c>
      <c r="O813" t="s">
        <v>41</v>
      </c>
    </row>
    <row r="814" spans="1:15" x14ac:dyDescent="0.3">
      <c r="A814">
        <v>813</v>
      </c>
      <c r="B814" t="s">
        <v>1282</v>
      </c>
      <c r="C814" t="s">
        <v>1283</v>
      </c>
      <c r="D814" t="s">
        <v>1495</v>
      </c>
      <c r="E814" t="s">
        <v>37</v>
      </c>
      <c r="F814" s="1">
        <v>41589</v>
      </c>
      <c r="G814" s="2">
        <v>2013</v>
      </c>
      <c r="H814">
        <v>2021</v>
      </c>
      <c r="I814" s="2">
        <v>8</v>
      </c>
      <c r="J814">
        <v>85647</v>
      </c>
      <c r="K814" t="s">
        <v>344</v>
      </c>
      <c r="L814">
        <v>6</v>
      </c>
      <c r="M814" t="s">
        <v>50</v>
      </c>
      <c r="N814" t="s">
        <v>40</v>
      </c>
      <c r="O814" t="s">
        <v>41</v>
      </c>
    </row>
    <row r="815" spans="1:15" x14ac:dyDescent="0.3">
      <c r="A815">
        <v>814</v>
      </c>
      <c r="B815" t="s">
        <v>423</v>
      </c>
      <c r="C815" t="s">
        <v>1284</v>
      </c>
      <c r="D815" t="s">
        <v>1494</v>
      </c>
      <c r="E815" t="s">
        <v>32</v>
      </c>
      <c r="F815" s="1">
        <v>36584</v>
      </c>
      <c r="G815" s="2">
        <v>2000</v>
      </c>
      <c r="H815">
        <v>2021</v>
      </c>
      <c r="I815" s="3">
        <v>21</v>
      </c>
      <c r="J815">
        <v>49457</v>
      </c>
      <c r="K815" t="s">
        <v>74</v>
      </c>
      <c r="L815">
        <v>4</v>
      </c>
      <c r="M815" t="s">
        <v>55</v>
      </c>
      <c r="N815" t="s">
        <v>17</v>
      </c>
      <c r="O815" t="s">
        <v>34</v>
      </c>
    </row>
    <row r="816" spans="1:15" x14ac:dyDescent="0.3">
      <c r="A816">
        <v>815</v>
      </c>
      <c r="B816" t="s">
        <v>358</v>
      </c>
      <c r="C816" t="s">
        <v>1285</v>
      </c>
      <c r="D816" t="s">
        <v>1495</v>
      </c>
      <c r="E816" t="s">
        <v>110</v>
      </c>
      <c r="F816" s="1">
        <v>41913</v>
      </c>
      <c r="G816" s="2">
        <v>2014</v>
      </c>
      <c r="H816">
        <v>2021</v>
      </c>
      <c r="I816" s="2">
        <v>7</v>
      </c>
      <c r="J816">
        <v>80763</v>
      </c>
      <c r="K816" t="s">
        <v>66</v>
      </c>
      <c r="L816">
        <v>3</v>
      </c>
      <c r="M816" t="s">
        <v>28</v>
      </c>
      <c r="N816" t="s">
        <v>17</v>
      </c>
      <c r="O816" t="s">
        <v>112</v>
      </c>
    </row>
    <row r="817" spans="1:15" x14ac:dyDescent="0.3">
      <c r="A817">
        <v>816</v>
      </c>
      <c r="B817" t="s">
        <v>1286</v>
      </c>
      <c r="C817" t="s">
        <v>1287</v>
      </c>
      <c r="D817" t="s">
        <v>1495</v>
      </c>
      <c r="E817" t="s">
        <v>129</v>
      </c>
      <c r="F817" s="1">
        <v>41637</v>
      </c>
      <c r="G817" s="2">
        <v>2013</v>
      </c>
      <c r="H817">
        <v>2021</v>
      </c>
      <c r="I817" s="2">
        <v>8</v>
      </c>
      <c r="J817">
        <v>107093</v>
      </c>
      <c r="K817" t="s">
        <v>169</v>
      </c>
      <c r="L817">
        <v>3</v>
      </c>
      <c r="M817" t="s">
        <v>28</v>
      </c>
      <c r="N817" t="s">
        <v>17</v>
      </c>
      <c r="O817" t="s">
        <v>41</v>
      </c>
    </row>
    <row r="818" spans="1:15" x14ac:dyDescent="0.3">
      <c r="A818">
        <v>817</v>
      </c>
      <c r="B818" t="s">
        <v>182</v>
      </c>
      <c r="C818" t="s">
        <v>1288</v>
      </c>
      <c r="D818" t="s">
        <v>1494</v>
      </c>
      <c r="E818" t="s">
        <v>73</v>
      </c>
      <c r="F818" s="1">
        <v>39462</v>
      </c>
      <c r="G818" s="2">
        <v>2008</v>
      </c>
      <c r="H818">
        <v>2021</v>
      </c>
      <c r="I818" s="2">
        <v>13</v>
      </c>
      <c r="J818">
        <v>138970</v>
      </c>
      <c r="K818" t="s">
        <v>490</v>
      </c>
      <c r="L818">
        <v>7</v>
      </c>
      <c r="M818" t="s">
        <v>39</v>
      </c>
      <c r="N818" t="s">
        <v>40</v>
      </c>
      <c r="O818" t="s">
        <v>41</v>
      </c>
    </row>
    <row r="819" spans="1:15" x14ac:dyDescent="0.3">
      <c r="A819">
        <v>818</v>
      </c>
      <c r="B819" t="s">
        <v>762</v>
      </c>
      <c r="C819" t="s">
        <v>1289</v>
      </c>
      <c r="D819" t="s">
        <v>1495</v>
      </c>
      <c r="E819" t="s">
        <v>61</v>
      </c>
      <c r="F819" s="1">
        <v>37351</v>
      </c>
      <c r="G819" s="2">
        <v>2002</v>
      </c>
      <c r="H819">
        <v>2021</v>
      </c>
      <c r="I819" s="2">
        <v>19</v>
      </c>
      <c r="J819">
        <v>82077</v>
      </c>
      <c r="K819" t="s">
        <v>70</v>
      </c>
      <c r="L819">
        <v>4</v>
      </c>
      <c r="M819" t="s">
        <v>55</v>
      </c>
      <c r="N819" t="s">
        <v>17</v>
      </c>
      <c r="O819" t="s">
        <v>63</v>
      </c>
    </row>
    <row r="820" spans="1:15" x14ac:dyDescent="0.3">
      <c r="A820">
        <v>819</v>
      </c>
      <c r="B820" t="s">
        <v>30</v>
      </c>
      <c r="C820" t="s">
        <v>1290</v>
      </c>
      <c r="D820" t="s">
        <v>1494</v>
      </c>
      <c r="E820" t="s">
        <v>100</v>
      </c>
      <c r="F820" s="1">
        <v>41979</v>
      </c>
      <c r="G820" s="2">
        <v>2014</v>
      </c>
      <c r="H820">
        <v>2021</v>
      </c>
      <c r="I820" s="2">
        <v>7</v>
      </c>
      <c r="J820">
        <v>83237</v>
      </c>
      <c r="K820" t="s">
        <v>179</v>
      </c>
      <c r="L820">
        <v>4</v>
      </c>
      <c r="M820" t="s">
        <v>55</v>
      </c>
      <c r="N820" t="s">
        <v>17</v>
      </c>
      <c r="O820" t="s">
        <v>29</v>
      </c>
    </row>
    <row r="821" spans="1:15" x14ac:dyDescent="0.3">
      <c r="A821">
        <v>820</v>
      </c>
      <c r="B821" t="s">
        <v>198</v>
      </c>
      <c r="C821" t="s">
        <v>1291</v>
      </c>
      <c r="D821" t="s">
        <v>1494</v>
      </c>
      <c r="E821" t="s">
        <v>53</v>
      </c>
      <c r="F821" s="1">
        <v>37276</v>
      </c>
      <c r="G821" s="2">
        <v>2002</v>
      </c>
      <c r="H821">
        <v>2021</v>
      </c>
      <c r="I821" s="2">
        <v>19</v>
      </c>
      <c r="J821">
        <v>107749</v>
      </c>
      <c r="K821" t="s">
        <v>336</v>
      </c>
      <c r="L821">
        <v>2</v>
      </c>
      <c r="M821" t="s">
        <v>16</v>
      </c>
      <c r="N821" t="s">
        <v>17</v>
      </c>
      <c r="O821" t="s">
        <v>23</v>
      </c>
    </row>
    <row r="822" spans="1:15" x14ac:dyDescent="0.3">
      <c r="A822">
        <v>821</v>
      </c>
      <c r="B822" t="s">
        <v>514</v>
      </c>
      <c r="C822" t="s">
        <v>1292</v>
      </c>
      <c r="D822" t="s">
        <v>1494</v>
      </c>
      <c r="E822" t="s">
        <v>32</v>
      </c>
      <c r="F822" s="1">
        <v>41079</v>
      </c>
      <c r="G822" s="2">
        <v>2012</v>
      </c>
      <c r="H822">
        <v>2021</v>
      </c>
      <c r="I822" s="3">
        <v>9</v>
      </c>
      <c r="J822">
        <v>149114</v>
      </c>
      <c r="K822" t="s">
        <v>115</v>
      </c>
      <c r="L822">
        <v>7</v>
      </c>
      <c r="M822" t="s">
        <v>39</v>
      </c>
      <c r="N822" t="s">
        <v>40</v>
      </c>
      <c r="O822" t="s">
        <v>34</v>
      </c>
    </row>
    <row r="823" spans="1:15" x14ac:dyDescent="0.3">
      <c r="A823">
        <v>822</v>
      </c>
      <c r="B823" t="s">
        <v>548</v>
      </c>
      <c r="C823" t="s">
        <v>1293</v>
      </c>
      <c r="D823" t="s">
        <v>1494</v>
      </c>
      <c r="E823" t="s">
        <v>203</v>
      </c>
      <c r="F823" s="1">
        <v>39303</v>
      </c>
      <c r="G823" s="2">
        <v>2007</v>
      </c>
      <c r="H823">
        <v>2021</v>
      </c>
      <c r="I823" s="2">
        <v>14</v>
      </c>
      <c r="J823">
        <v>107240</v>
      </c>
      <c r="K823" t="s">
        <v>310</v>
      </c>
      <c r="L823">
        <v>4</v>
      </c>
      <c r="M823" t="s">
        <v>55</v>
      </c>
      <c r="N823" t="s">
        <v>17</v>
      </c>
      <c r="O823" t="s">
        <v>41</v>
      </c>
    </row>
    <row r="824" spans="1:15" x14ac:dyDescent="0.3">
      <c r="A824">
        <v>823</v>
      </c>
      <c r="B824" t="s">
        <v>474</v>
      </c>
      <c r="C824" t="s">
        <v>1294</v>
      </c>
      <c r="D824" t="s">
        <v>1495</v>
      </c>
      <c r="E824" t="s">
        <v>73</v>
      </c>
      <c r="F824" s="1">
        <v>39598</v>
      </c>
      <c r="G824" s="2">
        <v>2008</v>
      </c>
      <c r="H824">
        <v>2021</v>
      </c>
      <c r="I824" s="2">
        <v>13</v>
      </c>
      <c r="J824">
        <v>134334</v>
      </c>
      <c r="K824" t="s">
        <v>562</v>
      </c>
      <c r="L824">
        <v>7</v>
      </c>
      <c r="M824" t="s">
        <v>39</v>
      </c>
      <c r="N824" t="s">
        <v>40</v>
      </c>
      <c r="O824" t="s">
        <v>41</v>
      </c>
    </row>
    <row r="825" spans="1:15" x14ac:dyDescent="0.3">
      <c r="A825">
        <v>824</v>
      </c>
      <c r="B825" t="s">
        <v>328</v>
      </c>
      <c r="C825" t="s">
        <v>1295</v>
      </c>
      <c r="D825" t="s">
        <v>1494</v>
      </c>
      <c r="E825" t="s">
        <v>37</v>
      </c>
      <c r="F825" s="1">
        <v>37525</v>
      </c>
      <c r="G825" s="2">
        <v>2002</v>
      </c>
      <c r="H825">
        <v>2021</v>
      </c>
      <c r="I825" s="2">
        <v>19</v>
      </c>
      <c r="J825">
        <v>72008</v>
      </c>
      <c r="K825" t="s">
        <v>610</v>
      </c>
      <c r="L825">
        <v>2</v>
      </c>
      <c r="M825" t="s">
        <v>16</v>
      </c>
      <c r="N825" t="s">
        <v>17</v>
      </c>
      <c r="O825" t="s">
        <v>41</v>
      </c>
    </row>
    <row r="826" spans="1:15" x14ac:dyDescent="0.3">
      <c r="A826">
        <v>825</v>
      </c>
      <c r="B826" t="s">
        <v>788</v>
      </c>
      <c r="C826" t="s">
        <v>1296</v>
      </c>
      <c r="D826" t="s">
        <v>1494</v>
      </c>
      <c r="E826" t="s">
        <v>122</v>
      </c>
      <c r="F826" s="1">
        <v>36619</v>
      </c>
      <c r="G826" s="2">
        <v>2000</v>
      </c>
      <c r="H826">
        <v>2021</v>
      </c>
      <c r="I826" s="2">
        <v>21</v>
      </c>
      <c r="J826">
        <v>89285</v>
      </c>
      <c r="K826" t="s">
        <v>66</v>
      </c>
      <c r="L826">
        <v>5</v>
      </c>
      <c r="M826" t="s">
        <v>91</v>
      </c>
      <c r="N826" t="s">
        <v>40</v>
      </c>
      <c r="O826" t="s">
        <v>123</v>
      </c>
    </row>
    <row r="827" spans="1:15" x14ac:dyDescent="0.3">
      <c r="A827">
        <v>826</v>
      </c>
      <c r="B827" t="s">
        <v>201</v>
      </c>
      <c r="C827" t="s">
        <v>1297</v>
      </c>
      <c r="D827" t="s">
        <v>1495</v>
      </c>
      <c r="E827" t="s">
        <v>37</v>
      </c>
      <c r="F827" s="1">
        <v>37843</v>
      </c>
      <c r="G827" s="2">
        <v>2003</v>
      </c>
      <c r="H827">
        <v>2021</v>
      </c>
      <c r="I827" s="2">
        <v>18</v>
      </c>
      <c r="J827">
        <v>131075</v>
      </c>
      <c r="K827" t="s">
        <v>327</v>
      </c>
      <c r="L827">
        <v>2</v>
      </c>
      <c r="M827" t="s">
        <v>16</v>
      </c>
      <c r="N827" t="s">
        <v>17</v>
      </c>
      <c r="O827" t="s">
        <v>41</v>
      </c>
    </row>
    <row r="828" spans="1:15" x14ac:dyDescent="0.3">
      <c r="A828">
        <v>827</v>
      </c>
      <c r="B828" t="s">
        <v>523</v>
      </c>
      <c r="C828" t="s">
        <v>1298</v>
      </c>
      <c r="D828" t="s">
        <v>1494</v>
      </c>
      <c r="E828" t="s">
        <v>73</v>
      </c>
      <c r="F828" s="1">
        <v>39940</v>
      </c>
      <c r="G828" s="2">
        <v>2009</v>
      </c>
      <c r="H828">
        <v>2021</v>
      </c>
      <c r="I828" s="2">
        <v>12</v>
      </c>
      <c r="J828">
        <v>110383</v>
      </c>
      <c r="K828" t="s">
        <v>958</v>
      </c>
      <c r="L828">
        <v>4</v>
      </c>
      <c r="M828" t="s">
        <v>55</v>
      </c>
      <c r="N828" t="s">
        <v>17</v>
      </c>
      <c r="O828" t="s">
        <v>41</v>
      </c>
    </row>
    <row r="829" spans="1:15" x14ac:dyDescent="0.3">
      <c r="A829">
        <v>828</v>
      </c>
      <c r="B829" t="s">
        <v>159</v>
      </c>
      <c r="C829" t="s">
        <v>1299</v>
      </c>
      <c r="D829" t="s">
        <v>1495</v>
      </c>
      <c r="E829" t="s">
        <v>44</v>
      </c>
      <c r="F829" s="1">
        <v>38551</v>
      </c>
      <c r="G829" s="2">
        <v>2005</v>
      </c>
      <c r="H829">
        <v>2021</v>
      </c>
      <c r="I829" s="2">
        <v>16</v>
      </c>
      <c r="J829">
        <v>149586</v>
      </c>
      <c r="K829" t="s">
        <v>617</v>
      </c>
      <c r="L829">
        <v>1</v>
      </c>
      <c r="M829" t="s">
        <v>46</v>
      </c>
      <c r="N829" t="s">
        <v>17</v>
      </c>
      <c r="O829" t="s">
        <v>29</v>
      </c>
    </row>
    <row r="830" spans="1:15" x14ac:dyDescent="0.3">
      <c r="A830">
        <v>829</v>
      </c>
      <c r="B830" t="s">
        <v>816</v>
      </c>
      <c r="C830" t="s">
        <v>1300</v>
      </c>
      <c r="D830" t="s">
        <v>1494</v>
      </c>
      <c r="E830" t="s">
        <v>203</v>
      </c>
      <c r="F830" s="1">
        <v>37587</v>
      </c>
      <c r="G830" s="2">
        <v>2002</v>
      </c>
      <c r="H830">
        <v>2021</v>
      </c>
      <c r="I830" s="2">
        <v>19</v>
      </c>
      <c r="J830">
        <v>89503</v>
      </c>
      <c r="K830" t="s">
        <v>709</v>
      </c>
      <c r="L830">
        <v>2</v>
      </c>
      <c r="M830" t="s">
        <v>16</v>
      </c>
      <c r="N830" t="s">
        <v>17</v>
      </c>
      <c r="O830" t="s">
        <v>41</v>
      </c>
    </row>
    <row r="831" spans="1:15" x14ac:dyDescent="0.3">
      <c r="A831">
        <v>830</v>
      </c>
      <c r="B831" t="s">
        <v>229</v>
      </c>
      <c r="C831" t="s">
        <v>1301</v>
      </c>
      <c r="D831" t="s">
        <v>1495</v>
      </c>
      <c r="E831" t="s">
        <v>14</v>
      </c>
      <c r="F831" s="1">
        <v>40251</v>
      </c>
      <c r="G831" s="2">
        <v>2010</v>
      </c>
      <c r="H831">
        <v>2021</v>
      </c>
      <c r="I831" s="2">
        <v>11</v>
      </c>
      <c r="J831">
        <v>149336</v>
      </c>
      <c r="K831" t="s">
        <v>226</v>
      </c>
      <c r="L831">
        <v>1</v>
      </c>
      <c r="M831" t="s">
        <v>46</v>
      </c>
      <c r="N831" t="s">
        <v>17</v>
      </c>
      <c r="O831" t="s">
        <v>18</v>
      </c>
    </row>
    <row r="832" spans="1:15" x14ac:dyDescent="0.3">
      <c r="A832">
        <v>831</v>
      </c>
      <c r="B832" t="s">
        <v>221</v>
      </c>
      <c r="C832" t="s">
        <v>1302</v>
      </c>
      <c r="D832" t="s">
        <v>1495</v>
      </c>
      <c r="E832" t="s">
        <v>148</v>
      </c>
      <c r="F832" s="1">
        <v>38959</v>
      </c>
      <c r="G832" s="2">
        <v>2006</v>
      </c>
      <c r="H832">
        <v>2021</v>
      </c>
      <c r="I832" s="2">
        <v>15</v>
      </c>
      <c r="J832">
        <v>140276</v>
      </c>
      <c r="K832" t="s">
        <v>169</v>
      </c>
      <c r="L832">
        <v>5</v>
      </c>
      <c r="M832" t="s">
        <v>91</v>
      </c>
      <c r="N832" t="s">
        <v>40</v>
      </c>
      <c r="O832" t="s">
        <v>112</v>
      </c>
    </row>
    <row r="833" spans="1:15" x14ac:dyDescent="0.3">
      <c r="A833">
        <v>832</v>
      </c>
      <c r="B833" t="s">
        <v>788</v>
      </c>
      <c r="C833" t="s">
        <v>1303</v>
      </c>
      <c r="D833" t="s">
        <v>1495</v>
      </c>
      <c r="E833" t="s">
        <v>79</v>
      </c>
      <c r="F833" s="1">
        <v>36989</v>
      </c>
      <c r="G833" s="2">
        <v>2001</v>
      </c>
      <c r="H833">
        <v>2021</v>
      </c>
      <c r="I833" s="2">
        <v>20</v>
      </c>
      <c r="J833">
        <v>127875</v>
      </c>
      <c r="K833" t="s">
        <v>659</v>
      </c>
      <c r="L833">
        <v>7</v>
      </c>
      <c r="M833" t="s">
        <v>39</v>
      </c>
      <c r="N833" t="s">
        <v>40</v>
      </c>
      <c r="O833" t="s">
        <v>41</v>
      </c>
    </row>
    <row r="834" spans="1:15" x14ac:dyDescent="0.3">
      <c r="A834">
        <v>833</v>
      </c>
      <c r="B834" t="s">
        <v>354</v>
      </c>
      <c r="C834" t="s">
        <v>1304</v>
      </c>
      <c r="D834" t="s">
        <v>1495</v>
      </c>
      <c r="E834" t="s">
        <v>238</v>
      </c>
      <c r="F834" s="1">
        <v>39962</v>
      </c>
      <c r="G834" s="2">
        <v>2009</v>
      </c>
      <c r="H834">
        <v>2021</v>
      </c>
      <c r="I834" s="2">
        <v>12</v>
      </c>
      <c r="J834">
        <v>137704</v>
      </c>
      <c r="K834" t="s">
        <v>581</v>
      </c>
      <c r="L834">
        <v>4</v>
      </c>
      <c r="M834" t="s">
        <v>55</v>
      </c>
      <c r="N834" t="s">
        <v>17</v>
      </c>
      <c r="O834" t="s">
        <v>63</v>
      </c>
    </row>
    <row r="835" spans="1:15" x14ac:dyDescent="0.3">
      <c r="A835">
        <v>834</v>
      </c>
      <c r="B835" t="s">
        <v>943</v>
      </c>
      <c r="C835" t="s">
        <v>1305</v>
      </c>
      <c r="D835" t="s">
        <v>1495</v>
      </c>
      <c r="E835" t="s">
        <v>79</v>
      </c>
      <c r="F835" s="1">
        <v>41291</v>
      </c>
      <c r="G835" s="2">
        <v>2013</v>
      </c>
      <c r="H835">
        <v>2021</v>
      </c>
      <c r="I835" s="2">
        <v>8</v>
      </c>
      <c r="J835">
        <v>149221</v>
      </c>
      <c r="K835" t="s">
        <v>247</v>
      </c>
      <c r="L835">
        <v>2</v>
      </c>
      <c r="M835" t="s">
        <v>16</v>
      </c>
      <c r="N835" t="s">
        <v>17</v>
      </c>
      <c r="O835" t="s">
        <v>41</v>
      </c>
    </row>
    <row r="836" spans="1:15" x14ac:dyDescent="0.3">
      <c r="A836">
        <v>835</v>
      </c>
      <c r="B836" t="s">
        <v>564</v>
      </c>
      <c r="C836" t="s">
        <v>1306</v>
      </c>
      <c r="D836" t="s">
        <v>1494</v>
      </c>
      <c r="E836" t="s">
        <v>73</v>
      </c>
      <c r="F836" s="1">
        <v>41794</v>
      </c>
      <c r="G836" s="2">
        <v>2014</v>
      </c>
      <c r="H836">
        <v>2021</v>
      </c>
      <c r="I836" s="2">
        <v>7</v>
      </c>
      <c r="J836">
        <v>148573</v>
      </c>
      <c r="K836" t="s">
        <v>111</v>
      </c>
      <c r="L836">
        <v>4</v>
      </c>
      <c r="M836" t="s">
        <v>55</v>
      </c>
      <c r="N836" t="s">
        <v>17</v>
      </c>
      <c r="O836" t="s">
        <v>41</v>
      </c>
    </row>
    <row r="837" spans="1:15" x14ac:dyDescent="0.3">
      <c r="A837">
        <v>836</v>
      </c>
      <c r="B837" t="s">
        <v>233</v>
      </c>
      <c r="C837" t="s">
        <v>1307</v>
      </c>
      <c r="D837" t="s">
        <v>1495</v>
      </c>
      <c r="E837" t="s">
        <v>79</v>
      </c>
      <c r="F837" s="1">
        <v>37519</v>
      </c>
      <c r="G837" s="2">
        <v>2002</v>
      </c>
      <c r="H837">
        <v>2021</v>
      </c>
      <c r="I837" s="2">
        <v>19</v>
      </c>
      <c r="J837">
        <v>125378</v>
      </c>
      <c r="K837" t="s">
        <v>107</v>
      </c>
      <c r="L837">
        <v>4</v>
      </c>
      <c r="M837" t="s">
        <v>55</v>
      </c>
      <c r="N837" t="s">
        <v>17</v>
      </c>
      <c r="O837" t="s">
        <v>41</v>
      </c>
    </row>
    <row r="838" spans="1:15" x14ac:dyDescent="0.3">
      <c r="A838">
        <v>837</v>
      </c>
      <c r="B838" t="s">
        <v>882</v>
      </c>
      <c r="C838" t="s">
        <v>1308</v>
      </c>
      <c r="D838" t="s">
        <v>1495</v>
      </c>
      <c r="E838" t="s">
        <v>32</v>
      </c>
      <c r="F838" s="1">
        <v>38972</v>
      </c>
      <c r="G838" s="2">
        <v>2006</v>
      </c>
      <c r="H838">
        <v>2021</v>
      </c>
      <c r="I838" s="3">
        <v>15</v>
      </c>
      <c r="J838">
        <v>66420</v>
      </c>
      <c r="K838" t="s">
        <v>397</v>
      </c>
      <c r="L838">
        <v>7</v>
      </c>
      <c r="M838" t="s">
        <v>39</v>
      </c>
      <c r="N838" t="s">
        <v>40</v>
      </c>
      <c r="O838" t="s">
        <v>34</v>
      </c>
    </row>
    <row r="839" spans="1:15" x14ac:dyDescent="0.3">
      <c r="A839">
        <v>838</v>
      </c>
      <c r="B839" t="s">
        <v>67</v>
      </c>
      <c r="C839" t="s">
        <v>1309</v>
      </c>
      <c r="D839" t="s">
        <v>1494</v>
      </c>
      <c r="E839" t="s">
        <v>53</v>
      </c>
      <c r="F839" s="1">
        <v>39719</v>
      </c>
      <c r="G839" s="2">
        <v>2008</v>
      </c>
      <c r="H839">
        <v>2021</v>
      </c>
      <c r="I839" s="2">
        <v>13</v>
      </c>
      <c r="J839">
        <v>117171</v>
      </c>
      <c r="K839" t="s">
        <v>169</v>
      </c>
      <c r="L839">
        <v>4</v>
      </c>
      <c r="M839" t="s">
        <v>55</v>
      </c>
      <c r="N839" t="s">
        <v>17</v>
      </c>
      <c r="O839" t="s">
        <v>23</v>
      </c>
    </row>
    <row r="840" spans="1:15" x14ac:dyDescent="0.3">
      <c r="A840">
        <v>839</v>
      </c>
      <c r="B840" t="s">
        <v>638</v>
      </c>
      <c r="C840" t="s">
        <v>1310</v>
      </c>
      <c r="D840" t="s">
        <v>1495</v>
      </c>
      <c r="E840" t="s">
        <v>203</v>
      </c>
      <c r="F840" s="1">
        <v>39744</v>
      </c>
      <c r="G840" s="2">
        <v>2008</v>
      </c>
      <c r="H840">
        <v>2021</v>
      </c>
      <c r="I840" s="2">
        <v>13</v>
      </c>
      <c r="J840">
        <v>145962</v>
      </c>
      <c r="K840" t="s">
        <v>691</v>
      </c>
      <c r="L840">
        <v>3</v>
      </c>
      <c r="M840" t="s">
        <v>28</v>
      </c>
      <c r="N840" t="s">
        <v>17</v>
      </c>
      <c r="O840" t="s">
        <v>41</v>
      </c>
    </row>
    <row r="841" spans="1:15" x14ac:dyDescent="0.3">
      <c r="A841">
        <v>840</v>
      </c>
      <c r="B841" t="s">
        <v>273</v>
      </c>
      <c r="C841" t="s">
        <v>1311</v>
      </c>
      <c r="D841" t="s">
        <v>1494</v>
      </c>
      <c r="E841" t="s">
        <v>122</v>
      </c>
      <c r="F841" s="1">
        <v>37183</v>
      </c>
      <c r="G841" s="2">
        <v>2001</v>
      </c>
      <c r="H841">
        <v>2021</v>
      </c>
      <c r="I841" s="2">
        <v>20</v>
      </c>
      <c r="J841">
        <v>73778</v>
      </c>
      <c r="K841" t="s">
        <v>62</v>
      </c>
      <c r="L841">
        <v>2</v>
      </c>
      <c r="M841" t="s">
        <v>16</v>
      </c>
      <c r="N841" t="s">
        <v>17</v>
      </c>
      <c r="O841" t="s">
        <v>123</v>
      </c>
    </row>
    <row r="842" spans="1:15" x14ac:dyDescent="0.3">
      <c r="A842">
        <v>841</v>
      </c>
      <c r="B842" t="s">
        <v>433</v>
      </c>
      <c r="C842" t="s">
        <v>1312</v>
      </c>
      <c r="D842" t="s">
        <v>1494</v>
      </c>
      <c r="E842" t="s">
        <v>85</v>
      </c>
      <c r="F842" s="1">
        <v>39511</v>
      </c>
      <c r="G842" s="2">
        <v>2008</v>
      </c>
      <c r="H842">
        <v>2021</v>
      </c>
      <c r="I842" s="2">
        <v>13</v>
      </c>
      <c r="J842">
        <v>76731</v>
      </c>
      <c r="K842" t="s">
        <v>1033</v>
      </c>
      <c r="L842">
        <v>2</v>
      </c>
      <c r="M842" t="s">
        <v>16</v>
      </c>
      <c r="N842" t="s">
        <v>17</v>
      </c>
      <c r="O842" t="s">
        <v>41</v>
      </c>
    </row>
    <row r="843" spans="1:15" x14ac:dyDescent="0.3">
      <c r="A843">
        <v>842</v>
      </c>
      <c r="B843" t="s">
        <v>845</v>
      </c>
      <c r="C843" t="s">
        <v>1313</v>
      </c>
      <c r="D843" t="s">
        <v>1495</v>
      </c>
      <c r="E843" t="s">
        <v>129</v>
      </c>
      <c r="F843" s="1">
        <v>39642</v>
      </c>
      <c r="G843" s="2">
        <v>2008</v>
      </c>
      <c r="H843">
        <v>2021</v>
      </c>
      <c r="I843" s="2">
        <v>13</v>
      </c>
      <c r="J843">
        <v>101653</v>
      </c>
      <c r="K843" t="s">
        <v>803</v>
      </c>
      <c r="L843">
        <v>6</v>
      </c>
      <c r="M843" t="s">
        <v>50</v>
      </c>
      <c r="N843" t="s">
        <v>40</v>
      </c>
      <c r="O843" t="s">
        <v>41</v>
      </c>
    </row>
    <row r="844" spans="1:15" x14ac:dyDescent="0.3">
      <c r="A844">
        <v>843</v>
      </c>
      <c r="B844" t="s">
        <v>192</v>
      </c>
      <c r="C844" t="s">
        <v>1314</v>
      </c>
      <c r="D844" t="s">
        <v>1494</v>
      </c>
      <c r="E844" t="s">
        <v>110</v>
      </c>
      <c r="F844" s="1">
        <v>36902</v>
      </c>
      <c r="G844" s="2">
        <v>2001</v>
      </c>
      <c r="H844">
        <v>2021</v>
      </c>
      <c r="I844" s="2">
        <v>20</v>
      </c>
      <c r="J844">
        <v>62534</v>
      </c>
      <c r="K844" t="s">
        <v>181</v>
      </c>
      <c r="L844">
        <v>3</v>
      </c>
      <c r="M844" t="s">
        <v>28</v>
      </c>
      <c r="N844" t="s">
        <v>17</v>
      </c>
      <c r="O844" t="s">
        <v>112</v>
      </c>
    </row>
    <row r="845" spans="1:15" x14ac:dyDescent="0.3">
      <c r="A845">
        <v>844</v>
      </c>
      <c r="B845" t="s">
        <v>766</v>
      </c>
      <c r="C845" t="s">
        <v>1315</v>
      </c>
      <c r="D845" t="s">
        <v>1494</v>
      </c>
      <c r="E845" t="s">
        <v>148</v>
      </c>
      <c r="F845" s="1">
        <v>41394</v>
      </c>
      <c r="G845" s="2">
        <v>2013</v>
      </c>
      <c r="H845">
        <v>2021</v>
      </c>
      <c r="I845" s="2">
        <v>8</v>
      </c>
      <c r="J845">
        <v>100428</v>
      </c>
      <c r="K845" t="s">
        <v>1316</v>
      </c>
      <c r="L845">
        <v>3</v>
      </c>
      <c r="M845" t="s">
        <v>28</v>
      </c>
      <c r="N845" t="s">
        <v>17</v>
      </c>
      <c r="O845" t="s">
        <v>112</v>
      </c>
    </row>
    <row r="846" spans="1:15" x14ac:dyDescent="0.3">
      <c r="A846">
        <v>845</v>
      </c>
      <c r="B846" t="s">
        <v>243</v>
      </c>
      <c r="C846" t="s">
        <v>1317</v>
      </c>
      <c r="D846" t="s">
        <v>1494</v>
      </c>
      <c r="E846" t="s">
        <v>85</v>
      </c>
      <c r="F846" s="1">
        <v>37227</v>
      </c>
      <c r="G846" s="2">
        <v>2001</v>
      </c>
      <c r="H846">
        <v>2021</v>
      </c>
      <c r="I846" s="2">
        <v>20</v>
      </c>
      <c r="J846">
        <v>109828</v>
      </c>
      <c r="K846" t="s">
        <v>97</v>
      </c>
      <c r="L846">
        <v>6</v>
      </c>
      <c r="M846" t="s">
        <v>50</v>
      </c>
      <c r="N846" t="s">
        <v>40</v>
      </c>
      <c r="O846" t="s">
        <v>41</v>
      </c>
    </row>
    <row r="847" spans="1:15" x14ac:dyDescent="0.3">
      <c r="A847">
        <v>846</v>
      </c>
      <c r="B847" t="s">
        <v>508</v>
      </c>
      <c r="C847" t="s">
        <v>1318</v>
      </c>
      <c r="D847" t="s">
        <v>1495</v>
      </c>
      <c r="E847" t="s">
        <v>32</v>
      </c>
      <c r="F847" s="1">
        <v>36971</v>
      </c>
      <c r="G847" s="2">
        <v>2001</v>
      </c>
      <c r="H847">
        <v>2021</v>
      </c>
      <c r="I847" s="3">
        <v>20</v>
      </c>
      <c r="J847">
        <v>63133</v>
      </c>
      <c r="K847" t="s">
        <v>397</v>
      </c>
      <c r="L847">
        <v>5</v>
      </c>
      <c r="M847" t="s">
        <v>91</v>
      </c>
      <c r="N847" t="s">
        <v>40</v>
      </c>
      <c r="O847" t="s">
        <v>34</v>
      </c>
    </row>
    <row r="848" spans="1:15" x14ac:dyDescent="0.3">
      <c r="A848">
        <v>847</v>
      </c>
      <c r="B848" t="s">
        <v>236</v>
      </c>
      <c r="C848" t="s">
        <v>1319</v>
      </c>
      <c r="D848" t="s">
        <v>1495</v>
      </c>
      <c r="E848" t="s">
        <v>69</v>
      </c>
      <c r="F848" s="1">
        <v>39529</v>
      </c>
      <c r="G848" s="2">
        <v>2008</v>
      </c>
      <c r="H848">
        <v>2021</v>
      </c>
      <c r="I848" s="2">
        <v>13</v>
      </c>
      <c r="J848">
        <v>91532</v>
      </c>
      <c r="K848" t="s">
        <v>235</v>
      </c>
      <c r="L848">
        <v>4</v>
      </c>
      <c r="M848" t="s">
        <v>55</v>
      </c>
      <c r="N848" t="s">
        <v>17</v>
      </c>
      <c r="O848" t="s">
        <v>41</v>
      </c>
    </row>
    <row r="849" spans="1:15" x14ac:dyDescent="0.3">
      <c r="A849">
        <v>848</v>
      </c>
      <c r="B849" t="s">
        <v>325</v>
      </c>
      <c r="C849" t="s">
        <v>1320</v>
      </c>
      <c r="D849" t="s">
        <v>1495</v>
      </c>
      <c r="E849" t="s">
        <v>312</v>
      </c>
      <c r="F849" s="1">
        <v>38378</v>
      </c>
      <c r="G849" s="2">
        <v>2005</v>
      </c>
      <c r="H849">
        <v>2021</v>
      </c>
      <c r="I849" s="2">
        <v>16</v>
      </c>
      <c r="J849">
        <v>101646</v>
      </c>
      <c r="K849" t="s">
        <v>194</v>
      </c>
      <c r="L849">
        <v>1</v>
      </c>
      <c r="M849" t="s">
        <v>46</v>
      </c>
      <c r="N849" t="s">
        <v>17</v>
      </c>
      <c r="O849" t="s">
        <v>41</v>
      </c>
    </row>
    <row r="850" spans="1:15" x14ac:dyDescent="0.3">
      <c r="A850">
        <v>849</v>
      </c>
      <c r="B850" t="s">
        <v>762</v>
      </c>
      <c r="C850" t="s">
        <v>1321</v>
      </c>
      <c r="D850" t="s">
        <v>1494</v>
      </c>
      <c r="E850" t="s">
        <v>37</v>
      </c>
      <c r="F850" s="1">
        <v>37470</v>
      </c>
      <c r="G850" s="2">
        <v>2002</v>
      </c>
      <c r="H850">
        <v>2021</v>
      </c>
      <c r="I850" s="2">
        <v>19</v>
      </c>
      <c r="J850">
        <v>68034</v>
      </c>
      <c r="K850" t="s">
        <v>247</v>
      </c>
      <c r="L850">
        <v>4</v>
      </c>
      <c r="M850" t="s">
        <v>55</v>
      </c>
      <c r="N850" t="s">
        <v>17</v>
      </c>
      <c r="O850" t="s">
        <v>41</v>
      </c>
    </row>
    <row r="851" spans="1:15" x14ac:dyDescent="0.3">
      <c r="A851">
        <v>850</v>
      </c>
      <c r="B851" t="s">
        <v>12</v>
      </c>
      <c r="C851" t="s">
        <v>1322</v>
      </c>
      <c r="D851" t="s">
        <v>1494</v>
      </c>
      <c r="E851" t="s">
        <v>85</v>
      </c>
      <c r="F851" s="1">
        <v>41003</v>
      </c>
      <c r="G851" s="2">
        <v>2012</v>
      </c>
      <c r="H851">
        <v>2021</v>
      </c>
      <c r="I851" s="2">
        <v>9</v>
      </c>
      <c r="J851">
        <v>55214</v>
      </c>
      <c r="K851" t="s">
        <v>764</v>
      </c>
      <c r="L851">
        <v>2</v>
      </c>
      <c r="M851" t="s">
        <v>16</v>
      </c>
      <c r="N851" t="s">
        <v>17</v>
      </c>
      <c r="O851" t="s">
        <v>41</v>
      </c>
    </row>
    <row r="852" spans="1:15" x14ac:dyDescent="0.3">
      <c r="A852">
        <v>851</v>
      </c>
      <c r="B852" t="s">
        <v>480</v>
      </c>
      <c r="C852" t="s">
        <v>1323</v>
      </c>
      <c r="D852" t="s">
        <v>1495</v>
      </c>
      <c r="E852" t="s">
        <v>26</v>
      </c>
      <c r="F852" s="1">
        <v>37619</v>
      </c>
      <c r="G852" s="2">
        <v>2002</v>
      </c>
      <c r="H852">
        <v>2021</v>
      </c>
      <c r="I852" s="2">
        <v>19</v>
      </c>
      <c r="J852">
        <v>136448</v>
      </c>
      <c r="K852" t="s">
        <v>1324</v>
      </c>
      <c r="L852">
        <v>4</v>
      </c>
      <c r="M852" t="s">
        <v>55</v>
      </c>
      <c r="N852" t="s">
        <v>17</v>
      </c>
      <c r="O852" t="s">
        <v>29</v>
      </c>
    </row>
    <row r="853" spans="1:15" x14ac:dyDescent="0.3">
      <c r="A853">
        <v>852</v>
      </c>
      <c r="B853" t="s">
        <v>379</v>
      </c>
      <c r="C853" t="s">
        <v>1325</v>
      </c>
      <c r="D853" t="s">
        <v>1494</v>
      </c>
      <c r="E853" t="s">
        <v>312</v>
      </c>
      <c r="F853" s="1">
        <v>40299</v>
      </c>
      <c r="G853" s="2">
        <v>2010</v>
      </c>
      <c r="H853">
        <v>2021</v>
      </c>
      <c r="I853" s="2">
        <v>11</v>
      </c>
      <c r="J853">
        <v>76086</v>
      </c>
      <c r="K853" t="s">
        <v>239</v>
      </c>
      <c r="L853">
        <v>7</v>
      </c>
      <c r="M853" t="s">
        <v>39</v>
      </c>
      <c r="N853" t="s">
        <v>40</v>
      </c>
      <c r="O853" t="s">
        <v>41</v>
      </c>
    </row>
    <row r="854" spans="1:15" x14ac:dyDescent="0.3">
      <c r="A854">
        <v>853</v>
      </c>
      <c r="B854" t="s">
        <v>986</v>
      </c>
      <c r="C854" t="s">
        <v>1326</v>
      </c>
      <c r="D854" t="s">
        <v>1494</v>
      </c>
      <c r="E854" t="s">
        <v>129</v>
      </c>
      <c r="F854" s="1">
        <v>41489</v>
      </c>
      <c r="G854" s="2">
        <v>2013</v>
      </c>
      <c r="H854">
        <v>2021</v>
      </c>
      <c r="I854" s="2">
        <v>8</v>
      </c>
      <c r="J854">
        <v>128947</v>
      </c>
      <c r="K854" t="s">
        <v>327</v>
      </c>
      <c r="L854">
        <v>5</v>
      </c>
      <c r="M854" t="s">
        <v>91</v>
      </c>
      <c r="N854" t="s">
        <v>40</v>
      </c>
      <c r="O854" t="s">
        <v>41</v>
      </c>
    </row>
    <row r="855" spans="1:15" x14ac:dyDescent="0.3">
      <c r="A855">
        <v>854</v>
      </c>
      <c r="B855" t="s">
        <v>544</v>
      </c>
      <c r="C855" t="s">
        <v>1327</v>
      </c>
      <c r="D855" t="s">
        <v>1494</v>
      </c>
      <c r="E855" t="s">
        <v>44</v>
      </c>
      <c r="F855" s="1">
        <v>39004</v>
      </c>
      <c r="G855" s="2">
        <v>2006</v>
      </c>
      <c r="H855">
        <v>2021</v>
      </c>
      <c r="I855" s="2">
        <v>15</v>
      </c>
      <c r="J855">
        <v>113354</v>
      </c>
      <c r="K855" t="s">
        <v>97</v>
      </c>
      <c r="L855">
        <v>4</v>
      </c>
      <c r="M855" t="s">
        <v>55</v>
      </c>
      <c r="N855" t="s">
        <v>17</v>
      </c>
      <c r="O855" t="s">
        <v>29</v>
      </c>
    </row>
    <row r="856" spans="1:15" x14ac:dyDescent="0.3">
      <c r="A856">
        <v>855</v>
      </c>
      <c r="B856" t="s">
        <v>889</v>
      </c>
      <c r="C856" t="s">
        <v>1328</v>
      </c>
      <c r="D856" t="s">
        <v>1494</v>
      </c>
      <c r="E856" t="s">
        <v>110</v>
      </c>
      <c r="F856" s="1">
        <v>41050</v>
      </c>
      <c r="G856" s="2">
        <v>2012</v>
      </c>
      <c r="H856">
        <v>2021</v>
      </c>
      <c r="I856" s="2">
        <v>9</v>
      </c>
      <c r="J856">
        <v>75125</v>
      </c>
      <c r="K856" t="s">
        <v>191</v>
      </c>
      <c r="L856">
        <v>7</v>
      </c>
      <c r="M856" t="s">
        <v>39</v>
      </c>
      <c r="N856" t="s">
        <v>40</v>
      </c>
      <c r="O856" t="s">
        <v>112</v>
      </c>
    </row>
    <row r="857" spans="1:15" x14ac:dyDescent="0.3">
      <c r="A857">
        <v>856</v>
      </c>
      <c r="B857" t="s">
        <v>414</v>
      </c>
      <c r="C857" t="s">
        <v>1329</v>
      </c>
      <c r="D857" t="s">
        <v>1495</v>
      </c>
      <c r="E857" t="s">
        <v>69</v>
      </c>
      <c r="F857" s="1">
        <v>38038</v>
      </c>
      <c r="G857" s="2">
        <v>2004</v>
      </c>
      <c r="H857">
        <v>2021</v>
      </c>
      <c r="I857" s="2">
        <v>17</v>
      </c>
      <c r="J857">
        <v>139714</v>
      </c>
      <c r="K857" t="s">
        <v>327</v>
      </c>
      <c r="L857">
        <v>2</v>
      </c>
      <c r="M857" t="s">
        <v>16</v>
      </c>
      <c r="N857" t="s">
        <v>17</v>
      </c>
      <c r="O857" t="s">
        <v>41</v>
      </c>
    </row>
    <row r="858" spans="1:15" x14ac:dyDescent="0.3">
      <c r="A858">
        <v>857</v>
      </c>
      <c r="B858" t="s">
        <v>367</v>
      </c>
      <c r="C858" t="s">
        <v>1330</v>
      </c>
      <c r="D858" t="s">
        <v>1494</v>
      </c>
      <c r="E858" t="s">
        <v>53</v>
      </c>
      <c r="F858" s="1">
        <v>37914</v>
      </c>
      <c r="G858" s="2">
        <v>2003</v>
      </c>
      <c r="H858">
        <v>2021</v>
      </c>
      <c r="I858" s="2">
        <v>18</v>
      </c>
      <c r="J858">
        <v>43537</v>
      </c>
      <c r="K858" t="s">
        <v>327</v>
      </c>
      <c r="L858">
        <v>4</v>
      </c>
      <c r="M858" t="s">
        <v>55</v>
      </c>
      <c r="N858" t="s">
        <v>17</v>
      </c>
      <c r="O858" t="s">
        <v>23</v>
      </c>
    </row>
    <row r="859" spans="1:15" x14ac:dyDescent="0.3">
      <c r="A859">
        <v>858</v>
      </c>
      <c r="B859" t="s">
        <v>710</v>
      </c>
      <c r="C859" t="s">
        <v>1331</v>
      </c>
      <c r="D859" t="s">
        <v>1495</v>
      </c>
      <c r="E859" t="s">
        <v>26</v>
      </c>
      <c r="F859" s="1">
        <v>37218</v>
      </c>
      <c r="G859" s="2">
        <v>2001</v>
      </c>
      <c r="H859">
        <v>2021</v>
      </c>
      <c r="I859" s="2">
        <v>20</v>
      </c>
      <c r="J859">
        <v>127521</v>
      </c>
      <c r="K859" t="s">
        <v>153</v>
      </c>
      <c r="L859">
        <v>4</v>
      </c>
      <c r="M859" t="s">
        <v>55</v>
      </c>
      <c r="N859" t="s">
        <v>17</v>
      </c>
      <c r="O859" t="s">
        <v>29</v>
      </c>
    </row>
    <row r="860" spans="1:15" x14ac:dyDescent="0.3">
      <c r="A860">
        <v>859</v>
      </c>
      <c r="B860" t="s">
        <v>642</v>
      </c>
      <c r="C860" t="s">
        <v>1332</v>
      </c>
      <c r="D860" t="s">
        <v>1494</v>
      </c>
      <c r="E860" t="s">
        <v>203</v>
      </c>
      <c r="F860" s="1">
        <v>39132</v>
      </c>
      <c r="G860" s="2">
        <v>2007</v>
      </c>
      <c r="H860">
        <v>2021</v>
      </c>
      <c r="I860" s="2">
        <v>14</v>
      </c>
      <c r="J860">
        <v>112510</v>
      </c>
      <c r="K860" t="s">
        <v>200</v>
      </c>
      <c r="L860">
        <v>4</v>
      </c>
      <c r="M860" t="s">
        <v>55</v>
      </c>
      <c r="N860" t="s">
        <v>17</v>
      </c>
      <c r="O860" t="s">
        <v>41</v>
      </c>
    </row>
    <row r="861" spans="1:15" x14ac:dyDescent="0.3">
      <c r="A861">
        <v>860</v>
      </c>
      <c r="B861" t="s">
        <v>483</v>
      </c>
      <c r="C861" t="s">
        <v>1333</v>
      </c>
      <c r="D861" t="s">
        <v>1494</v>
      </c>
      <c r="E861" t="s">
        <v>21</v>
      </c>
      <c r="F861" s="1">
        <v>38347</v>
      </c>
      <c r="G861" s="2">
        <v>2004</v>
      </c>
      <c r="H861">
        <v>2021</v>
      </c>
      <c r="I861" s="2">
        <v>17</v>
      </c>
      <c r="J861">
        <v>115009</v>
      </c>
      <c r="K861" t="s">
        <v>15</v>
      </c>
      <c r="L861">
        <v>4</v>
      </c>
      <c r="M861" t="s">
        <v>55</v>
      </c>
      <c r="N861" t="s">
        <v>17</v>
      </c>
      <c r="O861" t="s">
        <v>23</v>
      </c>
    </row>
    <row r="862" spans="1:15" x14ac:dyDescent="0.3">
      <c r="A862">
        <v>861</v>
      </c>
      <c r="B862" t="s">
        <v>521</v>
      </c>
      <c r="C862" t="s">
        <v>1334</v>
      </c>
      <c r="D862" t="s">
        <v>1495</v>
      </c>
      <c r="E862" t="s">
        <v>94</v>
      </c>
      <c r="F862" s="1">
        <v>41395</v>
      </c>
      <c r="G862" s="2">
        <v>2013</v>
      </c>
      <c r="H862">
        <v>2021</v>
      </c>
      <c r="I862" s="2">
        <v>8</v>
      </c>
      <c r="J862">
        <v>64381</v>
      </c>
      <c r="K862" t="s">
        <v>497</v>
      </c>
      <c r="L862">
        <v>7</v>
      </c>
      <c r="M862" t="s">
        <v>39</v>
      </c>
      <c r="N862" t="s">
        <v>40</v>
      </c>
      <c r="O862" t="s">
        <v>18</v>
      </c>
    </row>
    <row r="863" spans="1:15" x14ac:dyDescent="0.3">
      <c r="A863">
        <v>862</v>
      </c>
      <c r="B863" t="s">
        <v>494</v>
      </c>
      <c r="C863" t="s">
        <v>1335</v>
      </c>
      <c r="D863" t="s">
        <v>1495</v>
      </c>
      <c r="E863" t="s">
        <v>37</v>
      </c>
      <c r="F863" s="1">
        <v>36932</v>
      </c>
      <c r="G863" s="2">
        <v>2001</v>
      </c>
      <c r="H863">
        <v>2021</v>
      </c>
      <c r="I863" s="2">
        <v>20</v>
      </c>
      <c r="J863">
        <v>149929</v>
      </c>
      <c r="K863" t="s">
        <v>242</v>
      </c>
      <c r="L863">
        <v>6</v>
      </c>
      <c r="M863" t="s">
        <v>50</v>
      </c>
      <c r="N863" t="s">
        <v>40</v>
      </c>
      <c r="O863" t="s">
        <v>41</v>
      </c>
    </row>
    <row r="864" spans="1:15" x14ac:dyDescent="0.3">
      <c r="A864">
        <v>863</v>
      </c>
      <c r="B864" t="s">
        <v>569</v>
      </c>
      <c r="C864" t="s">
        <v>1336</v>
      </c>
      <c r="D864" t="s">
        <v>1495</v>
      </c>
      <c r="E864" t="s">
        <v>26</v>
      </c>
      <c r="F864" s="1">
        <v>37141</v>
      </c>
      <c r="G864" s="2">
        <v>2001</v>
      </c>
      <c r="H864">
        <v>2021</v>
      </c>
      <c r="I864" s="2">
        <v>20</v>
      </c>
      <c r="J864">
        <v>101006</v>
      </c>
      <c r="K864" t="s">
        <v>58</v>
      </c>
      <c r="L864">
        <v>2</v>
      </c>
      <c r="M864" t="s">
        <v>16</v>
      </c>
      <c r="N864" t="s">
        <v>17</v>
      </c>
      <c r="O864" t="s">
        <v>29</v>
      </c>
    </row>
    <row r="865" spans="1:15" x14ac:dyDescent="0.3">
      <c r="A865">
        <v>864</v>
      </c>
      <c r="B865" t="s">
        <v>1028</v>
      </c>
      <c r="C865" t="s">
        <v>1337</v>
      </c>
      <c r="D865" t="s">
        <v>1495</v>
      </c>
      <c r="E865" t="s">
        <v>129</v>
      </c>
      <c r="F865" s="1">
        <v>41518</v>
      </c>
      <c r="G865" s="2">
        <v>2013</v>
      </c>
      <c r="H865">
        <v>2021</v>
      </c>
      <c r="I865" s="2">
        <v>8</v>
      </c>
      <c r="J865">
        <v>47716</v>
      </c>
      <c r="K865" t="s">
        <v>126</v>
      </c>
      <c r="L865">
        <v>2</v>
      </c>
      <c r="M865" t="s">
        <v>16</v>
      </c>
      <c r="N865" t="s">
        <v>17</v>
      </c>
      <c r="O865" t="s">
        <v>41</v>
      </c>
    </row>
    <row r="866" spans="1:15" x14ac:dyDescent="0.3">
      <c r="A866">
        <v>865</v>
      </c>
      <c r="B866" t="s">
        <v>182</v>
      </c>
      <c r="C866" t="s">
        <v>1338</v>
      </c>
      <c r="D866" t="s">
        <v>1495</v>
      </c>
      <c r="E866" t="s">
        <v>21</v>
      </c>
      <c r="F866" s="1">
        <v>39811</v>
      </c>
      <c r="G866" s="2">
        <v>2008</v>
      </c>
      <c r="H866">
        <v>2021</v>
      </c>
      <c r="I866" s="2">
        <v>13</v>
      </c>
      <c r="J866">
        <v>126420</v>
      </c>
      <c r="K866" t="s">
        <v>490</v>
      </c>
      <c r="L866">
        <v>6</v>
      </c>
      <c r="M866" t="s">
        <v>50</v>
      </c>
      <c r="N866" t="s">
        <v>40</v>
      </c>
      <c r="O866" t="s">
        <v>23</v>
      </c>
    </row>
    <row r="867" spans="1:15" x14ac:dyDescent="0.3">
      <c r="A867">
        <v>866</v>
      </c>
      <c r="B867" t="s">
        <v>108</v>
      </c>
      <c r="C867" t="s">
        <v>1339</v>
      </c>
      <c r="D867" t="s">
        <v>1495</v>
      </c>
      <c r="E867" t="s">
        <v>21</v>
      </c>
      <c r="F867" s="1">
        <v>40787</v>
      </c>
      <c r="G867" s="2">
        <v>2011</v>
      </c>
      <c r="H867">
        <v>2021</v>
      </c>
      <c r="I867" s="2">
        <v>10</v>
      </c>
      <c r="J867">
        <v>55265</v>
      </c>
      <c r="K867" t="s">
        <v>539</v>
      </c>
      <c r="L867">
        <v>1</v>
      </c>
      <c r="M867" t="s">
        <v>46</v>
      </c>
      <c r="N867" t="s">
        <v>17</v>
      </c>
      <c r="O867" t="s">
        <v>23</v>
      </c>
    </row>
    <row r="868" spans="1:15" x14ac:dyDescent="0.3">
      <c r="A868">
        <v>867</v>
      </c>
      <c r="B868" t="s">
        <v>175</v>
      </c>
      <c r="C868" t="s">
        <v>1340</v>
      </c>
      <c r="D868" t="s">
        <v>1495</v>
      </c>
      <c r="E868" t="s">
        <v>122</v>
      </c>
      <c r="F868" s="1">
        <v>40986</v>
      </c>
      <c r="G868" s="2">
        <v>2012</v>
      </c>
      <c r="H868">
        <v>2021</v>
      </c>
      <c r="I868" s="2">
        <v>9</v>
      </c>
      <c r="J868">
        <v>95679</v>
      </c>
      <c r="K868" t="s">
        <v>360</v>
      </c>
      <c r="L868">
        <v>3</v>
      </c>
      <c r="M868" t="s">
        <v>28</v>
      </c>
      <c r="N868" t="s">
        <v>17</v>
      </c>
      <c r="O868" t="s">
        <v>123</v>
      </c>
    </row>
    <row r="869" spans="1:15" x14ac:dyDescent="0.3">
      <c r="A869">
        <v>868</v>
      </c>
      <c r="B869" t="s">
        <v>124</v>
      </c>
      <c r="C869" t="s">
        <v>1341</v>
      </c>
      <c r="D869" t="s">
        <v>1494</v>
      </c>
      <c r="E869" t="s">
        <v>61</v>
      </c>
      <c r="F869" s="1">
        <v>37645</v>
      </c>
      <c r="G869" s="2">
        <v>2003</v>
      </c>
      <c r="H869">
        <v>2021</v>
      </c>
      <c r="I869" s="2">
        <v>18</v>
      </c>
      <c r="J869">
        <v>52612</v>
      </c>
      <c r="K869" t="s">
        <v>425</v>
      </c>
      <c r="L869">
        <v>7</v>
      </c>
      <c r="M869" t="s">
        <v>39</v>
      </c>
      <c r="N869" t="s">
        <v>40</v>
      </c>
      <c r="O869" t="s">
        <v>63</v>
      </c>
    </row>
    <row r="870" spans="1:15" x14ac:dyDescent="0.3">
      <c r="A870">
        <v>869</v>
      </c>
      <c r="B870" t="s">
        <v>788</v>
      </c>
      <c r="C870" t="s">
        <v>1342</v>
      </c>
      <c r="D870" t="s">
        <v>1495</v>
      </c>
      <c r="E870" t="s">
        <v>312</v>
      </c>
      <c r="F870" s="1">
        <v>40522</v>
      </c>
      <c r="G870" s="2">
        <v>2010</v>
      </c>
      <c r="H870">
        <v>2021</v>
      </c>
      <c r="I870" s="2">
        <v>11</v>
      </c>
      <c r="J870">
        <v>130849</v>
      </c>
      <c r="K870" t="s">
        <v>33</v>
      </c>
      <c r="L870">
        <v>5</v>
      </c>
      <c r="M870" t="s">
        <v>91</v>
      </c>
      <c r="N870" t="s">
        <v>40</v>
      </c>
      <c r="O870" t="s">
        <v>41</v>
      </c>
    </row>
    <row r="871" spans="1:15" x14ac:dyDescent="0.3">
      <c r="A871">
        <v>870</v>
      </c>
      <c r="B871" t="s">
        <v>532</v>
      </c>
      <c r="C871" t="s">
        <v>1343</v>
      </c>
      <c r="D871" t="s">
        <v>1494</v>
      </c>
      <c r="E871" t="s">
        <v>148</v>
      </c>
      <c r="F871" s="1">
        <v>38950</v>
      </c>
      <c r="G871" s="2">
        <v>2006</v>
      </c>
      <c r="H871">
        <v>2021</v>
      </c>
      <c r="I871" s="2">
        <v>15</v>
      </c>
      <c r="J871">
        <v>141753</v>
      </c>
      <c r="K871" t="s">
        <v>537</v>
      </c>
      <c r="L871">
        <v>3</v>
      </c>
      <c r="M871" t="s">
        <v>28</v>
      </c>
      <c r="N871" t="s">
        <v>17</v>
      </c>
      <c r="O871" t="s">
        <v>112</v>
      </c>
    </row>
    <row r="872" spans="1:15" x14ac:dyDescent="0.3">
      <c r="A872">
        <v>871</v>
      </c>
      <c r="B872" t="s">
        <v>544</v>
      </c>
      <c r="C872" t="s">
        <v>1344</v>
      </c>
      <c r="D872" t="s">
        <v>1494</v>
      </c>
      <c r="E872" t="s">
        <v>203</v>
      </c>
      <c r="F872" s="1">
        <v>39321</v>
      </c>
      <c r="G872" s="2">
        <v>2007</v>
      </c>
      <c r="H872">
        <v>2021</v>
      </c>
      <c r="I872" s="2">
        <v>14</v>
      </c>
      <c r="J872">
        <v>133492</v>
      </c>
      <c r="K872" t="s">
        <v>562</v>
      </c>
      <c r="L872">
        <v>3</v>
      </c>
      <c r="M872" t="s">
        <v>28</v>
      </c>
      <c r="N872" t="s">
        <v>17</v>
      </c>
      <c r="O872" t="s">
        <v>41</v>
      </c>
    </row>
    <row r="873" spans="1:15" x14ac:dyDescent="0.3">
      <c r="A873">
        <v>872</v>
      </c>
      <c r="B873" t="s">
        <v>766</v>
      </c>
      <c r="C873" t="s">
        <v>1345</v>
      </c>
      <c r="D873" t="s">
        <v>1494</v>
      </c>
      <c r="E873" t="s">
        <v>85</v>
      </c>
      <c r="F873" s="1">
        <v>38349</v>
      </c>
      <c r="G873" s="2">
        <v>2004</v>
      </c>
      <c r="H873">
        <v>2021</v>
      </c>
      <c r="I873" s="2">
        <v>17</v>
      </c>
      <c r="J873">
        <v>112126</v>
      </c>
      <c r="K873" t="s">
        <v>200</v>
      </c>
      <c r="L873">
        <v>3</v>
      </c>
      <c r="M873" t="s">
        <v>28</v>
      </c>
      <c r="N873" t="s">
        <v>17</v>
      </c>
      <c r="O873" t="s">
        <v>41</v>
      </c>
    </row>
    <row r="874" spans="1:15" x14ac:dyDescent="0.3">
      <c r="A874">
        <v>873</v>
      </c>
      <c r="B874" t="s">
        <v>102</v>
      </c>
      <c r="C874" t="s">
        <v>1346</v>
      </c>
      <c r="D874" t="s">
        <v>1495</v>
      </c>
      <c r="E874" t="s">
        <v>53</v>
      </c>
      <c r="F874" s="1">
        <v>38903</v>
      </c>
      <c r="G874" s="2">
        <v>2006</v>
      </c>
      <c r="H874">
        <v>2021</v>
      </c>
      <c r="I874" s="2">
        <v>15</v>
      </c>
      <c r="J874">
        <v>140078</v>
      </c>
      <c r="K874" t="s">
        <v>253</v>
      </c>
      <c r="L874">
        <v>3</v>
      </c>
      <c r="M874" t="s">
        <v>28</v>
      </c>
      <c r="N874" t="s">
        <v>17</v>
      </c>
      <c r="O874" t="s">
        <v>23</v>
      </c>
    </row>
    <row r="875" spans="1:15" x14ac:dyDescent="0.3">
      <c r="A875">
        <v>874</v>
      </c>
      <c r="B875" t="s">
        <v>572</v>
      </c>
      <c r="C875" t="s">
        <v>1347</v>
      </c>
      <c r="D875" t="s">
        <v>1494</v>
      </c>
      <c r="E875" t="s">
        <v>122</v>
      </c>
      <c r="F875" s="1">
        <v>41181</v>
      </c>
      <c r="G875" s="2">
        <v>2012</v>
      </c>
      <c r="H875">
        <v>2021</v>
      </c>
      <c r="I875" s="2">
        <v>9</v>
      </c>
      <c r="J875">
        <v>119769</v>
      </c>
      <c r="K875" t="s">
        <v>242</v>
      </c>
      <c r="L875">
        <v>2</v>
      </c>
      <c r="M875" t="s">
        <v>16</v>
      </c>
      <c r="N875" t="s">
        <v>17</v>
      </c>
      <c r="O875" t="s">
        <v>123</v>
      </c>
    </row>
    <row r="876" spans="1:15" x14ac:dyDescent="0.3">
      <c r="A876">
        <v>875</v>
      </c>
      <c r="B876" t="s">
        <v>679</v>
      </c>
      <c r="C876" t="s">
        <v>1348</v>
      </c>
      <c r="D876" t="s">
        <v>1495</v>
      </c>
      <c r="E876" t="s">
        <v>203</v>
      </c>
      <c r="F876" s="1">
        <v>39128</v>
      </c>
      <c r="G876" s="2">
        <v>2007</v>
      </c>
      <c r="H876">
        <v>2021</v>
      </c>
      <c r="I876" s="2">
        <v>14</v>
      </c>
      <c r="J876">
        <v>115911</v>
      </c>
      <c r="K876" t="s">
        <v>156</v>
      </c>
      <c r="L876">
        <v>7</v>
      </c>
      <c r="M876" t="s">
        <v>39</v>
      </c>
      <c r="N876" t="s">
        <v>40</v>
      </c>
      <c r="O876" t="s">
        <v>41</v>
      </c>
    </row>
    <row r="877" spans="1:15" x14ac:dyDescent="0.3">
      <c r="A877">
        <v>876</v>
      </c>
      <c r="B877" t="s">
        <v>371</v>
      </c>
      <c r="C877" t="s">
        <v>1349</v>
      </c>
      <c r="D877" t="s">
        <v>1494</v>
      </c>
      <c r="E877" t="s">
        <v>312</v>
      </c>
      <c r="F877" s="1">
        <v>37977</v>
      </c>
      <c r="G877" s="2">
        <v>2003</v>
      </c>
      <c r="H877">
        <v>2021</v>
      </c>
      <c r="I877" s="2">
        <v>18</v>
      </c>
      <c r="J877">
        <v>75676</v>
      </c>
      <c r="K877" t="s">
        <v>27</v>
      </c>
      <c r="L877">
        <v>3</v>
      </c>
      <c r="M877" t="s">
        <v>28</v>
      </c>
      <c r="N877" t="s">
        <v>17</v>
      </c>
      <c r="O877" t="s">
        <v>41</v>
      </c>
    </row>
    <row r="878" spans="1:15" x14ac:dyDescent="0.3">
      <c r="A878">
        <v>877</v>
      </c>
      <c r="B878" t="s">
        <v>75</v>
      </c>
      <c r="C878" t="s">
        <v>1350</v>
      </c>
      <c r="D878" t="s">
        <v>1494</v>
      </c>
      <c r="E878" t="s">
        <v>148</v>
      </c>
      <c r="F878" s="1">
        <v>38455</v>
      </c>
      <c r="G878" s="2">
        <v>2005</v>
      </c>
      <c r="H878">
        <v>2021</v>
      </c>
      <c r="I878" s="2">
        <v>16</v>
      </c>
      <c r="J878">
        <v>144932</v>
      </c>
      <c r="K878" t="s">
        <v>104</v>
      </c>
      <c r="L878">
        <v>4</v>
      </c>
      <c r="M878" t="s">
        <v>55</v>
      </c>
      <c r="N878" t="s">
        <v>17</v>
      </c>
      <c r="O878" t="s">
        <v>112</v>
      </c>
    </row>
    <row r="879" spans="1:15" x14ac:dyDescent="0.3">
      <c r="A879">
        <v>878</v>
      </c>
      <c r="B879" t="s">
        <v>47</v>
      </c>
      <c r="C879" t="s">
        <v>1351</v>
      </c>
      <c r="D879" t="s">
        <v>1494</v>
      </c>
      <c r="E879" t="s">
        <v>100</v>
      </c>
      <c r="F879" s="1">
        <v>40476</v>
      </c>
      <c r="G879" s="2">
        <v>2010</v>
      </c>
      <c r="H879">
        <v>2021</v>
      </c>
      <c r="I879" s="2">
        <v>11</v>
      </c>
      <c r="J879">
        <v>80102</v>
      </c>
      <c r="K879" t="s">
        <v>336</v>
      </c>
      <c r="L879">
        <v>2</v>
      </c>
      <c r="M879" t="s">
        <v>16</v>
      </c>
      <c r="N879" t="s">
        <v>17</v>
      </c>
      <c r="O879" t="s">
        <v>29</v>
      </c>
    </row>
    <row r="880" spans="1:15" x14ac:dyDescent="0.3">
      <c r="A880">
        <v>879</v>
      </c>
      <c r="B880" t="s">
        <v>1187</v>
      </c>
      <c r="C880" t="s">
        <v>1352</v>
      </c>
      <c r="D880" t="s">
        <v>1494</v>
      </c>
      <c r="E880" t="s">
        <v>44</v>
      </c>
      <c r="F880" s="1">
        <v>40819</v>
      </c>
      <c r="G880" s="2">
        <v>2011</v>
      </c>
      <c r="H880">
        <v>2021</v>
      </c>
      <c r="I880" s="2">
        <v>10</v>
      </c>
      <c r="J880">
        <v>144661</v>
      </c>
      <c r="K880" t="s">
        <v>204</v>
      </c>
      <c r="L880">
        <v>3</v>
      </c>
      <c r="M880" t="s">
        <v>28</v>
      </c>
      <c r="N880" t="s">
        <v>17</v>
      </c>
      <c r="O880" t="s">
        <v>29</v>
      </c>
    </row>
    <row r="881" spans="1:15" x14ac:dyDescent="0.3">
      <c r="A881">
        <v>880</v>
      </c>
      <c r="B881" t="s">
        <v>248</v>
      </c>
      <c r="C881" t="s">
        <v>1353</v>
      </c>
      <c r="D881" t="s">
        <v>1495</v>
      </c>
      <c r="E881" t="s">
        <v>238</v>
      </c>
      <c r="F881" s="1">
        <v>37160</v>
      </c>
      <c r="G881" s="2">
        <v>2001</v>
      </c>
      <c r="H881">
        <v>2021</v>
      </c>
      <c r="I881" s="2">
        <v>20</v>
      </c>
      <c r="J881">
        <v>60268</v>
      </c>
      <c r="K881" t="s">
        <v>204</v>
      </c>
      <c r="L881">
        <v>3</v>
      </c>
      <c r="M881" t="s">
        <v>28</v>
      </c>
      <c r="N881" t="s">
        <v>17</v>
      </c>
      <c r="O881" t="s">
        <v>63</v>
      </c>
    </row>
    <row r="882" spans="1:15" x14ac:dyDescent="0.3">
      <c r="A882">
        <v>881</v>
      </c>
      <c r="B882" t="s">
        <v>710</v>
      </c>
      <c r="C882" t="s">
        <v>1354</v>
      </c>
      <c r="D882" t="s">
        <v>1495</v>
      </c>
      <c r="E882" t="s">
        <v>44</v>
      </c>
      <c r="F882" s="1">
        <v>41892</v>
      </c>
      <c r="G882" s="2">
        <v>2014</v>
      </c>
      <c r="H882">
        <v>2021</v>
      </c>
      <c r="I882" s="2">
        <v>7</v>
      </c>
      <c r="J882">
        <v>94072</v>
      </c>
      <c r="K882" t="s">
        <v>472</v>
      </c>
      <c r="L882">
        <v>3</v>
      </c>
      <c r="M882" t="s">
        <v>28</v>
      </c>
      <c r="N882" t="s">
        <v>17</v>
      </c>
      <c r="O882" t="s">
        <v>29</v>
      </c>
    </row>
    <row r="883" spans="1:15" x14ac:dyDescent="0.3">
      <c r="A883">
        <v>882</v>
      </c>
      <c r="B883" t="s">
        <v>264</v>
      </c>
      <c r="C883" t="s">
        <v>1355</v>
      </c>
      <c r="D883" t="s">
        <v>1494</v>
      </c>
      <c r="E883" t="s">
        <v>312</v>
      </c>
      <c r="F883" s="1">
        <v>38771</v>
      </c>
      <c r="G883" s="2">
        <v>2006</v>
      </c>
      <c r="H883">
        <v>2021</v>
      </c>
      <c r="I883" s="2">
        <v>15</v>
      </c>
      <c r="J883">
        <v>85249</v>
      </c>
      <c r="K883" t="s">
        <v>636</v>
      </c>
      <c r="L883">
        <v>2</v>
      </c>
      <c r="M883" t="s">
        <v>16</v>
      </c>
      <c r="N883" t="s">
        <v>17</v>
      </c>
      <c r="O883" t="s">
        <v>41</v>
      </c>
    </row>
    <row r="884" spans="1:15" x14ac:dyDescent="0.3">
      <c r="A884">
        <v>883</v>
      </c>
      <c r="B884" t="s">
        <v>264</v>
      </c>
      <c r="C884" t="s">
        <v>1356</v>
      </c>
      <c r="D884" t="s">
        <v>1494</v>
      </c>
      <c r="E884" t="s">
        <v>37</v>
      </c>
      <c r="F884" s="1">
        <v>39367</v>
      </c>
      <c r="G884" s="2">
        <v>2007</v>
      </c>
      <c r="H884">
        <v>2021</v>
      </c>
      <c r="I884" s="2">
        <v>14</v>
      </c>
      <c r="J884">
        <v>66059</v>
      </c>
      <c r="K884" t="s">
        <v>1071</v>
      </c>
      <c r="L884">
        <v>5</v>
      </c>
      <c r="M884" t="s">
        <v>91</v>
      </c>
      <c r="N884" t="s">
        <v>40</v>
      </c>
      <c r="O884" t="s">
        <v>41</v>
      </c>
    </row>
    <row r="885" spans="1:15" x14ac:dyDescent="0.3">
      <c r="A885">
        <v>884</v>
      </c>
      <c r="B885" t="s">
        <v>555</v>
      </c>
      <c r="C885" t="s">
        <v>1357</v>
      </c>
      <c r="D885" t="s">
        <v>1495</v>
      </c>
      <c r="E885" t="s">
        <v>94</v>
      </c>
      <c r="F885" s="1">
        <v>38682</v>
      </c>
      <c r="G885" s="2">
        <v>2005</v>
      </c>
      <c r="H885">
        <v>2021</v>
      </c>
      <c r="I885" s="2">
        <v>16</v>
      </c>
      <c r="J885">
        <v>80931</v>
      </c>
      <c r="K885" t="s">
        <v>691</v>
      </c>
      <c r="L885">
        <v>1</v>
      </c>
      <c r="M885" t="s">
        <v>46</v>
      </c>
      <c r="N885" t="s">
        <v>17</v>
      </c>
      <c r="O885" t="s">
        <v>18</v>
      </c>
    </row>
    <row r="886" spans="1:15" x14ac:dyDescent="0.3">
      <c r="A886">
        <v>885</v>
      </c>
      <c r="B886" t="s">
        <v>282</v>
      </c>
      <c r="C886" t="s">
        <v>1358</v>
      </c>
      <c r="D886" t="s">
        <v>1495</v>
      </c>
      <c r="E886" t="s">
        <v>53</v>
      </c>
      <c r="F886" s="1">
        <v>40803</v>
      </c>
      <c r="G886" s="2">
        <v>2011</v>
      </c>
      <c r="H886">
        <v>2021</v>
      </c>
      <c r="I886" s="2">
        <v>10</v>
      </c>
      <c r="J886">
        <v>118793</v>
      </c>
      <c r="K886" t="s">
        <v>1062</v>
      </c>
      <c r="L886">
        <v>3</v>
      </c>
      <c r="M886" t="s">
        <v>28</v>
      </c>
      <c r="N886" t="s">
        <v>17</v>
      </c>
      <c r="O886" t="s">
        <v>23</v>
      </c>
    </row>
    <row r="887" spans="1:15" x14ac:dyDescent="0.3">
      <c r="A887">
        <v>886</v>
      </c>
      <c r="B887" t="s">
        <v>622</v>
      </c>
      <c r="C887" t="s">
        <v>1359</v>
      </c>
      <c r="D887" t="s">
        <v>1495</v>
      </c>
      <c r="E887" t="s">
        <v>73</v>
      </c>
      <c r="F887" s="1">
        <v>41908</v>
      </c>
      <c r="G887" s="2">
        <v>2014</v>
      </c>
      <c r="H887">
        <v>2021</v>
      </c>
      <c r="I887" s="2">
        <v>7</v>
      </c>
      <c r="J887">
        <v>62114</v>
      </c>
      <c r="K887" t="s">
        <v>425</v>
      </c>
      <c r="L887">
        <v>7</v>
      </c>
      <c r="M887" t="s">
        <v>39</v>
      </c>
      <c r="N887" t="s">
        <v>40</v>
      </c>
      <c r="O887" t="s">
        <v>41</v>
      </c>
    </row>
    <row r="888" spans="1:15" x14ac:dyDescent="0.3">
      <c r="A888">
        <v>887</v>
      </c>
      <c r="B888" t="s">
        <v>233</v>
      </c>
      <c r="C888" t="s">
        <v>1360</v>
      </c>
      <c r="D888" t="s">
        <v>1494</v>
      </c>
      <c r="E888" t="s">
        <v>129</v>
      </c>
      <c r="F888" s="1">
        <v>41762</v>
      </c>
      <c r="G888" s="2">
        <v>2014</v>
      </c>
      <c r="H888">
        <v>2021</v>
      </c>
      <c r="I888" s="2">
        <v>7</v>
      </c>
      <c r="J888">
        <v>131811</v>
      </c>
      <c r="K888" t="s">
        <v>472</v>
      </c>
      <c r="L888">
        <v>4</v>
      </c>
      <c r="M888" t="s">
        <v>55</v>
      </c>
      <c r="N888" t="s">
        <v>17</v>
      </c>
      <c r="O888" t="s">
        <v>41</v>
      </c>
    </row>
    <row r="889" spans="1:15" x14ac:dyDescent="0.3">
      <c r="A889">
        <v>888</v>
      </c>
      <c r="B889" t="s">
        <v>1282</v>
      </c>
      <c r="C889" t="s">
        <v>1361</v>
      </c>
      <c r="D889" t="s">
        <v>1495</v>
      </c>
      <c r="E889" t="s">
        <v>148</v>
      </c>
      <c r="F889" s="1">
        <v>39355</v>
      </c>
      <c r="G889" s="2">
        <v>2007</v>
      </c>
      <c r="H889">
        <v>2021</v>
      </c>
      <c r="I889" s="2">
        <v>14</v>
      </c>
      <c r="J889">
        <v>143034</v>
      </c>
      <c r="K889" t="s">
        <v>916</v>
      </c>
      <c r="L889">
        <v>3</v>
      </c>
      <c r="M889" t="s">
        <v>28</v>
      </c>
      <c r="N889" t="s">
        <v>17</v>
      </c>
      <c r="O889" t="s">
        <v>112</v>
      </c>
    </row>
    <row r="890" spans="1:15" x14ac:dyDescent="0.3">
      <c r="A890">
        <v>889</v>
      </c>
      <c r="B890" t="s">
        <v>1286</v>
      </c>
      <c r="C890" t="s">
        <v>1362</v>
      </c>
      <c r="D890" t="s">
        <v>1494</v>
      </c>
      <c r="E890" t="s">
        <v>79</v>
      </c>
      <c r="F890" s="1">
        <v>41401</v>
      </c>
      <c r="G890" s="2">
        <v>2013</v>
      </c>
      <c r="H890">
        <v>2021</v>
      </c>
      <c r="I890" s="2">
        <v>8</v>
      </c>
      <c r="J890">
        <v>41516</v>
      </c>
      <c r="K890" t="s">
        <v>153</v>
      </c>
      <c r="L890">
        <v>1</v>
      </c>
      <c r="M890" t="s">
        <v>46</v>
      </c>
      <c r="N890" t="s">
        <v>17</v>
      </c>
      <c r="O890" t="s">
        <v>41</v>
      </c>
    </row>
    <row r="891" spans="1:15" x14ac:dyDescent="0.3">
      <c r="A891">
        <v>890</v>
      </c>
      <c r="B891" t="s">
        <v>322</v>
      </c>
      <c r="C891" t="s">
        <v>1363</v>
      </c>
      <c r="D891" t="s">
        <v>1495</v>
      </c>
      <c r="E891" t="s">
        <v>73</v>
      </c>
      <c r="F891" s="1">
        <v>41239</v>
      </c>
      <c r="G891" s="2">
        <v>2012</v>
      </c>
      <c r="H891">
        <v>2021</v>
      </c>
      <c r="I891" s="2">
        <v>9</v>
      </c>
      <c r="J891">
        <v>72534</v>
      </c>
      <c r="K891" t="s">
        <v>401</v>
      </c>
      <c r="L891">
        <v>4</v>
      </c>
      <c r="M891" t="s">
        <v>55</v>
      </c>
      <c r="N891" t="s">
        <v>17</v>
      </c>
      <c r="O891" t="s">
        <v>41</v>
      </c>
    </row>
    <row r="892" spans="1:15" x14ac:dyDescent="0.3">
      <c r="A892">
        <v>891</v>
      </c>
      <c r="B892" t="s">
        <v>969</v>
      </c>
      <c r="C892" t="s">
        <v>1364</v>
      </c>
      <c r="D892" t="s">
        <v>1494</v>
      </c>
      <c r="E892" t="s">
        <v>73</v>
      </c>
      <c r="F892" s="1">
        <v>40703</v>
      </c>
      <c r="G892" s="2">
        <v>2011</v>
      </c>
      <c r="H892">
        <v>2021</v>
      </c>
      <c r="I892" s="2">
        <v>10</v>
      </c>
      <c r="J892">
        <v>140004</v>
      </c>
      <c r="K892" t="s">
        <v>186</v>
      </c>
      <c r="L892">
        <v>7</v>
      </c>
      <c r="M892" t="s">
        <v>39</v>
      </c>
      <c r="N892" t="s">
        <v>40</v>
      </c>
      <c r="O892" t="s">
        <v>41</v>
      </c>
    </row>
    <row r="893" spans="1:15" x14ac:dyDescent="0.3">
      <c r="A893">
        <v>892</v>
      </c>
      <c r="B893" t="s">
        <v>177</v>
      </c>
      <c r="C893" t="s">
        <v>1365</v>
      </c>
      <c r="D893" t="s">
        <v>1494</v>
      </c>
      <c r="E893" t="s">
        <v>129</v>
      </c>
      <c r="F893" s="1">
        <v>38161</v>
      </c>
      <c r="G893" s="2">
        <v>2004</v>
      </c>
      <c r="H893">
        <v>2021</v>
      </c>
      <c r="I893" s="2">
        <v>17</v>
      </c>
      <c r="J893">
        <v>114436</v>
      </c>
      <c r="K893" t="s">
        <v>1366</v>
      </c>
      <c r="L893">
        <v>5</v>
      </c>
      <c r="M893" t="s">
        <v>91</v>
      </c>
      <c r="N893" t="s">
        <v>40</v>
      </c>
      <c r="O893" t="s">
        <v>41</v>
      </c>
    </row>
    <row r="894" spans="1:15" x14ac:dyDescent="0.3">
      <c r="A894">
        <v>893</v>
      </c>
      <c r="B894" t="s">
        <v>182</v>
      </c>
      <c r="C894" t="s">
        <v>1367</v>
      </c>
      <c r="D894" t="s">
        <v>1494</v>
      </c>
      <c r="E894" t="s">
        <v>37</v>
      </c>
      <c r="F894" s="1">
        <v>39903</v>
      </c>
      <c r="G894" s="2">
        <v>2009</v>
      </c>
      <c r="H894">
        <v>2021</v>
      </c>
      <c r="I894" s="2">
        <v>12</v>
      </c>
      <c r="J894">
        <v>68684</v>
      </c>
      <c r="K894" t="s">
        <v>669</v>
      </c>
      <c r="L894">
        <v>3</v>
      </c>
      <c r="M894" t="s">
        <v>28</v>
      </c>
      <c r="N894" t="s">
        <v>17</v>
      </c>
      <c r="O894" t="s">
        <v>41</v>
      </c>
    </row>
    <row r="895" spans="1:15" x14ac:dyDescent="0.3">
      <c r="A895">
        <v>894</v>
      </c>
      <c r="B895" t="s">
        <v>118</v>
      </c>
      <c r="C895" t="s">
        <v>1368</v>
      </c>
      <c r="D895" t="s">
        <v>1494</v>
      </c>
      <c r="E895" t="s">
        <v>26</v>
      </c>
      <c r="F895" s="1">
        <v>36787</v>
      </c>
      <c r="G895" s="2">
        <v>2000</v>
      </c>
      <c r="H895">
        <v>2021</v>
      </c>
      <c r="I895" s="2">
        <v>21</v>
      </c>
      <c r="J895">
        <v>135326</v>
      </c>
      <c r="K895" t="s">
        <v>336</v>
      </c>
      <c r="L895">
        <v>1</v>
      </c>
      <c r="M895" t="s">
        <v>46</v>
      </c>
      <c r="N895" t="s">
        <v>17</v>
      </c>
      <c r="O895" t="s">
        <v>29</v>
      </c>
    </row>
    <row r="896" spans="1:15" x14ac:dyDescent="0.3">
      <c r="A896">
        <v>895</v>
      </c>
      <c r="B896" t="s">
        <v>331</v>
      </c>
      <c r="C896" t="s">
        <v>1369</v>
      </c>
      <c r="D896" t="s">
        <v>1494</v>
      </c>
      <c r="E896" t="s">
        <v>100</v>
      </c>
      <c r="F896" s="1">
        <v>41693</v>
      </c>
      <c r="G896" s="2">
        <v>2014</v>
      </c>
      <c r="H896">
        <v>2021</v>
      </c>
      <c r="I896" s="2">
        <v>7</v>
      </c>
      <c r="J896">
        <v>40194</v>
      </c>
      <c r="K896" t="s">
        <v>253</v>
      </c>
      <c r="L896">
        <v>5</v>
      </c>
      <c r="M896" t="s">
        <v>91</v>
      </c>
      <c r="N896" t="s">
        <v>40</v>
      </c>
      <c r="O896" t="s">
        <v>29</v>
      </c>
    </row>
    <row r="897" spans="1:15" x14ac:dyDescent="0.3">
      <c r="A897">
        <v>896</v>
      </c>
      <c r="B897" t="s">
        <v>845</v>
      </c>
      <c r="C897" t="s">
        <v>1370</v>
      </c>
      <c r="D897" t="s">
        <v>1495</v>
      </c>
      <c r="E897" t="s">
        <v>89</v>
      </c>
      <c r="F897" s="1">
        <v>40479</v>
      </c>
      <c r="G897" s="2">
        <v>2010</v>
      </c>
      <c r="H897">
        <v>2021</v>
      </c>
      <c r="I897" s="2">
        <v>11</v>
      </c>
      <c r="J897">
        <v>134813</v>
      </c>
      <c r="K897" t="s">
        <v>632</v>
      </c>
      <c r="L897">
        <v>7</v>
      </c>
      <c r="M897" t="s">
        <v>39</v>
      </c>
      <c r="N897" t="s">
        <v>40</v>
      </c>
      <c r="O897" t="s">
        <v>41</v>
      </c>
    </row>
    <row r="898" spans="1:15" x14ac:dyDescent="0.3">
      <c r="A898">
        <v>897</v>
      </c>
      <c r="B898" t="s">
        <v>1119</v>
      </c>
      <c r="C898" t="s">
        <v>1371</v>
      </c>
      <c r="D898" t="s">
        <v>1494</v>
      </c>
      <c r="E898" t="s">
        <v>129</v>
      </c>
      <c r="F898" s="1">
        <v>37324</v>
      </c>
      <c r="G898" s="2">
        <v>2002</v>
      </c>
      <c r="H898">
        <v>2021</v>
      </c>
      <c r="I898" s="2">
        <v>19</v>
      </c>
      <c r="J898">
        <v>79718</v>
      </c>
      <c r="K898" t="s">
        <v>583</v>
      </c>
      <c r="L898">
        <v>4</v>
      </c>
      <c r="M898" t="s">
        <v>55</v>
      </c>
      <c r="N898" t="s">
        <v>17</v>
      </c>
      <c r="O898" t="s">
        <v>41</v>
      </c>
    </row>
    <row r="899" spans="1:15" x14ac:dyDescent="0.3">
      <c r="A899">
        <v>898</v>
      </c>
      <c r="B899" t="s">
        <v>856</v>
      </c>
      <c r="C899" t="s">
        <v>1372</v>
      </c>
      <c r="D899" t="s">
        <v>1495</v>
      </c>
      <c r="E899" t="s">
        <v>100</v>
      </c>
      <c r="F899" s="1">
        <v>40521</v>
      </c>
      <c r="G899" s="2">
        <v>2010</v>
      </c>
      <c r="H899">
        <v>2021</v>
      </c>
      <c r="I899" s="2">
        <v>11</v>
      </c>
      <c r="J899">
        <v>115085</v>
      </c>
      <c r="K899" t="s">
        <v>764</v>
      </c>
      <c r="L899">
        <v>7</v>
      </c>
      <c r="M899" t="s">
        <v>39</v>
      </c>
      <c r="N899" t="s">
        <v>40</v>
      </c>
      <c r="O899" t="s">
        <v>29</v>
      </c>
    </row>
    <row r="900" spans="1:15" x14ac:dyDescent="0.3">
      <c r="A900">
        <v>899</v>
      </c>
      <c r="B900" t="s">
        <v>358</v>
      </c>
      <c r="C900" t="s">
        <v>1373</v>
      </c>
      <c r="D900" t="s">
        <v>1495</v>
      </c>
      <c r="E900" t="s">
        <v>312</v>
      </c>
      <c r="F900" s="1">
        <v>38416</v>
      </c>
      <c r="G900" s="2">
        <v>2005</v>
      </c>
      <c r="H900">
        <v>2021</v>
      </c>
      <c r="I900" s="2">
        <v>16</v>
      </c>
      <c r="J900">
        <v>67758</v>
      </c>
      <c r="K900" t="s">
        <v>287</v>
      </c>
      <c r="L900">
        <v>2</v>
      </c>
      <c r="M900" t="s">
        <v>16</v>
      </c>
      <c r="N900" t="s">
        <v>17</v>
      </c>
      <c r="O900" t="s">
        <v>41</v>
      </c>
    </row>
    <row r="901" spans="1:15" x14ac:dyDescent="0.3">
      <c r="A901">
        <v>900</v>
      </c>
      <c r="B901" t="s">
        <v>218</v>
      </c>
      <c r="C901" t="s">
        <v>1374</v>
      </c>
      <c r="D901" t="s">
        <v>1494</v>
      </c>
      <c r="E901" t="s">
        <v>53</v>
      </c>
      <c r="F901" s="1">
        <v>40962</v>
      </c>
      <c r="G901" s="2">
        <v>2012</v>
      </c>
      <c r="H901">
        <v>2021</v>
      </c>
      <c r="I901" s="2">
        <v>9</v>
      </c>
      <c r="J901">
        <v>115776</v>
      </c>
      <c r="K901" t="s">
        <v>394</v>
      </c>
      <c r="L901">
        <v>2</v>
      </c>
      <c r="M901" t="s">
        <v>16</v>
      </c>
      <c r="N901" t="s">
        <v>17</v>
      </c>
      <c r="O901" t="s">
        <v>23</v>
      </c>
    </row>
    <row r="902" spans="1:15" x14ac:dyDescent="0.3">
      <c r="A902">
        <v>901</v>
      </c>
      <c r="B902" t="s">
        <v>889</v>
      </c>
      <c r="C902" t="s">
        <v>1375</v>
      </c>
      <c r="D902" t="s">
        <v>1494</v>
      </c>
      <c r="E902" t="s">
        <v>122</v>
      </c>
      <c r="F902" s="1">
        <v>41623</v>
      </c>
      <c r="G902" s="2">
        <v>2013</v>
      </c>
      <c r="H902">
        <v>2021</v>
      </c>
      <c r="I902" s="2">
        <v>8</v>
      </c>
      <c r="J902">
        <v>146701</v>
      </c>
      <c r="K902" t="s">
        <v>904</v>
      </c>
      <c r="L902">
        <v>7</v>
      </c>
      <c r="M902" t="s">
        <v>39</v>
      </c>
      <c r="N902" t="s">
        <v>40</v>
      </c>
      <c r="O902" t="s">
        <v>123</v>
      </c>
    </row>
    <row r="903" spans="1:15" x14ac:dyDescent="0.3">
      <c r="A903">
        <v>902</v>
      </c>
      <c r="B903" t="s">
        <v>710</v>
      </c>
      <c r="C903" t="s">
        <v>1376</v>
      </c>
      <c r="D903" t="s">
        <v>1494</v>
      </c>
      <c r="E903" t="s">
        <v>312</v>
      </c>
      <c r="F903" s="1">
        <v>40893</v>
      </c>
      <c r="G903" s="2">
        <v>2011</v>
      </c>
      <c r="H903">
        <v>2021</v>
      </c>
      <c r="I903" s="2">
        <v>10</v>
      </c>
      <c r="J903">
        <v>109233</v>
      </c>
      <c r="K903" t="s">
        <v>214</v>
      </c>
      <c r="L903">
        <v>4</v>
      </c>
      <c r="M903" t="s">
        <v>55</v>
      </c>
      <c r="N903" t="s">
        <v>17</v>
      </c>
      <c r="O903" t="s">
        <v>41</v>
      </c>
    </row>
    <row r="904" spans="1:15" x14ac:dyDescent="0.3">
      <c r="A904">
        <v>903</v>
      </c>
      <c r="B904" t="s">
        <v>445</v>
      </c>
      <c r="C904" t="s">
        <v>1377</v>
      </c>
      <c r="D904" t="s">
        <v>1495</v>
      </c>
      <c r="E904" t="s">
        <v>148</v>
      </c>
      <c r="F904" s="1">
        <v>39089</v>
      </c>
      <c r="G904" s="2">
        <v>2007</v>
      </c>
      <c r="H904">
        <v>2021</v>
      </c>
      <c r="I904" s="2">
        <v>14</v>
      </c>
      <c r="J904">
        <v>113654</v>
      </c>
      <c r="K904" t="s">
        <v>992</v>
      </c>
      <c r="L904">
        <v>1</v>
      </c>
      <c r="M904" t="s">
        <v>46</v>
      </c>
      <c r="N904" t="s">
        <v>17</v>
      </c>
      <c r="O904" t="s">
        <v>112</v>
      </c>
    </row>
    <row r="905" spans="1:15" x14ac:dyDescent="0.3">
      <c r="A905">
        <v>904</v>
      </c>
      <c r="B905" t="s">
        <v>414</v>
      </c>
      <c r="C905" t="s">
        <v>1378</v>
      </c>
      <c r="D905" t="s">
        <v>1495</v>
      </c>
      <c r="E905" t="s">
        <v>44</v>
      </c>
      <c r="F905" s="1">
        <v>38224</v>
      </c>
      <c r="G905" s="2">
        <v>2004</v>
      </c>
      <c r="H905">
        <v>2021</v>
      </c>
      <c r="I905" s="2">
        <v>17</v>
      </c>
      <c r="J905">
        <v>90937</v>
      </c>
      <c r="K905" t="s">
        <v>691</v>
      </c>
      <c r="L905">
        <v>6</v>
      </c>
      <c r="M905" t="s">
        <v>50</v>
      </c>
      <c r="N905" t="s">
        <v>40</v>
      </c>
      <c r="O905" t="s">
        <v>29</v>
      </c>
    </row>
    <row r="906" spans="1:15" x14ac:dyDescent="0.3">
      <c r="A906">
        <v>905</v>
      </c>
      <c r="B906" t="s">
        <v>75</v>
      </c>
      <c r="C906" t="s">
        <v>1379</v>
      </c>
      <c r="D906" t="s">
        <v>1494</v>
      </c>
      <c r="E906" t="s">
        <v>26</v>
      </c>
      <c r="F906" s="1">
        <v>39365</v>
      </c>
      <c r="G906" s="2">
        <v>2007</v>
      </c>
      <c r="H906">
        <v>2021</v>
      </c>
      <c r="I906" s="2">
        <v>14</v>
      </c>
      <c r="J906">
        <v>111689</v>
      </c>
      <c r="K906" t="s">
        <v>610</v>
      </c>
      <c r="L906">
        <v>5</v>
      </c>
      <c r="M906" t="s">
        <v>91</v>
      </c>
      <c r="N906" t="s">
        <v>40</v>
      </c>
      <c r="O906" t="s">
        <v>29</v>
      </c>
    </row>
    <row r="907" spans="1:15" x14ac:dyDescent="0.3">
      <c r="A907">
        <v>906</v>
      </c>
      <c r="B907" t="s">
        <v>572</v>
      </c>
      <c r="C907" t="s">
        <v>1380</v>
      </c>
      <c r="D907" t="s">
        <v>1494</v>
      </c>
      <c r="E907" t="s">
        <v>94</v>
      </c>
      <c r="F907" s="1">
        <v>41747</v>
      </c>
      <c r="G907" s="2">
        <v>2014</v>
      </c>
      <c r="H907">
        <v>2021</v>
      </c>
      <c r="I907" s="2">
        <v>7</v>
      </c>
      <c r="J907">
        <v>110881</v>
      </c>
      <c r="K907" t="s">
        <v>169</v>
      </c>
      <c r="L907">
        <v>1</v>
      </c>
      <c r="M907" t="s">
        <v>46</v>
      </c>
      <c r="N907" t="s">
        <v>17</v>
      </c>
      <c r="O907" t="s">
        <v>18</v>
      </c>
    </row>
    <row r="908" spans="1:15" x14ac:dyDescent="0.3">
      <c r="A908">
        <v>907</v>
      </c>
      <c r="B908" t="s">
        <v>745</v>
      </c>
      <c r="C908" t="s">
        <v>1381</v>
      </c>
      <c r="D908" t="s">
        <v>1495</v>
      </c>
      <c r="E908" t="s">
        <v>44</v>
      </c>
      <c r="F908" s="1">
        <v>40078</v>
      </c>
      <c r="G908" s="2">
        <v>2009</v>
      </c>
      <c r="H908">
        <v>2021</v>
      </c>
      <c r="I908" s="2">
        <v>12</v>
      </c>
      <c r="J908">
        <v>104326</v>
      </c>
      <c r="K908" t="s">
        <v>139</v>
      </c>
      <c r="L908">
        <v>5</v>
      </c>
      <c r="M908" t="s">
        <v>91</v>
      </c>
      <c r="N908" t="s">
        <v>40</v>
      </c>
      <c r="O908" t="s">
        <v>29</v>
      </c>
    </row>
    <row r="909" spans="1:15" x14ac:dyDescent="0.3">
      <c r="A909">
        <v>908</v>
      </c>
      <c r="B909" t="s">
        <v>544</v>
      </c>
      <c r="C909" t="s">
        <v>1382</v>
      </c>
      <c r="D909" t="s">
        <v>1495</v>
      </c>
      <c r="E909" t="s">
        <v>94</v>
      </c>
      <c r="F909" s="1">
        <v>37952</v>
      </c>
      <c r="G909" s="2">
        <v>2003</v>
      </c>
      <c r="H909">
        <v>2021</v>
      </c>
      <c r="I909" s="2">
        <v>18</v>
      </c>
      <c r="J909">
        <v>144767</v>
      </c>
      <c r="K909" t="s">
        <v>45</v>
      </c>
      <c r="L909">
        <v>5</v>
      </c>
      <c r="M909" t="s">
        <v>91</v>
      </c>
      <c r="N909" t="s">
        <v>40</v>
      </c>
      <c r="O909" t="s">
        <v>18</v>
      </c>
    </row>
    <row r="910" spans="1:15" x14ac:dyDescent="0.3">
      <c r="A910">
        <v>909</v>
      </c>
      <c r="B910" t="s">
        <v>781</v>
      </c>
      <c r="C910" t="s">
        <v>1383</v>
      </c>
      <c r="D910" t="s">
        <v>1494</v>
      </c>
      <c r="E910" t="s">
        <v>26</v>
      </c>
      <c r="F910" s="1">
        <v>40173</v>
      </c>
      <c r="G910" s="2">
        <v>2009</v>
      </c>
      <c r="H910">
        <v>2021</v>
      </c>
      <c r="I910" s="2">
        <v>12</v>
      </c>
      <c r="J910">
        <v>111041</v>
      </c>
      <c r="K910" t="s">
        <v>904</v>
      </c>
      <c r="L910">
        <v>6</v>
      </c>
      <c r="M910" t="s">
        <v>50</v>
      </c>
      <c r="N910" t="s">
        <v>40</v>
      </c>
      <c r="O910" t="s">
        <v>29</v>
      </c>
    </row>
    <row r="911" spans="1:15" x14ac:dyDescent="0.3">
      <c r="A911">
        <v>910</v>
      </c>
      <c r="B911" t="s">
        <v>973</v>
      </c>
      <c r="C911" t="s">
        <v>1384</v>
      </c>
      <c r="D911" t="s">
        <v>1495</v>
      </c>
      <c r="E911" t="s">
        <v>110</v>
      </c>
      <c r="F911" s="1">
        <v>38707</v>
      </c>
      <c r="G911" s="2">
        <v>2005</v>
      </c>
      <c r="H911">
        <v>2021</v>
      </c>
      <c r="I911" s="2">
        <v>16</v>
      </c>
      <c r="J911">
        <v>148860</v>
      </c>
      <c r="K911" t="s">
        <v>223</v>
      </c>
      <c r="L911">
        <v>4</v>
      </c>
      <c r="M911" t="s">
        <v>55</v>
      </c>
      <c r="N911" t="s">
        <v>17</v>
      </c>
      <c r="O911" t="s">
        <v>112</v>
      </c>
    </row>
    <row r="912" spans="1:15" x14ac:dyDescent="0.3">
      <c r="A912">
        <v>911</v>
      </c>
      <c r="B912" t="s">
        <v>519</v>
      </c>
      <c r="C912" t="s">
        <v>1385</v>
      </c>
      <c r="D912" t="s">
        <v>1494</v>
      </c>
      <c r="E912" t="s">
        <v>26</v>
      </c>
      <c r="F912" s="1">
        <v>37276</v>
      </c>
      <c r="G912" s="2">
        <v>2002</v>
      </c>
      <c r="H912">
        <v>2021</v>
      </c>
      <c r="I912" s="2">
        <v>19</v>
      </c>
      <c r="J912">
        <v>53964</v>
      </c>
      <c r="K912" t="s">
        <v>386</v>
      </c>
      <c r="L912">
        <v>1</v>
      </c>
      <c r="M912" t="s">
        <v>46</v>
      </c>
      <c r="N912" t="s">
        <v>17</v>
      </c>
      <c r="O912" t="s">
        <v>29</v>
      </c>
    </row>
    <row r="913" spans="1:15" x14ac:dyDescent="0.3">
      <c r="A913">
        <v>912</v>
      </c>
      <c r="B913" t="s">
        <v>462</v>
      </c>
      <c r="C913" t="s">
        <v>1386</v>
      </c>
      <c r="D913" t="s">
        <v>1495</v>
      </c>
      <c r="E913" t="s">
        <v>129</v>
      </c>
      <c r="F913" s="1">
        <v>39142</v>
      </c>
      <c r="G913" s="2">
        <v>2007</v>
      </c>
      <c r="H913">
        <v>2021</v>
      </c>
      <c r="I913" s="2">
        <v>14</v>
      </c>
      <c r="J913">
        <v>131152</v>
      </c>
      <c r="K913" t="s">
        <v>1387</v>
      </c>
      <c r="L913">
        <v>2</v>
      </c>
      <c r="M913" t="s">
        <v>16</v>
      </c>
      <c r="N913" t="s">
        <v>17</v>
      </c>
      <c r="O913" t="s">
        <v>41</v>
      </c>
    </row>
    <row r="914" spans="1:15" x14ac:dyDescent="0.3">
      <c r="A914">
        <v>913</v>
      </c>
      <c r="B914" t="s">
        <v>12</v>
      </c>
      <c r="C914" t="s">
        <v>1388</v>
      </c>
      <c r="D914" t="s">
        <v>1495</v>
      </c>
      <c r="E914" t="s">
        <v>69</v>
      </c>
      <c r="F914" s="1">
        <v>40959</v>
      </c>
      <c r="G914" s="2">
        <v>2012</v>
      </c>
      <c r="H914">
        <v>2021</v>
      </c>
      <c r="I914" s="2">
        <v>9</v>
      </c>
      <c r="J914">
        <v>116266</v>
      </c>
      <c r="K914" t="s">
        <v>104</v>
      </c>
      <c r="L914">
        <v>6</v>
      </c>
      <c r="M914" t="s">
        <v>50</v>
      </c>
      <c r="N914" t="s">
        <v>40</v>
      </c>
      <c r="O914" t="s">
        <v>41</v>
      </c>
    </row>
    <row r="915" spans="1:15" x14ac:dyDescent="0.3">
      <c r="A915">
        <v>914</v>
      </c>
      <c r="B915" t="s">
        <v>19</v>
      </c>
      <c r="C915" t="s">
        <v>1389</v>
      </c>
      <c r="D915" t="s">
        <v>1495</v>
      </c>
      <c r="E915" t="s">
        <v>129</v>
      </c>
      <c r="F915" s="1">
        <v>38875</v>
      </c>
      <c r="G915" s="2">
        <v>2006</v>
      </c>
      <c r="H915">
        <v>2021</v>
      </c>
      <c r="I915" s="2">
        <v>15</v>
      </c>
      <c r="J915">
        <v>143853</v>
      </c>
      <c r="K915" t="s">
        <v>186</v>
      </c>
      <c r="L915">
        <v>2</v>
      </c>
      <c r="M915" t="s">
        <v>16</v>
      </c>
      <c r="N915" t="s">
        <v>17</v>
      </c>
      <c r="O915" t="s">
        <v>41</v>
      </c>
    </row>
    <row r="916" spans="1:15" x14ac:dyDescent="0.3">
      <c r="A916">
        <v>915</v>
      </c>
      <c r="B916" t="s">
        <v>300</v>
      </c>
      <c r="C916" t="s">
        <v>1390</v>
      </c>
      <c r="D916" t="s">
        <v>1494</v>
      </c>
      <c r="E916" t="s">
        <v>44</v>
      </c>
      <c r="F916" s="1">
        <v>40324</v>
      </c>
      <c r="G916" s="2">
        <v>2010</v>
      </c>
      <c r="H916">
        <v>2021</v>
      </c>
      <c r="I916" s="2">
        <v>11</v>
      </c>
      <c r="J916">
        <v>92561</v>
      </c>
      <c r="K916" t="s">
        <v>226</v>
      </c>
      <c r="L916">
        <v>1</v>
      </c>
      <c r="M916" t="s">
        <v>46</v>
      </c>
      <c r="N916" t="s">
        <v>17</v>
      </c>
      <c r="O916" t="s">
        <v>29</v>
      </c>
    </row>
    <row r="917" spans="1:15" x14ac:dyDescent="0.3">
      <c r="A917">
        <v>916</v>
      </c>
      <c r="B917" t="s">
        <v>791</v>
      </c>
      <c r="C917" t="s">
        <v>1391</v>
      </c>
      <c r="D917" t="s">
        <v>1495</v>
      </c>
      <c r="E917" t="s">
        <v>37</v>
      </c>
      <c r="F917" s="1">
        <v>38939</v>
      </c>
      <c r="G917" s="2">
        <v>2006</v>
      </c>
      <c r="H917">
        <v>2021</v>
      </c>
      <c r="I917" s="2">
        <v>15</v>
      </c>
      <c r="J917">
        <v>45486</v>
      </c>
      <c r="K917" t="s">
        <v>610</v>
      </c>
      <c r="L917">
        <v>1</v>
      </c>
      <c r="M917" t="s">
        <v>46</v>
      </c>
      <c r="N917" t="s">
        <v>17</v>
      </c>
      <c r="O917" t="s">
        <v>41</v>
      </c>
    </row>
    <row r="918" spans="1:15" x14ac:dyDescent="0.3">
      <c r="A918">
        <v>917</v>
      </c>
      <c r="B918" t="s">
        <v>392</v>
      </c>
      <c r="C918" t="s">
        <v>1392</v>
      </c>
      <c r="D918" t="s">
        <v>1494</v>
      </c>
      <c r="E918" t="s">
        <v>129</v>
      </c>
      <c r="F918" s="1">
        <v>38332</v>
      </c>
      <c r="G918" s="2">
        <v>2004</v>
      </c>
      <c r="H918">
        <v>2021</v>
      </c>
      <c r="I918" s="2">
        <v>17</v>
      </c>
      <c r="J918">
        <v>95424</v>
      </c>
      <c r="K918" t="s">
        <v>459</v>
      </c>
      <c r="L918">
        <v>2</v>
      </c>
      <c r="M918" t="s">
        <v>16</v>
      </c>
      <c r="N918" t="s">
        <v>17</v>
      </c>
      <c r="O918" t="s">
        <v>41</v>
      </c>
    </row>
    <row r="919" spans="1:15" x14ac:dyDescent="0.3">
      <c r="A919">
        <v>918</v>
      </c>
      <c r="B919" t="s">
        <v>589</v>
      </c>
      <c r="C919" t="s">
        <v>1393</v>
      </c>
      <c r="D919" t="s">
        <v>1495</v>
      </c>
      <c r="E919" t="s">
        <v>73</v>
      </c>
      <c r="F919" s="1">
        <v>38260</v>
      </c>
      <c r="G919" s="2">
        <v>2004</v>
      </c>
      <c r="H919">
        <v>2021</v>
      </c>
      <c r="I919" s="2">
        <v>17</v>
      </c>
      <c r="J919">
        <v>73905</v>
      </c>
      <c r="K919" t="s">
        <v>186</v>
      </c>
      <c r="L919">
        <v>7</v>
      </c>
      <c r="M919" t="s">
        <v>39</v>
      </c>
      <c r="N919" t="s">
        <v>40</v>
      </c>
      <c r="O919" t="s">
        <v>41</v>
      </c>
    </row>
    <row r="920" spans="1:15" x14ac:dyDescent="0.3">
      <c r="A920">
        <v>919</v>
      </c>
      <c r="B920" t="s">
        <v>852</v>
      </c>
      <c r="C920" t="s">
        <v>1394</v>
      </c>
      <c r="D920" t="s">
        <v>1495</v>
      </c>
      <c r="E920" t="s">
        <v>61</v>
      </c>
      <c r="F920" s="1">
        <v>40530</v>
      </c>
      <c r="G920" s="2">
        <v>2010</v>
      </c>
      <c r="H920">
        <v>2021</v>
      </c>
      <c r="I920" s="2">
        <v>11</v>
      </c>
      <c r="J920">
        <v>53798</v>
      </c>
      <c r="K920" t="s">
        <v>214</v>
      </c>
      <c r="L920">
        <v>1</v>
      </c>
      <c r="M920" t="s">
        <v>46</v>
      </c>
      <c r="N920" t="s">
        <v>17</v>
      </c>
      <c r="O920" t="s">
        <v>63</v>
      </c>
    </row>
    <row r="921" spans="1:15" x14ac:dyDescent="0.3">
      <c r="A921">
        <v>920</v>
      </c>
      <c r="B921" t="s">
        <v>882</v>
      </c>
      <c r="C921" t="s">
        <v>1395</v>
      </c>
      <c r="D921" t="s">
        <v>1495</v>
      </c>
      <c r="E921" t="s">
        <v>44</v>
      </c>
      <c r="F921" s="1">
        <v>40300</v>
      </c>
      <c r="G921" s="2">
        <v>2010</v>
      </c>
      <c r="H921">
        <v>2021</v>
      </c>
      <c r="I921" s="2">
        <v>11</v>
      </c>
      <c r="J921">
        <v>116766</v>
      </c>
      <c r="K921" t="s">
        <v>1366</v>
      </c>
      <c r="L921">
        <v>4</v>
      </c>
      <c r="M921" t="s">
        <v>55</v>
      </c>
      <c r="N921" t="s">
        <v>17</v>
      </c>
      <c r="O921" t="s">
        <v>29</v>
      </c>
    </row>
    <row r="922" spans="1:15" x14ac:dyDescent="0.3">
      <c r="A922">
        <v>921</v>
      </c>
      <c r="B922" t="s">
        <v>331</v>
      </c>
      <c r="C922" t="s">
        <v>1396</v>
      </c>
      <c r="D922" t="s">
        <v>1495</v>
      </c>
      <c r="E922" t="s">
        <v>129</v>
      </c>
      <c r="F922" s="1">
        <v>41448</v>
      </c>
      <c r="G922" s="2">
        <v>2013</v>
      </c>
      <c r="H922">
        <v>2021</v>
      </c>
      <c r="I922" s="2">
        <v>8</v>
      </c>
      <c r="J922">
        <v>142101</v>
      </c>
      <c r="K922" t="s">
        <v>539</v>
      </c>
      <c r="L922">
        <v>2</v>
      </c>
      <c r="M922" t="s">
        <v>16</v>
      </c>
      <c r="N922" t="s">
        <v>17</v>
      </c>
      <c r="O922" t="s">
        <v>41</v>
      </c>
    </row>
    <row r="923" spans="1:15" x14ac:dyDescent="0.3">
      <c r="A923">
        <v>922</v>
      </c>
      <c r="B923" t="s">
        <v>161</v>
      </c>
      <c r="C923" t="s">
        <v>1397</v>
      </c>
      <c r="D923" t="s">
        <v>1495</v>
      </c>
      <c r="E923" t="s">
        <v>129</v>
      </c>
      <c r="F923" s="1">
        <v>36635</v>
      </c>
      <c r="G923" s="2">
        <v>2000</v>
      </c>
      <c r="H923">
        <v>2021</v>
      </c>
      <c r="I923" s="2">
        <v>21</v>
      </c>
      <c r="J923">
        <v>41299</v>
      </c>
      <c r="K923" t="s">
        <v>1105</v>
      </c>
      <c r="L923">
        <v>5</v>
      </c>
      <c r="M923" t="s">
        <v>91</v>
      </c>
      <c r="N923" t="s">
        <v>40</v>
      </c>
      <c r="O923" t="s">
        <v>41</v>
      </c>
    </row>
    <row r="924" spans="1:15" x14ac:dyDescent="0.3">
      <c r="A924">
        <v>923</v>
      </c>
      <c r="B924" t="s">
        <v>587</v>
      </c>
      <c r="C924" t="s">
        <v>1398</v>
      </c>
      <c r="D924" t="s">
        <v>1494</v>
      </c>
      <c r="E924" t="s">
        <v>37</v>
      </c>
      <c r="F924" s="1">
        <v>37628</v>
      </c>
      <c r="G924" s="2">
        <v>2003</v>
      </c>
      <c r="H924">
        <v>2021</v>
      </c>
      <c r="I924" s="2">
        <v>18</v>
      </c>
      <c r="J924">
        <v>122130</v>
      </c>
      <c r="K924" t="s">
        <v>454</v>
      </c>
      <c r="L924">
        <v>1</v>
      </c>
      <c r="M924" t="s">
        <v>46</v>
      </c>
      <c r="N924" t="s">
        <v>17</v>
      </c>
      <c r="O924" t="s">
        <v>41</v>
      </c>
    </row>
    <row r="925" spans="1:15" x14ac:dyDescent="0.3">
      <c r="A925">
        <v>924</v>
      </c>
      <c r="B925" t="s">
        <v>1399</v>
      </c>
      <c r="C925" t="s">
        <v>1400</v>
      </c>
      <c r="D925" t="s">
        <v>1494</v>
      </c>
      <c r="E925" t="s">
        <v>129</v>
      </c>
      <c r="F925" s="1">
        <v>37686</v>
      </c>
      <c r="G925" s="2">
        <v>2003</v>
      </c>
      <c r="H925">
        <v>2021</v>
      </c>
      <c r="I925" s="2">
        <v>18</v>
      </c>
      <c r="J925">
        <v>122446</v>
      </c>
      <c r="K925" t="s">
        <v>272</v>
      </c>
      <c r="L925">
        <v>6</v>
      </c>
      <c r="M925" t="s">
        <v>50</v>
      </c>
      <c r="N925" t="s">
        <v>40</v>
      </c>
      <c r="O925" t="s">
        <v>41</v>
      </c>
    </row>
    <row r="926" spans="1:15" x14ac:dyDescent="0.3">
      <c r="A926">
        <v>925</v>
      </c>
      <c r="B926" t="s">
        <v>42</v>
      </c>
      <c r="C926" t="s">
        <v>1401</v>
      </c>
      <c r="D926" t="s">
        <v>1495</v>
      </c>
      <c r="E926" t="s">
        <v>110</v>
      </c>
      <c r="F926" s="1">
        <v>40819</v>
      </c>
      <c r="G926" s="2">
        <v>2011</v>
      </c>
      <c r="H926">
        <v>2021</v>
      </c>
      <c r="I926" s="2">
        <v>10</v>
      </c>
      <c r="J926">
        <v>127367</v>
      </c>
      <c r="K926" t="s">
        <v>27</v>
      </c>
      <c r="L926">
        <v>4</v>
      </c>
      <c r="M926" t="s">
        <v>55</v>
      </c>
      <c r="N926" t="s">
        <v>17</v>
      </c>
      <c r="O926" t="s">
        <v>112</v>
      </c>
    </row>
    <row r="927" spans="1:15" x14ac:dyDescent="0.3">
      <c r="A927">
        <v>926</v>
      </c>
      <c r="B927" t="s">
        <v>325</v>
      </c>
      <c r="C927" t="s">
        <v>1402</v>
      </c>
      <c r="D927" t="s">
        <v>1494</v>
      </c>
      <c r="E927" t="s">
        <v>53</v>
      </c>
      <c r="F927" s="1">
        <v>41730</v>
      </c>
      <c r="G927" s="2">
        <v>2014</v>
      </c>
      <c r="H927">
        <v>2021</v>
      </c>
      <c r="I927" s="2">
        <v>7</v>
      </c>
      <c r="J927">
        <v>50161</v>
      </c>
      <c r="K927" t="s">
        <v>401</v>
      </c>
      <c r="L927">
        <v>3</v>
      </c>
      <c r="M927" t="s">
        <v>28</v>
      </c>
      <c r="N927" t="s">
        <v>17</v>
      </c>
      <c r="O927" t="s">
        <v>23</v>
      </c>
    </row>
    <row r="928" spans="1:15" x14ac:dyDescent="0.3">
      <c r="A928">
        <v>927</v>
      </c>
      <c r="B928" t="s">
        <v>532</v>
      </c>
      <c r="C928" t="s">
        <v>1403</v>
      </c>
      <c r="D928" t="s">
        <v>1494</v>
      </c>
      <c r="E928" t="s">
        <v>238</v>
      </c>
      <c r="F928" s="1">
        <v>37935</v>
      </c>
      <c r="G928" s="2">
        <v>2003</v>
      </c>
      <c r="H928">
        <v>2021</v>
      </c>
      <c r="I928" s="2">
        <v>18</v>
      </c>
      <c r="J928">
        <v>82080</v>
      </c>
      <c r="K928" t="s">
        <v>430</v>
      </c>
      <c r="L928">
        <v>2</v>
      </c>
      <c r="M928" t="s">
        <v>16</v>
      </c>
      <c r="N928" t="s">
        <v>17</v>
      </c>
      <c r="O928" t="s">
        <v>63</v>
      </c>
    </row>
    <row r="929" spans="1:15" x14ac:dyDescent="0.3">
      <c r="A929">
        <v>928</v>
      </c>
      <c r="B929" t="s">
        <v>212</v>
      </c>
      <c r="C929" t="s">
        <v>1404</v>
      </c>
      <c r="D929" t="s">
        <v>1495</v>
      </c>
      <c r="E929" t="s">
        <v>85</v>
      </c>
      <c r="F929" s="1">
        <v>40168</v>
      </c>
      <c r="G929" s="2">
        <v>2009</v>
      </c>
      <c r="H929">
        <v>2021</v>
      </c>
      <c r="I929" s="2">
        <v>12</v>
      </c>
      <c r="J929">
        <v>62799</v>
      </c>
      <c r="K929" t="s">
        <v>235</v>
      </c>
      <c r="L929">
        <v>1</v>
      </c>
      <c r="M929" t="s">
        <v>46</v>
      </c>
      <c r="N929" t="s">
        <v>17</v>
      </c>
      <c r="O929" t="s">
        <v>41</v>
      </c>
    </row>
    <row r="930" spans="1:15" x14ac:dyDescent="0.3">
      <c r="A930">
        <v>929</v>
      </c>
      <c r="B930" t="s">
        <v>762</v>
      </c>
      <c r="C930" t="s">
        <v>1405</v>
      </c>
      <c r="D930" t="s">
        <v>1495</v>
      </c>
      <c r="E930" t="s">
        <v>69</v>
      </c>
      <c r="F930" s="1">
        <v>37841</v>
      </c>
      <c r="G930" s="2">
        <v>2003</v>
      </c>
      <c r="H930">
        <v>2021</v>
      </c>
      <c r="I930" s="2">
        <v>18</v>
      </c>
      <c r="J930">
        <v>66357</v>
      </c>
      <c r="K930" t="s">
        <v>691</v>
      </c>
      <c r="L930">
        <v>3</v>
      </c>
      <c r="M930" t="s">
        <v>28</v>
      </c>
      <c r="N930" t="s">
        <v>17</v>
      </c>
      <c r="O930" t="s">
        <v>41</v>
      </c>
    </row>
    <row r="931" spans="1:15" x14ac:dyDescent="0.3">
      <c r="A931">
        <v>930</v>
      </c>
      <c r="B931" t="s">
        <v>934</v>
      </c>
      <c r="C931" t="s">
        <v>1406</v>
      </c>
      <c r="D931" t="s">
        <v>1495</v>
      </c>
      <c r="E931" t="s">
        <v>110</v>
      </c>
      <c r="F931" s="1">
        <v>41390</v>
      </c>
      <c r="G931" s="2">
        <v>2013</v>
      </c>
      <c r="H931">
        <v>2021</v>
      </c>
      <c r="I931" s="2">
        <v>8</v>
      </c>
      <c r="J931">
        <v>129746</v>
      </c>
      <c r="K931" t="s">
        <v>500</v>
      </c>
      <c r="L931">
        <v>1</v>
      </c>
      <c r="M931" t="s">
        <v>46</v>
      </c>
      <c r="N931" t="s">
        <v>17</v>
      </c>
      <c r="O931" t="s">
        <v>112</v>
      </c>
    </row>
    <row r="932" spans="1:15" x14ac:dyDescent="0.3">
      <c r="A932">
        <v>931</v>
      </c>
      <c r="B932" t="s">
        <v>358</v>
      </c>
      <c r="C932" t="s">
        <v>1407</v>
      </c>
      <c r="D932" t="s">
        <v>1495</v>
      </c>
      <c r="E932" t="s">
        <v>53</v>
      </c>
      <c r="F932" s="1">
        <v>38223</v>
      </c>
      <c r="G932" s="2">
        <v>2004</v>
      </c>
      <c r="H932">
        <v>2021</v>
      </c>
      <c r="I932" s="2">
        <v>17</v>
      </c>
      <c r="J932">
        <v>63682</v>
      </c>
      <c r="K932" t="s">
        <v>27</v>
      </c>
      <c r="L932">
        <v>5</v>
      </c>
      <c r="M932" t="s">
        <v>91</v>
      </c>
      <c r="N932" t="s">
        <v>40</v>
      </c>
      <c r="O932" t="s">
        <v>23</v>
      </c>
    </row>
    <row r="933" spans="1:15" x14ac:dyDescent="0.3">
      <c r="A933">
        <v>932</v>
      </c>
      <c r="B933" t="s">
        <v>973</v>
      </c>
      <c r="C933" t="s">
        <v>1408</v>
      </c>
      <c r="D933" t="s">
        <v>1495</v>
      </c>
      <c r="E933" t="s">
        <v>110</v>
      </c>
      <c r="F933" s="1">
        <v>39960</v>
      </c>
      <c r="G933" s="2">
        <v>2009</v>
      </c>
      <c r="H933">
        <v>2021</v>
      </c>
      <c r="I933" s="2">
        <v>12</v>
      </c>
      <c r="J933">
        <v>134114</v>
      </c>
      <c r="K933" t="s">
        <v>551</v>
      </c>
      <c r="L933">
        <v>2</v>
      </c>
      <c r="M933" t="s">
        <v>16</v>
      </c>
      <c r="N933" t="s">
        <v>17</v>
      </c>
      <c r="O933" t="s">
        <v>112</v>
      </c>
    </row>
    <row r="934" spans="1:15" x14ac:dyDescent="0.3">
      <c r="A934">
        <v>933</v>
      </c>
      <c r="B934" t="s">
        <v>268</v>
      </c>
      <c r="C934" t="s">
        <v>1409</v>
      </c>
      <c r="D934" t="s">
        <v>1494</v>
      </c>
      <c r="E934" t="s">
        <v>73</v>
      </c>
      <c r="F934" s="1">
        <v>41721</v>
      </c>
      <c r="G934" s="2">
        <v>2014</v>
      </c>
      <c r="H934">
        <v>2021</v>
      </c>
      <c r="I934" s="2">
        <v>7</v>
      </c>
      <c r="J934">
        <v>131273</v>
      </c>
      <c r="K934" t="s">
        <v>954</v>
      </c>
      <c r="L934">
        <v>6</v>
      </c>
      <c r="M934" t="s">
        <v>50</v>
      </c>
      <c r="N934" t="s">
        <v>40</v>
      </c>
      <c r="O934" t="s">
        <v>41</v>
      </c>
    </row>
    <row r="935" spans="1:15" x14ac:dyDescent="0.3">
      <c r="A935">
        <v>934</v>
      </c>
      <c r="B935" t="s">
        <v>1410</v>
      </c>
      <c r="C935" t="s">
        <v>1411</v>
      </c>
      <c r="D935" t="s">
        <v>1494</v>
      </c>
      <c r="E935" t="s">
        <v>53</v>
      </c>
      <c r="F935" s="1">
        <v>38617</v>
      </c>
      <c r="G935" s="2">
        <v>2005</v>
      </c>
      <c r="H935">
        <v>2021</v>
      </c>
      <c r="I935" s="2">
        <v>16</v>
      </c>
      <c r="J935">
        <v>93714</v>
      </c>
      <c r="K935" t="s">
        <v>472</v>
      </c>
      <c r="L935">
        <v>5</v>
      </c>
      <c r="M935" t="s">
        <v>91</v>
      </c>
      <c r="N935" t="s">
        <v>40</v>
      </c>
      <c r="O935" t="s">
        <v>23</v>
      </c>
    </row>
    <row r="936" spans="1:15" x14ac:dyDescent="0.3">
      <c r="A936">
        <v>935</v>
      </c>
      <c r="B936" t="s">
        <v>720</v>
      </c>
      <c r="C936" t="s">
        <v>1412</v>
      </c>
      <c r="D936" t="s">
        <v>1494</v>
      </c>
      <c r="E936" t="s">
        <v>122</v>
      </c>
      <c r="F936" s="1">
        <v>37233</v>
      </c>
      <c r="G936" s="2">
        <v>2001</v>
      </c>
      <c r="H936">
        <v>2021</v>
      </c>
      <c r="I936" s="2">
        <v>20</v>
      </c>
      <c r="J936">
        <v>146745</v>
      </c>
      <c r="K936" t="s">
        <v>142</v>
      </c>
      <c r="L936">
        <v>1</v>
      </c>
      <c r="M936" t="s">
        <v>46</v>
      </c>
      <c r="N936" t="s">
        <v>17</v>
      </c>
      <c r="O936" t="s">
        <v>123</v>
      </c>
    </row>
    <row r="937" spans="1:15" x14ac:dyDescent="0.3">
      <c r="A937">
        <v>936</v>
      </c>
      <c r="B937" t="s">
        <v>127</v>
      </c>
      <c r="C937" t="s">
        <v>1413</v>
      </c>
      <c r="D937" t="s">
        <v>1495</v>
      </c>
      <c r="E937" t="s">
        <v>14</v>
      </c>
      <c r="F937" s="1">
        <v>40532</v>
      </c>
      <c r="G937" s="2">
        <v>2010</v>
      </c>
      <c r="H937">
        <v>2021</v>
      </c>
      <c r="I937" s="2">
        <v>11</v>
      </c>
      <c r="J937">
        <v>126307</v>
      </c>
      <c r="K937" t="s">
        <v>497</v>
      </c>
      <c r="L937">
        <v>4</v>
      </c>
      <c r="M937" t="s">
        <v>55</v>
      </c>
      <c r="N937" t="s">
        <v>17</v>
      </c>
      <c r="O937" t="s">
        <v>18</v>
      </c>
    </row>
    <row r="938" spans="1:15" x14ac:dyDescent="0.3">
      <c r="A938">
        <v>937</v>
      </c>
      <c r="B938" t="s">
        <v>157</v>
      </c>
      <c r="C938" t="s">
        <v>1414</v>
      </c>
      <c r="D938" t="s">
        <v>1494</v>
      </c>
      <c r="E938" t="s">
        <v>21</v>
      </c>
      <c r="F938" s="1">
        <v>40811</v>
      </c>
      <c r="G938" s="2">
        <v>2011</v>
      </c>
      <c r="H938">
        <v>2021</v>
      </c>
      <c r="I938" s="2">
        <v>10</v>
      </c>
      <c r="J938">
        <v>134931</v>
      </c>
      <c r="K938" t="s">
        <v>220</v>
      </c>
      <c r="L938">
        <v>1</v>
      </c>
      <c r="M938" t="s">
        <v>46</v>
      </c>
      <c r="N938" t="s">
        <v>17</v>
      </c>
      <c r="O938" t="s">
        <v>23</v>
      </c>
    </row>
    <row r="939" spans="1:15" x14ac:dyDescent="0.3">
      <c r="A939">
        <v>938</v>
      </c>
      <c r="B939" t="s">
        <v>1028</v>
      </c>
      <c r="C939" t="s">
        <v>1415</v>
      </c>
      <c r="D939" t="s">
        <v>1495</v>
      </c>
      <c r="E939" t="s">
        <v>89</v>
      </c>
      <c r="F939" s="1">
        <v>37297</v>
      </c>
      <c r="G939" s="2">
        <v>2002</v>
      </c>
      <c r="H939">
        <v>2021</v>
      </c>
      <c r="I939" s="2">
        <v>19</v>
      </c>
      <c r="J939">
        <v>73668</v>
      </c>
      <c r="K939" t="s">
        <v>253</v>
      </c>
      <c r="L939">
        <v>2</v>
      </c>
      <c r="M939" t="s">
        <v>16</v>
      </c>
      <c r="N939" t="s">
        <v>17</v>
      </c>
      <c r="O939" t="s">
        <v>41</v>
      </c>
    </row>
    <row r="940" spans="1:15" x14ac:dyDescent="0.3">
      <c r="A940">
        <v>939</v>
      </c>
      <c r="B940" t="s">
        <v>325</v>
      </c>
      <c r="C940" t="s">
        <v>1416</v>
      </c>
      <c r="D940" t="s">
        <v>1494</v>
      </c>
      <c r="E940" t="s">
        <v>100</v>
      </c>
      <c r="F940" s="1">
        <v>40927</v>
      </c>
      <c r="G940" s="2">
        <v>2012</v>
      </c>
      <c r="H940">
        <v>2021</v>
      </c>
      <c r="I940" s="2">
        <v>9</v>
      </c>
      <c r="J940">
        <v>48840</v>
      </c>
      <c r="K940" t="s">
        <v>223</v>
      </c>
      <c r="L940">
        <v>1</v>
      </c>
      <c r="M940" t="s">
        <v>46</v>
      </c>
      <c r="N940" t="s">
        <v>17</v>
      </c>
      <c r="O940" t="s">
        <v>29</v>
      </c>
    </row>
    <row r="941" spans="1:15" x14ac:dyDescent="0.3">
      <c r="A941">
        <v>940</v>
      </c>
      <c r="B941" t="s">
        <v>788</v>
      </c>
      <c r="C941" t="s">
        <v>1417</v>
      </c>
      <c r="D941" t="s">
        <v>1494</v>
      </c>
      <c r="E941" t="s">
        <v>37</v>
      </c>
      <c r="F941" s="1">
        <v>41707</v>
      </c>
      <c r="G941" s="2">
        <v>2014</v>
      </c>
      <c r="H941">
        <v>2021</v>
      </c>
      <c r="I941" s="2">
        <v>7</v>
      </c>
      <c r="J941">
        <v>146952</v>
      </c>
      <c r="K941" t="s">
        <v>49</v>
      </c>
      <c r="L941">
        <v>2</v>
      </c>
      <c r="M941" t="s">
        <v>16</v>
      </c>
      <c r="N941" t="s">
        <v>17</v>
      </c>
      <c r="O941" t="s">
        <v>41</v>
      </c>
    </row>
    <row r="942" spans="1:15" x14ac:dyDescent="0.3">
      <c r="A942">
        <v>941</v>
      </c>
      <c r="B942" t="s">
        <v>255</v>
      </c>
      <c r="C942" t="s">
        <v>1418</v>
      </c>
      <c r="D942" t="s">
        <v>1495</v>
      </c>
      <c r="E942" t="s">
        <v>110</v>
      </c>
      <c r="F942" s="1">
        <v>38844</v>
      </c>
      <c r="G942" s="2">
        <v>2006</v>
      </c>
      <c r="H942">
        <v>2021</v>
      </c>
      <c r="I942" s="2">
        <v>15</v>
      </c>
      <c r="J942">
        <v>73565</v>
      </c>
      <c r="K942" t="s">
        <v>214</v>
      </c>
      <c r="L942">
        <v>7</v>
      </c>
      <c r="M942" t="s">
        <v>39</v>
      </c>
      <c r="N942" t="s">
        <v>40</v>
      </c>
      <c r="O942" t="s">
        <v>112</v>
      </c>
    </row>
    <row r="943" spans="1:15" x14ac:dyDescent="0.3">
      <c r="A943">
        <v>942</v>
      </c>
      <c r="B943" t="s">
        <v>443</v>
      </c>
      <c r="C943" t="s">
        <v>1419</v>
      </c>
      <c r="D943" t="s">
        <v>1494</v>
      </c>
      <c r="E943" t="s">
        <v>312</v>
      </c>
      <c r="F943" s="1">
        <v>40336</v>
      </c>
      <c r="G943" s="2">
        <v>2010</v>
      </c>
      <c r="H943">
        <v>2021</v>
      </c>
      <c r="I943" s="2">
        <v>11</v>
      </c>
      <c r="J943">
        <v>64443</v>
      </c>
      <c r="K943" t="s">
        <v>226</v>
      </c>
      <c r="L943">
        <v>6</v>
      </c>
      <c r="M943" t="s">
        <v>50</v>
      </c>
      <c r="N943" t="s">
        <v>40</v>
      </c>
      <c r="O943" t="s">
        <v>41</v>
      </c>
    </row>
    <row r="944" spans="1:15" x14ac:dyDescent="0.3">
      <c r="A944">
        <v>943</v>
      </c>
      <c r="B944" t="s">
        <v>42</v>
      </c>
      <c r="C944" t="s">
        <v>1420</v>
      </c>
      <c r="D944" t="s">
        <v>1495</v>
      </c>
      <c r="E944" t="s">
        <v>94</v>
      </c>
      <c r="F944" s="1">
        <v>39452</v>
      </c>
      <c r="G944" s="2">
        <v>2008</v>
      </c>
      <c r="H944">
        <v>2021</v>
      </c>
      <c r="I944" s="2">
        <v>13</v>
      </c>
      <c r="J944">
        <v>127171</v>
      </c>
      <c r="K944" t="s">
        <v>691</v>
      </c>
      <c r="L944">
        <v>4</v>
      </c>
      <c r="M944" t="s">
        <v>55</v>
      </c>
      <c r="N944" t="s">
        <v>17</v>
      </c>
      <c r="O944" t="s">
        <v>18</v>
      </c>
    </row>
    <row r="945" spans="1:15" x14ac:dyDescent="0.3">
      <c r="A945">
        <v>944</v>
      </c>
      <c r="B945" t="s">
        <v>308</v>
      </c>
      <c r="C945" t="s">
        <v>1421</v>
      </c>
      <c r="D945" t="s">
        <v>1495</v>
      </c>
      <c r="E945" t="s">
        <v>26</v>
      </c>
      <c r="F945" s="1">
        <v>37298</v>
      </c>
      <c r="G945" s="2">
        <v>2002</v>
      </c>
      <c r="H945">
        <v>2021</v>
      </c>
      <c r="I945" s="2">
        <v>19</v>
      </c>
      <c r="J945">
        <v>79045</v>
      </c>
      <c r="K945" t="s">
        <v>459</v>
      </c>
      <c r="L945">
        <v>3</v>
      </c>
      <c r="M945" t="s">
        <v>28</v>
      </c>
      <c r="N945" t="s">
        <v>17</v>
      </c>
      <c r="O945" t="s">
        <v>29</v>
      </c>
    </row>
    <row r="946" spans="1:15" x14ac:dyDescent="0.3">
      <c r="A946">
        <v>945</v>
      </c>
      <c r="B946" t="s">
        <v>856</v>
      </c>
      <c r="C946" t="s">
        <v>1422</v>
      </c>
      <c r="D946" t="s">
        <v>1495</v>
      </c>
      <c r="E946" t="s">
        <v>32</v>
      </c>
      <c r="F946" s="1">
        <v>38792</v>
      </c>
      <c r="G946" s="2">
        <v>2006</v>
      </c>
      <c r="H946">
        <v>2021</v>
      </c>
      <c r="I946" s="3">
        <v>15</v>
      </c>
      <c r="J946">
        <v>117147</v>
      </c>
      <c r="K946" t="s">
        <v>406</v>
      </c>
      <c r="L946">
        <v>1</v>
      </c>
      <c r="M946" t="s">
        <v>46</v>
      </c>
      <c r="N946" t="s">
        <v>17</v>
      </c>
      <c r="O946" t="s">
        <v>34</v>
      </c>
    </row>
    <row r="947" spans="1:15" x14ac:dyDescent="0.3">
      <c r="A947">
        <v>946</v>
      </c>
      <c r="B947" t="s">
        <v>42</v>
      </c>
      <c r="C947" t="s">
        <v>1423</v>
      </c>
      <c r="D947" t="s">
        <v>1495</v>
      </c>
      <c r="E947" t="s">
        <v>148</v>
      </c>
      <c r="F947" s="1">
        <v>41645</v>
      </c>
      <c r="G947" s="2">
        <v>2014</v>
      </c>
      <c r="H947">
        <v>2021</v>
      </c>
      <c r="I947" s="2">
        <v>7</v>
      </c>
      <c r="J947">
        <v>69807</v>
      </c>
      <c r="K947" t="s">
        <v>1366</v>
      </c>
      <c r="L947">
        <v>3</v>
      </c>
      <c r="M947" t="s">
        <v>28</v>
      </c>
      <c r="N947" t="s">
        <v>17</v>
      </c>
      <c r="O947" t="s">
        <v>112</v>
      </c>
    </row>
    <row r="948" spans="1:15" x14ac:dyDescent="0.3">
      <c r="A948">
        <v>947</v>
      </c>
      <c r="B948" t="s">
        <v>108</v>
      </c>
      <c r="C948" t="s">
        <v>1424</v>
      </c>
      <c r="D948" t="s">
        <v>1495</v>
      </c>
      <c r="E948" t="s">
        <v>312</v>
      </c>
      <c r="F948" s="1">
        <v>37995</v>
      </c>
      <c r="G948" s="2">
        <v>2004</v>
      </c>
      <c r="H948">
        <v>2021</v>
      </c>
      <c r="I948" s="2">
        <v>17</v>
      </c>
      <c r="J948">
        <v>128646</v>
      </c>
      <c r="K948" t="s">
        <v>181</v>
      </c>
      <c r="L948">
        <v>1</v>
      </c>
      <c r="M948" t="s">
        <v>46</v>
      </c>
      <c r="N948" t="s">
        <v>17</v>
      </c>
      <c r="O948" t="s">
        <v>41</v>
      </c>
    </row>
    <row r="949" spans="1:15" x14ac:dyDescent="0.3">
      <c r="A949">
        <v>948</v>
      </c>
      <c r="B949" t="s">
        <v>56</v>
      </c>
      <c r="C949" t="s">
        <v>1425</v>
      </c>
      <c r="D949" t="s">
        <v>1494</v>
      </c>
      <c r="E949" t="s">
        <v>44</v>
      </c>
      <c r="F949" s="1">
        <v>39491</v>
      </c>
      <c r="G949" s="2">
        <v>2008</v>
      </c>
      <c r="H949">
        <v>2021</v>
      </c>
      <c r="I949" s="2">
        <v>13</v>
      </c>
      <c r="J949">
        <v>47271</v>
      </c>
      <c r="K949" t="s">
        <v>1426</v>
      </c>
      <c r="L949">
        <v>1</v>
      </c>
      <c r="M949" t="s">
        <v>46</v>
      </c>
      <c r="N949" t="s">
        <v>17</v>
      </c>
      <c r="O949" t="s">
        <v>29</v>
      </c>
    </row>
    <row r="950" spans="1:15" x14ac:dyDescent="0.3">
      <c r="A950">
        <v>949</v>
      </c>
      <c r="B950" t="s">
        <v>488</v>
      </c>
      <c r="C950" t="s">
        <v>1427</v>
      </c>
      <c r="D950" t="s">
        <v>1494</v>
      </c>
      <c r="E950" t="s">
        <v>312</v>
      </c>
      <c r="F950" s="1">
        <v>38711</v>
      </c>
      <c r="G950" s="2">
        <v>2005</v>
      </c>
      <c r="H950">
        <v>2021</v>
      </c>
      <c r="I950" s="2">
        <v>16</v>
      </c>
      <c r="J950">
        <v>59363</v>
      </c>
      <c r="K950" t="s">
        <v>1426</v>
      </c>
      <c r="L950">
        <v>1</v>
      </c>
      <c r="M950" t="s">
        <v>46</v>
      </c>
      <c r="N950" t="s">
        <v>17</v>
      </c>
      <c r="O950" t="s">
        <v>41</v>
      </c>
    </row>
    <row r="951" spans="1:15" x14ac:dyDescent="0.3">
      <c r="A951">
        <v>950</v>
      </c>
      <c r="B951" t="s">
        <v>154</v>
      </c>
      <c r="C951" t="s">
        <v>1428</v>
      </c>
      <c r="D951" t="s">
        <v>1495</v>
      </c>
      <c r="E951" t="s">
        <v>312</v>
      </c>
      <c r="F951" s="1">
        <v>39651</v>
      </c>
      <c r="G951" s="2">
        <v>2008</v>
      </c>
      <c r="H951">
        <v>2021</v>
      </c>
      <c r="I951" s="2">
        <v>13</v>
      </c>
      <c r="J951">
        <v>68364</v>
      </c>
      <c r="K951" t="s">
        <v>497</v>
      </c>
      <c r="L951">
        <v>5</v>
      </c>
      <c r="M951" t="s">
        <v>91</v>
      </c>
      <c r="N951" t="s">
        <v>40</v>
      </c>
      <c r="O951" t="s">
        <v>41</v>
      </c>
    </row>
    <row r="952" spans="1:15" x14ac:dyDescent="0.3">
      <c r="A952">
        <v>951</v>
      </c>
      <c r="B952" t="s">
        <v>614</v>
      </c>
      <c r="C952" t="s">
        <v>1429</v>
      </c>
      <c r="D952" t="s">
        <v>1495</v>
      </c>
      <c r="E952" t="s">
        <v>53</v>
      </c>
      <c r="F952" s="1">
        <v>41260</v>
      </c>
      <c r="G952" s="2">
        <v>2012</v>
      </c>
      <c r="H952">
        <v>2021</v>
      </c>
      <c r="I952" s="2">
        <v>9</v>
      </c>
      <c r="J952">
        <v>115975</v>
      </c>
      <c r="K952" t="s">
        <v>472</v>
      </c>
      <c r="L952">
        <v>7</v>
      </c>
      <c r="M952" t="s">
        <v>39</v>
      </c>
      <c r="N952" t="s">
        <v>40</v>
      </c>
      <c r="O952" t="s">
        <v>23</v>
      </c>
    </row>
    <row r="953" spans="1:15" x14ac:dyDescent="0.3">
      <c r="A953">
        <v>952</v>
      </c>
      <c r="B953" t="s">
        <v>882</v>
      </c>
      <c r="C953" t="s">
        <v>1430</v>
      </c>
      <c r="D953" t="s">
        <v>1495</v>
      </c>
      <c r="E953" t="s">
        <v>312</v>
      </c>
      <c r="F953" s="1">
        <v>39742</v>
      </c>
      <c r="G953" s="2">
        <v>2008</v>
      </c>
      <c r="H953">
        <v>2021</v>
      </c>
      <c r="I953" s="2">
        <v>13</v>
      </c>
      <c r="J953">
        <v>53905</v>
      </c>
      <c r="K953" t="s">
        <v>179</v>
      </c>
      <c r="L953">
        <v>7</v>
      </c>
      <c r="M953" t="s">
        <v>39</v>
      </c>
      <c r="N953" t="s">
        <v>40</v>
      </c>
      <c r="O953" t="s">
        <v>41</v>
      </c>
    </row>
    <row r="954" spans="1:15" x14ac:dyDescent="0.3">
      <c r="A954">
        <v>953</v>
      </c>
      <c r="B954" t="s">
        <v>667</v>
      </c>
      <c r="C954" t="s">
        <v>1431</v>
      </c>
      <c r="D954" t="s">
        <v>1494</v>
      </c>
      <c r="E954" t="s">
        <v>37</v>
      </c>
      <c r="F954" s="1">
        <v>37867</v>
      </c>
      <c r="G954" s="2">
        <v>2003</v>
      </c>
      <c r="H954">
        <v>2021</v>
      </c>
      <c r="I954" s="2">
        <v>18</v>
      </c>
      <c r="J954">
        <v>115360</v>
      </c>
      <c r="K954" t="s">
        <v>472</v>
      </c>
      <c r="L954">
        <v>6</v>
      </c>
      <c r="M954" t="s">
        <v>50</v>
      </c>
      <c r="N954" t="s">
        <v>40</v>
      </c>
      <c r="O954" t="s">
        <v>41</v>
      </c>
    </row>
    <row r="955" spans="1:15" x14ac:dyDescent="0.3">
      <c r="A955">
        <v>954</v>
      </c>
      <c r="B955" t="s">
        <v>215</v>
      </c>
      <c r="C955" t="s">
        <v>1432</v>
      </c>
      <c r="D955" t="s">
        <v>1495</v>
      </c>
      <c r="E955" t="s">
        <v>94</v>
      </c>
      <c r="F955" s="1">
        <v>40743</v>
      </c>
      <c r="G955" s="2">
        <v>2011</v>
      </c>
      <c r="H955">
        <v>2021</v>
      </c>
      <c r="I955" s="2">
        <v>10</v>
      </c>
      <c r="J955">
        <v>120108</v>
      </c>
      <c r="K955" t="s">
        <v>1433</v>
      </c>
      <c r="L955">
        <v>5</v>
      </c>
      <c r="M955" t="s">
        <v>91</v>
      </c>
      <c r="N955" t="s">
        <v>40</v>
      </c>
      <c r="O955" t="s">
        <v>18</v>
      </c>
    </row>
    <row r="956" spans="1:15" x14ac:dyDescent="0.3">
      <c r="A956">
        <v>955</v>
      </c>
      <c r="B956" t="s">
        <v>596</v>
      </c>
      <c r="C956" t="s">
        <v>1434</v>
      </c>
      <c r="D956" t="s">
        <v>1494</v>
      </c>
      <c r="E956" t="s">
        <v>69</v>
      </c>
      <c r="F956" s="1">
        <v>38460</v>
      </c>
      <c r="G956" s="2">
        <v>2005</v>
      </c>
      <c r="H956">
        <v>2021</v>
      </c>
      <c r="I956" s="2">
        <v>16</v>
      </c>
      <c r="J956">
        <v>59234</v>
      </c>
      <c r="K956" t="s">
        <v>459</v>
      </c>
      <c r="L956">
        <v>7</v>
      </c>
      <c r="M956" t="s">
        <v>39</v>
      </c>
      <c r="N956" t="s">
        <v>40</v>
      </c>
      <c r="O956" t="s">
        <v>41</v>
      </c>
    </row>
    <row r="957" spans="1:15" x14ac:dyDescent="0.3">
      <c r="A957">
        <v>956</v>
      </c>
      <c r="B957" t="s">
        <v>325</v>
      </c>
      <c r="C957" t="s">
        <v>1435</v>
      </c>
      <c r="D957" t="s">
        <v>1495</v>
      </c>
      <c r="E957" t="s">
        <v>37</v>
      </c>
      <c r="F957" s="1">
        <v>39110</v>
      </c>
      <c r="G957" s="2">
        <v>2007</v>
      </c>
      <c r="H957">
        <v>2021</v>
      </c>
      <c r="I957" s="2">
        <v>14</v>
      </c>
      <c r="J957">
        <v>76812</v>
      </c>
      <c r="K957" t="s">
        <v>626</v>
      </c>
      <c r="L957">
        <v>7</v>
      </c>
      <c r="M957" t="s">
        <v>39</v>
      </c>
      <c r="N957" t="s">
        <v>40</v>
      </c>
      <c r="O957" t="s">
        <v>41</v>
      </c>
    </row>
    <row r="958" spans="1:15" x14ac:dyDescent="0.3">
      <c r="A958">
        <v>957</v>
      </c>
      <c r="B958" t="s">
        <v>291</v>
      </c>
      <c r="C958" t="s">
        <v>1436</v>
      </c>
      <c r="D958" t="s">
        <v>1495</v>
      </c>
      <c r="E958" t="s">
        <v>79</v>
      </c>
      <c r="F958" s="1">
        <v>41037</v>
      </c>
      <c r="G958" s="2">
        <v>2012</v>
      </c>
      <c r="H958">
        <v>2021</v>
      </c>
      <c r="I958" s="2">
        <v>9</v>
      </c>
      <c r="J958">
        <v>42347</v>
      </c>
      <c r="K958" t="s">
        <v>459</v>
      </c>
      <c r="L958">
        <v>3</v>
      </c>
      <c r="M958" t="s">
        <v>28</v>
      </c>
      <c r="N958" t="s">
        <v>17</v>
      </c>
      <c r="O958" t="s">
        <v>41</v>
      </c>
    </row>
    <row r="959" spans="1:15" x14ac:dyDescent="0.3">
      <c r="A959">
        <v>958</v>
      </c>
      <c r="B959" t="s">
        <v>1437</v>
      </c>
      <c r="C959" t="s">
        <v>1438</v>
      </c>
      <c r="D959" t="s">
        <v>1494</v>
      </c>
      <c r="E959" t="s">
        <v>44</v>
      </c>
      <c r="F959" s="1">
        <v>37960</v>
      </c>
      <c r="G959" s="2">
        <v>2003</v>
      </c>
      <c r="H959">
        <v>2021</v>
      </c>
      <c r="I959" s="2">
        <v>18</v>
      </c>
      <c r="J959">
        <v>82164</v>
      </c>
      <c r="K959" t="s">
        <v>74</v>
      </c>
      <c r="L959">
        <v>1</v>
      </c>
      <c r="M959" t="s">
        <v>46</v>
      </c>
      <c r="N959" t="s">
        <v>17</v>
      </c>
      <c r="O959" t="s">
        <v>29</v>
      </c>
    </row>
    <row r="960" spans="1:15" x14ac:dyDescent="0.3">
      <c r="A960">
        <v>959</v>
      </c>
      <c r="B960" t="s">
        <v>212</v>
      </c>
      <c r="C960" t="s">
        <v>1439</v>
      </c>
      <c r="D960" t="s">
        <v>1494</v>
      </c>
      <c r="E960" t="s">
        <v>238</v>
      </c>
      <c r="F960" s="1">
        <v>36859</v>
      </c>
      <c r="G960" s="2">
        <v>2000</v>
      </c>
      <c r="H960">
        <v>2021</v>
      </c>
      <c r="I960" s="2">
        <v>21</v>
      </c>
      <c r="J960">
        <v>114695</v>
      </c>
      <c r="K960" t="s">
        <v>306</v>
      </c>
      <c r="L960">
        <v>1</v>
      </c>
      <c r="M960" t="s">
        <v>46</v>
      </c>
      <c r="N960" t="s">
        <v>17</v>
      </c>
      <c r="O960" t="s">
        <v>63</v>
      </c>
    </row>
    <row r="961" spans="1:15" x14ac:dyDescent="0.3">
      <c r="A961">
        <v>960</v>
      </c>
      <c r="B961" t="s">
        <v>205</v>
      </c>
      <c r="C961" t="s">
        <v>1440</v>
      </c>
      <c r="D961" t="s">
        <v>1494</v>
      </c>
      <c r="E961" t="s">
        <v>14</v>
      </c>
      <c r="F961" s="1">
        <v>37621</v>
      </c>
      <c r="G961" s="2">
        <v>2002</v>
      </c>
      <c r="H961">
        <v>2021</v>
      </c>
      <c r="I961" s="2">
        <v>19</v>
      </c>
      <c r="J961">
        <v>47541</v>
      </c>
      <c r="K961" t="s">
        <v>149</v>
      </c>
      <c r="L961">
        <v>2</v>
      </c>
      <c r="M961" t="s">
        <v>16</v>
      </c>
      <c r="N961" t="s">
        <v>17</v>
      </c>
      <c r="O961" t="s">
        <v>18</v>
      </c>
    </row>
    <row r="962" spans="1:15" x14ac:dyDescent="0.3">
      <c r="A962">
        <v>961</v>
      </c>
      <c r="B962" t="s">
        <v>624</v>
      </c>
      <c r="C962" t="s">
        <v>1441</v>
      </c>
      <c r="D962" t="s">
        <v>1495</v>
      </c>
      <c r="E962" t="s">
        <v>73</v>
      </c>
      <c r="F962" s="1">
        <v>40861</v>
      </c>
      <c r="G962" s="2">
        <v>2011</v>
      </c>
      <c r="H962">
        <v>2021</v>
      </c>
      <c r="I962" s="2">
        <v>10</v>
      </c>
      <c r="J962">
        <v>116355</v>
      </c>
      <c r="K962" t="s">
        <v>15</v>
      </c>
      <c r="L962">
        <v>5</v>
      </c>
      <c r="M962" t="s">
        <v>91</v>
      </c>
      <c r="N962" t="s">
        <v>40</v>
      </c>
      <c r="O962" t="s">
        <v>41</v>
      </c>
    </row>
    <row r="963" spans="1:15" x14ac:dyDescent="0.3">
      <c r="A963">
        <v>962</v>
      </c>
      <c r="B963" t="s">
        <v>423</v>
      </c>
      <c r="C963" t="s">
        <v>1442</v>
      </c>
      <c r="D963" t="s">
        <v>1495</v>
      </c>
      <c r="E963" t="s">
        <v>203</v>
      </c>
      <c r="F963" s="1">
        <v>36812</v>
      </c>
      <c r="G963" s="2">
        <v>2000</v>
      </c>
      <c r="H963">
        <v>2021</v>
      </c>
      <c r="I963" s="2">
        <v>21</v>
      </c>
      <c r="J963">
        <v>48339</v>
      </c>
      <c r="K963" t="s">
        <v>640</v>
      </c>
      <c r="L963">
        <v>5</v>
      </c>
      <c r="M963" t="s">
        <v>91</v>
      </c>
      <c r="N963" t="s">
        <v>40</v>
      </c>
      <c r="O963" t="s">
        <v>41</v>
      </c>
    </row>
    <row r="964" spans="1:15" x14ac:dyDescent="0.3">
      <c r="A964">
        <v>963</v>
      </c>
      <c r="B964" t="s">
        <v>358</v>
      </c>
      <c r="C964" t="s">
        <v>1443</v>
      </c>
      <c r="D964" t="s">
        <v>1495</v>
      </c>
      <c r="E964" t="s">
        <v>69</v>
      </c>
      <c r="F964" s="1">
        <v>41080</v>
      </c>
      <c r="G964" s="2">
        <v>2012</v>
      </c>
      <c r="H964">
        <v>2021</v>
      </c>
      <c r="I964" s="2">
        <v>9</v>
      </c>
      <c r="J964">
        <v>58697</v>
      </c>
      <c r="K964" t="s">
        <v>527</v>
      </c>
      <c r="L964">
        <v>4</v>
      </c>
      <c r="M964" t="s">
        <v>55</v>
      </c>
      <c r="N964" t="s">
        <v>17</v>
      </c>
      <c r="O964" t="s">
        <v>41</v>
      </c>
    </row>
    <row r="965" spans="1:15" x14ac:dyDescent="0.3">
      <c r="A965">
        <v>964</v>
      </c>
      <c r="B965" t="s">
        <v>772</v>
      </c>
      <c r="C965" t="s">
        <v>1444</v>
      </c>
      <c r="D965" t="s">
        <v>1494</v>
      </c>
      <c r="E965" t="s">
        <v>110</v>
      </c>
      <c r="F965" s="1">
        <v>37317</v>
      </c>
      <c r="G965" s="2">
        <v>2002</v>
      </c>
      <c r="H965">
        <v>2021</v>
      </c>
      <c r="I965" s="2">
        <v>19</v>
      </c>
      <c r="J965">
        <v>127268</v>
      </c>
      <c r="K965" t="s">
        <v>111</v>
      </c>
      <c r="L965">
        <v>4</v>
      </c>
      <c r="M965" t="s">
        <v>55</v>
      </c>
      <c r="N965" t="s">
        <v>17</v>
      </c>
      <c r="O965" t="s">
        <v>112</v>
      </c>
    </row>
    <row r="966" spans="1:15" x14ac:dyDescent="0.3">
      <c r="A966">
        <v>965</v>
      </c>
      <c r="B966" t="s">
        <v>465</v>
      </c>
      <c r="C966" t="s">
        <v>1445</v>
      </c>
      <c r="D966" t="s">
        <v>1494</v>
      </c>
      <c r="E966" t="s">
        <v>79</v>
      </c>
      <c r="F966" s="1">
        <v>41731</v>
      </c>
      <c r="G966" s="2">
        <v>2014</v>
      </c>
      <c r="H966">
        <v>2021</v>
      </c>
      <c r="I966" s="2">
        <v>7</v>
      </c>
      <c r="J966">
        <v>115541</v>
      </c>
      <c r="K966" t="s">
        <v>386</v>
      </c>
      <c r="L966">
        <v>6</v>
      </c>
      <c r="M966" t="s">
        <v>50</v>
      </c>
      <c r="N966" t="s">
        <v>40</v>
      </c>
      <c r="O966" t="s">
        <v>41</v>
      </c>
    </row>
    <row r="967" spans="1:15" x14ac:dyDescent="0.3">
      <c r="A967">
        <v>966</v>
      </c>
      <c r="B967" t="s">
        <v>108</v>
      </c>
      <c r="C967" t="s">
        <v>1446</v>
      </c>
      <c r="D967" t="s">
        <v>1495</v>
      </c>
      <c r="E967" t="s">
        <v>100</v>
      </c>
      <c r="F967" s="1">
        <v>39491</v>
      </c>
      <c r="G967" s="2">
        <v>2008</v>
      </c>
      <c r="H967">
        <v>2021</v>
      </c>
      <c r="I967" s="2">
        <v>13</v>
      </c>
      <c r="J967">
        <v>54876</v>
      </c>
      <c r="K967" t="s">
        <v>709</v>
      </c>
      <c r="L967">
        <v>2</v>
      </c>
      <c r="M967" t="s">
        <v>16</v>
      </c>
      <c r="N967" t="s">
        <v>17</v>
      </c>
      <c r="O967" t="s">
        <v>29</v>
      </c>
    </row>
    <row r="968" spans="1:15" x14ac:dyDescent="0.3">
      <c r="A968">
        <v>967</v>
      </c>
      <c r="B968" t="s">
        <v>439</v>
      </c>
      <c r="C968" t="s">
        <v>1447</v>
      </c>
      <c r="D968" t="s">
        <v>1495</v>
      </c>
      <c r="E968" t="s">
        <v>129</v>
      </c>
      <c r="F968" s="1">
        <v>41134</v>
      </c>
      <c r="G968" s="2">
        <v>2012</v>
      </c>
      <c r="H968">
        <v>2021</v>
      </c>
      <c r="I968" s="2">
        <v>9</v>
      </c>
      <c r="J968">
        <v>55081</v>
      </c>
      <c r="K968" t="s">
        <v>214</v>
      </c>
      <c r="L968">
        <v>5</v>
      </c>
      <c r="M968" t="s">
        <v>91</v>
      </c>
      <c r="N968" t="s">
        <v>40</v>
      </c>
      <c r="O968" t="s">
        <v>41</v>
      </c>
    </row>
    <row r="969" spans="1:15" x14ac:dyDescent="0.3">
      <c r="A969">
        <v>968</v>
      </c>
      <c r="B969" t="s">
        <v>508</v>
      </c>
      <c r="C969" t="s">
        <v>1448</v>
      </c>
      <c r="D969" t="s">
        <v>1494</v>
      </c>
      <c r="E969" t="s">
        <v>129</v>
      </c>
      <c r="F969" s="1">
        <v>40082</v>
      </c>
      <c r="G969" s="2">
        <v>2009</v>
      </c>
      <c r="H969">
        <v>2021</v>
      </c>
      <c r="I969" s="2">
        <v>12</v>
      </c>
      <c r="J969">
        <v>123017</v>
      </c>
      <c r="K969" t="s">
        <v>344</v>
      </c>
      <c r="L969">
        <v>6</v>
      </c>
      <c r="M969" t="s">
        <v>50</v>
      </c>
      <c r="N969" t="s">
        <v>40</v>
      </c>
      <c r="O969" t="s">
        <v>41</v>
      </c>
    </row>
    <row r="970" spans="1:15" x14ac:dyDescent="0.3">
      <c r="A970">
        <v>969</v>
      </c>
      <c r="B970" t="s">
        <v>969</v>
      </c>
      <c r="C970" t="s">
        <v>1449</v>
      </c>
      <c r="D970" t="s">
        <v>1494</v>
      </c>
      <c r="E970" t="s">
        <v>69</v>
      </c>
      <c r="F970" s="1">
        <v>41825</v>
      </c>
      <c r="G970" s="2">
        <v>2014</v>
      </c>
      <c r="H970">
        <v>2021</v>
      </c>
      <c r="I970" s="2">
        <v>7</v>
      </c>
      <c r="J970">
        <v>85294</v>
      </c>
      <c r="K970" t="s">
        <v>715</v>
      </c>
      <c r="L970">
        <v>4</v>
      </c>
      <c r="M970" t="s">
        <v>55</v>
      </c>
      <c r="N970" t="s">
        <v>17</v>
      </c>
      <c r="O970" t="s">
        <v>41</v>
      </c>
    </row>
    <row r="971" spans="1:15" x14ac:dyDescent="0.3">
      <c r="A971">
        <v>970</v>
      </c>
      <c r="B971" t="s">
        <v>56</v>
      </c>
      <c r="C971" t="s">
        <v>1450</v>
      </c>
      <c r="D971" t="s">
        <v>1494</v>
      </c>
      <c r="E971" t="s">
        <v>85</v>
      </c>
      <c r="F971" s="1">
        <v>38204</v>
      </c>
      <c r="G971" s="2">
        <v>2004</v>
      </c>
      <c r="H971">
        <v>2021</v>
      </c>
      <c r="I971" s="2">
        <v>17</v>
      </c>
      <c r="J971">
        <v>54470</v>
      </c>
      <c r="K971" t="s">
        <v>551</v>
      </c>
      <c r="L971">
        <v>2</v>
      </c>
      <c r="M971" t="s">
        <v>16</v>
      </c>
      <c r="N971" t="s">
        <v>17</v>
      </c>
      <c r="O971" t="s">
        <v>41</v>
      </c>
    </row>
    <row r="972" spans="1:15" x14ac:dyDescent="0.3">
      <c r="A972">
        <v>971</v>
      </c>
      <c r="B972" t="s">
        <v>718</v>
      </c>
      <c r="C972" t="s">
        <v>1451</v>
      </c>
      <c r="D972" t="s">
        <v>1495</v>
      </c>
      <c r="E972" t="s">
        <v>148</v>
      </c>
      <c r="F972" s="1">
        <v>40705</v>
      </c>
      <c r="G972" s="2">
        <v>2011</v>
      </c>
      <c r="H972">
        <v>2021</v>
      </c>
      <c r="I972" s="2">
        <v>10</v>
      </c>
      <c r="J972">
        <v>148889</v>
      </c>
      <c r="K972" t="s">
        <v>327</v>
      </c>
      <c r="L972">
        <v>4</v>
      </c>
      <c r="M972" t="s">
        <v>55</v>
      </c>
      <c r="N972" t="s">
        <v>17</v>
      </c>
      <c r="O972" t="s">
        <v>112</v>
      </c>
    </row>
    <row r="973" spans="1:15" x14ac:dyDescent="0.3">
      <c r="A973">
        <v>972</v>
      </c>
      <c r="B973" t="s">
        <v>864</v>
      </c>
      <c r="C973" t="s">
        <v>1452</v>
      </c>
      <c r="D973" t="s">
        <v>1495</v>
      </c>
      <c r="E973" t="s">
        <v>73</v>
      </c>
      <c r="F973" s="1">
        <v>39457</v>
      </c>
      <c r="G973" s="2">
        <v>2008</v>
      </c>
      <c r="H973">
        <v>2021</v>
      </c>
      <c r="I973" s="2">
        <v>13</v>
      </c>
      <c r="J973">
        <v>94049</v>
      </c>
      <c r="K973" t="s">
        <v>247</v>
      </c>
      <c r="L973">
        <v>7</v>
      </c>
      <c r="M973" t="s">
        <v>39</v>
      </c>
      <c r="N973" t="s">
        <v>40</v>
      </c>
      <c r="O973" t="s">
        <v>41</v>
      </c>
    </row>
    <row r="974" spans="1:15" x14ac:dyDescent="0.3">
      <c r="A974">
        <v>973</v>
      </c>
      <c r="B974" t="s">
        <v>560</v>
      </c>
      <c r="C974" t="s">
        <v>1453</v>
      </c>
      <c r="D974" t="s">
        <v>1495</v>
      </c>
      <c r="E974" t="s">
        <v>61</v>
      </c>
      <c r="F974" s="1">
        <v>39944</v>
      </c>
      <c r="G974" s="2">
        <v>2009</v>
      </c>
      <c r="H974">
        <v>2021</v>
      </c>
      <c r="I974" s="2">
        <v>12</v>
      </c>
      <c r="J974">
        <v>51132</v>
      </c>
      <c r="K974" t="s">
        <v>139</v>
      </c>
      <c r="L974">
        <v>4</v>
      </c>
      <c r="M974" t="s">
        <v>55</v>
      </c>
      <c r="N974" t="s">
        <v>17</v>
      </c>
      <c r="O974" t="s">
        <v>63</v>
      </c>
    </row>
    <row r="975" spans="1:15" x14ac:dyDescent="0.3">
      <c r="A975">
        <v>974</v>
      </c>
      <c r="B975" t="s">
        <v>259</v>
      </c>
      <c r="C975" t="s">
        <v>1454</v>
      </c>
      <c r="D975" t="s">
        <v>1494</v>
      </c>
      <c r="E975" t="s">
        <v>53</v>
      </c>
      <c r="F975" s="1">
        <v>37421</v>
      </c>
      <c r="G975" s="2">
        <v>2002</v>
      </c>
      <c r="H975">
        <v>2021</v>
      </c>
      <c r="I975" s="2">
        <v>19</v>
      </c>
      <c r="J975">
        <v>87422</v>
      </c>
      <c r="K975" t="s">
        <v>370</v>
      </c>
      <c r="L975">
        <v>3</v>
      </c>
      <c r="M975" t="s">
        <v>28</v>
      </c>
      <c r="N975" t="s">
        <v>17</v>
      </c>
      <c r="O975" t="s">
        <v>23</v>
      </c>
    </row>
    <row r="976" spans="1:15" x14ac:dyDescent="0.3">
      <c r="A976">
        <v>975</v>
      </c>
      <c r="B976" t="s">
        <v>523</v>
      </c>
      <c r="C976" t="s">
        <v>1455</v>
      </c>
      <c r="D976" t="s">
        <v>1495</v>
      </c>
      <c r="E976" t="s">
        <v>110</v>
      </c>
      <c r="F976" s="1">
        <v>41897</v>
      </c>
      <c r="G976" s="2">
        <v>2014</v>
      </c>
      <c r="H976">
        <v>2021</v>
      </c>
      <c r="I976" s="2">
        <v>7</v>
      </c>
      <c r="J976">
        <v>88439</v>
      </c>
      <c r="K976" t="s">
        <v>888</v>
      </c>
      <c r="L976">
        <v>2</v>
      </c>
      <c r="M976" t="s">
        <v>16</v>
      </c>
      <c r="N976" t="s">
        <v>17</v>
      </c>
      <c r="O976" t="s">
        <v>112</v>
      </c>
    </row>
    <row r="977" spans="1:15" x14ac:dyDescent="0.3">
      <c r="A977">
        <v>976</v>
      </c>
      <c r="B977" t="s">
        <v>105</v>
      </c>
      <c r="C977" t="s">
        <v>1456</v>
      </c>
      <c r="D977" t="s">
        <v>1494</v>
      </c>
      <c r="E977" t="s">
        <v>129</v>
      </c>
      <c r="F977" s="1">
        <v>38408</v>
      </c>
      <c r="G977" s="2">
        <v>2005</v>
      </c>
      <c r="H977">
        <v>2021</v>
      </c>
      <c r="I977" s="2">
        <v>16</v>
      </c>
      <c r="J977">
        <v>110749</v>
      </c>
      <c r="K977" t="s">
        <v>330</v>
      </c>
      <c r="L977">
        <v>7</v>
      </c>
      <c r="M977" t="s">
        <v>39</v>
      </c>
      <c r="N977" t="s">
        <v>40</v>
      </c>
      <c r="O977" t="s">
        <v>41</v>
      </c>
    </row>
    <row r="978" spans="1:15" x14ac:dyDescent="0.3">
      <c r="A978">
        <v>977</v>
      </c>
      <c r="B978" t="s">
        <v>1282</v>
      </c>
      <c r="C978" t="s">
        <v>1457</v>
      </c>
      <c r="D978" t="s">
        <v>1494</v>
      </c>
      <c r="E978" t="s">
        <v>129</v>
      </c>
      <c r="F978" s="1">
        <v>39016</v>
      </c>
      <c r="G978" s="2">
        <v>2006</v>
      </c>
      <c r="H978">
        <v>2021</v>
      </c>
      <c r="I978" s="2">
        <v>15</v>
      </c>
      <c r="J978">
        <v>137911</v>
      </c>
      <c r="K978" t="s">
        <v>381</v>
      </c>
      <c r="L978">
        <v>4</v>
      </c>
      <c r="M978" t="s">
        <v>55</v>
      </c>
      <c r="N978" t="s">
        <v>17</v>
      </c>
      <c r="O978" t="s">
        <v>41</v>
      </c>
    </row>
    <row r="979" spans="1:15" x14ac:dyDescent="0.3">
      <c r="A979">
        <v>978</v>
      </c>
      <c r="B979" t="s">
        <v>288</v>
      </c>
      <c r="C979" t="s">
        <v>1458</v>
      </c>
      <c r="D979" t="s">
        <v>1494</v>
      </c>
      <c r="E979" t="s">
        <v>94</v>
      </c>
      <c r="F979" s="1">
        <v>39982</v>
      </c>
      <c r="G979" s="2">
        <v>2009</v>
      </c>
      <c r="H979">
        <v>2021</v>
      </c>
      <c r="I979" s="2">
        <v>12</v>
      </c>
      <c r="J979">
        <v>93665</v>
      </c>
      <c r="K979" t="s">
        <v>632</v>
      </c>
      <c r="L979">
        <v>3</v>
      </c>
      <c r="M979" t="s">
        <v>28</v>
      </c>
      <c r="N979" t="s">
        <v>17</v>
      </c>
      <c r="O979" t="s">
        <v>18</v>
      </c>
    </row>
    <row r="980" spans="1:15" x14ac:dyDescent="0.3">
      <c r="A980">
        <v>979</v>
      </c>
      <c r="B980" t="s">
        <v>80</v>
      </c>
      <c r="C980" t="s">
        <v>1459</v>
      </c>
      <c r="D980" t="s">
        <v>1494</v>
      </c>
      <c r="E980" t="s">
        <v>73</v>
      </c>
      <c r="F980" s="1">
        <v>40178</v>
      </c>
      <c r="G980" s="2">
        <v>2009</v>
      </c>
      <c r="H980">
        <v>2021</v>
      </c>
      <c r="I980" s="2">
        <v>12</v>
      </c>
      <c r="J980">
        <v>90068</v>
      </c>
      <c r="K980" t="s">
        <v>313</v>
      </c>
      <c r="L980">
        <v>6</v>
      </c>
      <c r="M980" t="s">
        <v>50</v>
      </c>
      <c r="N980" t="s">
        <v>40</v>
      </c>
      <c r="O980" t="s">
        <v>41</v>
      </c>
    </row>
    <row r="981" spans="1:15" x14ac:dyDescent="0.3">
      <c r="A981">
        <v>980</v>
      </c>
      <c r="B981" t="s">
        <v>59</v>
      </c>
      <c r="C981" t="s">
        <v>1460</v>
      </c>
      <c r="D981" t="s">
        <v>1495</v>
      </c>
      <c r="E981" t="s">
        <v>89</v>
      </c>
      <c r="F981" s="1">
        <v>41992</v>
      </c>
      <c r="G981" s="2">
        <v>2014</v>
      </c>
      <c r="H981">
        <v>2021</v>
      </c>
      <c r="I981" s="2">
        <v>7</v>
      </c>
      <c r="J981">
        <v>83704</v>
      </c>
      <c r="K981" t="s">
        <v>179</v>
      </c>
      <c r="L981">
        <v>5</v>
      </c>
      <c r="M981" t="s">
        <v>91</v>
      </c>
      <c r="N981" t="s">
        <v>40</v>
      </c>
      <c r="O981" t="s">
        <v>41</v>
      </c>
    </row>
    <row r="982" spans="1:15" x14ac:dyDescent="0.3">
      <c r="A982">
        <v>981</v>
      </c>
      <c r="B982" t="s">
        <v>165</v>
      </c>
      <c r="C982" t="s">
        <v>1461</v>
      </c>
      <c r="D982" t="s">
        <v>1494</v>
      </c>
      <c r="E982" t="s">
        <v>129</v>
      </c>
      <c r="F982" s="1">
        <v>40721</v>
      </c>
      <c r="G982" s="2">
        <v>2011</v>
      </c>
      <c r="H982">
        <v>2021</v>
      </c>
      <c r="I982" s="2">
        <v>10</v>
      </c>
      <c r="J982">
        <v>116767</v>
      </c>
      <c r="K982" t="s">
        <v>194</v>
      </c>
      <c r="L982">
        <v>3</v>
      </c>
      <c r="M982" t="s">
        <v>28</v>
      </c>
      <c r="N982" t="s">
        <v>17</v>
      </c>
      <c r="O982" t="s">
        <v>41</v>
      </c>
    </row>
    <row r="983" spans="1:15" x14ac:dyDescent="0.3">
      <c r="A983">
        <v>982</v>
      </c>
      <c r="B983" t="s">
        <v>986</v>
      </c>
      <c r="C983" t="s">
        <v>1462</v>
      </c>
      <c r="D983" t="s">
        <v>1495</v>
      </c>
      <c r="E983" t="s">
        <v>53</v>
      </c>
      <c r="F983" s="1">
        <v>36764</v>
      </c>
      <c r="G983" s="2">
        <v>2000</v>
      </c>
      <c r="H983">
        <v>2021</v>
      </c>
      <c r="I983" s="2">
        <v>21</v>
      </c>
      <c r="J983">
        <v>54599</v>
      </c>
      <c r="K983" t="s">
        <v>142</v>
      </c>
      <c r="L983">
        <v>3</v>
      </c>
      <c r="M983" t="s">
        <v>28</v>
      </c>
      <c r="N983" t="s">
        <v>17</v>
      </c>
      <c r="O983" t="s">
        <v>23</v>
      </c>
    </row>
    <row r="984" spans="1:15" x14ac:dyDescent="0.3">
      <c r="A984">
        <v>983</v>
      </c>
      <c r="B984" t="s">
        <v>443</v>
      </c>
      <c r="C984" t="s">
        <v>1463</v>
      </c>
      <c r="D984" t="s">
        <v>1495</v>
      </c>
      <c r="E984" t="s">
        <v>21</v>
      </c>
      <c r="F984" s="1">
        <v>41687</v>
      </c>
      <c r="G984" s="2">
        <v>2014</v>
      </c>
      <c r="H984">
        <v>2021</v>
      </c>
      <c r="I984" s="2">
        <v>7</v>
      </c>
      <c r="J984">
        <v>94685</v>
      </c>
      <c r="K984" t="s">
        <v>370</v>
      </c>
      <c r="L984">
        <v>4</v>
      </c>
      <c r="M984" t="s">
        <v>55</v>
      </c>
      <c r="N984" t="s">
        <v>17</v>
      </c>
      <c r="O984" t="s">
        <v>23</v>
      </c>
    </row>
    <row r="985" spans="1:15" x14ac:dyDescent="0.3">
      <c r="A985">
        <v>984</v>
      </c>
      <c r="B985" t="s">
        <v>268</v>
      </c>
      <c r="C985" t="s">
        <v>1464</v>
      </c>
      <c r="D985" t="s">
        <v>1494</v>
      </c>
      <c r="E985" t="s">
        <v>32</v>
      </c>
      <c r="F985" s="1">
        <v>38280</v>
      </c>
      <c r="G985" s="2">
        <v>2004</v>
      </c>
      <c r="H985">
        <v>2021</v>
      </c>
      <c r="I985" s="3">
        <v>17</v>
      </c>
      <c r="J985">
        <v>91608</v>
      </c>
      <c r="K985" t="s">
        <v>669</v>
      </c>
      <c r="L985">
        <v>5</v>
      </c>
      <c r="M985" t="s">
        <v>91</v>
      </c>
      <c r="N985" t="s">
        <v>40</v>
      </c>
      <c r="O985" t="s">
        <v>34</v>
      </c>
    </row>
    <row r="986" spans="1:15" x14ac:dyDescent="0.3">
      <c r="A986">
        <v>985</v>
      </c>
      <c r="B986" t="s">
        <v>530</v>
      </c>
      <c r="C986" t="s">
        <v>1465</v>
      </c>
      <c r="D986" t="s">
        <v>1494</v>
      </c>
      <c r="E986" t="s">
        <v>94</v>
      </c>
      <c r="F986" s="1">
        <v>38776</v>
      </c>
      <c r="G986" s="2">
        <v>2006</v>
      </c>
      <c r="H986">
        <v>2021</v>
      </c>
      <c r="I986" s="2">
        <v>15</v>
      </c>
      <c r="J986">
        <v>118791</v>
      </c>
      <c r="K986" t="s">
        <v>418</v>
      </c>
      <c r="L986">
        <v>1</v>
      </c>
      <c r="M986" t="s">
        <v>46</v>
      </c>
      <c r="N986" t="s">
        <v>17</v>
      </c>
      <c r="O986" t="s">
        <v>18</v>
      </c>
    </row>
    <row r="987" spans="1:15" x14ac:dyDescent="0.3">
      <c r="A987">
        <v>986</v>
      </c>
      <c r="B987" t="s">
        <v>768</v>
      </c>
      <c r="C987" t="s">
        <v>1466</v>
      </c>
      <c r="D987" t="s">
        <v>1494</v>
      </c>
      <c r="E987" t="s">
        <v>129</v>
      </c>
      <c r="F987" s="1">
        <v>37587</v>
      </c>
      <c r="G987" s="2">
        <v>2002</v>
      </c>
      <c r="H987">
        <v>2021</v>
      </c>
      <c r="I987" s="2">
        <v>19</v>
      </c>
      <c r="J987">
        <v>115888</v>
      </c>
      <c r="K987" t="s">
        <v>145</v>
      </c>
      <c r="L987">
        <v>6</v>
      </c>
      <c r="M987" t="s">
        <v>50</v>
      </c>
      <c r="N987" t="s">
        <v>40</v>
      </c>
      <c r="O987" t="s">
        <v>41</v>
      </c>
    </row>
    <row r="988" spans="1:15" x14ac:dyDescent="0.3">
      <c r="A988">
        <v>987</v>
      </c>
      <c r="B988" t="s">
        <v>170</v>
      </c>
      <c r="C988" t="s">
        <v>1467</v>
      </c>
      <c r="D988" t="s">
        <v>1495</v>
      </c>
      <c r="E988" t="s">
        <v>44</v>
      </c>
      <c r="F988" s="1">
        <v>36877</v>
      </c>
      <c r="G988" s="2">
        <v>2000</v>
      </c>
      <c r="H988">
        <v>2021</v>
      </c>
      <c r="I988" s="2">
        <v>21</v>
      </c>
      <c r="J988">
        <v>60743</v>
      </c>
      <c r="K988" t="s">
        <v>156</v>
      </c>
      <c r="L988">
        <v>5</v>
      </c>
      <c r="M988" t="s">
        <v>91</v>
      </c>
      <c r="N988" t="s">
        <v>40</v>
      </c>
      <c r="O988" t="s">
        <v>29</v>
      </c>
    </row>
    <row r="989" spans="1:15" x14ac:dyDescent="0.3">
      <c r="A989">
        <v>988</v>
      </c>
      <c r="B989" t="s">
        <v>882</v>
      </c>
      <c r="C989" t="s">
        <v>1468</v>
      </c>
      <c r="D989" t="s">
        <v>1495</v>
      </c>
      <c r="E989" t="s">
        <v>129</v>
      </c>
      <c r="F989" s="1">
        <v>38459</v>
      </c>
      <c r="G989" s="2">
        <v>2005</v>
      </c>
      <c r="H989">
        <v>2021</v>
      </c>
      <c r="I989" s="2">
        <v>16</v>
      </c>
      <c r="J989">
        <v>117962</v>
      </c>
      <c r="K989" t="s">
        <v>659</v>
      </c>
      <c r="L989">
        <v>7</v>
      </c>
      <c r="M989" t="s">
        <v>39</v>
      </c>
      <c r="N989" t="s">
        <v>40</v>
      </c>
      <c r="O989" t="s">
        <v>41</v>
      </c>
    </row>
    <row r="990" spans="1:15" x14ac:dyDescent="0.3">
      <c r="A990">
        <v>989</v>
      </c>
      <c r="B990" t="s">
        <v>452</v>
      </c>
      <c r="C990" t="s">
        <v>1469</v>
      </c>
      <c r="D990" t="s">
        <v>1495</v>
      </c>
      <c r="E990" t="s">
        <v>238</v>
      </c>
      <c r="F990" s="1">
        <v>38053</v>
      </c>
      <c r="G990" s="2">
        <v>2004</v>
      </c>
      <c r="H990">
        <v>2021</v>
      </c>
      <c r="I990" s="2">
        <v>17</v>
      </c>
      <c r="J990">
        <v>67817</v>
      </c>
      <c r="K990" t="s">
        <v>204</v>
      </c>
      <c r="L990">
        <v>7</v>
      </c>
      <c r="M990" t="s">
        <v>39</v>
      </c>
      <c r="N990" t="s">
        <v>40</v>
      </c>
      <c r="O990" t="s">
        <v>63</v>
      </c>
    </row>
    <row r="991" spans="1:15" x14ac:dyDescent="0.3">
      <c r="A991">
        <v>990</v>
      </c>
      <c r="B991" t="s">
        <v>279</v>
      </c>
      <c r="C991" t="s">
        <v>1470</v>
      </c>
      <c r="D991" t="s">
        <v>1494</v>
      </c>
      <c r="E991" t="s">
        <v>85</v>
      </c>
      <c r="F991" s="1">
        <v>37839</v>
      </c>
      <c r="G991" s="2">
        <v>2003</v>
      </c>
      <c r="H991">
        <v>2021</v>
      </c>
      <c r="I991" s="2">
        <v>18</v>
      </c>
      <c r="J991">
        <v>76229</v>
      </c>
      <c r="K991" t="s">
        <v>115</v>
      </c>
      <c r="L991">
        <v>4</v>
      </c>
      <c r="M991" t="s">
        <v>55</v>
      </c>
      <c r="N991" t="s">
        <v>17</v>
      </c>
      <c r="O991" t="s">
        <v>41</v>
      </c>
    </row>
    <row r="992" spans="1:15" x14ac:dyDescent="0.3">
      <c r="A992">
        <v>991</v>
      </c>
      <c r="B992" t="s">
        <v>788</v>
      </c>
      <c r="C992" t="s">
        <v>1471</v>
      </c>
      <c r="D992" t="s">
        <v>1495</v>
      </c>
      <c r="E992" t="s">
        <v>94</v>
      </c>
      <c r="F992" s="1">
        <v>40160</v>
      </c>
      <c r="G992" s="2">
        <v>2009</v>
      </c>
      <c r="H992">
        <v>2021</v>
      </c>
      <c r="I992" s="2">
        <v>12</v>
      </c>
      <c r="J992">
        <v>62286</v>
      </c>
      <c r="K992" t="s">
        <v>226</v>
      </c>
      <c r="L992">
        <v>2</v>
      </c>
      <c r="M992" t="s">
        <v>16</v>
      </c>
      <c r="N992" t="s">
        <v>17</v>
      </c>
      <c r="O992" t="s">
        <v>18</v>
      </c>
    </row>
    <row r="993" spans="1:15" x14ac:dyDescent="0.3">
      <c r="A993">
        <v>992</v>
      </c>
      <c r="B993" t="s">
        <v>667</v>
      </c>
      <c r="C993" t="s">
        <v>1472</v>
      </c>
      <c r="D993" t="s">
        <v>1494</v>
      </c>
      <c r="E993" t="s">
        <v>148</v>
      </c>
      <c r="F993" s="1">
        <v>39020</v>
      </c>
      <c r="G993" s="2">
        <v>2006</v>
      </c>
      <c r="H993">
        <v>2021</v>
      </c>
      <c r="I993" s="2">
        <v>15</v>
      </c>
      <c r="J993">
        <v>121713</v>
      </c>
      <c r="K993" t="s">
        <v>242</v>
      </c>
      <c r="L993">
        <v>5</v>
      </c>
      <c r="M993" t="s">
        <v>91</v>
      </c>
      <c r="N993" t="s">
        <v>40</v>
      </c>
      <c r="O993" t="s">
        <v>112</v>
      </c>
    </row>
    <row r="994" spans="1:15" x14ac:dyDescent="0.3">
      <c r="A994">
        <v>993</v>
      </c>
      <c r="B994" t="s">
        <v>483</v>
      </c>
      <c r="C994" t="s">
        <v>1473</v>
      </c>
      <c r="D994" t="s">
        <v>1495</v>
      </c>
      <c r="E994" t="s">
        <v>122</v>
      </c>
      <c r="F994" s="1">
        <v>39879</v>
      </c>
      <c r="G994" s="2">
        <v>2009</v>
      </c>
      <c r="H994">
        <v>2021</v>
      </c>
      <c r="I994" s="2">
        <v>12</v>
      </c>
      <c r="J994">
        <v>139486</v>
      </c>
      <c r="K994" t="s">
        <v>223</v>
      </c>
      <c r="L994">
        <v>7</v>
      </c>
      <c r="M994" t="s">
        <v>39</v>
      </c>
      <c r="N994" t="s">
        <v>40</v>
      </c>
      <c r="O994" t="s">
        <v>123</v>
      </c>
    </row>
    <row r="995" spans="1:15" x14ac:dyDescent="0.3">
      <c r="A995">
        <v>994</v>
      </c>
      <c r="B995" t="s">
        <v>273</v>
      </c>
      <c r="C995" t="s">
        <v>1474</v>
      </c>
      <c r="D995" t="s">
        <v>1495</v>
      </c>
      <c r="E995" t="s">
        <v>203</v>
      </c>
      <c r="F995" s="1">
        <v>37558</v>
      </c>
      <c r="G995" s="2">
        <v>2002</v>
      </c>
      <c r="H995">
        <v>2021</v>
      </c>
      <c r="I995" s="2">
        <v>19</v>
      </c>
      <c r="J995">
        <v>141375</v>
      </c>
      <c r="K995" t="s">
        <v>33</v>
      </c>
      <c r="L995">
        <v>7</v>
      </c>
      <c r="M995" t="s">
        <v>39</v>
      </c>
      <c r="N995" t="s">
        <v>40</v>
      </c>
      <c r="O995" t="s">
        <v>41</v>
      </c>
    </row>
    <row r="996" spans="1:15" x14ac:dyDescent="0.3">
      <c r="A996">
        <v>995</v>
      </c>
      <c r="B996" t="s">
        <v>1437</v>
      </c>
      <c r="C996" t="s">
        <v>1475</v>
      </c>
      <c r="D996" t="s">
        <v>1495</v>
      </c>
      <c r="E996" t="s">
        <v>32</v>
      </c>
      <c r="F996" s="1">
        <v>40273</v>
      </c>
      <c r="G996" s="2">
        <v>2010</v>
      </c>
      <c r="H996">
        <v>2021</v>
      </c>
      <c r="I996" s="3">
        <v>11</v>
      </c>
      <c r="J996">
        <v>83404</v>
      </c>
      <c r="K996" t="s">
        <v>386</v>
      </c>
      <c r="L996">
        <v>2</v>
      </c>
      <c r="M996" t="s">
        <v>16</v>
      </c>
      <c r="N996" t="s">
        <v>17</v>
      </c>
      <c r="O996" t="s">
        <v>34</v>
      </c>
    </row>
    <row r="997" spans="1:15" x14ac:dyDescent="0.3">
      <c r="A997">
        <v>996</v>
      </c>
      <c r="B997" t="s">
        <v>56</v>
      </c>
      <c r="C997" t="s">
        <v>1476</v>
      </c>
      <c r="D997" t="s">
        <v>1495</v>
      </c>
      <c r="E997" t="s">
        <v>79</v>
      </c>
      <c r="F997" s="1">
        <v>41595</v>
      </c>
      <c r="G997" s="2">
        <v>2013</v>
      </c>
      <c r="H997">
        <v>2021</v>
      </c>
      <c r="I997" s="2">
        <v>8</v>
      </c>
      <c r="J997">
        <v>78433</v>
      </c>
      <c r="K997" t="s">
        <v>562</v>
      </c>
      <c r="L997">
        <v>7</v>
      </c>
      <c r="M997" t="s">
        <v>39</v>
      </c>
      <c r="N997" t="s">
        <v>40</v>
      </c>
      <c r="O997" t="s">
        <v>41</v>
      </c>
    </row>
    <row r="998" spans="1:15" x14ac:dyDescent="0.3">
      <c r="A998">
        <v>997</v>
      </c>
      <c r="B998" t="s">
        <v>457</v>
      </c>
      <c r="C998" t="s">
        <v>1477</v>
      </c>
      <c r="D998" t="s">
        <v>1495</v>
      </c>
      <c r="E998" t="s">
        <v>14</v>
      </c>
      <c r="F998" s="1">
        <v>39188</v>
      </c>
      <c r="G998" s="2">
        <v>2007</v>
      </c>
      <c r="H998">
        <v>2021</v>
      </c>
      <c r="I998" s="2">
        <v>14</v>
      </c>
      <c r="J998">
        <v>120138</v>
      </c>
      <c r="K998" t="s">
        <v>306</v>
      </c>
      <c r="L998">
        <v>1</v>
      </c>
      <c r="M998" t="s">
        <v>46</v>
      </c>
      <c r="N998" t="s">
        <v>17</v>
      </c>
      <c r="O998" t="s">
        <v>18</v>
      </c>
    </row>
    <row r="999" spans="1:15" x14ac:dyDescent="0.3">
      <c r="A999">
        <v>998</v>
      </c>
      <c r="B999" t="s">
        <v>560</v>
      </c>
      <c r="C999" t="s">
        <v>1478</v>
      </c>
      <c r="D999" t="s">
        <v>1495</v>
      </c>
      <c r="E999" t="s">
        <v>79</v>
      </c>
      <c r="F999" s="1">
        <v>40222</v>
      </c>
      <c r="G999" s="2">
        <v>2010</v>
      </c>
      <c r="H999">
        <v>2021</v>
      </c>
      <c r="I999" s="2">
        <v>11</v>
      </c>
      <c r="J999">
        <v>60363</v>
      </c>
      <c r="K999" t="s">
        <v>617</v>
      </c>
      <c r="L999">
        <v>1</v>
      </c>
      <c r="M999" t="s">
        <v>46</v>
      </c>
      <c r="N999" t="s">
        <v>17</v>
      </c>
      <c r="O999" t="s">
        <v>41</v>
      </c>
    </row>
    <row r="1000" spans="1:15" x14ac:dyDescent="0.3">
      <c r="A1000">
        <v>999</v>
      </c>
      <c r="B1000" t="s">
        <v>154</v>
      </c>
      <c r="C1000" t="s">
        <v>1479</v>
      </c>
      <c r="D1000" t="s">
        <v>1494</v>
      </c>
      <c r="E1000" t="s">
        <v>100</v>
      </c>
      <c r="F1000" s="1">
        <v>38252</v>
      </c>
      <c r="G1000" s="2">
        <v>2004</v>
      </c>
      <c r="H1000">
        <v>2021</v>
      </c>
      <c r="I1000" s="2">
        <v>17</v>
      </c>
      <c r="J1000">
        <v>48050</v>
      </c>
      <c r="K1000" t="s">
        <v>336</v>
      </c>
      <c r="L1000">
        <v>2</v>
      </c>
      <c r="M1000" t="s">
        <v>16</v>
      </c>
      <c r="N1000" t="s">
        <v>17</v>
      </c>
      <c r="O1000" t="s">
        <v>29</v>
      </c>
    </row>
    <row r="1001" spans="1:15" x14ac:dyDescent="0.3">
      <c r="A1001">
        <v>1000</v>
      </c>
      <c r="B1001" t="s">
        <v>532</v>
      </c>
      <c r="C1001" t="s">
        <v>1480</v>
      </c>
      <c r="D1001" t="s">
        <v>1494</v>
      </c>
      <c r="E1001" t="s">
        <v>73</v>
      </c>
      <c r="F1001" s="1">
        <v>37932</v>
      </c>
      <c r="G1001" s="2">
        <v>2003</v>
      </c>
      <c r="H1001">
        <v>2021</v>
      </c>
      <c r="I1001" s="2">
        <v>18</v>
      </c>
      <c r="J1001">
        <v>148687</v>
      </c>
      <c r="K1001" t="s">
        <v>321</v>
      </c>
      <c r="L1001">
        <v>3</v>
      </c>
      <c r="M1001" t="s">
        <v>28</v>
      </c>
      <c r="N1001" t="s">
        <v>17</v>
      </c>
      <c r="O1001" t="s">
        <v>41</v>
      </c>
    </row>
  </sheetData>
  <autoFilter ref="A1:O1001"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R1007"/>
  <sheetViews>
    <sheetView zoomScale="90" zoomScaleNormal="90" workbookViewId="0">
      <pane xSplit="1" ySplit="6" topLeftCell="B7" activePane="bottomRight" state="frozenSplit"/>
      <selection pane="topRight" activeCell="K1" sqref="K1"/>
      <selection pane="bottomLeft" activeCell="A12" sqref="A12"/>
      <selection pane="bottomRight" activeCell="F3" sqref="F3"/>
    </sheetView>
  </sheetViews>
  <sheetFormatPr defaultRowHeight="18" x14ac:dyDescent="0.35"/>
  <cols>
    <col min="1" max="1" width="6.33203125" style="8" customWidth="1"/>
    <col min="2" max="2" width="12.88671875" customWidth="1"/>
    <col min="3" max="3" width="25.44140625" customWidth="1"/>
    <col min="4" max="4" width="7.77734375" customWidth="1"/>
    <col min="5" max="5" width="14.5546875" customWidth="1"/>
    <col min="6" max="6" width="12.6640625" customWidth="1"/>
    <col min="7" max="7" width="13.5546875" hidden="1" customWidth="1"/>
    <col min="8" max="8" width="10.33203125" hidden="1" customWidth="1"/>
    <col min="9" max="9" width="13.33203125" customWidth="1"/>
    <col min="10" max="10" width="11.88671875" style="7" customWidth="1"/>
    <col min="11" max="11" width="33.109375" customWidth="1"/>
    <col min="12" max="12" width="9.5546875" hidden="1" customWidth="1"/>
    <col min="13" max="13" width="14.33203125" customWidth="1"/>
    <col min="14" max="14" width="10.6640625" customWidth="1"/>
    <col min="15" max="15" width="18.44140625" customWidth="1"/>
    <col min="17" max="17" width="16.109375" customWidth="1"/>
    <col min="18" max="18" width="9.88671875" customWidth="1"/>
  </cols>
  <sheetData>
    <row r="3" spans="1:18" ht="43.8" x14ac:dyDescent="0.35">
      <c r="B3" s="30"/>
      <c r="E3" s="31"/>
      <c r="F3" s="10"/>
      <c r="K3" s="10" t="s">
        <v>1484</v>
      </c>
      <c r="M3" s="9">
        <v>100000</v>
      </c>
    </row>
    <row r="6" spans="1:18" s="11" customFormat="1" x14ac:dyDescent="0.35">
      <c r="A6" s="5" t="s">
        <v>0</v>
      </c>
      <c r="B6" s="4" t="s">
        <v>1</v>
      </c>
      <c r="C6" s="4" t="s">
        <v>2</v>
      </c>
      <c r="D6" s="4" t="s">
        <v>1487</v>
      </c>
      <c r="E6" s="4" t="s">
        <v>3</v>
      </c>
      <c r="F6" s="4" t="s">
        <v>4</v>
      </c>
      <c r="G6" s="4" t="s">
        <v>1481</v>
      </c>
      <c r="H6" s="4" t="s">
        <v>5</v>
      </c>
      <c r="I6" s="4" t="s">
        <v>6</v>
      </c>
      <c r="J6" s="6" t="s">
        <v>7</v>
      </c>
      <c r="K6" s="4" t="s">
        <v>8</v>
      </c>
      <c r="L6" s="4" t="s">
        <v>9</v>
      </c>
      <c r="M6" s="4" t="s">
        <v>1483</v>
      </c>
      <c r="N6" s="4" t="s">
        <v>10</v>
      </c>
      <c r="O6" s="4" t="s">
        <v>1498</v>
      </c>
      <c r="P6" s="4" t="s">
        <v>1488</v>
      </c>
      <c r="Q6" s="4" t="s">
        <v>1492</v>
      </c>
      <c r="R6" s="4" t="s">
        <v>1493</v>
      </c>
    </row>
    <row r="7" spans="1:18" x14ac:dyDescent="0.35">
      <c r="A7" s="5">
        <v>1</v>
      </c>
      <c r="B7" t="s">
        <v>12</v>
      </c>
      <c r="C7" t="s">
        <v>13</v>
      </c>
      <c r="D7" t="s">
        <v>1486</v>
      </c>
      <c r="E7" t="s">
        <v>14</v>
      </c>
      <c r="F7" s="1">
        <v>44836</v>
      </c>
      <c r="G7" s="2">
        <v>2009</v>
      </c>
      <c r="H7">
        <v>2021</v>
      </c>
      <c r="I7" s="2">
        <v>12</v>
      </c>
      <c r="J7" s="7">
        <v>67470</v>
      </c>
      <c r="K7" t="s">
        <v>15</v>
      </c>
      <c r="L7">
        <v>2</v>
      </c>
      <c r="M7" t="s">
        <v>16</v>
      </c>
      <c r="N7" t="s">
        <v>17</v>
      </c>
      <c r="O7" t="s">
        <v>18</v>
      </c>
      <c r="P7" t="s">
        <v>1489</v>
      </c>
      <c r="Q7" s="7">
        <f t="shared" ref="Q7:Q70" si="0">J7*12</f>
        <v>809640</v>
      </c>
      <c r="R7" s="7">
        <f t="shared" ref="R7:R70" si="1">J7*10%</f>
        <v>6747</v>
      </c>
    </row>
    <row r="8" spans="1:18" x14ac:dyDescent="0.35">
      <c r="A8" s="5">
        <v>2</v>
      </c>
      <c r="B8" t="s">
        <v>19</v>
      </c>
      <c r="C8" t="s">
        <v>20</v>
      </c>
      <c r="D8" t="s">
        <v>1485</v>
      </c>
      <c r="E8" t="s">
        <v>21</v>
      </c>
      <c r="F8" s="1">
        <v>39538</v>
      </c>
      <c r="G8" s="2">
        <v>2008</v>
      </c>
      <c r="H8">
        <v>2021</v>
      </c>
      <c r="I8" s="2">
        <v>13</v>
      </c>
      <c r="J8" s="7">
        <v>71869</v>
      </c>
      <c r="K8" t="s">
        <v>22</v>
      </c>
      <c r="L8">
        <v>2</v>
      </c>
      <c r="M8" t="s">
        <v>16</v>
      </c>
      <c r="N8" t="s">
        <v>17</v>
      </c>
      <c r="O8" t="s">
        <v>23</v>
      </c>
      <c r="P8" t="s">
        <v>1490</v>
      </c>
      <c r="Q8" s="7">
        <f t="shared" si="0"/>
        <v>862428</v>
      </c>
      <c r="R8" s="7">
        <f t="shared" si="1"/>
        <v>7186.9000000000005</v>
      </c>
    </row>
    <row r="9" spans="1:18" x14ac:dyDescent="0.35">
      <c r="A9" s="5">
        <v>3</v>
      </c>
      <c r="B9" t="s">
        <v>24</v>
      </c>
      <c r="C9" t="s">
        <v>25</v>
      </c>
      <c r="D9" t="s">
        <v>1485</v>
      </c>
      <c r="E9" t="s">
        <v>26</v>
      </c>
      <c r="F9" s="1">
        <v>40006</v>
      </c>
      <c r="G9" s="2">
        <v>2009</v>
      </c>
      <c r="H9">
        <v>2021</v>
      </c>
      <c r="I9" s="2">
        <v>12</v>
      </c>
      <c r="J9" s="7">
        <v>101768</v>
      </c>
      <c r="K9" t="s">
        <v>27</v>
      </c>
      <c r="L9">
        <v>3</v>
      </c>
      <c r="M9" t="s">
        <v>28</v>
      </c>
      <c r="N9" t="s">
        <v>17</v>
      </c>
      <c r="O9" t="s">
        <v>29</v>
      </c>
      <c r="P9" t="s">
        <v>1491</v>
      </c>
      <c r="Q9" s="7">
        <f t="shared" si="0"/>
        <v>1221216</v>
      </c>
      <c r="R9" s="7">
        <f t="shared" si="1"/>
        <v>10176.800000000001</v>
      </c>
    </row>
    <row r="10" spans="1:18" x14ac:dyDescent="0.35">
      <c r="A10" s="5">
        <v>4</v>
      </c>
      <c r="B10" t="s">
        <v>30</v>
      </c>
      <c r="C10" t="s">
        <v>31</v>
      </c>
      <c r="D10" t="s">
        <v>1486</v>
      </c>
      <c r="E10" t="s">
        <v>32</v>
      </c>
      <c r="F10" s="1">
        <v>46746</v>
      </c>
      <c r="G10" s="2">
        <v>2014</v>
      </c>
      <c r="H10">
        <v>2021</v>
      </c>
      <c r="I10" s="3">
        <v>7</v>
      </c>
      <c r="J10" s="7">
        <v>96897</v>
      </c>
      <c r="K10" t="s">
        <v>33</v>
      </c>
      <c r="L10">
        <v>3</v>
      </c>
      <c r="M10" t="s">
        <v>28</v>
      </c>
      <c r="N10" t="s">
        <v>17</v>
      </c>
      <c r="O10" t="s">
        <v>34</v>
      </c>
      <c r="P10" t="s">
        <v>1490</v>
      </c>
      <c r="Q10" s="7">
        <f t="shared" si="0"/>
        <v>1162764</v>
      </c>
      <c r="R10" s="7">
        <f t="shared" si="1"/>
        <v>9689.7000000000007</v>
      </c>
    </row>
    <row r="11" spans="1:18" x14ac:dyDescent="0.35">
      <c r="A11" s="5">
        <v>5</v>
      </c>
      <c r="B11" t="s">
        <v>35</v>
      </c>
      <c r="C11" t="s">
        <v>36</v>
      </c>
      <c r="D11" t="s">
        <v>1486</v>
      </c>
      <c r="E11" t="s">
        <v>37</v>
      </c>
      <c r="F11" s="1">
        <v>37518</v>
      </c>
      <c r="G11" s="2">
        <v>2002</v>
      </c>
      <c r="H11">
        <v>2021</v>
      </c>
      <c r="I11" s="2">
        <v>19</v>
      </c>
      <c r="J11" s="7">
        <v>63702</v>
      </c>
      <c r="K11" t="s">
        <v>38</v>
      </c>
      <c r="L11">
        <v>7</v>
      </c>
      <c r="M11" t="s">
        <v>39</v>
      </c>
      <c r="N11" t="s">
        <v>40</v>
      </c>
      <c r="O11" t="s">
        <v>41</v>
      </c>
      <c r="P11" t="s">
        <v>1489</v>
      </c>
      <c r="Q11" s="7">
        <f t="shared" si="0"/>
        <v>764424</v>
      </c>
      <c r="R11" s="7">
        <f t="shared" si="1"/>
        <v>6370.2000000000007</v>
      </c>
    </row>
    <row r="12" spans="1:18" x14ac:dyDescent="0.35">
      <c r="A12" s="5">
        <v>6</v>
      </c>
      <c r="B12" t="s">
        <v>42</v>
      </c>
      <c r="C12" t="s">
        <v>43</v>
      </c>
      <c r="D12" t="s">
        <v>1485</v>
      </c>
      <c r="E12" t="s">
        <v>44</v>
      </c>
      <c r="F12" s="1">
        <v>41507</v>
      </c>
      <c r="G12" s="2">
        <v>2013</v>
      </c>
      <c r="H12">
        <v>2021</v>
      </c>
      <c r="I12" s="2">
        <v>8</v>
      </c>
      <c r="J12" s="7">
        <v>118497</v>
      </c>
      <c r="K12" t="s">
        <v>45</v>
      </c>
      <c r="L12">
        <v>1</v>
      </c>
      <c r="M12" t="s">
        <v>46</v>
      </c>
      <c r="N12" t="s">
        <v>17</v>
      </c>
      <c r="O12" t="s">
        <v>29</v>
      </c>
      <c r="P12" t="s">
        <v>1489</v>
      </c>
      <c r="Q12" s="7">
        <f t="shared" si="0"/>
        <v>1421964</v>
      </c>
      <c r="R12" s="7">
        <f t="shared" si="1"/>
        <v>11849.7</v>
      </c>
    </row>
    <row r="13" spans="1:18" x14ac:dyDescent="0.35">
      <c r="A13" s="5">
        <v>7</v>
      </c>
      <c r="B13" t="s">
        <v>47</v>
      </c>
      <c r="C13" t="s">
        <v>48</v>
      </c>
      <c r="D13" t="s">
        <v>1485</v>
      </c>
      <c r="E13" t="s">
        <v>14</v>
      </c>
      <c r="F13" s="1">
        <v>38851</v>
      </c>
      <c r="G13" s="2">
        <v>2006</v>
      </c>
      <c r="H13">
        <v>2021</v>
      </c>
      <c r="I13" s="2">
        <v>15</v>
      </c>
      <c r="J13" s="7">
        <v>65889</v>
      </c>
      <c r="K13" t="s">
        <v>49</v>
      </c>
      <c r="L13">
        <v>6</v>
      </c>
      <c r="M13" t="s">
        <v>50</v>
      </c>
      <c r="N13" t="s">
        <v>40</v>
      </c>
      <c r="O13" t="s">
        <v>18</v>
      </c>
      <c r="P13" t="s">
        <v>1489</v>
      </c>
      <c r="Q13" s="7">
        <f t="shared" si="0"/>
        <v>790668</v>
      </c>
      <c r="R13" s="7">
        <f t="shared" si="1"/>
        <v>6588.9000000000005</v>
      </c>
    </row>
    <row r="14" spans="1:18" x14ac:dyDescent="0.35">
      <c r="A14" s="5">
        <v>8</v>
      </c>
      <c r="B14" t="s">
        <v>51</v>
      </c>
      <c r="C14" t="s">
        <v>52</v>
      </c>
      <c r="D14" t="s">
        <v>1486</v>
      </c>
      <c r="E14" t="s">
        <v>53</v>
      </c>
      <c r="F14" s="1">
        <v>37845</v>
      </c>
      <c r="G14" s="2">
        <v>2003</v>
      </c>
      <c r="H14">
        <v>2021</v>
      </c>
      <c r="I14" s="2">
        <v>18</v>
      </c>
      <c r="J14" s="7">
        <v>84427</v>
      </c>
      <c r="K14" t="s">
        <v>54</v>
      </c>
      <c r="L14">
        <v>4</v>
      </c>
      <c r="M14" t="s">
        <v>55</v>
      </c>
      <c r="N14" t="s">
        <v>17</v>
      </c>
      <c r="O14" t="s">
        <v>23</v>
      </c>
      <c r="P14" t="s">
        <v>1489</v>
      </c>
      <c r="Q14" s="7">
        <f t="shared" si="0"/>
        <v>1013124</v>
      </c>
      <c r="R14" s="7">
        <f t="shared" si="1"/>
        <v>8442.7000000000007</v>
      </c>
    </row>
    <row r="15" spans="1:18" x14ac:dyDescent="0.35">
      <c r="A15" s="5">
        <v>9</v>
      </c>
      <c r="B15" t="s">
        <v>56</v>
      </c>
      <c r="C15" t="s">
        <v>57</v>
      </c>
      <c r="D15" t="s">
        <v>1485</v>
      </c>
      <c r="E15" t="s">
        <v>32</v>
      </c>
      <c r="F15" s="1">
        <v>38602</v>
      </c>
      <c r="G15" s="2">
        <v>2005</v>
      </c>
      <c r="H15">
        <v>2021</v>
      </c>
      <c r="I15" s="3">
        <v>16</v>
      </c>
      <c r="J15" s="7">
        <v>108657</v>
      </c>
      <c r="K15" t="s">
        <v>58</v>
      </c>
      <c r="L15">
        <v>2</v>
      </c>
      <c r="M15" t="s">
        <v>16</v>
      </c>
      <c r="N15" t="s">
        <v>17</v>
      </c>
      <c r="O15" t="s">
        <v>34</v>
      </c>
      <c r="P15" t="s">
        <v>1489</v>
      </c>
      <c r="Q15" s="7">
        <f t="shared" si="0"/>
        <v>1303884</v>
      </c>
      <c r="R15" s="7">
        <f t="shared" si="1"/>
        <v>10865.7</v>
      </c>
    </row>
    <row r="16" spans="1:18" x14ac:dyDescent="0.35">
      <c r="A16" s="5">
        <v>10</v>
      </c>
      <c r="B16" t="s">
        <v>59</v>
      </c>
      <c r="C16" t="s">
        <v>60</v>
      </c>
      <c r="D16" t="s">
        <v>1485</v>
      </c>
      <c r="E16" t="s">
        <v>61</v>
      </c>
      <c r="F16" s="1">
        <v>41346</v>
      </c>
      <c r="G16" s="2">
        <v>2013</v>
      </c>
      <c r="H16">
        <v>2021</v>
      </c>
      <c r="I16" s="2">
        <v>8</v>
      </c>
      <c r="J16" s="7">
        <v>108093</v>
      </c>
      <c r="K16" t="s">
        <v>62</v>
      </c>
      <c r="L16">
        <v>1</v>
      </c>
      <c r="M16" t="s">
        <v>46</v>
      </c>
      <c r="N16" t="s">
        <v>17</v>
      </c>
      <c r="O16" t="s">
        <v>63</v>
      </c>
      <c r="P16" t="s">
        <v>1489</v>
      </c>
      <c r="Q16" s="7">
        <f t="shared" si="0"/>
        <v>1297116</v>
      </c>
      <c r="R16" s="7">
        <f t="shared" si="1"/>
        <v>10809.300000000001</v>
      </c>
    </row>
    <row r="17" spans="1:18" x14ac:dyDescent="0.35">
      <c r="A17" s="5">
        <v>11</v>
      </c>
      <c r="B17" t="s">
        <v>64</v>
      </c>
      <c r="C17" t="s">
        <v>65</v>
      </c>
      <c r="D17" t="s">
        <v>1486</v>
      </c>
      <c r="E17" t="s">
        <v>32</v>
      </c>
      <c r="F17" s="1">
        <v>37952</v>
      </c>
      <c r="G17" s="2">
        <v>2003</v>
      </c>
      <c r="H17">
        <v>2021</v>
      </c>
      <c r="I17" s="3">
        <v>18</v>
      </c>
      <c r="J17" s="7">
        <v>121966</v>
      </c>
      <c r="K17" t="s">
        <v>66</v>
      </c>
      <c r="L17">
        <v>7</v>
      </c>
      <c r="M17" t="s">
        <v>39</v>
      </c>
      <c r="N17" t="s">
        <v>40</v>
      </c>
      <c r="O17" t="s">
        <v>34</v>
      </c>
      <c r="P17" t="s">
        <v>1489</v>
      </c>
      <c r="Q17" s="7">
        <f t="shared" si="0"/>
        <v>1463592</v>
      </c>
      <c r="R17" s="7">
        <f t="shared" si="1"/>
        <v>12196.6</v>
      </c>
    </row>
    <row r="18" spans="1:18" x14ac:dyDescent="0.35">
      <c r="A18" s="5">
        <v>12</v>
      </c>
      <c r="B18" t="s">
        <v>67</v>
      </c>
      <c r="C18" t="s">
        <v>68</v>
      </c>
      <c r="D18" t="s">
        <v>1485</v>
      </c>
      <c r="E18" t="s">
        <v>69</v>
      </c>
      <c r="F18" s="1">
        <v>37656</v>
      </c>
      <c r="G18" s="2">
        <v>2003</v>
      </c>
      <c r="H18">
        <v>2021</v>
      </c>
      <c r="I18" s="2">
        <v>18</v>
      </c>
      <c r="J18" s="7">
        <v>44179</v>
      </c>
      <c r="K18" t="s">
        <v>1499</v>
      </c>
      <c r="L18">
        <v>7</v>
      </c>
      <c r="M18" t="s">
        <v>39</v>
      </c>
      <c r="N18" t="s">
        <v>40</v>
      </c>
      <c r="O18" t="s">
        <v>41</v>
      </c>
      <c r="P18" t="s">
        <v>1489</v>
      </c>
      <c r="Q18" s="7">
        <f t="shared" si="0"/>
        <v>530148</v>
      </c>
      <c r="R18" s="7">
        <f t="shared" si="1"/>
        <v>4417.9000000000005</v>
      </c>
    </row>
    <row r="19" spans="1:18" x14ac:dyDescent="0.35">
      <c r="A19" s="5">
        <v>13</v>
      </c>
      <c r="B19" t="s">
        <v>71</v>
      </c>
      <c r="C19" t="s">
        <v>72</v>
      </c>
      <c r="D19" t="s">
        <v>1485</v>
      </c>
      <c r="E19" t="s">
        <v>73</v>
      </c>
      <c r="F19" s="1">
        <v>37542</v>
      </c>
      <c r="G19" s="2">
        <v>2002</v>
      </c>
      <c r="H19">
        <v>2021</v>
      </c>
      <c r="I19" s="2">
        <v>19</v>
      </c>
      <c r="J19" s="7">
        <v>85227</v>
      </c>
      <c r="K19" t="s">
        <v>74</v>
      </c>
      <c r="L19">
        <v>3</v>
      </c>
      <c r="M19" t="s">
        <v>28</v>
      </c>
      <c r="N19" t="s">
        <v>17</v>
      </c>
      <c r="O19" t="s">
        <v>41</v>
      </c>
      <c r="P19" t="s">
        <v>1489</v>
      </c>
      <c r="Q19" s="7">
        <f t="shared" si="0"/>
        <v>1022724</v>
      </c>
      <c r="R19" s="7">
        <f t="shared" si="1"/>
        <v>8522.7000000000007</v>
      </c>
    </row>
    <row r="20" spans="1:18" x14ac:dyDescent="0.35">
      <c r="A20" s="5">
        <v>14</v>
      </c>
      <c r="B20" t="s">
        <v>75</v>
      </c>
      <c r="C20" t="s">
        <v>76</v>
      </c>
      <c r="D20" t="s">
        <v>1486</v>
      </c>
      <c r="E20" t="s">
        <v>14</v>
      </c>
      <c r="F20" s="1">
        <v>39012</v>
      </c>
      <c r="G20" s="2">
        <v>2006</v>
      </c>
      <c r="H20">
        <v>2021</v>
      </c>
      <c r="I20" s="2">
        <v>15</v>
      </c>
      <c r="J20" s="7">
        <v>59763</v>
      </c>
      <c r="K20" t="s">
        <v>77</v>
      </c>
      <c r="L20">
        <v>4</v>
      </c>
      <c r="M20" t="s">
        <v>55</v>
      </c>
      <c r="N20" t="s">
        <v>17</v>
      </c>
      <c r="O20" t="s">
        <v>18</v>
      </c>
      <c r="P20" t="s">
        <v>1489</v>
      </c>
      <c r="Q20" s="7">
        <f t="shared" si="0"/>
        <v>717156</v>
      </c>
      <c r="R20" s="7">
        <f t="shared" si="1"/>
        <v>5976.3</v>
      </c>
    </row>
    <row r="21" spans="1:18" x14ac:dyDescent="0.35">
      <c r="A21" s="5">
        <v>15</v>
      </c>
      <c r="B21" t="s">
        <v>64</v>
      </c>
      <c r="C21" t="s">
        <v>78</v>
      </c>
      <c r="D21" t="s">
        <v>1486</v>
      </c>
      <c r="E21" t="s">
        <v>79</v>
      </c>
      <c r="F21" s="1">
        <v>43894</v>
      </c>
      <c r="G21" s="2">
        <v>2007</v>
      </c>
      <c r="H21">
        <v>2021</v>
      </c>
      <c r="I21" s="2">
        <v>14</v>
      </c>
      <c r="J21" s="7">
        <v>141139</v>
      </c>
      <c r="K21" t="s">
        <v>66</v>
      </c>
      <c r="L21">
        <v>7</v>
      </c>
      <c r="M21" t="s">
        <v>39</v>
      </c>
      <c r="N21" t="s">
        <v>40</v>
      </c>
      <c r="O21" t="s">
        <v>41</v>
      </c>
      <c r="P21" t="s">
        <v>1489</v>
      </c>
      <c r="Q21" s="7">
        <f t="shared" si="0"/>
        <v>1693668</v>
      </c>
      <c r="R21" s="7">
        <f t="shared" si="1"/>
        <v>14113.900000000001</v>
      </c>
    </row>
    <row r="22" spans="1:18" x14ac:dyDescent="0.35">
      <c r="A22" s="5">
        <v>16</v>
      </c>
      <c r="B22" t="s">
        <v>80</v>
      </c>
      <c r="C22" t="s">
        <v>81</v>
      </c>
      <c r="D22" t="s">
        <v>1486</v>
      </c>
      <c r="E22" t="s">
        <v>73</v>
      </c>
      <c r="F22" s="1">
        <v>44269</v>
      </c>
      <c r="G22" s="2">
        <v>2008</v>
      </c>
      <c r="H22">
        <v>2021</v>
      </c>
      <c r="I22" s="2">
        <v>13</v>
      </c>
      <c r="J22" s="7">
        <v>106659</v>
      </c>
      <c r="K22" t="s">
        <v>82</v>
      </c>
      <c r="L22">
        <v>1</v>
      </c>
      <c r="M22" t="s">
        <v>46</v>
      </c>
      <c r="N22" t="s">
        <v>17</v>
      </c>
      <c r="O22" t="s">
        <v>41</v>
      </c>
      <c r="P22" t="s">
        <v>1489</v>
      </c>
      <c r="Q22" s="7">
        <f t="shared" si="0"/>
        <v>1279908</v>
      </c>
      <c r="R22" s="7">
        <f t="shared" si="1"/>
        <v>10665.900000000001</v>
      </c>
    </row>
    <row r="23" spans="1:18" x14ac:dyDescent="0.35">
      <c r="A23" s="5">
        <v>17</v>
      </c>
      <c r="B23" t="s">
        <v>83</v>
      </c>
      <c r="C23" t="s">
        <v>84</v>
      </c>
      <c r="D23" t="s">
        <v>1486</v>
      </c>
      <c r="E23" t="s">
        <v>85</v>
      </c>
      <c r="F23" s="1">
        <v>45416</v>
      </c>
      <c r="G23" s="2">
        <v>2011</v>
      </c>
      <c r="H23">
        <v>2021</v>
      </c>
      <c r="I23" s="2">
        <v>10</v>
      </c>
      <c r="J23" s="7">
        <v>148952</v>
      </c>
      <c r="K23" t="s">
        <v>86</v>
      </c>
      <c r="L23">
        <v>6</v>
      </c>
      <c r="M23" t="s">
        <v>50</v>
      </c>
      <c r="N23" t="s">
        <v>40</v>
      </c>
      <c r="O23" t="s">
        <v>41</v>
      </c>
      <c r="P23" t="s">
        <v>1489</v>
      </c>
      <c r="Q23" s="7">
        <f t="shared" si="0"/>
        <v>1787424</v>
      </c>
      <c r="R23" s="7">
        <f t="shared" si="1"/>
        <v>14895.2</v>
      </c>
    </row>
    <row r="24" spans="1:18" x14ac:dyDescent="0.35">
      <c r="A24" s="5">
        <v>18</v>
      </c>
      <c r="B24" t="s">
        <v>87</v>
      </c>
      <c r="C24" t="s">
        <v>88</v>
      </c>
      <c r="D24" t="s">
        <v>1485</v>
      </c>
      <c r="E24" t="s">
        <v>89</v>
      </c>
      <c r="F24" s="1">
        <v>41946</v>
      </c>
      <c r="G24" s="2">
        <v>2014</v>
      </c>
      <c r="H24">
        <v>2021</v>
      </c>
      <c r="I24" s="2">
        <v>7</v>
      </c>
      <c r="J24" s="7">
        <v>93804</v>
      </c>
      <c r="K24" t="s">
        <v>90</v>
      </c>
      <c r="L24">
        <v>5</v>
      </c>
      <c r="M24" t="s">
        <v>91</v>
      </c>
      <c r="N24" t="s">
        <v>40</v>
      </c>
      <c r="O24" t="s">
        <v>41</v>
      </c>
      <c r="P24" t="s">
        <v>1489</v>
      </c>
      <c r="Q24" s="7">
        <f t="shared" si="0"/>
        <v>1125648</v>
      </c>
      <c r="R24" s="7">
        <f t="shared" si="1"/>
        <v>9380.4</v>
      </c>
    </row>
    <row r="25" spans="1:18" x14ac:dyDescent="0.35">
      <c r="A25" s="5">
        <v>19</v>
      </c>
      <c r="B25" t="s">
        <v>92</v>
      </c>
      <c r="C25" t="s">
        <v>93</v>
      </c>
      <c r="D25" t="s">
        <v>1485</v>
      </c>
      <c r="E25" t="s">
        <v>94</v>
      </c>
      <c r="F25" s="1">
        <v>38252</v>
      </c>
      <c r="G25" s="2">
        <v>2004</v>
      </c>
      <c r="H25">
        <v>2021</v>
      </c>
      <c r="I25" s="2">
        <v>17</v>
      </c>
      <c r="J25" s="7">
        <v>109890</v>
      </c>
      <c r="K25" t="s">
        <v>95</v>
      </c>
      <c r="L25">
        <v>3</v>
      </c>
      <c r="M25" t="s">
        <v>28</v>
      </c>
      <c r="N25" t="s">
        <v>17</v>
      </c>
      <c r="O25" t="s">
        <v>18</v>
      </c>
      <c r="P25" t="s">
        <v>1490</v>
      </c>
      <c r="Q25" s="7">
        <f t="shared" si="0"/>
        <v>1318680</v>
      </c>
      <c r="R25" s="7">
        <f t="shared" si="1"/>
        <v>10989</v>
      </c>
    </row>
    <row r="26" spans="1:18" x14ac:dyDescent="0.35">
      <c r="A26" s="5">
        <v>20</v>
      </c>
      <c r="B26" t="s">
        <v>24</v>
      </c>
      <c r="C26" t="s">
        <v>96</v>
      </c>
      <c r="D26" t="s">
        <v>1486</v>
      </c>
      <c r="E26" t="s">
        <v>61</v>
      </c>
      <c r="F26" s="1">
        <v>44157</v>
      </c>
      <c r="G26" s="2">
        <v>2007</v>
      </c>
      <c r="H26">
        <v>2021</v>
      </c>
      <c r="I26" s="2">
        <v>14</v>
      </c>
      <c r="J26" s="7">
        <v>115274</v>
      </c>
      <c r="K26" t="s">
        <v>97</v>
      </c>
      <c r="L26">
        <v>5</v>
      </c>
      <c r="M26" t="s">
        <v>91</v>
      </c>
      <c r="N26" t="s">
        <v>40</v>
      </c>
      <c r="O26" t="s">
        <v>63</v>
      </c>
      <c r="P26" t="s">
        <v>1489</v>
      </c>
      <c r="Q26" s="7">
        <f t="shared" si="0"/>
        <v>1383288</v>
      </c>
      <c r="R26" s="7">
        <f t="shared" si="1"/>
        <v>11527.400000000001</v>
      </c>
    </row>
    <row r="27" spans="1:18" x14ac:dyDescent="0.35">
      <c r="A27" s="5">
        <v>21</v>
      </c>
      <c r="B27" t="s">
        <v>98</v>
      </c>
      <c r="C27" t="s">
        <v>99</v>
      </c>
      <c r="D27" t="s">
        <v>1486</v>
      </c>
      <c r="E27" t="s">
        <v>100</v>
      </c>
      <c r="F27" s="1">
        <v>38576</v>
      </c>
      <c r="G27" s="2">
        <v>2005</v>
      </c>
      <c r="H27">
        <v>2021</v>
      </c>
      <c r="I27" s="2">
        <v>16</v>
      </c>
      <c r="J27" s="7">
        <v>78052</v>
      </c>
      <c r="K27" t="s">
        <v>101</v>
      </c>
      <c r="L27">
        <v>3</v>
      </c>
      <c r="M27" t="s">
        <v>28</v>
      </c>
      <c r="N27" t="s">
        <v>17</v>
      </c>
      <c r="O27" t="s">
        <v>29</v>
      </c>
      <c r="P27" t="s">
        <v>1489</v>
      </c>
      <c r="Q27" s="7">
        <f t="shared" si="0"/>
        <v>936624</v>
      </c>
      <c r="R27" s="7">
        <f t="shared" si="1"/>
        <v>7805.2000000000007</v>
      </c>
    </row>
    <row r="28" spans="1:18" x14ac:dyDescent="0.35">
      <c r="A28" s="5">
        <v>22</v>
      </c>
      <c r="B28" t="s">
        <v>102</v>
      </c>
      <c r="C28" t="s">
        <v>103</v>
      </c>
      <c r="D28" t="s">
        <v>1485</v>
      </c>
      <c r="E28" t="s">
        <v>26</v>
      </c>
      <c r="F28" s="1">
        <v>40903</v>
      </c>
      <c r="G28" s="2">
        <v>2011</v>
      </c>
      <c r="H28">
        <v>2021</v>
      </c>
      <c r="I28" s="2">
        <v>10</v>
      </c>
      <c r="J28" s="7">
        <v>144724</v>
      </c>
      <c r="K28" t="s">
        <v>104</v>
      </c>
      <c r="L28">
        <v>2</v>
      </c>
      <c r="M28" t="s">
        <v>16</v>
      </c>
      <c r="N28" t="s">
        <v>17</v>
      </c>
      <c r="O28" t="s">
        <v>29</v>
      </c>
      <c r="P28" t="s">
        <v>1489</v>
      </c>
      <c r="Q28" s="7">
        <f t="shared" si="0"/>
        <v>1736688</v>
      </c>
      <c r="R28" s="7">
        <f t="shared" si="1"/>
        <v>14472.400000000001</v>
      </c>
    </row>
    <row r="29" spans="1:18" x14ac:dyDescent="0.35">
      <c r="A29" s="5">
        <v>23</v>
      </c>
      <c r="B29" t="s">
        <v>105</v>
      </c>
      <c r="C29" t="s">
        <v>106</v>
      </c>
      <c r="D29" t="s">
        <v>1486</v>
      </c>
      <c r="E29" t="s">
        <v>32</v>
      </c>
      <c r="F29" s="1">
        <v>36993</v>
      </c>
      <c r="G29" s="2">
        <v>2001</v>
      </c>
      <c r="H29">
        <v>2021</v>
      </c>
      <c r="I29" s="3">
        <v>20</v>
      </c>
      <c r="J29" s="7">
        <v>126103</v>
      </c>
      <c r="K29" t="s">
        <v>107</v>
      </c>
      <c r="L29">
        <v>4</v>
      </c>
      <c r="M29" t="s">
        <v>55</v>
      </c>
      <c r="N29" t="s">
        <v>17</v>
      </c>
      <c r="O29" t="s">
        <v>34</v>
      </c>
      <c r="P29" t="s">
        <v>1489</v>
      </c>
      <c r="Q29" s="7">
        <f t="shared" si="0"/>
        <v>1513236</v>
      </c>
      <c r="R29" s="7">
        <f t="shared" si="1"/>
        <v>12610.300000000001</v>
      </c>
    </row>
    <row r="30" spans="1:18" x14ac:dyDescent="0.35">
      <c r="A30" s="5">
        <v>24</v>
      </c>
      <c r="B30" t="s">
        <v>108</v>
      </c>
      <c r="C30" t="s">
        <v>109</v>
      </c>
      <c r="D30" t="s">
        <v>1485</v>
      </c>
      <c r="E30" t="s">
        <v>110</v>
      </c>
      <c r="F30" s="1">
        <v>38897</v>
      </c>
      <c r="G30" s="2">
        <v>2006</v>
      </c>
      <c r="H30">
        <v>2021</v>
      </c>
      <c r="I30" s="2">
        <v>15</v>
      </c>
      <c r="J30" s="7">
        <v>144965</v>
      </c>
      <c r="K30" t="s">
        <v>1500</v>
      </c>
      <c r="L30">
        <v>2</v>
      </c>
      <c r="M30" t="s">
        <v>16</v>
      </c>
      <c r="N30" t="s">
        <v>17</v>
      </c>
      <c r="O30" t="s">
        <v>112</v>
      </c>
      <c r="P30" t="s">
        <v>1489</v>
      </c>
      <c r="Q30" s="7">
        <f t="shared" si="0"/>
        <v>1739580</v>
      </c>
      <c r="R30" s="7">
        <f t="shared" si="1"/>
        <v>14496.5</v>
      </c>
    </row>
    <row r="31" spans="1:18" x14ac:dyDescent="0.35">
      <c r="A31" s="5">
        <v>25</v>
      </c>
      <c r="B31" t="s">
        <v>113</v>
      </c>
      <c r="C31" t="s">
        <v>114</v>
      </c>
      <c r="D31" t="s">
        <v>1485</v>
      </c>
      <c r="E31" t="s">
        <v>53</v>
      </c>
      <c r="F31" s="1">
        <v>38142</v>
      </c>
      <c r="G31" s="2">
        <v>2004</v>
      </c>
      <c r="H31">
        <v>2021</v>
      </c>
      <c r="I31" s="2">
        <v>17</v>
      </c>
      <c r="J31" s="7">
        <v>70613</v>
      </c>
      <c r="K31" t="s">
        <v>115</v>
      </c>
      <c r="L31">
        <v>1</v>
      </c>
      <c r="M31" t="s">
        <v>46</v>
      </c>
      <c r="N31" t="s">
        <v>17</v>
      </c>
      <c r="O31" t="s">
        <v>23</v>
      </c>
      <c r="P31" t="s">
        <v>1489</v>
      </c>
      <c r="Q31" s="7">
        <f t="shared" si="0"/>
        <v>847356</v>
      </c>
      <c r="R31" s="7">
        <f t="shared" si="1"/>
        <v>7061.3</v>
      </c>
    </row>
    <row r="32" spans="1:18" x14ac:dyDescent="0.35">
      <c r="A32" s="5">
        <v>26</v>
      </c>
      <c r="B32" t="s">
        <v>116</v>
      </c>
      <c r="C32" t="s">
        <v>117</v>
      </c>
      <c r="D32" t="s">
        <v>1486</v>
      </c>
      <c r="E32" t="s">
        <v>89</v>
      </c>
      <c r="F32" s="1">
        <v>45442</v>
      </c>
      <c r="G32" s="2">
        <v>2011</v>
      </c>
      <c r="H32">
        <v>2021</v>
      </c>
      <c r="I32" s="2">
        <v>10</v>
      </c>
      <c r="J32" s="7">
        <v>90746</v>
      </c>
      <c r="K32" t="s">
        <v>49</v>
      </c>
      <c r="L32">
        <v>2</v>
      </c>
      <c r="M32" t="s">
        <v>16</v>
      </c>
      <c r="N32" t="s">
        <v>17</v>
      </c>
      <c r="O32" t="s">
        <v>41</v>
      </c>
      <c r="P32" t="s">
        <v>1489</v>
      </c>
      <c r="Q32" s="7">
        <f t="shared" si="0"/>
        <v>1088952</v>
      </c>
      <c r="R32" s="7">
        <f t="shared" si="1"/>
        <v>9074.6</v>
      </c>
    </row>
    <row r="33" spans="1:18" x14ac:dyDescent="0.35">
      <c r="A33" s="5">
        <v>27</v>
      </c>
      <c r="B33" t="s">
        <v>118</v>
      </c>
      <c r="C33" t="s">
        <v>119</v>
      </c>
      <c r="D33" t="s">
        <v>1486</v>
      </c>
      <c r="E33" t="s">
        <v>89</v>
      </c>
      <c r="F33" s="1">
        <v>38498</v>
      </c>
      <c r="G33" s="2">
        <v>2005</v>
      </c>
      <c r="H33">
        <v>2021</v>
      </c>
      <c r="I33" s="2">
        <v>16</v>
      </c>
      <c r="J33" s="7">
        <v>78698</v>
      </c>
      <c r="K33" t="s">
        <v>45</v>
      </c>
      <c r="L33">
        <v>2</v>
      </c>
      <c r="M33" t="s">
        <v>16</v>
      </c>
      <c r="N33" t="s">
        <v>17</v>
      </c>
      <c r="O33" t="s">
        <v>41</v>
      </c>
      <c r="P33" t="s">
        <v>1491</v>
      </c>
      <c r="Q33" s="7">
        <f t="shared" si="0"/>
        <v>944376</v>
      </c>
      <c r="R33" s="7">
        <f t="shared" si="1"/>
        <v>7869.8</v>
      </c>
    </row>
    <row r="34" spans="1:18" x14ac:dyDescent="0.35">
      <c r="A34" s="5">
        <v>28</v>
      </c>
      <c r="B34" t="s">
        <v>120</v>
      </c>
      <c r="C34" t="s">
        <v>121</v>
      </c>
      <c r="D34" t="s">
        <v>1486</v>
      </c>
      <c r="E34" t="s">
        <v>122</v>
      </c>
      <c r="F34" s="1">
        <v>44257</v>
      </c>
      <c r="G34" s="2">
        <v>2008</v>
      </c>
      <c r="H34">
        <v>2021</v>
      </c>
      <c r="I34" s="2">
        <v>13</v>
      </c>
      <c r="J34" s="7">
        <v>63336</v>
      </c>
      <c r="K34" t="s">
        <v>62</v>
      </c>
      <c r="L34">
        <v>4</v>
      </c>
      <c r="M34" t="s">
        <v>55</v>
      </c>
      <c r="N34" t="s">
        <v>17</v>
      </c>
      <c r="O34" t="s">
        <v>123</v>
      </c>
      <c r="P34" t="s">
        <v>1489</v>
      </c>
      <c r="Q34" s="7">
        <f t="shared" si="0"/>
        <v>760032</v>
      </c>
      <c r="R34" s="7">
        <f t="shared" si="1"/>
        <v>6333.6</v>
      </c>
    </row>
    <row r="35" spans="1:18" x14ac:dyDescent="0.35">
      <c r="A35" s="5">
        <v>29</v>
      </c>
      <c r="B35" t="s">
        <v>124</v>
      </c>
      <c r="C35" t="s">
        <v>125</v>
      </c>
      <c r="D35" t="s">
        <v>1486</v>
      </c>
      <c r="E35" t="s">
        <v>69</v>
      </c>
      <c r="F35" s="1">
        <v>46208</v>
      </c>
      <c r="G35" s="2">
        <v>2013</v>
      </c>
      <c r="H35">
        <v>2021</v>
      </c>
      <c r="I35" s="2">
        <v>8</v>
      </c>
      <c r="J35" s="7">
        <v>95436</v>
      </c>
      <c r="K35" t="s">
        <v>126</v>
      </c>
      <c r="L35">
        <v>3</v>
      </c>
      <c r="M35" t="s">
        <v>28</v>
      </c>
      <c r="N35" t="s">
        <v>17</v>
      </c>
      <c r="O35" t="s">
        <v>41</v>
      </c>
      <c r="P35" t="s">
        <v>1489</v>
      </c>
      <c r="Q35" s="7">
        <f t="shared" si="0"/>
        <v>1145232</v>
      </c>
      <c r="R35" s="7">
        <f t="shared" si="1"/>
        <v>9543.6</v>
      </c>
    </row>
    <row r="36" spans="1:18" x14ac:dyDescent="0.35">
      <c r="A36" s="5">
        <v>30</v>
      </c>
      <c r="B36" t="s">
        <v>127</v>
      </c>
      <c r="C36" t="s">
        <v>128</v>
      </c>
      <c r="D36" t="s">
        <v>1485</v>
      </c>
      <c r="E36" t="s">
        <v>129</v>
      </c>
      <c r="F36" s="1">
        <v>40956</v>
      </c>
      <c r="G36" s="2">
        <v>2012</v>
      </c>
      <c r="H36">
        <v>2021</v>
      </c>
      <c r="I36" s="2">
        <v>9</v>
      </c>
      <c r="J36" s="7">
        <v>83144</v>
      </c>
      <c r="K36" t="s">
        <v>130</v>
      </c>
      <c r="L36">
        <v>2</v>
      </c>
      <c r="M36" t="s">
        <v>16</v>
      </c>
      <c r="N36" t="s">
        <v>17</v>
      </c>
      <c r="O36" t="s">
        <v>41</v>
      </c>
      <c r="P36" t="s">
        <v>1489</v>
      </c>
      <c r="Q36" s="7">
        <f t="shared" si="0"/>
        <v>997728</v>
      </c>
      <c r="R36" s="7">
        <f t="shared" si="1"/>
        <v>8314.4</v>
      </c>
    </row>
    <row r="37" spans="1:18" x14ac:dyDescent="0.35">
      <c r="A37" s="5">
        <v>31</v>
      </c>
      <c r="B37" t="s">
        <v>131</v>
      </c>
      <c r="C37" t="s">
        <v>132</v>
      </c>
      <c r="D37" t="s">
        <v>1486</v>
      </c>
      <c r="E37" t="s">
        <v>44</v>
      </c>
      <c r="F37" s="1">
        <v>45951</v>
      </c>
      <c r="G37" s="2">
        <v>2012</v>
      </c>
      <c r="H37">
        <v>2021</v>
      </c>
      <c r="I37" s="2">
        <v>9</v>
      </c>
      <c r="J37" s="7">
        <v>113507</v>
      </c>
      <c r="K37" t="s">
        <v>133</v>
      </c>
      <c r="L37">
        <v>7</v>
      </c>
      <c r="M37" t="s">
        <v>39</v>
      </c>
      <c r="N37" t="s">
        <v>40</v>
      </c>
      <c r="O37" t="s">
        <v>29</v>
      </c>
      <c r="P37" t="s">
        <v>1489</v>
      </c>
      <c r="Q37" s="7">
        <f t="shared" si="0"/>
        <v>1362084</v>
      </c>
      <c r="R37" s="7">
        <f t="shared" si="1"/>
        <v>11350.7</v>
      </c>
    </row>
    <row r="38" spans="1:18" x14ac:dyDescent="0.35">
      <c r="A38" s="5">
        <v>32</v>
      </c>
      <c r="B38" t="s">
        <v>134</v>
      </c>
      <c r="C38" t="s">
        <v>135</v>
      </c>
      <c r="D38" t="s">
        <v>1485</v>
      </c>
      <c r="E38" t="s">
        <v>79</v>
      </c>
      <c r="F38" s="1">
        <v>41736</v>
      </c>
      <c r="G38" s="2">
        <v>2014</v>
      </c>
      <c r="H38">
        <v>2021</v>
      </c>
      <c r="I38" s="2">
        <v>7</v>
      </c>
      <c r="J38" s="7">
        <v>78245</v>
      </c>
      <c r="K38" t="s">
        <v>136</v>
      </c>
      <c r="L38">
        <v>6</v>
      </c>
      <c r="M38" t="s">
        <v>50</v>
      </c>
      <c r="N38" t="s">
        <v>40</v>
      </c>
      <c r="O38" t="s">
        <v>41</v>
      </c>
      <c r="P38" t="s">
        <v>1489</v>
      </c>
      <c r="Q38" s="7">
        <f t="shared" si="0"/>
        <v>938940</v>
      </c>
      <c r="R38" s="7">
        <f t="shared" si="1"/>
        <v>7824.5</v>
      </c>
    </row>
    <row r="39" spans="1:18" x14ac:dyDescent="0.35">
      <c r="A39" s="5">
        <v>33</v>
      </c>
      <c r="B39" t="s">
        <v>137</v>
      </c>
      <c r="C39" t="s">
        <v>138</v>
      </c>
      <c r="D39" t="s">
        <v>1485</v>
      </c>
      <c r="E39" t="s">
        <v>61</v>
      </c>
      <c r="F39" s="1">
        <v>36606</v>
      </c>
      <c r="G39" s="2">
        <v>2000</v>
      </c>
      <c r="H39">
        <v>2021</v>
      </c>
      <c r="I39" s="2">
        <v>21</v>
      </c>
      <c r="J39" s="7">
        <v>87057</v>
      </c>
      <c r="K39" t="s">
        <v>139</v>
      </c>
      <c r="L39">
        <v>1</v>
      </c>
      <c r="M39" t="s">
        <v>46</v>
      </c>
      <c r="N39" t="s">
        <v>17</v>
      </c>
      <c r="O39" t="s">
        <v>63</v>
      </c>
      <c r="P39" t="s">
        <v>1489</v>
      </c>
      <c r="Q39" s="7">
        <f t="shared" si="0"/>
        <v>1044684</v>
      </c>
      <c r="R39" s="7">
        <f t="shared" si="1"/>
        <v>8705.7000000000007</v>
      </c>
    </row>
    <row r="40" spans="1:18" x14ac:dyDescent="0.35">
      <c r="A40" s="5">
        <v>34</v>
      </c>
      <c r="B40" t="s">
        <v>140</v>
      </c>
      <c r="C40" t="s">
        <v>141</v>
      </c>
      <c r="D40" t="s">
        <v>1485</v>
      </c>
      <c r="E40" t="s">
        <v>61</v>
      </c>
      <c r="F40" s="1">
        <v>37588</v>
      </c>
      <c r="G40" s="2">
        <v>2002</v>
      </c>
      <c r="H40">
        <v>2021</v>
      </c>
      <c r="I40" s="2">
        <v>19</v>
      </c>
      <c r="J40" s="7">
        <v>120579</v>
      </c>
      <c r="K40" t="s">
        <v>142</v>
      </c>
      <c r="L40">
        <v>6</v>
      </c>
      <c r="M40" t="s">
        <v>50</v>
      </c>
      <c r="N40" t="s">
        <v>40</v>
      </c>
      <c r="O40" t="s">
        <v>63</v>
      </c>
      <c r="P40" t="s">
        <v>1489</v>
      </c>
      <c r="Q40" s="7">
        <f t="shared" si="0"/>
        <v>1446948</v>
      </c>
      <c r="R40" s="7">
        <f t="shared" si="1"/>
        <v>12057.900000000001</v>
      </c>
    </row>
    <row r="41" spans="1:18" x14ac:dyDescent="0.35">
      <c r="A41" s="5">
        <v>35</v>
      </c>
      <c r="B41" t="s">
        <v>143</v>
      </c>
      <c r="C41" t="s">
        <v>144</v>
      </c>
      <c r="D41" t="s">
        <v>1486</v>
      </c>
      <c r="E41" t="s">
        <v>122</v>
      </c>
      <c r="F41" s="1">
        <v>46186</v>
      </c>
      <c r="G41" s="2">
        <v>2013</v>
      </c>
      <c r="H41">
        <v>2021</v>
      </c>
      <c r="I41" s="2">
        <v>8</v>
      </c>
      <c r="J41" s="7">
        <v>94884</v>
      </c>
      <c r="K41" t="s">
        <v>145</v>
      </c>
      <c r="L41">
        <v>7</v>
      </c>
      <c r="M41" t="s">
        <v>39</v>
      </c>
      <c r="N41" t="s">
        <v>40</v>
      </c>
      <c r="O41" t="s">
        <v>123</v>
      </c>
      <c r="P41" t="s">
        <v>1489</v>
      </c>
      <c r="Q41" s="7">
        <f t="shared" si="0"/>
        <v>1138608</v>
      </c>
      <c r="R41" s="7">
        <f t="shared" si="1"/>
        <v>9488.4</v>
      </c>
    </row>
    <row r="42" spans="1:18" x14ac:dyDescent="0.35">
      <c r="A42" s="5">
        <v>36</v>
      </c>
      <c r="B42" t="s">
        <v>146</v>
      </c>
      <c r="C42" t="s">
        <v>147</v>
      </c>
      <c r="D42" t="s">
        <v>1485</v>
      </c>
      <c r="E42" t="s">
        <v>148</v>
      </c>
      <c r="F42" s="1">
        <v>39810</v>
      </c>
      <c r="G42" s="2">
        <v>2008</v>
      </c>
      <c r="H42">
        <v>2021</v>
      </c>
      <c r="I42" s="2">
        <v>13</v>
      </c>
      <c r="J42" s="7">
        <v>107222</v>
      </c>
      <c r="K42" t="s">
        <v>149</v>
      </c>
      <c r="L42">
        <v>3</v>
      </c>
      <c r="M42" t="s">
        <v>28</v>
      </c>
      <c r="N42" t="s">
        <v>17</v>
      </c>
      <c r="O42" t="s">
        <v>112</v>
      </c>
      <c r="P42" t="s">
        <v>1489</v>
      </c>
      <c r="Q42" s="7">
        <f t="shared" si="0"/>
        <v>1286664</v>
      </c>
      <c r="R42" s="7">
        <f t="shared" si="1"/>
        <v>10722.2</v>
      </c>
    </row>
    <row r="43" spans="1:18" x14ac:dyDescent="0.35">
      <c r="A43" s="5">
        <v>37</v>
      </c>
      <c r="B43" t="s">
        <v>150</v>
      </c>
      <c r="C43" t="s">
        <v>151</v>
      </c>
      <c r="D43" t="s">
        <v>1486</v>
      </c>
      <c r="E43" t="s">
        <v>89</v>
      </c>
      <c r="F43" s="1">
        <v>36666</v>
      </c>
      <c r="G43" s="2">
        <v>2000</v>
      </c>
      <c r="H43">
        <v>2021</v>
      </c>
      <c r="I43" s="2">
        <v>21</v>
      </c>
      <c r="J43" s="7">
        <v>61739</v>
      </c>
      <c r="K43" t="s">
        <v>126</v>
      </c>
      <c r="L43">
        <v>1</v>
      </c>
      <c r="M43" t="s">
        <v>46</v>
      </c>
      <c r="N43" t="s">
        <v>17</v>
      </c>
      <c r="O43" t="s">
        <v>41</v>
      </c>
      <c r="P43" t="s">
        <v>1490</v>
      </c>
      <c r="Q43" s="7">
        <f t="shared" si="0"/>
        <v>740868</v>
      </c>
      <c r="R43" s="7">
        <f t="shared" si="1"/>
        <v>6173.9000000000005</v>
      </c>
    </row>
    <row r="44" spans="1:18" x14ac:dyDescent="0.35">
      <c r="A44" s="5">
        <v>38</v>
      </c>
      <c r="B44" t="s">
        <v>47</v>
      </c>
      <c r="C44" t="s">
        <v>152</v>
      </c>
      <c r="D44" t="s">
        <v>1486</v>
      </c>
      <c r="E44" t="s">
        <v>110</v>
      </c>
      <c r="F44" s="1">
        <v>45682</v>
      </c>
      <c r="G44" s="2">
        <v>2012</v>
      </c>
      <c r="H44">
        <v>2021</v>
      </c>
      <c r="I44" s="2">
        <v>9</v>
      </c>
      <c r="J44" s="7">
        <v>82026</v>
      </c>
      <c r="K44" t="s">
        <v>153</v>
      </c>
      <c r="L44">
        <v>2</v>
      </c>
      <c r="M44" t="s">
        <v>16</v>
      </c>
      <c r="N44" t="s">
        <v>17</v>
      </c>
      <c r="O44" t="s">
        <v>112</v>
      </c>
      <c r="P44" t="s">
        <v>1491</v>
      </c>
      <c r="Q44" s="7">
        <f t="shared" si="0"/>
        <v>984312</v>
      </c>
      <c r="R44" s="7">
        <f t="shared" si="1"/>
        <v>8202.6</v>
      </c>
    </row>
    <row r="45" spans="1:18" x14ac:dyDescent="0.35">
      <c r="A45" s="5">
        <v>39</v>
      </c>
      <c r="B45" t="s">
        <v>154</v>
      </c>
      <c r="C45" t="s">
        <v>155</v>
      </c>
      <c r="D45" t="s">
        <v>1485</v>
      </c>
      <c r="E45" t="s">
        <v>73</v>
      </c>
      <c r="F45" s="1">
        <v>40726</v>
      </c>
      <c r="G45" s="2">
        <v>2011</v>
      </c>
      <c r="H45">
        <v>2021</v>
      </c>
      <c r="I45" s="2">
        <v>10</v>
      </c>
      <c r="J45" s="7">
        <v>79339</v>
      </c>
      <c r="K45" t="s">
        <v>156</v>
      </c>
      <c r="L45">
        <v>1</v>
      </c>
      <c r="M45" t="s">
        <v>46</v>
      </c>
      <c r="N45" t="s">
        <v>17</v>
      </c>
      <c r="O45" t="s">
        <v>41</v>
      </c>
      <c r="P45" t="s">
        <v>1489</v>
      </c>
      <c r="Q45" s="7">
        <f t="shared" si="0"/>
        <v>952068</v>
      </c>
      <c r="R45" s="7">
        <f t="shared" si="1"/>
        <v>7933.9000000000005</v>
      </c>
    </row>
    <row r="46" spans="1:18" x14ac:dyDescent="0.35">
      <c r="A46" s="5">
        <v>40</v>
      </c>
      <c r="B46" t="s">
        <v>157</v>
      </c>
      <c r="C46" t="s">
        <v>158</v>
      </c>
      <c r="D46" t="s">
        <v>1486</v>
      </c>
      <c r="E46" t="s">
        <v>69</v>
      </c>
      <c r="F46" s="1">
        <v>45524</v>
      </c>
      <c r="G46" s="2">
        <v>2011</v>
      </c>
      <c r="H46">
        <v>2021</v>
      </c>
      <c r="I46" s="2">
        <v>10</v>
      </c>
      <c r="J46" s="7">
        <v>76809</v>
      </c>
      <c r="K46" t="s">
        <v>126</v>
      </c>
      <c r="L46">
        <v>6</v>
      </c>
      <c r="M46" t="s">
        <v>50</v>
      </c>
      <c r="N46" t="s">
        <v>40</v>
      </c>
      <c r="O46" t="s">
        <v>41</v>
      </c>
      <c r="P46" t="s">
        <v>1489</v>
      </c>
      <c r="Q46" s="7">
        <f t="shared" si="0"/>
        <v>921708</v>
      </c>
      <c r="R46" s="7">
        <f t="shared" si="1"/>
        <v>7680.9000000000005</v>
      </c>
    </row>
    <row r="47" spans="1:18" x14ac:dyDescent="0.35">
      <c r="A47" s="5">
        <v>41</v>
      </c>
      <c r="B47" t="s">
        <v>159</v>
      </c>
      <c r="C47" t="s">
        <v>160</v>
      </c>
      <c r="D47" t="s">
        <v>1486</v>
      </c>
      <c r="E47" t="s">
        <v>73</v>
      </c>
      <c r="F47" s="1">
        <v>37021</v>
      </c>
      <c r="G47" s="2">
        <v>2001</v>
      </c>
      <c r="H47">
        <v>2021</v>
      </c>
      <c r="I47" s="2">
        <v>20</v>
      </c>
      <c r="J47" s="7">
        <v>89680</v>
      </c>
      <c r="K47" t="s">
        <v>82</v>
      </c>
      <c r="L47">
        <v>6</v>
      </c>
      <c r="M47" t="s">
        <v>50</v>
      </c>
      <c r="N47" t="s">
        <v>40</v>
      </c>
      <c r="O47" t="s">
        <v>41</v>
      </c>
      <c r="P47" t="s">
        <v>1489</v>
      </c>
      <c r="Q47" s="7">
        <f t="shared" si="0"/>
        <v>1076160</v>
      </c>
      <c r="R47" s="7">
        <f t="shared" si="1"/>
        <v>8968</v>
      </c>
    </row>
    <row r="48" spans="1:18" x14ac:dyDescent="0.35">
      <c r="A48" s="5">
        <v>42</v>
      </c>
      <c r="B48" t="s">
        <v>161</v>
      </c>
      <c r="C48" t="s">
        <v>162</v>
      </c>
      <c r="D48" t="s">
        <v>1485</v>
      </c>
      <c r="E48" t="s">
        <v>14</v>
      </c>
      <c r="F48" s="1">
        <v>39539</v>
      </c>
      <c r="G48" s="2">
        <v>2008</v>
      </c>
      <c r="H48">
        <v>2021</v>
      </c>
      <c r="I48" s="2">
        <v>13</v>
      </c>
      <c r="J48" s="7">
        <v>125668</v>
      </c>
      <c r="K48" t="s">
        <v>45</v>
      </c>
      <c r="L48">
        <v>7</v>
      </c>
      <c r="M48" t="s">
        <v>39</v>
      </c>
      <c r="N48" t="s">
        <v>40</v>
      </c>
      <c r="O48" t="s">
        <v>18</v>
      </c>
      <c r="P48" t="s">
        <v>1489</v>
      </c>
      <c r="Q48" s="7">
        <f t="shared" si="0"/>
        <v>1508016</v>
      </c>
      <c r="R48" s="7">
        <f t="shared" si="1"/>
        <v>12566.800000000001</v>
      </c>
    </row>
    <row r="49" spans="1:18" x14ac:dyDescent="0.35">
      <c r="A49" s="5">
        <v>43</v>
      </c>
      <c r="B49" t="s">
        <v>163</v>
      </c>
      <c r="C49" t="s">
        <v>164</v>
      </c>
      <c r="D49" t="s">
        <v>1485</v>
      </c>
      <c r="E49" t="s">
        <v>21</v>
      </c>
      <c r="F49" s="1">
        <v>39962</v>
      </c>
      <c r="G49" s="2">
        <v>2009</v>
      </c>
      <c r="H49">
        <v>2021</v>
      </c>
      <c r="I49" s="2">
        <v>12</v>
      </c>
      <c r="J49" s="7">
        <v>82960</v>
      </c>
      <c r="K49" t="s">
        <v>130</v>
      </c>
      <c r="L49">
        <v>6</v>
      </c>
      <c r="M49" t="s">
        <v>50</v>
      </c>
      <c r="N49" t="s">
        <v>40</v>
      </c>
      <c r="O49" t="s">
        <v>23</v>
      </c>
      <c r="P49" t="s">
        <v>1489</v>
      </c>
      <c r="Q49" s="7">
        <f t="shared" si="0"/>
        <v>995520</v>
      </c>
      <c r="R49" s="7">
        <f t="shared" si="1"/>
        <v>8296</v>
      </c>
    </row>
    <row r="50" spans="1:18" x14ac:dyDescent="0.35">
      <c r="A50" s="5">
        <v>44</v>
      </c>
      <c r="B50" t="s">
        <v>165</v>
      </c>
      <c r="C50" t="s">
        <v>166</v>
      </c>
      <c r="D50" t="s">
        <v>1485</v>
      </c>
      <c r="E50" t="s">
        <v>61</v>
      </c>
      <c r="F50" s="1">
        <v>41629</v>
      </c>
      <c r="G50" s="2">
        <v>2013</v>
      </c>
      <c r="H50">
        <v>2021</v>
      </c>
      <c r="I50" s="2">
        <v>8</v>
      </c>
      <c r="J50" s="7">
        <v>113857</v>
      </c>
      <c r="K50" t="s">
        <v>167</v>
      </c>
      <c r="L50">
        <v>2</v>
      </c>
      <c r="M50" t="s">
        <v>16</v>
      </c>
      <c r="N50" t="s">
        <v>17</v>
      </c>
      <c r="O50" t="s">
        <v>63</v>
      </c>
      <c r="P50" t="s">
        <v>1489</v>
      </c>
      <c r="Q50" s="7">
        <f t="shared" si="0"/>
        <v>1366284</v>
      </c>
      <c r="R50" s="7">
        <f t="shared" si="1"/>
        <v>11385.7</v>
      </c>
    </row>
    <row r="51" spans="1:18" x14ac:dyDescent="0.35">
      <c r="A51" s="5">
        <v>45</v>
      </c>
      <c r="B51" t="s">
        <v>87</v>
      </c>
      <c r="C51" t="s">
        <v>168</v>
      </c>
      <c r="D51" t="s">
        <v>1485</v>
      </c>
      <c r="E51" t="s">
        <v>26</v>
      </c>
      <c r="F51" s="1">
        <v>37280</v>
      </c>
      <c r="G51" s="2">
        <v>2002</v>
      </c>
      <c r="H51">
        <v>2021</v>
      </c>
      <c r="I51" s="2">
        <v>19</v>
      </c>
      <c r="J51" s="7">
        <v>108378</v>
      </c>
      <c r="K51" t="s">
        <v>169</v>
      </c>
      <c r="L51">
        <v>7</v>
      </c>
      <c r="M51" t="s">
        <v>39</v>
      </c>
      <c r="N51" t="s">
        <v>40</v>
      </c>
      <c r="O51" t="s">
        <v>29</v>
      </c>
      <c r="P51" t="s">
        <v>1489</v>
      </c>
      <c r="Q51" s="7">
        <f t="shared" si="0"/>
        <v>1300536</v>
      </c>
      <c r="R51" s="7">
        <f t="shared" si="1"/>
        <v>10837.800000000001</v>
      </c>
    </row>
    <row r="52" spans="1:18" x14ac:dyDescent="0.35">
      <c r="A52" s="5">
        <v>46</v>
      </c>
      <c r="B52" t="s">
        <v>170</v>
      </c>
      <c r="C52" t="s">
        <v>171</v>
      </c>
      <c r="D52" t="s">
        <v>1485</v>
      </c>
      <c r="E52" t="s">
        <v>148</v>
      </c>
      <c r="F52" s="1">
        <v>40888</v>
      </c>
      <c r="G52" s="2">
        <v>2011</v>
      </c>
      <c r="H52">
        <v>2021</v>
      </c>
      <c r="I52" s="2">
        <v>10</v>
      </c>
      <c r="J52" s="7">
        <v>133424</v>
      </c>
      <c r="K52" t="s">
        <v>172</v>
      </c>
      <c r="L52">
        <v>7</v>
      </c>
      <c r="M52" t="s">
        <v>39</v>
      </c>
      <c r="N52" t="s">
        <v>40</v>
      </c>
      <c r="O52" t="s">
        <v>112</v>
      </c>
      <c r="P52" t="s">
        <v>1489</v>
      </c>
      <c r="Q52" s="7">
        <f t="shared" si="0"/>
        <v>1601088</v>
      </c>
      <c r="R52" s="7">
        <f t="shared" si="1"/>
        <v>13342.400000000001</v>
      </c>
    </row>
    <row r="53" spans="1:18" x14ac:dyDescent="0.35">
      <c r="A53" s="5">
        <v>47</v>
      </c>
      <c r="B53" t="s">
        <v>173</v>
      </c>
      <c r="C53" t="s">
        <v>174</v>
      </c>
      <c r="D53" t="s">
        <v>1486</v>
      </c>
      <c r="E53" t="s">
        <v>69</v>
      </c>
      <c r="F53" s="1">
        <v>46264</v>
      </c>
      <c r="G53" s="2">
        <v>2013</v>
      </c>
      <c r="H53">
        <v>2021</v>
      </c>
      <c r="I53" s="2">
        <v>8</v>
      </c>
      <c r="J53" s="7">
        <v>42797</v>
      </c>
      <c r="K53" t="s">
        <v>38</v>
      </c>
      <c r="L53">
        <v>5</v>
      </c>
      <c r="M53" t="s">
        <v>91</v>
      </c>
      <c r="N53" t="s">
        <v>40</v>
      </c>
      <c r="O53" t="s">
        <v>41</v>
      </c>
      <c r="P53" t="s">
        <v>1489</v>
      </c>
      <c r="Q53" s="7">
        <f t="shared" si="0"/>
        <v>513564</v>
      </c>
      <c r="R53" s="7">
        <f t="shared" si="1"/>
        <v>4279.7</v>
      </c>
    </row>
    <row r="54" spans="1:18" x14ac:dyDescent="0.35">
      <c r="A54" s="5">
        <v>48</v>
      </c>
      <c r="B54" t="s">
        <v>175</v>
      </c>
      <c r="C54" t="s">
        <v>176</v>
      </c>
      <c r="D54" t="s">
        <v>1485</v>
      </c>
      <c r="E54" t="s">
        <v>14</v>
      </c>
      <c r="F54" s="1">
        <v>38103</v>
      </c>
      <c r="G54" s="2">
        <v>2004</v>
      </c>
      <c r="H54">
        <v>2021</v>
      </c>
      <c r="I54" s="2">
        <v>17</v>
      </c>
      <c r="J54" s="7">
        <v>134940</v>
      </c>
      <c r="K54" t="s">
        <v>22</v>
      </c>
      <c r="L54">
        <v>4</v>
      </c>
      <c r="M54" t="s">
        <v>55</v>
      </c>
      <c r="N54" t="s">
        <v>17</v>
      </c>
      <c r="O54" t="s">
        <v>18</v>
      </c>
      <c r="P54" t="s">
        <v>1490</v>
      </c>
      <c r="Q54" s="7">
        <f t="shared" si="0"/>
        <v>1619280</v>
      </c>
      <c r="R54" s="7">
        <f t="shared" si="1"/>
        <v>13494</v>
      </c>
    </row>
    <row r="55" spans="1:18" x14ac:dyDescent="0.35">
      <c r="A55" s="5">
        <v>49</v>
      </c>
      <c r="B55" t="s">
        <v>177</v>
      </c>
      <c r="C55" t="s">
        <v>178</v>
      </c>
      <c r="D55" t="s">
        <v>1485</v>
      </c>
      <c r="E55" t="s">
        <v>89</v>
      </c>
      <c r="F55" s="1">
        <v>39803</v>
      </c>
      <c r="G55" s="2">
        <v>2008</v>
      </c>
      <c r="H55">
        <v>2021</v>
      </c>
      <c r="I55" s="2">
        <v>13</v>
      </c>
      <c r="J55" s="7">
        <v>119471</v>
      </c>
      <c r="K55" t="s">
        <v>179</v>
      </c>
      <c r="L55">
        <v>6</v>
      </c>
      <c r="M55" t="s">
        <v>50</v>
      </c>
      <c r="N55" t="s">
        <v>40</v>
      </c>
      <c r="O55" t="s">
        <v>41</v>
      </c>
      <c r="P55" t="s">
        <v>1490</v>
      </c>
      <c r="Q55" s="7">
        <f t="shared" si="0"/>
        <v>1433652</v>
      </c>
      <c r="R55" s="7">
        <f t="shared" si="1"/>
        <v>11947.1</v>
      </c>
    </row>
    <row r="56" spans="1:18" x14ac:dyDescent="0.35">
      <c r="A56" s="5">
        <v>50</v>
      </c>
      <c r="B56" t="s">
        <v>19</v>
      </c>
      <c r="C56" t="s">
        <v>180</v>
      </c>
      <c r="D56" t="s">
        <v>1486</v>
      </c>
      <c r="E56" t="s">
        <v>26</v>
      </c>
      <c r="F56" s="1">
        <v>45001</v>
      </c>
      <c r="G56" s="2">
        <v>2010</v>
      </c>
      <c r="H56">
        <v>2021</v>
      </c>
      <c r="I56" s="2">
        <v>11</v>
      </c>
      <c r="J56" s="7">
        <v>89969</v>
      </c>
      <c r="K56" t="s">
        <v>181</v>
      </c>
      <c r="L56">
        <v>4</v>
      </c>
      <c r="M56" t="s">
        <v>55</v>
      </c>
      <c r="N56" t="s">
        <v>17</v>
      </c>
      <c r="O56" t="s">
        <v>29</v>
      </c>
      <c r="P56" t="s">
        <v>1489</v>
      </c>
      <c r="Q56" s="7">
        <f t="shared" si="0"/>
        <v>1079628</v>
      </c>
      <c r="R56" s="7">
        <f t="shared" si="1"/>
        <v>8996.9</v>
      </c>
    </row>
    <row r="57" spans="1:18" x14ac:dyDescent="0.35">
      <c r="A57" s="5">
        <v>51</v>
      </c>
      <c r="B57" t="s">
        <v>182</v>
      </c>
      <c r="C57" t="s">
        <v>183</v>
      </c>
      <c r="D57" t="s">
        <v>1485</v>
      </c>
      <c r="E57" t="s">
        <v>73</v>
      </c>
      <c r="F57" s="1">
        <v>38986</v>
      </c>
      <c r="G57" s="2">
        <v>2006</v>
      </c>
      <c r="H57">
        <v>2021</v>
      </c>
      <c r="I57" s="2">
        <v>15</v>
      </c>
      <c r="J57" s="7">
        <v>106281</v>
      </c>
      <c r="K57" t="s">
        <v>107</v>
      </c>
      <c r="L57">
        <v>3</v>
      </c>
      <c r="M57" t="s">
        <v>28</v>
      </c>
      <c r="N57" t="s">
        <v>17</v>
      </c>
      <c r="O57" t="s">
        <v>41</v>
      </c>
      <c r="P57" t="s">
        <v>1489</v>
      </c>
      <c r="Q57" s="7">
        <f t="shared" si="0"/>
        <v>1275372</v>
      </c>
      <c r="R57" s="7">
        <f t="shared" si="1"/>
        <v>10628.1</v>
      </c>
    </row>
    <row r="58" spans="1:18" x14ac:dyDescent="0.35">
      <c r="A58" s="5">
        <v>52</v>
      </c>
      <c r="B58" t="s">
        <v>184</v>
      </c>
      <c r="C58" t="s">
        <v>185</v>
      </c>
      <c r="D58" t="s">
        <v>1486</v>
      </c>
      <c r="E58" t="s">
        <v>85</v>
      </c>
      <c r="F58" s="1">
        <v>37525</v>
      </c>
      <c r="G58" s="2">
        <v>2002</v>
      </c>
      <c r="H58">
        <v>2021</v>
      </c>
      <c r="I58" s="2">
        <v>19</v>
      </c>
      <c r="J58" s="7">
        <v>141678</v>
      </c>
      <c r="K58" t="s">
        <v>186</v>
      </c>
      <c r="L58">
        <v>3</v>
      </c>
      <c r="M58" t="s">
        <v>28</v>
      </c>
      <c r="N58" t="s">
        <v>17</v>
      </c>
      <c r="O58" t="s">
        <v>41</v>
      </c>
      <c r="P58" t="s">
        <v>1489</v>
      </c>
      <c r="Q58" s="7">
        <f t="shared" si="0"/>
        <v>1700136</v>
      </c>
      <c r="R58" s="7">
        <f t="shared" si="1"/>
        <v>14167.800000000001</v>
      </c>
    </row>
    <row r="59" spans="1:18" x14ac:dyDescent="0.35">
      <c r="A59" s="5">
        <v>53</v>
      </c>
      <c r="B59" t="s">
        <v>187</v>
      </c>
      <c r="C59" t="s">
        <v>188</v>
      </c>
      <c r="D59" t="s">
        <v>1485</v>
      </c>
      <c r="E59" t="s">
        <v>14</v>
      </c>
      <c r="F59" s="1">
        <v>39613</v>
      </c>
      <c r="G59" s="2">
        <v>2008</v>
      </c>
      <c r="H59">
        <v>2021</v>
      </c>
      <c r="I59" s="2">
        <v>13</v>
      </c>
      <c r="J59" s="7">
        <v>110839</v>
      </c>
      <c r="K59" t="s">
        <v>189</v>
      </c>
      <c r="L59">
        <v>1</v>
      </c>
      <c r="M59" t="s">
        <v>46</v>
      </c>
      <c r="N59" t="s">
        <v>17</v>
      </c>
      <c r="O59" t="s">
        <v>18</v>
      </c>
      <c r="P59" t="s">
        <v>1489</v>
      </c>
      <c r="Q59" s="7">
        <f t="shared" si="0"/>
        <v>1330068</v>
      </c>
      <c r="R59" s="7">
        <f t="shared" si="1"/>
        <v>11083.900000000001</v>
      </c>
    </row>
    <row r="60" spans="1:18" x14ac:dyDescent="0.35">
      <c r="A60" s="5">
        <v>54</v>
      </c>
      <c r="B60" t="s">
        <v>140</v>
      </c>
      <c r="C60" t="s">
        <v>190</v>
      </c>
      <c r="D60" t="s">
        <v>1486</v>
      </c>
      <c r="E60" t="s">
        <v>53</v>
      </c>
      <c r="F60" s="1">
        <v>36996</v>
      </c>
      <c r="G60" s="2">
        <v>2001</v>
      </c>
      <c r="H60">
        <v>2021</v>
      </c>
      <c r="I60" s="2">
        <v>20</v>
      </c>
      <c r="J60" s="7">
        <v>84275</v>
      </c>
      <c r="K60" t="s">
        <v>191</v>
      </c>
      <c r="L60">
        <v>5</v>
      </c>
      <c r="M60" t="s">
        <v>91</v>
      </c>
      <c r="N60" t="s">
        <v>40</v>
      </c>
      <c r="O60" t="s">
        <v>23</v>
      </c>
      <c r="P60" t="s">
        <v>1489</v>
      </c>
      <c r="Q60" s="7">
        <f t="shared" si="0"/>
        <v>1011300</v>
      </c>
      <c r="R60" s="7">
        <f t="shared" si="1"/>
        <v>8427.5</v>
      </c>
    </row>
    <row r="61" spans="1:18" x14ac:dyDescent="0.35">
      <c r="A61" s="5">
        <v>55</v>
      </c>
      <c r="B61" t="s">
        <v>192</v>
      </c>
      <c r="C61" t="s">
        <v>193</v>
      </c>
      <c r="D61" t="s">
        <v>1485</v>
      </c>
      <c r="E61" t="s">
        <v>26</v>
      </c>
      <c r="F61" s="1">
        <v>38098</v>
      </c>
      <c r="G61" s="2">
        <v>2004</v>
      </c>
      <c r="H61">
        <v>2021</v>
      </c>
      <c r="I61" s="2">
        <v>17</v>
      </c>
      <c r="J61" s="7">
        <v>71363</v>
      </c>
      <c r="K61" t="s">
        <v>194</v>
      </c>
      <c r="L61">
        <v>3</v>
      </c>
      <c r="M61" t="s">
        <v>28</v>
      </c>
      <c r="N61" t="s">
        <v>17</v>
      </c>
      <c r="O61" t="s">
        <v>29</v>
      </c>
      <c r="P61" t="s">
        <v>1489</v>
      </c>
      <c r="Q61" s="7">
        <f t="shared" si="0"/>
        <v>856356</v>
      </c>
      <c r="R61" s="7">
        <f t="shared" si="1"/>
        <v>7136.3</v>
      </c>
    </row>
    <row r="62" spans="1:18" x14ac:dyDescent="0.35">
      <c r="A62" s="5">
        <v>56</v>
      </c>
      <c r="B62" t="s">
        <v>161</v>
      </c>
      <c r="C62" t="s">
        <v>195</v>
      </c>
      <c r="D62" t="s">
        <v>1485</v>
      </c>
      <c r="E62" t="s">
        <v>110</v>
      </c>
      <c r="F62" s="1">
        <v>37592</v>
      </c>
      <c r="G62" s="2">
        <v>2002</v>
      </c>
      <c r="H62">
        <v>2021</v>
      </c>
      <c r="I62" s="2">
        <v>19</v>
      </c>
      <c r="J62" s="7">
        <v>93680</v>
      </c>
      <c r="K62" t="s">
        <v>196</v>
      </c>
      <c r="L62">
        <v>3</v>
      </c>
      <c r="M62" t="s">
        <v>28</v>
      </c>
      <c r="N62" t="s">
        <v>17</v>
      </c>
      <c r="O62" t="s">
        <v>112</v>
      </c>
      <c r="P62" t="s">
        <v>1489</v>
      </c>
      <c r="Q62" s="7">
        <f t="shared" si="0"/>
        <v>1124160</v>
      </c>
      <c r="R62" s="7">
        <f t="shared" si="1"/>
        <v>9368</v>
      </c>
    </row>
    <row r="63" spans="1:18" x14ac:dyDescent="0.35">
      <c r="A63" s="5">
        <v>57</v>
      </c>
      <c r="B63" t="s">
        <v>159</v>
      </c>
      <c r="C63" t="s">
        <v>197</v>
      </c>
      <c r="D63" t="s">
        <v>1486</v>
      </c>
      <c r="E63" t="s">
        <v>148</v>
      </c>
      <c r="F63" s="1">
        <v>36850</v>
      </c>
      <c r="G63" s="2">
        <v>2000</v>
      </c>
      <c r="H63">
        <v>2021</v>
      </c>
      <c r="I63" s="2">
        <v>21</v>
      </c>
      <c r="J63" s="7">
        <v>73755</v>
      </c>
      <c r="K63" t="s">
        <v>90</v>
      </c>
      <c r="L63">
        <v>3</v>
      </c>
      <c r="M63" t="s">
        <v>28</v>
      </c>
      <c r="N63" t="s">
        <v>17</v>
      </c>
      <c r="O63" t="s">
        <v>112</v>
      </c>
      <c r="P63" t="s">
        <v>1489</v>
      </c>
      <c r="Q63" s="7">
        <f t="shared" si="0"/>
        <v>885060</v>
      </c>
      <c r="R63" s="7">
        <f t="shared" si="1"/>
        <v>7375.5</v>
      </c>
    </row>
    <row r="64" spans="1:18" x14ac:dyDescent="0.35">
      <c r="A64" s="5">
        <v>58</v>
      </c>
      <c r="B64" t="s">
        <v>198</v>
      </c>
      <c r="C64" t="s">
        <v>199</v>
      </c>
      <c r="D64" t="s">
        <v>1485</v>
      </c>
      <c r="E64" t="s">
        <v>79</v>
      </c>
      <c r="F64" s="1">
        <v>39143</v>
      </c>
      <c r="G64" s="2">
        <v>2007</v>
      </c>
      <c r="H64">
        <v>2021</v>
      </c>
      <c r="I64" s="2">
        <v>14</v>
      </c>
      <c r="J64" s="7">
        <v>68857</v>
      </c>
      <c r="K64" t="s">
        <v>200</v>
      </c>
      <c r="L64">
        <v>2</v>
      </c>
      <c r="M64" t="s">
        <v>16</v>
      </c>
      <c r="N64" t="s">
        <v>17</v>
      </c>
      <c r="O64" t="s">
        <v>41</v>
      </c>
      <c r="P64" t="s">
        <v>1489</v>
      </c>
      <c r="Q64" s="7">
        <f t="shared" si="0"/>
        <v>826284</v>
      </c>
      <c r="R64" s="7">
        <f t="shared" si="1"/>
        <v>6885.7000000000007</v>
      </c>
    </row>
    <row r="65" spans="1:18" x14ac:dyDescent="0.35">
      <c r="A65" s="5">
        <v>59</v>
      </c>
      <c r="B65" t="s">
        <v>201</v>
      </c>
      <c r="C65" t="s">
        <v>202</v>
      </c>
      <c r="D65" t="s">
        <v>1486</v>
      </c>
      <c r="E65" t="s">
        <v>203</v>
      </c>
      <c r="F65" s="1">
        <v>37334</v>
      </c>
      <c r="G65" s="2">
        <v>2002</v>
      </c>
      <c r="H65">
        <v>2021</v>
      </c>
      <c r="I65" s="2">
        <v>19</v>
      </c>
      <c r="J65" s="7">
        <v>48360</v>
      </c>
      <c r="K65" t="s">
        <v>204</v>
      </c>
      <c r="L65">
        <v>6</v>
      </c>
      <c r="M65" t="s">
        <v>50</v>
      </c>
      <c r="N65" t="s">
        <v>40</v>
      </c>
      <c r="O65" t="s">
        <v>41</v>
      </c>
      <c r="P65" t="s">
        <v>1489</v>
      </c>
      <c r="Q65" s="7">
        <f t="shared" si="0"/>
        <v>580320</v>
      </c>
      <c r="R65" s="7">
        <f t="shared" si="1"/>
        <v>4836</v>
      </c>
    </row>
    <row r="66" spans="1:18" x14ac:dyDescent="0.35">
      <c r="A66" s="5">
        <v>60</v>
      </c>
      <c r="B66" t="s">
        <v>205</v>
      </c>
      <c r="C66" t="s">
        <v>206</v>
      </c>
      <c r="D66" t="s">
        <v>1485</v>
      </c>
      <c r="E66" t="s">
        <v>148</v>
      </c>
      <c r="F66" s="1">
        <v>38183</v>
      </c>
      <c r="G66" s="2">
        <v>2004</v>
      </c>
      <c r="H66">
        <v>2021</v>
      </c>
      <c r="I66" s="2">
        <v>17</v>
      </c>
      <c r="J66" s="7">
        <v>104896</v>
      </c>
      <c r="K66" t="s">
        <v>22</v>
      </c>
      <c r="L66">
        <v>5</v>
      </c>
      <c r="M66" t="s">
        <v>91</v>
      </c>
      <c r="N66" t="s">
        <v>40</v>
      </c>
      <c r="O66" t="s">
        <v>112</v>
      </c>
      <c r="P66" t="s">
        <v>1489</v>
      </c>
      <c r="Q66" s="7">
        <f t="shared" si="0"/>
        <v>1258752</v>
      </c>
      <c r="R66" s="7">
        <f t="shared" si="1"/>
        <v>10489.6</v>
      </c>
    </row>
    <row r="67" spans="1:18" x14ac:dyDescent="0.35">
      <c r="A67" s="5">
        <v>61</v>
      </c>
      <c r="B67" t="s">
        <v>207</v>
      </c>
      <c r="C67" t="s">
        <v>208</v>
      </c>
      <c r="D67" t="s">
        <v>1486</v>
      </c>
      <c r="E67" t="s">
        <v>44</v>
      </c>
      <c r="F67" s="1">
        <v>44783</v>
      </c>
      <c r="G67" s="2">
        <v>2009</v>
      </c>
      <c r="H67">
        <v>2021</v>
      </c>
      <c r="I67" s="2">
        <v>12</v>
      </c>
      <c r="J67" s="7">
        <v>81870</v>
      </c>
      <c r="K67" t="s">
        <v>209</v>
      </c>
      <c r="L67">
        <v>7</v>
      </c>
      <c r="M67" t="s">
        <v>39</v>
      </c>
      <c r="N67" t="s">
        <v>40</v>
      </c>
      <c r="O67" t="s">
        <v>29</v>
      </c>
      <c r="P67" t="s">
        <v>1489</v>
      </c>
      <c r="Q67" s="7">
        <f t="shared" si="0"/>
        <v>982440</v>
      </c>
      <c r="R67" s="7">
        <f t="shared" si="1"/>
        <v>8187</v>
      </c>
    </row>
    <row r="68" spans="1:18" x14ac:dyDescent="0.35">
      <c r="A68" s="5">
        <v>62</v>
      </c>
      <c r="B68" t="s">
        <v>210</v>
      </c>
      <c r="C68" t="s">
        <v>211</v>
      </c>
      <c r="D68" t="s">
        <v>1485</v>
      </c>
      <c r="E68" t="s">
        <v>26</v>
      </c>
      <c r="F68" s="1">
        <v>39231</v>
      </c>
      <c r="G68" s="2">
        <v>2007</v>
      </c>
      <c r="H68">
        <v>2021</v>
      </c>
      <c r="I68" s="2">
        <v>14</v>
      </c>
      <c r="J68" s="7">
        <v>69936</v>
      </c>
      <c r="K68" t="s">
        <v>181</v>
      </c>
      <c r="L68">
        <v>7</v>
      </c>
      <c r="M68" t="s">
        <v>39</v>
      </c>
      <c r="N68" t="s">
        <v>40</v>
      </c>
      <c r="O68" t="s">
        <v>29</v>
      </c>
      <c r="P68" t="s">
        <v>1489</v>
      </c>
      <c r="Q68" s="7">
        <f t="shared" si="0"/>
        <v>839232</v>
      </c>
      <c r="R68" s="7">
        <f t="shared" si="1"/>
        <v>6993.6</v>
      </c>
    </row>
    <row r="69" spans="1:18" x14ac:dyDescent="0.35">
      <c r="A69" s="5">
        <v>63</v>
      </c>
      <c r="B69" t="s">
        <v>212</v>
      </c>
      <c r="C69" t="s">
        <v>213</v>
      </c>
      <c r="D69" t="s">
        <v>1486</v>
      </c>
      <c r="E69" t="s">
        <v>37</v>
      </c>
      <c r="F69" s="1">
        <v>44176</v>
      </c>
      <c r="G69" s="2">
        <v>2007</v>
      </c>
      <c r="H69">
        <v>2021</v>
      </c>
      <c r="I69" s="2">
        <v>14</v>
      </c>
      <c r="J69" s="7">
        <v>138844</v>
      </c>
      <c r="K69" t="s">
        <v>214</v>
      </c>
      <c r="L69">
        <v>6</v>
      </c>
      <c r="M69" t="s">
        <v>50</v>
      </c>
      <c r="N69" t="s">
        <v>40</v>
      </c>
      <c r="O69" t="s">
        <v>41</v>
      </c>
      <c r="P69" t="s">
        <v>1489</v>
      </c>
      <c r="Q69" s="7">
        <f t="shared" si="0"/>
        <v>1666128</v>
      </c>
      <c r="R69" s="7">
        <f t="shared" si="1"/>
        <v>13884.400000000001</v>
      </c>
    </row>
    <row r="70" spans="1:18" x14ac:dyDescent="0.35">
      <c r="A70" s="5">
        <v>64</v>
      </c>
      <c r="B70" t="s">
        <v>215</v>
      </c>
      <c r="C70" t="s">
        <v>216</v>
      </c>
      <c r="D70" t="s">
        <v>1485</v>
      </c>
      <c r="E70" t="s">
        <v>110</v>
      </c>
      <c r="F70" s="1">
        <v>40859</v>
      </c>
      <c r="G70" s="2">
        <v>2011</v>
      </c>
      <c r="H70">
        <v>2021</v>
      </c>
      <c r="I70" s="2">
        <v>10</v>
      </c>
      <c r="J70" s="7">
        <v>139796</v>
      </c>
      <c r="K70" t="s">
        <v>217</v>
      </c>
      <c r="L70">
        <v>1</v>
      </c>
      <c r="M70" t="s">
        <v>46</v>
      </c>
      <c r="N70" t="s">
        <v>17</v>
      </c>
      <c r="O70" t="s">
        <v>112</v>
      </c>
      <c r="P70" t="s">
        <v>1489</v>
      </c>
      <c r="Q70" s="7">
        <f t="shared" si="0"/>
        <v>1677552</v>
      </c>
      <c r="R70" s="7">
        <f t="shared" si="1"/>
        <v>13979.6</v>
      </c>
    </row>
    <row r="71" spans="1:18" x14ac:dyDescent="0.35">
      <c r="A71" s="5">
        <v>65</v>
      </c>
      <c r="B71" t="s">
        <v>218</v>
      </c>
      <c r="C71" t="s">
        <v>219</v>
      </c>
      <c r="D71" t="s">
        <v>1486</v>
      </c>
      <c r="E71" t="s">
        <v>26</v>
      </c>
      <c r="F71" s="1">
        <v>36552</v>
      </c>
      <c r="G71" s="2">
        <v>2000</v>
      </c>
      <c r="H71">
        <v>2021</v>
      </c>
      <c r="I71" s="2">
        <v>21</v>
      </c>
      <c r="J71" s="7">
        <v>86939</v>
      </c>
      <c r="K71" t="s">
        <v>220</v>
      </c>
      <c r="L71">
        <v>3</v>
      </c>
      <c r="M71" t="s">
        <v>28</v>
      </c>
      <c r="N71" t="s">
        <v>17</v>
      </c>
      <c r="O71" t="s">
        <v>29</v>
      </c>
      <c r="P71" t="s">
        <v>1491</v>
      </c>
      <c r="Q71" s="7">
        <f t="shared" ref="Q71:Q134" si="2">J71*12</f>
        <v>1043268</v>
      </c>
      <c r="R71" s="7">
        <f t="shared" ref="R71:R134" si="3">J71*10%</f>
        <v>8693.9</v>
      </c>
    </row>
    <row r="72" spans="1:18" x14ac:dyDescent="0.35">
      <c r="A72" s="5">
        <v>66</v>
      </c>
      <c r="B72" t="s">
        <v>221</v>
      </c>
      <c r="C72" t="s">
        <v>222</v>
      </c>
      <c r="D72" t="s">
        <v>1485</v>
      </c>
      <c r="E72" t="s">
        <v>129</v>
      </c>
      <c r="F72" s="1">
        <v>37891</v>
      </c>
      <c r="G72" s="2">
        <v>2003</v>
      </c>
      <c r="H72">
        <v>2021</v>
      </c>
      <c r="I72" s="2">
        <v>18</v>
      </c>
      <c r="J72" s="7">
        <v>141949</v>
      </c>
      <c r="K72" t="s">
        <v>223</v>
      </c>
      <c r="L72">
        <v>4</v>
      </c>
      <c r="M72" t="s">
        <v>55</v>
      </c>
      <c r="N72" t="s">
        <v>17</v>
      </c>
      <c r="O72" t="s">
        <v>41</v>
      </c>
      <c r="P72" t="s">
        <v>1489</v>
      </c>
      <c r="Q72" s="7">
        <f t="shared" si="2"/>
        <v>1703388</v>
      </c>
      <c r="R72" s="7">
        <f t="shared" si="3"/>
        <v>14194.900000000001</v>
      </c>
    </row>
    <row r="73" spans="1:18" x14ac:dyDescent="0.35">
      <c r="A73" s="5">
        <v>67</v>
      </c>
      <c r="B73" t="s">
        <v>224</v>
      </c>
      <c r="C73" t="s">
        <v>225</v>
      </c>
      <c r="D73" t="s">
        <v>1486</v>
      </c>
      <c r="E73" t="s">
        <v>37</v>
      </c>
      <c r="F73" s="1">
        <v>38207</v>
      </c>
      <c r="G73" s="2">
        <v>2004</v>
      </c>
      <c r="H73">
        <v>2021</v>
      </c>
      <c r="I73" s="2">
        <v>17</v>
      </c>
      <c r="J73" s="7">
        <v>114200</v>
      </c>
      <c r="K73" t="s">
        <v>226</v>
      </c>
      <c r="L73">
        <v>7</v>
      </c>
      <c r="M73" t="s">
        <v>39</v>
      </c>
      <c r="N73" t="s">
        <v>40</v>
      </c>
      <c r="O73" t="s">
        <v>41</v>
      </c>
      <c r="P73" t="s">
        <v>1489</v>
      </c>
      <c r="Q73" s="7">
        <f t="shared" si="2"/>
        <v>1370400</v>
      </c>
      <c r="R73" s="7">
        <f t="shared" si="3"/>
        <v>11420</v>
      </c>
    </row>
    <row r="74" spans="1:18" x14ac:dyDescent="0.35">
      <c r="A74" s="5">
        <v>68</v>
      </c>
      <c r="B74" t="s">
        <v>187</v>
      </c>
      <c r="C74" t="s">
        <v>227</v>
      </c>
      <c r="D74" t="s">
        <v>1485</v>
      </c>
      <c r="E74" t="s">
        <v>129</v>
      </c>
      <c r="F74" s="1">
        <v>41154</v>
      </c>
      <c r="G74" s="2">
        <v>2012</v>
      </c>
      <c r="H74">
        <v>2021</v>
      </c>
      <c r="I74" s="2">
        <v>9</v>
      </c>
      <c r="J74" s="7">
        <v>121378</v>
      </c>
      <c r="K74" t="s">
        <v>228</v>
      </c>
      <c r="L74">
        <v>7</v>
      </c>
      <c r="M74" t="s">
        <v>39</v>
      </c>
      <c r="N74" t="s">
        <v>40</v>
      </c>
      <c r="O74" t="s">
        <v>41</v>
      </c>
      <c r="P74" t="s">
        <v>1489</v>
      </c>
      <c r="Q74" s="7">
        <f t="shared" si="2"/>
        <v>1456536</v>
      </c>
      <c r="R74" s="7">
        <f t="shared" si="3"/>
        <v>12137.800000000001</v>
      </c>
    </row>
    <row r="75" spans="1:18" x14ac:dyDescent="0.35">
      <c r="A75" s="5">
        <v>69</v>
      </c>
      <c r="B75" t="s">
        <v>229</v>
      </c>
      <c r="C75" t="s">
        <v>230</v>
      </c>
      <c r="D75" t="s">
        <v>1485</v>
      </c>
      <c r="E75" t="s">
        <v>53</v>
      </c>
      <c r="F75" s="1">
        <v>36760</v>
      </c>
      <c r="G75" s="2">
        <v>2000</v>
      </c>
      <c r="H75">
        <v>2021</v>
      </c>
      <c r="I75" s="2">
        <v>21</v>
      </c>
      <c r="J75" s="7">
        <v>148144</v>
      </c>
      <c r="K75" t="s">
        <v>1499</v>
      </c>
      <c r="L75">
        <v>4</v>
      </c>
      <c r="M75" t="s">
        <v>55</v>
      </c>
      <c r="N75" t="s">
        <v>17</v>
      </c>
      <c r="O75" t="s">
        <v>23</v>
      </c>
      <c r="P75" t="s">
        <v>1489</v>
      </c>
      <c r="Q75" s="7">
        <f t="shared" si="2"/>
        <v>1777728</v>
      </c>
      <c r="R75" s="7">
        <f t="shared" si="3"/>
        <v>14814.400000000001</v>
      </c>
    </row>
    <row r="76" spans="1:18" x14ac:dyDescent="0.35">
      <c r="A76" s="5">
        <v>70</v>
      </c>
      <c r="B76" t="s">
        <v>218</v>
      </c>
      <c r="C76" t="s">
        <v>231</v>
      </c>
      <c r="D76" t="s">
        <v>1486</v>
      </c>
      <c r="E76" t="s">
        <v>79</v>
      </c>
      <c r="F76" s="1">
        <v>38304</v>
      </c>
      <c r="G76" s="2">
        <v>2004</v>
      </c>
      <c r="H76">
        <v>2021</v>
      </c>
      <c r="I76" s="2">
        <v>17</v>
      </c>
      <c r="J76" s="7">
        <v>93839</v>
      </c>
      <c r="K76" t="s">
        <v>232</v>
      </c>
      <c r="L76">
        <v>2</v>
      </c>
      <c r="M76" t="s">
        <v>16</v>
      </c>
      <c r="N76" t="s">
        <v>17</v>
      </c>
      <c r="O76" t="s">
        <v>41</v>
      </c>
      <c r="P76" t="s">
        <v>1489</v>
      </c>
      <c r="Q76" s="7">
        <f t="shared" si="2"/>
        <v>1126068</v>
      </c>
      <c r="R76" s="7">
        <f t="shared" si="3"/>
        <v>9383.9</v>
      </c>
    </row>
    <row r="77" spans="1:18" x14ac:dyDescent="0.35">
      <c r="A77" s="5">
        <v>71</v>
      </c>
      <c r="B77" t="s">
        <v>233</v>
      </c>
      <c r="C77" t="s">
        <v>234</v>
      </c>
      <c r="D77" t="s">
        <v>1485</v>
      </c>
      <c r="E77" t="s">
        <v>73</v>
      </c>
      <c r="F77" s="1">
        <v>37549</v>
      </c>
      <c r="G77" s="2">
        <v>2002</v>
      </c>
      <c r="H77">
        <v>2021</v>
      </c>
      <c r="I77" s="2">
        <v>19</v>
      </c>
      <c r="J77" s="7">
        <v>77285</v>
      </c>
      <c r="K77" t="s">
        <v>235</v>
      </c>
      <c r="L77">
        <v>6</v>
      </c>
      <c r="M77" t="s">
        <v>50</v>
      </c>
      <c r="N77" t="s">
        <v>40</v>
      </c>
      <c r="O77" t="s">
        <v>41</v>
      </c>
      <c r="P77" t="s">
        <v>1489</v>
      </c>
      <c r="Q77" s="7">
        <f t="shared" si="2"/>
        <v>927420</v>
      </c>
      <c r="R77" s="7">
        <f t="shared" si="3"/>
        <v>7728.5</v>
      </c>
    </row>
    <row r="78" spans="1:18" x14ac:dyDescent="0.35">
      <c r="A78" s="5">
        <v>72</v>
      </c>
      <c r="B78" t="s">
        <v>236</v>
      </c>
      <c r="C78" t="s">
        <v>237</v>
      </c>
      <c r="D78" t="s">
        <v>1486</v>
      </c>
      <c r="E78" t="s">
        <v>238</v>
      </c>
      <c r="F78" s="1">
        <v>37542</v>
      </c>
      <c r="G78" s="2">
        <v>2002</v>
      </c>
      <c r="H78">
        <v>2021</v>
      </c>
      <c r="I78" s="2">
        <v>19</v>
      </c>
      <c r="J78" s="7">
        <v>135688</v>
      </c>
      <c r="K78" t="s">
        <v>239</v>
      </c>
      <c r="L78">
        <v>4</v>
      </c>
      <c r="M78" t="s">
        <v>55</v>
      </c>
      <c r="N78" t="s">
        <v>17</v>
      </c>
      <c r="O78" t="s">
        <v>63</v>
      </c>
      <c r="P78" t="s">
        <v>1489</v>
      </c>
      <c r="Q78" s="7">
        <f t="shared" si="2"/>
        <v>1628256</v>
      </c>
      <c r="R78" s="7">
        <f t="shared" si="3"/>
        <v>13568.800000000001</v>
      </c>
    </row>
    <row r="79" spans="1:18" x14ac:dyDescent="0.35">
      <c r="A79" s="5">
        <v>73</v>
      </c>
      <c r="B79" t="s">
        <v>240</v>
      </c>
      <c r="C79" t="s">
        <v>241</v>
      </c>
      <c r="D79" t="s">
        <v>1485</v>
      </c>
      <c r="E79" t="s">
        <v>21</v>
      </c>
      <c r="F79" s="1">
        <v>37349</v>
      </c>
      <c r="G79" s="2">
        <v>2002</v>
      </c>
      <c r="H79">
        <v>2021</v>
      </c>
      <c r="I79" s="2">
        <v>19</v>
      </c>
      <c r="J79" s="7">
        <v>78828</v>
      </c>
      <c r="K79" t="s">
        <v>242</v>
      </c>
      <c r="L79">
        <v>2</v>
      </c>
      <c r="M79" t="s">
        <v>16</v>
      </c>
      <c r="N79" t="s">
        <v>17</v>
      </c>
      <c r="O79" t="s">
        <v>23</v>
      </c>
      <c r="P79" t="s">
        <v>1489</v>
      </c>
      <c r="Q79" s="7">
        <f t="shared" si="2"/>
        <v>945936</v>
      </c>
      <c r="R79" s="7">
        <f t="shared" si="3"/>
        <v>7882.8</v>
      </c>
    </row>
    <row r="80" spans="1:18" x14ac:dyDescent="0.35">
      <c r="A80" s="5">
        <v>74</v>
      </c>
      <c r="B80" t="s">
        <v>243</v>
      </c>
      <c r="C80" t="s">
        <v>244</v>
      </c>
      <c r="D80" t="s">
        <v>1486</v>
      </c>
      <c r="E80" t="s">
        <v>89</v>
      </c>
      <c r="F80" s="1">
        <v>36718</v>
      </c>
      <c r="G80" s="2">
        <v>2000</v>
      </c>
      <c r="H80">
        <v>2021</v>
      </c>
      <c r="I80" s="2">
        <v>21</v>
      </c>
      <c r="J80" s="7">
        <v>47206</v>
      </c>
      <c r="K80" t="s">
        <v>245</v>
      </c>
      <c r="L80">
        <v>3</v>
      </c>
      <c r="M80" t="s">
        <v>28</v>
      </c>
      <c r="N80" t="s">
        <v>17</v>
      </c>
      <c r="O80" t="s">
        <v>41</v>
      </c>
      <c r="P80" t="s">
        <v>1489</v>
      </c>
      <c r="Q80" s="7">
        <f t="shared" si="2"/>
        <v>566472</v>
      </c>
      <c r="R80" s="7">
        <f t="shared" si="3"/>
        <v>4720.6000000000004</v>
      </c>
    </row>
    <row r="81" spans="1:18" x14ac:dyDescent="0.35">
      <c r="A81" s="5">
        <v>75</v>
      </c>
      <c r="B81" t="s">
        <v>59</v>
      </c>
      <c r="C81" t="s">
        <v>246</v>
      </c>
      <c r="D81" t="s">
        <v>1486</v>
      </c>
      <c r="E81" t="s">
        <v>148</v>
      </c>
      <c r="F81" s="1">
        <v>46301</v>
      </c>
      <c r="G81" s="2">
        <v>2013</v>
      </c>
      <c r="H81">
        <v>2021</v>
      </c>
      <c r="I81" s="2">
        <v>8</v>
      </c>
      <c r="J81" s="7">
        <v>78157</v>
      </c>
      <c r="K81" t="s">
        <v>247</v>
      </c>
      <c r="L81">
        <v>1</v>
      </c>
      <c r="M81" t="s">
        <v>46</v>
      </c>
      <c r="N81" t="s">
        <v>17</v>
      </c>
      <c r="O81" t="s">
        <v>112</v>
      </c>
      <c r="P81" t="s">
        <v>1489</v>
      </c>
      <c r="Q81" s="7">
        <f t="shared" si="2"/>
        <v>937884</v>
      </c>
      <c r="R81" s="7">
        <f t="shared" si="3"/>
        <v>7815.7000000000007</v>
      </c>
    </row>
    <row r="82" spans="1:18" x14ac:dyDescent="0.35">
      <c r="A82" s="5">
        <v>76</v>
      </c>
      <c r="B82" t="s">
        <v>248</v>
      </c>
      <c r="C82" t="s">
        <v>249</v>
      </c>
      <c r="D82" t="s">
        <v>1486</v>
      </c>
      <c r="E82" t="s">
        <v>94</v>
      </c>
      <c r="F82" s="1">
        <v>36730</v>
      </c>
      <c r="G82" s="2">
        <v>2000</v>
      </c>
      <c r="H82">
        <v>2021</v>
      </c>
      <c r="I82" s="2">
        <v>21</v>
      </c>
      <c r="J82" s="7">
        <v>49296</v>
      </c>
      <c r="K82" t="s">
        <v>250</v>
      </c>
      <c r="L82">
        <v>6</v>
      </c>
      <c r="M82" t="s">
        <v>50</v>
      </c>
      <c r="N82" t="s">
        <v>40</v>
      </c>
      <c r="O82" t="s">
        <v>18</v>
      </c>
      <c r="P82" t="s">
        <v>1489</v>
      </c>
      <c r="Q82" s="7">
        <f t="shared" si="2"/>
        <v>591552</v>
      </c>
      <c r="R82" s="7">
        <f t="shared" si="3"/>
        <v>4929.6000000000004</v>
      </c>
    </row>
    <row r="83" spans="1:18" x14ac:dyDescent="0.35">
      <c r="A83" s="5">
        <v>77</v>
      </c>
      <c r="B83" t="s">
        <v>251</v>
      </c>
      <c r="C83" t="s">
        <v>252</v>
      </c>
      <c r="D83" t="s">
        <v>1485</v>
      </c>
      <c r="E83" t="s">
        <v>44</v>
      </c>
      <c r="F83" s="1">
        <v>41312</v>
      </c>
      <c r="G83" s="2">
        <v>2013</v>
      </c>
      <c r="H83">
        <v>2021</v>
      </c>
      <c r="I83" s="2">
        <v>8</v>
      </c>
      <c r="J83" s="7">
        <v>139061</v>
      </c>
      <c r="K83" t="s">
        <v>253</v>
      </c>
      <c r="L83">
        <v>3</v>
      </c>
      <c r="M83" t="s">
        <v>28</v>
      </c>
      <c r="N83" t="s">
        <v>17</v>
      </c>
      <c r="O83" t="s">
        <v>29</v>
      </c>
      <c r="P83" t="s">
        <v>1489</v>
      </c>
      <c r="Q83" s="7">
        <f t="shared" si="2"/>
        <v>1668732</v>
      </c>
      <c r="R83" s="7">
        <f t="shared" si="3"/>
        <v>13906.1</v>
      </c>
    </row>
    <row r="84" spans="1:18" x14ac:dyDescent="0.35">
      <c r="A84" s="5">
        <v>78</v>
      </c>
      <c r="B84" t="s">
        <v>80</v>
      </c>
      <c r="C84" t="s">
        <v>254</v>
      </c>
      <c r="D84" t="s">
        <v>1486</v>
      </c>
      <c r="E84" t="s">
        <v>79</v>
      </c>
      <c r="F84" s="1">
        <v>38611</v>
      </c>
      <c r="G84" s="2">
        <v>2005</v>
      </c>
      <c r="H84">
        <v>2021</v>
      </c>
      <c r="I84" s="2">
        <v>16</v>
      </c>
      <c r="J84" s="7">
        <v>114989</v>
      </c>
      <c r="K84" t="s">
        <v>104</v>
      </c>
      <c r="L84">
        <v>3</v>
      </c>
      <c r="M84" t="s">
        <v>28</v>
      </c>
      <c r="N84" t="s">
        <v>17</v>
      </c>
      <c r="O84" t="s">
        <v>41</v>
      </c>
      <c r="P84" t="s">
        <v>1489</v>
      </c>
      <c r="Q84" s="7">
        <f t="shared" si="2"/>
        <v>1379868</v>
      </c>
      <c r="R84" s="7">
        <f t="shared" si="3"/>
        <v>11498.900000000001</v>
      </c>
    </row>
    <row r="85" spans="1:18" x14ac:dyDescent="0.35">
      <c r="A85" s="5">
        <v>79</v>
      </c>
      <c r="B85" t="s">
        <v>255</v>
      </c>
      <c r="C85" t="s">
        <v>256</v>
      </c>
      <c r="D85" t="s">
        <v>1485</v>
      </c>
      <c r="E85" t="s">
        <v>69</v>
      </c>
      <c r="F85" s="1">
        <v>37514</v>
      </c>
      <c r="G85" s="2">
        <v>2002</v>
      </c>
      <c r="H85">
        <v>2021</v>
      </c>
      <c r="I85" s="2">
        <v>19</v>
      </c>
      <c r="J85" s="7">
        <v>88345</v>
      </c>
      <c r="K85" t="s">
        <v>172</v>
      </c>
      <c r="L85">
        <v>6</v>
      </c>
      <c r="M85" t="s">
        <v>50</v>
      </c>
      <c r="N85" t="s">
        <v>40</v>
      </c>
      <c r="O85" t="s">
        <v>41</v>
      </c>
      <c r="P85" t="s">
        <v>1489</v>
      </c>
      <c r="Q85" s="7">
        <f t="shared" si="2"/>
        <v>1060140</v>
      </c>
      <c r="R85" s="7">
        <f t="shared" si="3"/>
        <v>8834.5</v>
      </c>
    </row>
    <row r="86" spans="1:18" x14ac:dyDescent="0.35">
      <c r="A86" s="5">
        <v>80</v>
      </c>
      <c r="B86" t="s">
        <v>257</v>
      </c>
      <c r="C86" t="s">
        <v>258</v>
      </c>
      <c r="D86" t="s">
        <v>1485</v>
      </c>
      <c r="E86" t="s">
        <v>238</v>
      </c>
      <c r="F86" s="1">
        <v>37146</v>
      </c>
      <c r="G86" s="2">
        <v>2001</v>
      </c>
      <c r="H86">
        <v>2021</v>
      </c>
      <c r="I86" s="2">
        <v>20</v>
      </c>
      <c r="J86" s="7">
        <v>114647</v>
      </c>
      <c r="K86" t="s">
        <v>179</v>
      </c>
      <c r="L86">
        <v>5</v>
      </c>
      <c r="M86" t="s">
        <v>91</v>
      </c>
      <c r="N86" t="s">
        <v>40</v>
      </c>
      <c r="O86" t="s">
        <v>63</v>
      </c>
      <c r="P86" t="s">
        <v>1489</v>
      </c>
      <c r="Q86" s="7">
        <f t="shared" si="2"/>
        <v>1375764</v>
      </c>
      <c r="R86" s="7">
        <f t="shared" si="3"/>
        <v>11464.7</v>
      </c>
    </row>
    <row r="87" spans="1:18" x14ac:dyDescent="0.35">
      <c r="A87" s="5">
        <v>81</v>
      </c>
      <c r="B87" t="s">
        <v>259</v>
      </c>
      <c r="C87" t="s">
        <v>260</v>
      </c>
      <c r="D87" t="s">
        <v>1485</v>
      </c>
      <c r="E87" t="s">
        <v>148</v>
      </c>
      <c r="F87" s="1">
        <v>38192</v>
      </c>
      <c r="G87" s="2">
        <v>2004</v>
      </c>
      <c r="H87">
        <v>2021</v>
      </c>
      <c r="I87" s="2">
        <v>17</v>
      </c>
      <c r="J87" s="7">
        <v>118514</v>
      </c>
      <c r="K87" t="s">
        <v>261</v>
      </c>
      <c r="L87">
        <v>5</v>
      </c>
      <c r="M87" t="s">
        <v>91</v>
      </c>
      <c r="N87" t="s">
        <v>40</v>
      </c>
      <c r="O87" t="s">
        <v>112</v>
      </c>
      <c r="P87" t="s">
        <v>1489</v>
      </c>
      <c r="Q87" s="7">
        <f t="shared" si="2"/>
        <v>1422168</v>
      </c>
      <c r="R87" s="7">
        <f t="shared" si="3"/>
        <v>11851.400000000001</v>
      </c>
    </row>
    <row r="88" spans="1:18" x14ac:dyDescent="0.35">
      <c r="A88" s="5">
        <v>82</v>
      </c>
      <c r="B88" t="s">
        <v>262</v>
      </c>
      <c r="C88" t="s">
        <v>263</v>
      </c>
      <c r="D88" t="s">
        <v>1486</v>
      </c>
      <c r="E88" t="s">
        <v>89</v>
      </c>
      <c r="F88" s="1">
        <v>37752</v>
      </c>
      <c r="G88" s="2">
        <v>2003</v>
      </c>
      <c r="H88">
        <v>2021</v>
      </c>
      <c r="I88" s="2">
        <v>18</v>
      </c>
      <c r="J88" s="7">
        <v>93712</v>
      </c>
      <c r="K88" t="s">
        <v>172</v>
      </c>
      <c r="L88">
        <v>7</v>
      </c>
      <c r="M88" t="s">
        <v>39</v>
      </c>
      <c r="N88" t="s">
        <v>40</v>
      </c>
      <c r="O88" t="s">
        <v>41</v>
      </c>
      <c r="P88" t="s">
        <v>1489</v>
      </c>
      <c r="Q88" s="7">
        <f t="shared" si="2"/>
        <v>1124544</v>
      </c>
      <c r="R88" s="7">
        <f t="shared" si="3"/>
        <v>9371.2000000000007</v>
      </c>
    </row>
    <row r="89" spans="1:18" x14ac:dyDescent="0.35">
      <c r="A89" s="5">
        <v>83</v>
      </c>
      <c r="B89" t="s">
        <v>264</v>
      </c>
      <c r="C89" t="s">
        <v>265</v>
      </c>
      <c r="D89" t="s">
        <v>1485</v>
      </c>
      <c r="E89" t="s">
        <v>100</v>
      </c>
      <c r="F89" s="1">
        <v>39935</v>
      </c>
      <c r="G89" s="2">
        <v>2009</v>
      </c>
      <c r="H89">
        <v>2021</v>
      </c>
      <c r="I89" s="2">
        <v>12</v>
      </c>
      <c r="J89" s="7">
        <v>86373</v>
      </c>
      <c r="K89" t="s">
        <v>74</v>
      </c>
      <c r="L89">
        <v>7</v>
      </c>
      <c r="M89" t="s">
        <v>39</v>
      </c>
      <c r="N89" t="s">
        <v>40</v>
      </c>
      <c r="O89" t="s">
        <v>29</v>
      </c>
      <c r="P89" t="s">
        <v>1489</v>
      </c>
      <c r="Q89" s="7">
        <f t="shared" si="2"/>
        <v>1036476</v>
      </c>
      <c r="R89" s="7">
        <f t="shared" si="3"/>
        <v>8637.3000000000011</v>
      </c>
    </row>
    <row r="90" spans="1:18" x14ac:dyDescent="0.35">
      <c r="A90" s="5">
        <v>84</v>
      </c>
      <c r="B90" t="s">
        <v>266</v>
      </c>
      <c r="C90" t="s">
        <v>267</v>
      </c>
      <c r="D90" t="s">
        <v>1485</v>
      </c>
      <c r="E90" t="s">
        <v>85</v>
      </c>
      <c r="F90" s="1">
        <v>41302</v>
      </c>
      <c r="G90" s="2">
        <v>2013</v>
      </c>
      <c r="H90">
        <v>2021</v>
      </c>
      <c r="I90" s="2">
        <v>8</v>
      </c>
      <c r="J90" s="7">
        <v>122110</v>
      </c>
      <c r="K90" t="s">
        <v>15</v>
      </c>
      <c r="L90">
        <v>6</v>
      </c>
      <c r="M90" t="s">
        <v>50</v>
      </c>
      <c r="N90" t="s">
        <v>40</v>
      </c>
      <c r="O90" t="s">
        <v>41</v>
      </c>
      <c r="P90" t="s">
        <v>1489</v>
      </c>
      <c r="Q90" s="7">
        <f t="shared" si="2"/>
        <v>1465320</v>
      </c>
      <c r="R90" s="7">
        <f t="shared" si="3"/>
        <v>12211</v>
      </c>
    </row>
    <row r="91" spans="1:18" x14ac:dyDescent="0.35">
      <c r="A91" s="5">
        <v>85</v>
      </c>
      <c r="B91" t="s">
        <v>268</v>
      </c>
      <c r="C91" t="s">
        <v>269</v>
      </c>
      <c r="D91" t="s">
        <v>1486</v>
      </c>
      <c r="E91" t="s">
        <v>79</v>
      </c>
      <c r="F91" s="1">
        <v>38802</v>
      </c>
      <c r="G91" s="2">
        <v>2006</v>
      </c>
      <c r="H91">
        <v>2021</v>
      </c>
      <c r="I91" s="2">
        <v>15</v>
      </c>
      <c r="J91" s="7">
        <v>95542</v>
      </c>
      <c r="K91" t="s">
        <v>153</v>
      </c>
      <c r="L91">
        <v>2</v>
      </c>
      <c r="M91" t="s">
        <v>16</v>
      </c>
      <c r="N91" t="s">
        <v>17</v>
      </c>
      <c r="O91" t="s">
        <v>41</v>
      </c>
      <c r="P91" t="s">
        <v>1489</v>
      </c>
      <c r="Q91" s="7">
        <f t="shared" si="2"/>
        <v>1146504</v>
      </c>
      <c r="R91" s="7">
        <f t="shared" si="3"/>
        <v>9554.2000000000007</v>
      </c>
    </row>
    <row r="92" spans="1:18" x14ac:dyDescent="0.35">
      <c r="A92" s="5">
        <v>86</v>
      </c>
      <c r="B92" t="s">
        <v>270</v>
      </c>
      <c r="C92" t="s">
        <v>271</v>
      </c>
      <c r="D92" t="s">
        <v>1486</v>
      </c>
      <c r="E92" t="s">
        <v>148</v>
      </c>
      <c r="F92" s="1">
        <v>46167</v>
      </c>
      <c r="G92" s="2">
        <v>2013</v>
      </c>
      <c r="H92">
        <v>2021</v>
      </c>
      <c r="I92" s="2">
        <v>8</v>
      </c>
      <c r="J92" s="7">
        <v>131392</v>
      </c>
      <c r="K92" t="s">
        <v>272</v>
      </c>
      <c r="L92">
        <v>2</v>
      </c>
      <c r="M92" t="s">
        <v>16</v>
      </c>
      <c r="N92" t="s">
        <v>17</v>
      </c>
      <c r="O92" t="s">
        <v>112</v>
      </c>
      <c r="P92" t="s">
        <v>1489</v>
      </c>
      <c r="Q92" s="7">
        <f t="shared" si="2"/>
        <v>1576704</v>
      </c>
      <c r="R92" s="7">
        <f t="shared" si="3"/>
        <v>13139.2</v>
      </c>
    </row>
    <row r="93" spans="1:18" x14ac:dyDescent="0.35">
      <c r="A93" s="5">
        <v>87</v>
      </c>
      <c r="B93" t="s">
        <v>273</v>
      </c>
      <c r="C93" t="s">
        <v>274</v>
      </c>
      <c r="D93" t="s">
        <v>1485</v>
      </c>
      <c r="E93" t="s">
        <v>238</v>
      </c>
      <c r="F93" s="1">
        <v>40474</v>
      </c>
      <c r="G93" s="2">
        <v>2010</v>
      </c>
      <c r="H93">
        <v>2021</v>
      </c>
      <c r="I93" s="2">
        <v>11</v>
      </c>
      <c r="J93" s="7">
        <v>98401</v>
      </c>
      <c r="K93" t="s">
        <v>97</v>
      </c>
      <c r="L93">
        <v>1</v>
      </c>
      <c r="M93" t="s">
        <v>46</v>
      </c>
      <c r="N93" t="s">
        <v>17</v>
      </c>
      <c r="O93" t="s">
        <v>63</v>
      </c>
      <c r="P93" t="s">
        <v>1489</v>
      </c>
      <c r="Q93" s="7">
        <f t="shared" si="2"/>
        <v>1180812</v>
      </c>
      <c r="R93" s="7">
        <f t="shared" si="3"/>
        <v>9840.1</v>
      </c>
    </row>
    <row r="94" spans="1:18" x14ac:dyDescent="0.35">
      <c r="A94" s="5">
        <v>88</v>
      </c>
      <c r="B94" t="s">
        <v>275</v>
      </c>
      <c r="C94" t="s">
        <v>276</v>
      </c>
      <c r="D94" t="s">
        <v>1486</v>
      </c>
      <c r="E94" t="s">
        <v>44</v>
      </c>
      <c r="F94" s="1">
        <v>38249</v>
      </c>
      <c r="G94" s="2">
        <v>2004</v>
      </c>
      <c r="H94">
        <v>2021</v>
      </c>
      <c r="I94" s="2">
        <v>17</v>
      </c>
      <c r="J94" s="7">
        <v>103806</v>
      </c>
      <c r="K94" t="s">
        <v>277</v>
      </c>
      <c r="L94">
        <v>3</v>
      </c>
      <c r="M94" t="s">
        <v>28</v>
      </c>
      <c r="N94" t="s">
        <v>17</v>
      </c>
      <c r="O94" t="s">
        <v>29</v>
      </c>
      <c r="P94" t="s">
        <v>1489</v>
      </c>
      <c r="Q94" s="7">
        <f t="shared" si="2"/>
        <v>1245672</v>
      </c>
      <c r="R94" s="7">
        <f t="shared" si="3"/>
        <v>10380.6</v>
      </c>
    </row>
    <row r="95" spans="1:18" x14ac:dyDescent="0.35">
      <c r="A95" s="5">
        <v>89</v>
      </c>
      <c r="B95" t="s">
        <v>75</v>
      </c>
      <c r="C95" t="s">
        <v>278</v>
      </c>
      <c r="D95" t="s">
        <v>1485</v>
      </c>
      <c r="E95" t="s">
        <v>203</v>
      </c>
      <c r="F95" s="1">
        <v>41739</v>
      </c>
      <c r="G95" s="2">
        <v>2014</v>
      </c>
      <c r="H95">
        <v>2021</v>
      </c>
      <c r="I95" s="2">
        <v>7</v>
      </c>
      <c r="J95" s="7">
        <v>73686</v>
      </c>
      <c r="K95" t="s">
        <v>220</v>
      </c>
      <c r="L95">
        <v>2</v>
      </c>
      <c r="M95" t="s">
        <v>16</v>
      </c>
      <c r="N95" t="s">
        <v>17</v>
      </c>
      <c r="O95" t="s">
        <v>41</v>
      </c>
      <c r="P95" t="s">
        <v>1489</v>
      </c>
      <c r="Q95" s="7">
        <f t="shared" si="2"/>
        <v>884232</v>
      </c>
      <c r="R95" s="7">
        <f t="shared" si="3"/>
        <v>7368.6</v>
      </c>
    </row>
    <row r="96" spans="1:18" x14ac:dyDescent="0.35">
      <c r="A96" s="5">
        <v>90</v>
      </c>
      <c r="B96" t="s">
        <v>279</v>
      </c>
      <c r="C96" t="s">
        <v>280</v>
      </c>
      <c r="D96" t="s">
        <v>1485</v>
      </c>
      <c r="E96" t="s">
        <v>79</v>
      </c>
      <c r="F96" s="1">
        <v>40850</v>
      </c>
      <c r="G96" s="2">
        <v>2011</v>
      </c>
      <c r="H96">
        <v>2021</v>
      </c>
      <c r="I96" s="2">
        <v>10</v>
      </c>
      <c r="J96" s="7">
        <v>55002</v>
      </c>
      <c r="K96" t="s">
        <v>281</v>
      </c>
      <c r="L96">
        <v>6</v>
      </c>
      <c r="M96" t="s">
        <v>50</v>
      </c>
      <c r="N96" t="s">
        <v>40</v>
      </c>
      <c r="O96" t="s">
        <v>41</v>
      </c>
      <c r="P96" t="s">
        <v>1489</v>
      </c>
      <c r="Q96" s="7">
        <f t="shared" si="2"/>
        <v>660024</v>
      </c>
      <c r="R96" s="7">
        <f t="shared" si="3"/>
        <v>5500.2000000000007</v>
      </c>
    </row>
    <row r="97" spans="1:18" x14ac:dyDescent="0.35">
      <c r="A97" s="5">
        <v>91</v>
      </c>
      <c r="B97" t="s">
        <v>282</v>
      </c>
      <c r="C97" t="s">
        <v>283</v>
      </c>
      <c r="D97" t="s">
        <v>1485</v>
      </c>
      <c r="E97" t="s">
        <v>73</v>
      </c>
      <c r="F97" s="1">
        <v>38418</v>
      </c>
      <c r="G97" s="2">
        <v>2005</v>
      </c>
      <c r="H97">
        <v>2021</v>
      </c>
      <c r="I97" s="2">
        <v>16</v>
      </c>
      <c r="J97" s="7">
        <v>65216</v>
      </c>
      <c r="K97" t="s">
        <v>204</v>
      </c>
      <c r="L97">
        <v>4</v>
      </c>
      <c r="M97" t="s">
        <v>55</v>
      </c>
      <c r="N97" t="s">
        <v>17</v>
      </c>
      <c r="O97" t="s">
        <v>41</v>
      </c>
      <c r="P97" t="s">
        <v>1489</v>
      </c>
      <c r="Q97" s="7">
        <f t="shared" si="2"/>
        <v>782592</v>
      </c>
      <c r="R97" s="7">
        <f t="shared" si="3"/>
        <v>6521.6</v>
      </c>
    </row>
    <row r="98" spans="1:18" x14ac:dyDescent="0.35">
      <c r="A98" s="5">
        <v>92</v>
      </c>
      <c r="B98" t="s">
        <v>284</v>
      </c>
      <c r="C98" t="s">
        <v>285</v>
      </c>
      <c r="D98" t="s">
        <v>1486</v>
      </c>
      <c r="E98" t="s">
        <v>26</v>
      </c>
      <c r="F98" s="1">
        <v>45099</v>
      </c>
      <c r="G98" s="2">
        <v>2010</v>
      </c>
      <c r="H98">
        <v>2021</v>
      </c>
      <c r="I98" s="2">
        <v>11</v>
      </c>
      <c r="J98" s="7">
        <v>113231</v>
      </c>
      <c r="K98" t="s">
        <v>181</v>
      </c>
      <c r="L98">
        <v>7</v>
      </c>
      <c r="M98" t="s">
        <v>39</v>
      </c>
      <c r="N98" t="s">
        <v>40</v>
      </c>
      <c r="O98" t="s">
        <v>29</v>
      </c>
      <c r="P98" t="s">
        <v>1489</v>
      </c>
      <c r="Q98" s="7">
        <f t="shared" si="2"/>
        <v>1358772</v>
      </c>
      <c r="R98" s="7">
        <f t="shared" si="3"/>
        <v>11323.1</v>
      </c>
    </row>
    <row r="99" spans="1:18" x14ac:dyDescent="0.35">
      <c r="A99" s="5">
        <v>93</v>
      </c>
      <c r="B99" t="s">
        <v>236</v>
      </c>
      <c r="C99" t="s">
        <v>286</v>
      </c>
      <c r="D99" t="s">
        <v>1486</v>
      </c>
      <c r="E99" t="s">
        <v>94</v>
      </c>
      <c r="F99" s="1">
        <v>46480</v>
      </c>
      <c r="G99" s="2">
        <v>2014</v>
      </c>
      <c r="H99">
        <v>2021</v>
      </c>
      <c r="I99" s="2">
        <v>7</v>
      </c>
      <c r="J99" s="7">
        <v>125847</v>
      </c>
      <c r="K99" t="s">
        <v>287</v>
      </c>
      <c r="L99">
        <v>5</v>
      </c>
      <c r="M99" t="s">
        <v>91</v>
      </c>
      <c r="N99" t="s">
        <v>40</v>
      </c>
      <c r="O99" t="s">
        <v>18</v>
      </c>
      <c r="P99" t="s">
        <v>1489</v>
      </c>
      <c r="Q99" s="7">
        <f t="shared" si="2"/>
        <v>1510164</v>
      </c>
      <c r="R99" s="7">
        <f t="shared" si="3"/>
        <v>12584.7</v>
      </c>
    </row>
    <row r="100" spans="1:18" x14ac:dyDescent="0.35">
      <c r="A100" s="5">
        <v>94</v>
      </c>
      <c r="B100" t="s">
        <v>288</v>
      </c>
      <c r="C100" t="s">
        <v>289</v>
      </c>
      <c r="D100" t="s">
        <v>1486</v>
      </c>
      <c r="E100" t="s">
        <v>238</v>
      </c>
      <c r="F100" s="1">
        <v>36677</v>
      </c>
      <c r="G100" s="2">
        <v>2000</v>
      </c>
      <c r="H100">
        <v>2021</v>
      </c>
      <c r="I100" s="2">
        <v>21</v>
      </c>
      <c r="J100" s="7">
        <v>140430</v>
      </c>
      <c r="K100" t="s">
        <v>290</v>
      </c>
      <c r="L100">
        <v>2</v>
      </c>
      <c r="M100" t="s">
        <v>16</v>
      </c>
      <c r="N100" t="s">
        <v>17</v>
      </c>
      <c r="O100" t="s">
        <v>63</v>
      </c>
      <c r="P100" t="s">
        <v>1489</v>
      </c>
      <c r="Q100" s="7">
        <f t="shared" si="2"/>
        <v>1685160</v>
      </c>
      <c r="R100" s="7">
        <f t="shared" si="3"/>
        <v>14043</v>
      </c>
    </row>
    <row r="101" spans="1:18" x14ac:dyDescent="0.35">
      <c r="A101" s="5">
        <v>95</v>
      </c>
      <c r="B101" t="s">
        <v>291</v>
      </c>
      <c r="C101" t="s">
        <v>292</v>
      </c>
      <c r="D101" t="s">
        <v>1485</v>
      </c>
      <c r="E101" t="s">
        <v>61</v>
      </c>
      <c r="F101" s="1">
        <v>41584</v>
      </c>
      <c r="G101" s="2">
        <v>2013</v>
      </c>
      <c r="H101">
        <v>2021</v>
      </c>
      <c r="I101" s="2">
        <v>8</v>
      </c>
      <c r="J101" s="7">
        <v>117105</v>
      </c>
      <c r="K101" t="s">
        <v>97</v>
      </c>
      <c r="L101">
        <v>5</v>
      </c>
      <c r="M101" t="s">
        <v>91</v>
      </c>
      <c r="N101" t="s">
        <v>40</v>
      </c>
      <c r="O101" t="s">
        <v>63</v>
      </c>
      <c r="P101" t="s">
        <v>1489</v>
      </c>
      <c r="Q101" s="7">
        <f t="shared" si="2"/>
        <v>1405260</v>
      </c>
      <c r="R101" s="7">
        <f t="shared" si="3"/>
        <v>11710.5</v>
      </c>
    </row>
    <row r="102" spans="1:18" x14ac:dyDescent="0.35">
      <c r="A102" s="5">
        <v>96</v>
      </c>
      <c r="B102" t="s">
        <v>293</v>
      </c>
      <c r="C102" t="s">
        <v>294</v>
      </c>
      <c r="D102" t="s">
        <v>1485</v>
      </c>
      <c r="E102" t="s">
        <v>129</v>
      </c>
      <c r="F102" s="1">
        <v>38038</v>
      </c>
      <c r="G102" s="2">
        <v>2004</v>
      </c>
      <c r="H102">
        <v>2021</v>
      </c>
      <c r="I102" s="2">
        <v>17</v>
      </c>
      <c r="J102" s="7">
        <v>96673</v>
      </c>
      <c r="K102" t="s">
        <v>277</v>
      </c>
      <c r="L102">
        <v>1</v>
      </c>
      <c r="M102" t="s">
        <v>46</v>
      </c>
      <c r="N102" t="s">
        <v>17</v>
      </c>
      <c r="O102" t="s">
        <v>41</v>
      </c>
      <c r="P102" t="s">
        <v>1489</v>
      </c>
      <c r="Q102" s="7">
        <f t="shared" si="2"/>
        <v>1160076</v>
      </c>
      <c r="R102" s="7">
        <f t="shared" si="3"/>
        <v>9667.3000000000011</v>
      </c>
    </row>
    <row r="103" spans="1:18" x14ac:dyDescent="0.35">
      <c r="A103" s="5">
        <v>97</v>
      </c>
      <c r="B103" t="s">
        <v>268</v>
      </c>
      <c r="C103" t="s">
        <v>295</v>
      </c>
      <c r="D103" t="s">
        <v>1486</v>
      </c>
      <c r="E103" t="s">
        <v>79</v>
      </c>
      <c r="F103" s="1">
        <v>46095</v>
      </c>
      <c r="G103" s="2">
        <v>2013</v>
      </c>
      <c r="H103">
        <v>2021</v>
      </c>
      <c r="I103" s="2">
        <v>8</v>
      </c>
      <c r="J103" s="7">
        <v>79267</v>
      </c>
      <c r="K103" t="s">
        <v>97</v>
      </c>
      <c r="L103">
        <v>7</v>
      </c>
      <c r="M103" t="s">
        <v>39</v>
      </c>
      <c r="N103" t="s">
        <v>40</v>
      </c>
      <c r="O103" t="s">
        <v>41</v>
      </c>
      <c r="P103" t="s">
        <v>1489</v>
      </c>
      <c r="Q103" s="7">
        <f t="shared" si="2"/>
        <v>951204</v>
      </c>
      <c r="R103" s="7">
        <f t="shared" si="3"/>
        <v>7926.7000000000007</v>
      </c>
    </row>
    <row r="104" spans="1:18" x14ac:dyDescent="0.35">
      <c r="A104" s="5">
        <v>98</v>
      </c>
      <c r="B104" t="s">
        <v>296</v>
      </c>
      <c r="C104" t="s">
        <v>297</v>
      </c>
      <c r="D104" t="s">
        <v>1486</v>
      </c>
      <c r="E104" t="s">
        <v>85</v>
      </c>
      <c r="F104" s="1">
        <v>44115</v>
      </c>
      <c r="G104" s="2">
        <v>2007</v>
      </c>
      <c r="H104">
        <v>2021</v>
      </c>
      <c r="I104" s="2">
        <v>14</v>
      </c>
      <c r="J104" s="7">
        <v>109154</v>
      </c>
      <c r="K104" t="s">
        <v>133</v>
      </c>
      <c r="L104">
        <v>4</v>
      </c>
      <c r="M104" t="s">
        <v>55</v>
      </c>
      <c r="N104" t="s">
        <v>17</v>
      </c>
      <c r="O104" t="s">
        <v>41</v>
      </c>
      <c r="P104" t="s">
        <v>1489</v>
      </c>
      <c r="Q104" s="7">
        <f t="shared" si="2"/>
        <v>1309848</v>
      </c>
      <c r="R104" s="7">
        <f t="shared" si="3"/>
        <v>10915.400000000001</v>
      </c>
    </row>
    <row r="105" spans="1:18" x14ac:dyDescent="0.35">
      <c r="A105" s="5">
        <v>99</v>
      </c>
      <c r="B105" t="s">
        <v>240</v>
      </c>
      <c r="C105" t="s">
        <v>298</v>
      </c>
      <c r="D105" t="s">
        <v>1486</v>
      </c>
      <c r="E105" t="s">
        <v>122</v>
      </c>
      <c r="F105" s="1">
        <v>37370</v>
      </c>
      <c r="G105" s="2">
        <v>2002</v>
      </c>
      <c r="H105">
        <v>2021</v>
      </c>
      <c r="I105" s="2">
        <v>19</v>
      </c>
      <c r="J105" s="7">
        <v>138815</v>
      </c>
      <c r="K105" t="s">
        <v>299</v>
      </c>
      <c r="L105">
        <v>3</v>
      </c>
      <c r="M105" t="s">
        <v>28</v>
      </c>
      <c r="N105" t="s">
        <v>17</v>
      </c>
      <c r="O105" t="s">
        <v>123</v>
      </c>
      <c r="P105" t="s">
        <v>1489</v>
      </c>
      <c r="Q105" s="7">
        <f t="shared" si="2"/>
        <v>1665780</v>
      </c>
      <c r="R105" s="7">
        <f t="shared" si="3"/>
        <v>13881.5</v>
      </c>
    </row>
    <row r="106" spans="1:18" x14ac:dyDescent="0.35">
      <c r="A106" s="5">
        <v>100</v>
      </c>
      <c r="B106" t="s">
        <v>300</v>
      </c>
      <c r="C106" t="s">
        <v>301</v>
      </c>
      <c r="D106" t="s">
        <v>1485</v>
      </c>
      <c r="E106" t="s">
        <v>21</v>
      </c>
      <c r="F106" s="1">
        <v>39297</v>
      </c>
      <c r="G106" s="2">
        <v>2007</v>
      </c>
      <c r="H106">
        <v>2021</v>
      </c>
      <c r="I106" s="2">
        <v>14</v>
      </c>
      <c r="J106" s="7">
        <v>68210</v>
      </c>
      <c r="K106" t="s">
        <v>204</v>
      </c>
      <c r="L106">
        <v>4</v>
      </c>
      <c r="M106" t="s">
        <v>55</v>
      </c>
      <c r="N106" t="s">
        <v>17</v>
      </c>
      <c r="O106" t="s">
        <v>23</v>
      </c>
      <c r="P106" t="s">
        <v>1489</v>
      </c>
      <c r="Q106" s="7">
        <f t="shared" si="2"/>
        <v>818520</v>
      </c>
      <c r="R106" s="7">
        <f t="shared" si="3"/>
        <v>6821</v>
      </c>
    </row>
    <row r="107" spans="1:18" x14ac:dyDescent="0.35">
      <c r="A107" s="5">
        <v>101</v>
      </c>
      <c r="B107" t="s">
        <v>302</v>
      </c>
      <c r="C107" t="s">
        <v>303</v>
      </c>
      <c r="D107" t="s">
        <v>1485</v>
      </c>
      <c r="E107" t="s">
        <v>79</v>
      </c>
      <c r="F107" s="1">
        <v>37576</v>
      </c>
      <c r="G107" s="2">
        <v>2002</v>
      </c>
      <c r="H107">
        <v>2021</v>
      </c>
      <c r="I107" s="2">
        <v>19</v>
      </c>
      <c r="J107" s="7">
        <v>137281</v>
      </c>
      <c r="K107" t="s">
        <v>95</v>
      </c>
      <c r="L107">
        <v>3</v>
      </c>
      <c r="M107" t="s">
        <v>28</v>
      </c>
      <c r="N107" t="s">
        <v>17</v>
      </c>
      <c r="O107" t="s">
        <v>41</v>
      </c>
      <c r="P107" t="s">
        <v>1489</v>
      </c>
      <c r="Q107" s="7">
        <f t="shared" si="2"/>
        <v>1647372</v>
      </c>
      <c r="R107" s="7">
        <f t="shared" si="3"/>
        <v>13728.1</v>
      </c>
    </row>
    <row r="108" spans="1:18" x14ac:dyDescent="0.35">
      <c r="A108" s="5">
        <v>102</v>
      </c>
      <c r="B108" t="s">
        <v>304</v>
      </c>
      <c r="C108" t="s">
        <v>305</v>
      </c>
      <c r="D108" t="s">
        <v>1485</v>
      </c>
      <c r="E108" t="s">
        <v>203</v>
      </c>
      <c r="F108" s="1">
        <v>39669</v>
      </c>
      <c r="G108" s="2">
        <v>2008</v>
      </c>
      <c r="H108">
        <v>2021</v>
      </c>
      <c r="I108" s="2">
        <v>13</v>
      </c>
      <c r="J108" s="7">
        <v>114970</v>
      </c>
      <c r="K108" t="s">
        <v>306</v>
      </c>
      <c r="L108">
        <v>2</v>
      </c>
      <c r="M108" t="s">
        <v>16</v>
      </c>
      <c r="N108" t="s">
        <v>17</v>
      </c>
      <c r="O108" t="s">
        <v>41</v>
      </c>
      <c r="P108" t="s">
        <v>1489</v>
      </c>
      <c r="Q108" s="7">
        <f t="shared" si="2"/>
        <v>1379640</v>
      </c>
      <c r="R108" s="7">
        <f t="shared" si="3"/>
        <v>11497</v>
      </c>
    </row>
    <row r="109" spans="1:18" x14ac:dyDescent="0.35">
      <c r="A109" s="5">
        <v>103</v>
      </c>
      <c r="B109" t="s">
        <v>140</v>
      </c>
      <c r="C109" t="s">
        <v>307</v>
      </c>
      <c r="D109" t="s">
        <v>1485</v>
      </c>
      <c r="E109" t="s">
        <v>26</v>
      </c>
      <c r="F109" s="1">
        <v>37821</v>
      </c>
      <c r="G109" s="2">
        <v>2003</v>
      </c>
      <c r="H109">
        <v>2021</v>
      </c>
      <c r="I109" s="2">
        <v>18</v>
      </c>
      <c r="J109" s="7">
        <v>126001</v>
      </c>
      <c r="K109" t="s">
        <v>15</v>
      </c>
      <c r="L109">
        <v>6</v>
      </c>
      <c r="M109" t="s">
        <v>50</v>
      </c>
      <c r="N109" t="s">
        <v>40</v>
      </c>
      <c r="O109" t="s">
        <v>29</v>
      </c>
      <c r="P109" t="s">
        <v>1489</v>
      </c>
      <c r="Q109" s="7">
        <f t="shared" si="2"/>
        <v>1512012</v>
      </c>
      <c r="R109" s="7">
        <f t="shared" si="3"/>
        <v>12600.1</v>
      </c>
    </row>
    <row r="110" spans="1:18" x14ac:dyDescent="0.35">
      <c r="A110" s="5">
        <v>104</v>
      </c>
      <c r="B110" t="s">
        <v>308</v>
      </c>
      <c r="C110" t="s">
        <v>309</v>
      </c>
      <c r="D110" t="s">
        <v>1485</v>
      </c>
      <c r="E110" t="s">
        <v>37</v>
      </c>
      <c r="F110" s="1">
        <v>37880</v>
      </c>
      <c r="G110" s="2">
        <v>2003</v>
      </c>
      <c r="H110">
        <v>2021</v>
      </c>
      <c r="I110" s="2">
        <v>18</v>
      </c>
      <c r="J110" s="7">
        <v>78736</v>
      </c>
      <c r="K110" t="s">
        <v>310</v>
      </c>
      <c r="L110">
        <v>6</v>
      </c>
      <c r="M110" t="s">
        <v>50</v>
      </c>
      <c r="N110" t="s">
        <v>40</v>
      </c>
      <c r="O110" t="s">
        <v>41</v>
      </c>
      <c r="P110" t="s">
        <v>1489</v>
      </c>
      <c r="Q110" s="7">
        <f t="shared" si="2"/>
        <v>944832</v>
      </c>
      <c r="R110" s="7">
        <f t="shared" si="3"/>
        <v>7873.6</v>
      </c>
    </row>
    <row r="111" spans="1:18" x14ac:dyDescent="0.35">
      <c r="A111" s="5">
        <v>105</v>
      </c>
      <c r="B111" t="s">
        <v>212</v>
      </c>
      <c r="C111" t="s">
        <v>311</v>
      </c>
      <c r="D111" t="s">
        <v>1485</v>
      </c>
      <c r="E111" t="s">
        <v>312</v>
      </c>
      <c r="F111" s="1">
        <v>40072</v>
      </c>
      <c r="G111" s="2">
        <v>2009</v>
      </c>
      <c r="H111">
        <v>2021</v>
      </c>
      <c r="I111" s="2">
        <v>12</v>
      </c>
      <c r="J111" s="7">
        <v>80830</v>
      </c>
      <c r="K111" t="s">
        <v>313</v>
      </c>
      <c r="L111">
        <v>4</v>
      </c>
      <c r="M111" t="s">
        <v>55</v>
      </c>
      <c r="N111" t="s">
        <v>17</v>
      </c>
      <c r="O111" t="s">
        <v>41</v>
      </c>
      <c r="P111" t="s">
        <v>1489</v>
      </c>
      <c r="Q111" s="7">
        <f t="shared" si="2"/>
        <v>969960</v>
      </c>
      <c r="R111" s="7">
        <f t="shared" si="3"/>
        <v>8083</v>
      </c>
    </row>
    <row r="112" spans="1:18" x14ac:dyDescent="0.35">
      <c r="A112" s="5">
        <v>106</v>
      </c>
      <c r="B112" t="s">
        <v>314</v>
      </c>
      <c r="C112" t="s">
        <v>315</v>
      </c>
      <c r="D112" t="s">
        <v>1485</v>
      </c>
      <c r="E112" t="s">
        <v>85</v>
      </c>
      <c r="F112" s="1">
        <v>40031</v>
      </c>
      <c r="G112" s="2">
        <v>2009</v>
      </c>
      <c r="H112">
        <v>2021</v>
      </c>
      <c r="I112" s="2">
        <v>12</v>
      </c>
      <c r="J112" s="7">
        <v>47879</v>
      </c>
      <c r="K112" t="s">
        <v>223</v>
      </c>
      <c r="L112">
        <v>5</v>
      </c>
      <c r="M112" t="s">
        <v>91</v>
      </c>
      <c r="N112" t="s">
        <v>40</v>
      </c>
      <c r="O112" t="s">
        <v>41</v>
      </c>
      <c r="P112" t="s">
        <v>1489</v>
      </c>
      <c r="Q112" s="7">
        <f t="shared" si="2"/>
        <v>574548</v>
      </c>
      <c r="R112" s="7">
        <f t="shared" si="3"/>
        <v>4787.9000000000005</v>
      </c>
    </row>
    <row r="113" spans="1:18" x14ac:dyDescent="0.35">
      <c r="A113" s="5">
        <v>107</v>
      </c>
      <c r="B113" t="s">
        <v>316</v>
      </c>
      <c r="C113" t="s">
        <v>317</v>
      </c>
      <c r="D113" t="s">
        <v>1486</v>
      </c>
      <c r="E113" t="s">
        <v>14</v>
      </c>
      <c r="F113" s="1">
        <v>38077</v>
      </c>
      <c r="G113" s="2">
        <v>2004</v>
      </c>
      <c r="H113">
        <v>2021</v>
      </c>
      <c r="I113" s="2">
        <v>17</v>
      </c>
      <c r="J113" s="7">
        <v>132634</v>
      </c>
      <c r="K113" t="s">
        <v>156</v>
      </c>
      <c r="L113">
        <v>2</v>
      </c>
      <c r="M113" t="s">
        <v>16</v>
      </c>
      <c r="N113" t="s">
        <v>17</v>
      </c>
      <c r="O113" t="s">
        <v>18</v>
      </c>
      <c r="P113" t="s">
        <v>1489</v>
      </c>
      <c r="Q113" s="7">
        <f t="shared" si="2"/>
        <v>1591608</v>
      </c>
      <c r="R113" s="7">
        <f t="shared" si="3"/>
        <v>13263.400000000001</v>
      </c>
    </row>
    <row r="114" spans="1:18" x14ac:dyDescent="0.35">
      <c r="A114" s="5">
        <v>108</v>
      </c>
      <c r="B114" t="s">
        <v>318</v>
      </c>
      <c r="C114" t="s">
        <v>319</v>
      </c>
      <c r="D114" t="s">
        <v>1485</v>
      </c>
      <c r="E114" t="s">
        <v>69</v>
      </c>
      <c r="F114" s="1">
        <v>38547</v>
      </c>
      <c r="G114" s="2">
        <v>2005</v>
      </c>
      <c r="H114">
        <v>2021</v>
      </c>
      <c r="I114" s="2">
        <v>16</v>
      </c>
      <c r="J114" s="7">
        <v>68344</v>
      </c>
      <c r="K114" t="s">
        <v>290</v>
      </c>
      <c r="L114">
        <v>7</v>
      </c>
      <c r="M114" t="s">
        <v>39</v>
      </c>
      <c r="N114" t="s">
        <v>40</v>
      </c>
      <c r="O114" t="s">
        <v>41</v>
      </c>
      <c r="P114" t="s">
        <v>1489</v>
      </c>
      <c r="Q114" s="7">
        <f t="shared" si="2"/>
        <v>820128</v>
      </c>
      <c r="R114" s="7">
        <f t="shared" si="3"/>
        <v>6834.4000000000005</v>
      </c>
    </row>
    <row r="115" spans="1:18" x14ac:dyDescent="0.35">
      <c r="A115" s="5">
        <v>109</v>
      </c>
      <c r="B115" t="s">
        <v>296</v>
      </c>
      <c r="C115" t="s">
        <v>320</v>
      </c>
      <c r="D115" t="s">
        <v>1486</v>
      </c>
      <c r="E115" t="s">
        <v>69</v>
      </c>
      <c r="F115" s="1">
        <v>44118</v>
      </c>
      <c r="G115" s="2">
        <v>2007</v>
      </c>
      <c r="H115">
        <v>2021</v>
      </c>
      <c r="I115" s="2">
        <v>14</v>
      </c>
      <c r="J115" s="7">
        <v>147868</v>
      </c>
      <c r="K115" t="s">
        <v>321</v>
      </c>
      <c r="L115">
        <v>6</v>
      </c>
      <c r="M115" t="s">
        <v>50</v>
      </c>
      <c r="N115" t="s">
        <v>40</v>
      </c>
      <c r="O115" t="s">
        <v>41</v>
      </c>
      <c r="P115" t="s">
        <v>1489</v>
      </c>
      <c r="Q115" s="7">
        <f t="shared" si="2"/>
        <v>1774416</v>
      </c>
      <c r="R115" s="7">
        <f t="shared" si="3"/>
        <v>14786.800000000001</v>
      </c>
    </row>
    <row r="116" spans="1:18" x14ac:dyDescent="0.35">
      <c r="A116" s="5">
        <v>110</v>
      </c>
      <c r="B116" t="s">
        <v>322</v>
      </c>
      <c r="C116" t="s">
        <v>323</v>
      </c>
      <c r="D116" t="s">
        <v>1485</v>
      </c>
      <c r="E116" t="s">
        <v>122</v>
      </c>
      <c r="F116" s="1">
        <v>40648</v>
      </c>
      <c r="G116" s="2">
        <v>2011</v>
      </c>
      <c r="H116">
        <v>2021</v>
      </c>
      <c r="I116" s="2">
        <v>10</v>
      </c>
      <c r="J116" s="7">
        <v>67255</v>
      </c>
      <c r="K116" t="s">
        <v>324</v>
      </c>
      <c r="L116">
        <v>4</v>
      </c>
      <c r="M116" t="s">
        <v>55</v>
      </c>
      <c r="N116" t="s">
        <v>17</v>
      </c>
      <c r="O116" t="s">
        <v>123</v>
      </c>
      <c r="P116" t="s">
        <v>1489</v>
      </c>
      <c r="Q116" s="7">
        <f t="shared" si="2"/>
        <v>807060</v>
      </c>
      <c r="R116" s="7">
        <f t="shared" si="3"/>
        <v>6725.5</v>
      </c>
    </row>
    <row r="117" spans="1:18" x14ac:dyDescent="0.35">
      <c r="A117" s="5">
        <v>111</v>
      </c>
      <c r="B117" t="s">
        <v>325</v>
      </c>
      <c r="C117" t="s">
        <v>326</v>
      </c>
      <c r="D117" t="s">
        <v>1486</v>
      </c>
      <c r="E117" t="s">
        <v>14</v>
      </c>
      <c r="F117" s="1">
        <v>45821</v>
      </c>
      <c r="G117" s="2">
        <v>2012</v>
      </c>
      <c r="H117">
        <v>2021</v>
      </c>
      <c r="I117" s="2">
        <v>9</v>
      </c>
      <c r="J117" s="7">
        <v>47494</v>
      </c>
      <c r="K117" t="s">
        <v>327</v>
      </c>
      <c r="L117">
        <v>6</v>
      </c>
      <c r="M117" t="s">
        <v>50</v>
      </c>
      <c r="N117" t="s">
        <v>40</v>
      </c>
      <c r="O117" t="s">
        <v>18</v>
      </c>
      <c r="P117" t="s">
        <v>1489</v>
      </c>
      <c r="Q117" s="7">
        <f t="shared" si="2"/>
        <v>569928</v>
      </c>
      <c r="R117" s="7">
        <f t="shared" si="3"/>
        <v>4749.4000000000005</v>
      </c>
    </row>
    <row r="118" spans="1:18" x14ac:dyDescent="0.35">
      <c r="A118" s="5">
        <v>112</v>
      </c>
      <c r="B118" t="s">
        <v>328</v>
      </c>
      <c r="C118" t="s">
        <v>329</v>
      </c>
      <c r="D118" t="s">
        <v>1486</v>
      </c>
      <c r="E118" t="s">
        <v>61</v>
      </c>
      <c r="F118" s="1">
        <v>46222</v>
      </c>
      <c r="G118" s="2">
        <v>2013</v>
      </c>
      <c r="H118">
        <v>2021</v>
      </c>
      <c r="I118" s="2">
        <v>8</v>
      </c>
      <c r="J118" s="7">
        <v>127645</v>
      </c>
      <c r="K118" t="s">
        <v>330</v>
      </c>
      <c r="L118">
        <v>1</v>
      </c>
      <c r="M118" t="s">
        <v>46</v>
      </c>
      <c r="N118" t="s">
        <v>17</v>
      </c>
      <c r="O118" t="s">
        <v>63</v>
      </c>
      <c r="P118" t="s">
        <v>1489</v>
      </c>
      <c r="Q118" s="7">
        <f t="shared" si="2"/>
        <v>1531740</v>
      </c>
      <c r="R118" s="7">
        <f t="shared" si="3"/>
        <v>12764.5</v>
      </c>
    </row>
    <row r="119" spans="1:18" x14ac:dyDescent="0.35">
      <c r="A119" s="5">
        <v>113</v>
      </c>
      <c r="B119" t="s">
        <v>331</v>
      </c>
      <c r="C119" t="s">
        <v>332</v>
      </c>
      <c r="D119" t="s">
        <v>1485</v>
      </c>
      <c r="E119" t="s">
        <v>73</v>
      </c>
      <c r="F119" s="1">
        <v>36586</v>
      </c>
      <c r="G119" s="2">
        <v>2000</v>
      </c>
      <c r="H119">
        <v>2021</v>
      </c>
      <c r="I119" s="2">
        <v>21</v>
      </c>
      <c r="J119" s="7">
        <v>54413</v>
      </c>
      <c r="K119" t="s">
        <v>235</v>
      </c>
      <c r="L119">
        <v>5</v>
      </c>
      <c r="M119" t="s">
        <v>91</v>
      </c>
      <c r="N119" t="s">
        <v>40</v>
      </c>
      <c r="O119" t="s">
        <v>41</v>
      </c>
      <c r="P119" t="s">
        <v>1489</v>
      </c>
      <c r="Q119" s="7">
        <f t="shared" si="2"/>
        <v>652956</v>
      </c>
      <c r="R119" s="7">
        <f t="shared" si="3"/>
        <v>5441.3</v>
      </c>
    </row>
    <row r="120" spans="1:18" x14ac:dyDescent="0.35">
      <c r="A120" s="5">
        <v>114</v>
      </c>
      <c r="B120" t="s">
        <v>333</v>
      </c>
      <c r="C120" t="s">
        <v>334</v>
      </c>
      <c r="D120" t="s">
        <v>1485</v>
      </c>
      <c r="E120" t="s">
        <v>37</v>
      </c>
      <c r="F120" s="1">
        <v>41249</v>
      </c>
      <c r="G120" s="2">
        <v>2012</v>
      </c>
      <c r="H120">
        <v>2021</v>
      </c>
      <c r="I120" s="2">
        <v>9</v>
      </c>
      <c r="J120" s="7">
        <v>136790</v>
      </c>
      <c r="K120" t="s">
        <v>136</v>
      </c>
      <c r="L120">
        <v>2</v>
      </c>
      <c r="M120" t="s">
        <v>16</v>
      </c>
      <c r="N120" t="s">
        <v>17</v>
      </c>
      <c r="O120" t="s">
        <v>41</v>
      </c>
      <c r="P120" t="s">
        <v>1489</v>
      </c>
      <c r="Q120" s="7">
        <f t="shared" si="2"/>
        <v>1641480</v>
      </c>
      <c r="R120" s="7">
        <f t="shared" si="3"/>
        <v>13679</v>
      </c>
    </row>
    <row r="121" spans="1:18" x14ac:dyDescent="0.35">
      <c r="A121" s="5">
        <v>115</v>
      </c>
      <c r="B121" t="s">
        <v>87</v>
      </c>
      <c r="C121" t="s">
        <v>335</v>
      </c>
      <c r="D121" t="s">
        <v>1486</v>
      </c>
      <c r="E121" t="s">
        <v>69</v>
      </c>
      <c r="F121" s="1">
        <v>44012</v>
      </c>
      <c r="G121" s="2">
        <v>2007</v>
      </c>
      <c r="H121">
        <v>2021</v>
      </c>
      <c r="I121" s="2">
        <v>14</v>
      </c>
      <c r="J121" s="7">
        <v>58420</v>
      </c>
      <c r="K121" t="s">
        <v>336</v>
      </c>
      <c r="L121">
        <v>1</v>
      </c>
      <c r="M121" t="s">
        <v>46</v>
      </c>
      <c r="N121" t="s">
        <v>17</v>
      </c>
      <c r="O121" t="s">
        <v>41</v>
      </c>
      <c r="P121" t="s">
        <v>1489</v>
      </c>
      <c r="Q121" s="7">
        <f t="shared" si="2"/>
        <v>701040</v>
      </c>
      <c r="R121" s="7">
        <f t="shared" si="3"/>
        <v>5842</v>
      </c>
    </row>
    <row r="122" spans="1:18" x14ac:dyDescent="0.35">
      <c r="A122" s="5">
        <v>116</v>
      </c>
      <c r="B122" t="s">
        <v>337</v>
      </c>
      <c r="C122" t="s">
        <v>338</v>
      </c>
      <c r="D122" t="s">
        <v>1485</v>
      </c>
      <c r="E122" t="s">
        <v>100</v>
      </c>
      <c r="F122" s="1">
        <v>37273</v>
      </c>
      <c r="G122" s="2">
        <v>2002</v>
      </c>
      <c r="H122">
        <v>2021</v>
      </c>
      <c r="I122" s="2">
        <v>19</v>
      </c>
      <c r="J122" s="7">
        <v>73813</v>
      </c>
      <c r="K122" t="s">
        <v>209</v>
      </c>
      <c r="L122">
        <v>3</v>
      </c>
      <c r="M122" t="s">
        <v>28</v>
      </c>
      <c r="N122" t="s">
        <v>17</v>
      </c>
      <c r="O122" t="s">
        <v>29</v>
      </c>
      <c r="P122" t="s">
        <v>1489</v>
      </c>
      <c r="Q122" s="7">
        <f t="shared" si="2"/>
        <v>885756</v>
      </c>
      <c r="R122" s="7">
        <f t="shared" si="3"/>
        <v>7381.3</v>
      </c>
    </row>
    <row r="123" spans="1:18" x14ac:dyDescent="0.35">
      <c r="A123" s="5">
        <v>117</v>
      </c>
      <c r="B123" t="s">
        <v>339</v>
      </c>
      <c r="C123" t="s">
        <v>340</v>
      </c>
      <c r="D123" t="s">
        <v>1485</v>
      </c>
      <c r="E123" t="s">
        <v>61</v>
      </c>
      <c r="F123" s="1">
        <v>41184</v>
      </c>
      <c r="G123" s="2">
        <v>2012</v>
      </c>
      <c r="H123">
        <v>2021</v>
      </c>
      <c r="I123" s="2">
        <v>9</v>
      </c>
      <c r="J123" s="7">
        <v>49644</v>
      </c>
      <c r="K123" t="s">
        <v>107</v>
      </c>
      <c r="L123">
        <v>4</v>
      </c>
      <c r="M123" t="s">
        <v>55</v>
      </c>
      <c r="N123" t="s">
        <v>17</v>
      </c>
      <c r="O123" t="s">
        <v>63</v>
      </c>
      <c r="P123" t="s">
        <v>1489</v>
      </c>
      <c r="Q123" s="7">
        <f t="shared" si="2"/>
        <v>595728</v>
      </c>
      <c r="R123" s="7">
        <f t="shared" si="3"/>
        <v>4964.4000000000005</v>
      </c>
    </row>
    <row r="124" spans="1:18" x14ac:dyDescent="0.35">
      <c r="A124" s="5">
        <v>118</v>
      </c>
      <c r="B124" t="s">
        <v>341</v>
      </c>
      <c r="C124" t="s">
        <v>342</v>
      </c>
      <c r="D124" t="s">
        <v>1485</v>
      </c>
      <c r="E124" t="s">
        <v>26</v>
      </c>
      <c r="F124" s="1">
        <v>40059</v>
      </c>
      <c r="G124" s="2">
        <v>2009</v>
      </c>
      <c r="H124">
        <v>2021</v>
      </c>
      <c r="I124" s="2">
        <v>12</v>
      </c>
      <c r="J124" s="7">
        <v>87134</v>
      </c>
      <c r="K124" t="s">
        <v>139</v>
      </c>
      <c r="L124">
        <v>3</v>
      </c>
      <c r="M124" t="s">
        <v>28</v>
      </c>
      <c r="N124" t="s">
        <v>17</v>
      </c>
      <c r="O124" t="s">
        <v>29</v>
      </c>
      <c r="P124" t="s">
        <v>1489</v>
      </c>
      <c r="Q124" s="7">
        <f t="shared" si="2"/>
        <v>1045608</v>
      </c>
      <c r="R124" s="7">
        <f t="shared" si="3"/>
        <v>8713.4</v>
      </c>
    </row>
    <row r="125" spans="1:18" x14ac:dyDescent="0.35">
      <c r="A125" s="5">
        <v>119</v>
      </c>
      <c r="B125" t="s">
        <v>243</v>
      </c>
      <c r="C125" t="s">
        <v>343</v>
      </c>
      <c r="D125" t="s">
        <v>1486</v>
      </c>
      <c r="E125" t="s">
        <v>69</v>
      </c>
      <c r="F125" s="1">
        <v>44475</v>
      </c>
      <c r="G125" s="2">
        <v>2008</v>
      </c>
      <c r="H125">
        <v>2021</v>
      </c>
      <c r="I125" s="2">
        <v>13</v>
      </c>
      <c r="J125" s="7">
        <v>148408</v>
      </c>
      <c r="K125" t="s">
        <v>344</v>
      </c>
      <c r="L125">
        <v>3</v>
      </c>
      <c r="M125" t="s">
        <v>28</v>
      </c>
      <c r="N125" t="s">
        <v>17</v>
      </c>
      <c r="O125" t="s">
        <v>41</v>
      </c>
      <c r="P125" t="s">
        <v>1489</v>
      </c>
      <c r="Q125" s="7">
        <f t="shared" si="2"/>
        <v>1780896</v>
      </c>
      <c r="R125" s="7">
        <f t="shared" si="3"/>
        <v>14840.800000000001</v>
      </c>
    </row>
    <row r="126" spans="1:18" x14ac:dyDescent="0.35">
      <c r="A126" s="5">
        <v>120</v>
      </c>
      <c r="B126" t="s">
        <v>345</v>
      </c>
      <c r="C126" t="s">
        <v>346</v>
      </c>
      <c r="D126" t="s">
        <v>1486</v>
      </c>
      <c r="E126" t="s">
        <v>53</v>
      </c>
      <c r="F126" s="1">
        <v>44219</v>
      </c>
      <c r="G126" s="2">
        <v>2008</v>
      </c>
      <c r="H126">
        <v>2021</v>
      </c>
      <c r="I126" s="2">
        <v>13</v>
      </c>
      <c r="J126" s="7">
        <v>77335</v>
      </c>
      <c r="K126" t="s">
        <v>287</v>
      </c>
      <c r="L126">
        <v>4</v>
      </c>
      <c r="M126" t="s">
        <v>55</v>
      </c>
      <c r="N126" t="s">
        <v>17</v>
      </c>
      <c r="O126" t="s">
        <v>23</v>
      </c>
      <c r="P126" t="s">
        <v>1489</v>
      </c>
      <c r="Q126" s="7">
        <f t="shared" si="2"/>
        <v>928020</v>
      </c>
      <c r="R126" s="7">
        <f t="shared" si="3"/>
        <v>7733.5</v>
      </c>
    </row>
    <row r="127" spans="1:18" x14ac:dyDescent="0.35">
      <c r="A127" s="5">
        <v>121</v>
      </c>
      <c r="B127" t="s">
        <v>347</v>
      </c>
      <c r="C127" t="s">
        <v>348</v>
      </c>
      <c r="D127" t="s">
        <v>1486</v>
      </c>
      <c r="E127" t="s">
        <v>21</v>
      </c>
      <c r="F127" s="1">
        <v>44048</v>
      </c>
      <c r="G127" s="2">
        <v>2007</v>
      </c>
      <c r="H127">
        <v>2021</v>
      </c>
      <c r="I127" s="2">
        <v>14</v>
      </c>
      <c r="J127" s="7">
        <v>131409</v>
      </c>
      <c r="K127" t="s">
        <v>349</v>
      </c>
      <c r="L127">
        <v>7</v>
      </c>
      <c r="M127" t="s">
        <v>39</v>
      </c>
      <c r="N127" t="s">
        <v>40</v>
      </c>
      <c r="O127" t="s">
        <v>23</v>
      </c>
      <c r="P127" t="s">
        <v>1489</v>
      </c>
      <c r="Q127" s="7">
        <f t="shared" si="2"/>
        <v>1576908</v>
      </c>
      <c r="R127" s="7">
        <f t="shared" si="3"/>
        <v>13140.900000000001</v>
      </c>
    </row>
    <row r="128" spans="1:18" x14ac:dyDescent="0.35">
      <c r="A128" s="5">
        <v>122</v>
      </c>
      <c r="B128" t="s">
        <v>350</v>
      </c>
      <c r="C128" t="s">
        <v>351</v>
      </c>
      <c r="D128" t="s">
        <v>1485</v>
      </c>
      <c r="E128" t="s">
        <v>73</v>
      </c>
      <c r="F128" s="1">
        <v>36948</v>
      </c>
      <c r="G128" s="2">
        <v>2001</v>
      </c>
      <c r="H128">
        <v>2021</v>
      </c>
      <c r="I128" s="2">
        <v>20</v>
      </c>
      <c r="J128" s="7">
        <v>77530</v>
      </c>
      <c r="K128" t="s">
        <v>145</v>
      </c>
      <c r="L128">
        <v>1</v>
      </c>
      <c r="M128" t="s">
        <v>46</v>
      </c>
      <c r="N128" t="s">
        <v>17</v>
      </c>
      <c r="O128" t="s">
        <v>41</v>
      </c>
      <c r="P128" t="s">
        <v>1489</v>
      </c>
      <c r="Q128" s="7">
        <f t="shared" si="2"/>
        <v>930360</v>
      </c>
      <c r="R128" s="7">
        <f t="shared" si="3"/>
        <v>7753</v>
      </c>
    </row>
    <row r="129" spans="1:18" x14ac:dyDescent="0.35">
      <c r="A129" s="5">
        <v>123</v>
      </c>
      <c r="B129" t="s">
        <v>352</v>
      </c>
      <c r="C129" t="s">
        <v>353</v>
      </c>
      <c r="D129" t="s">
        <v>1486</v>
      </c>
      <c r="E129" t="s">
        <v>110</v>
      </c>
      <c r="F129" s="1">
        <v>37372</v>
      </c>
      <c r="G129" s="2">
        <v>2002</v>
      </c>
      <c r="H129">
        <v>2021</v>
      </c>
      <c r="I129" s="2">
        <v>19</v>
      </c>
      <c r="J129" s="7">
        <v>101875</v>
      </c>
      <c r="K129" t="s">
        <v>115</v>
      </c>
      <c r="L129">
        <v>4</v>
      </c>
      <c r="M129" t="s">
        <v>55</v>
      </c>
      <c r="N129" t="s">
        <v>17</v>
      </c>
      <c r="O129" t="s">
        <v>112</v>
      </c>
      <c r="P129" t="s">
        <v>1489</v>
      </c>
      <c r="Q129" s="7">
        <f t="shared" si="2"/>
        <v>1222500</v>
      </c>
      <c r="R129" s="7">
        <f t="shared" si="3"/>
        <v>10187.5</v>
      </c>
    </row>
    <row r="130" spans="1:18" x14ac:dyDescent="0.35">
      <c r="A130" s="5">
        <v>124</v>
      </c>
      <c r="B130" t="s">
        <v>354</v>
      </c>
      <c r="C130" t="s">
        <v>355</v>
      </c>
      <c r="D130" t="s">
        <v>1486</v>
      </c>
      <c r="E130" t="s">
        <v>37</v>
      </c>
      <c r="F130" s="1">
        <v>38693</v>
      </c>
      <c r="G130" s="2">
        <v>2005</v>
      </c>
      <c r="H130">
        <v>2021</v>
      </c>
      <c r="I130" s="2">
        <v>16</v>
      </c>
      <c r="J130" s="7">
        <v>144028</v>
      </c>
      <c r="K130" t="s">
        <v>45</v>
      </c>
      <c r="L130">
        <v>6</v>
      </c>
      <c r="M130" t="s">
        <v>50</v>
      </c>
      <c r="N130" t="s">
        <v>40</v>
      </c>
      <c r="O130" t="s">
        <v>41</v>
      </c>
      <c r="P130" t="s">
        <v>1489</v>
      </c>
      <c r="Q130" s="7">
        <f t="shared" si="2"/>
        <v>1728336</v>
      </c>
      <c r="R130" s="7">
        <f t="shared" si="3"/>
        <v>14402.800000000001</v>
      </c>
    </row>
    <row r="131" spans="1:18" x14ac:dyDescent="0.35">
      <c r="A131" s="5">
        <v>125</v>
      </c>
      <c r="B131" t="s">
        <v>356</v>
      </c>
      <c r="C131" t="s">
        <v>357</v>
      </c>
      <c r="D131" t="s">
        <v>1486</v>
      </c>
      <c r="E131" t="s">
        <v>61</v>
      </c>
      <c r="F131" s="1">
        <v>45782</v>
      </c>
      <c r="G131" s="2">
        <v>2012</v>
      </c>
      <c r="H131">
        <v>2021</v>
      </c>
      <c r="I131" s="2">
        <v>9</v>
      </c>
      <c r="J131" s="7">
        <v>140708</v>
      </c>
      <c r="K131" t="s">
        <v>153</v>
      </c>
      <c r="L131">
        <v>1</v>
      </c>
      <c r="M131" t="s">
        <v>46</v>
      </c>
      <c r="N131" t="s">
        <v>17</v>
      </c>
      <c r="O131" t="s">
        <v>63</v>
      </c>
      <c r="P131" t="s">
        <v>1489</v>
      </c>
      <c r="Q131" s="7">
        <f t="shared" si="2"/>
        <v>1688496</v>
      </c>
      <c r="R131" s="7">
        <f t="shared" si="3"/>
        <v>14070.800000000001</v>
      </c>
    </row>
    <row r="132" spans="1:18" x14ac:dyDescent="0.35">
      <c r="A132" s="5">
        <v>126</v>
      </c>
      <c r="B132" t="s">
        <v>358</v>
      </c>
      <c r="C132" t="s">
        <v>359</v>
      </c>
      <c r="D132" t="s">
        <v>1485</v>
      </c>
      <c r="E132" t="s">
        <v>312</v>
      </c>
      <c r="F132" s="1">
        <v>41466</v>
      </c>
      <c r="G132" s="2">
        <v>2013</v>
      </c>
      <c r="H132">
        <v>2021</v>
      </c>
      <c r="I132" s="2">
        <v>8</v>
      </c>
      <c r="J132" s="7">
        <v>79172</v>
      </c>
      <c r="K132" t="s">
        <v>360</v>
      </c>
      <c r="L132">
        <v>7</v>
      </c>
      <c r="M132" t="s">
        <v>39</v>
      </c>
      <c r="N132" t="s">
        <v>40</v>
      </c>
      <c r="O132" t="s">
        <v>41</v>
      </c>
      <c r="P132" t="s">
        <v>1489</v>
      </c>
      <c r="Q132" s="7">
        <f t="shared" si="2"/>
        <v>950064</v>
      </c>
      <c r="R132" s="7">
        <f t="shared" si="3"/>
        <v>7917.2000000000007</v>
      </c>
    </row>
    <row r="133" spans="1:18" x14ac:dyDescent="0.35">
      <c r="A133" s="5">
        <v>127</v>
      </c>
      <c r="B133" t="s">
        <v>361</v>
      </c>
      <c r="C133" t="s">
        <v>362</v>
      </c>
      <c r="D133" t="s">
        <v>1486</v>
      </c>
      <c r="E133" t="s">
        <v>148</v>
      </c>
      <c r="F133" s="1">
        <v>36664</v>
      </c>
      <c r="G133" s="2">
        <v>2000</v>
      </c>
      <c r="H133">
        <v>2021</v>
      </c>
      <c r="I133" s="2">
        <v>21</v>
      </c>
      <c r="J133" s="7">
        <v>144639</v>
      </c>
      <c r="K133" t="s">
        <v>97</v>
      </c>
      <c r="L133">
        <v>7</v>
      </c>
      <c r="M133" t="s">
        <v>39</v>
      </c>
      <c r="N133" t="s">
        <v>40</v>
      </c>
      <c r="O133" t="s">
        <v>112</v>
      </c>
      <c r="P133" t="s">
        <v>1489</v>
      </c>
      <c r="Q133" s="7">
        <f t="shared" si="2"/>
        <v>1735668</v>
      </c>
      <c r="R133" s="7">
        <f t="shared" si="3"/>
        <v>14463.900000000001</v>
      </c>
    </row>
    <row r="134" spans="1:18" x14ac:dyDescent="0.35">
      <c r="A134" s="5">
        <v>128</v>
      </c>
      <c r="B134" t="s">
        <v>363</v>
      </c>
      <c r="C134" t="s">
        <v>364</v>
      </c>
      <c r="D134" t="s">
        <v>1485</v>
      </c>
      <c r="E134" t="s">
        <v>14</v>
      </c>
      <c r="F134" s="1">
        <v>37704</v>
      </c>
      <c r="G134" s="2">
        <v>2003</v>
      </c>
      <c r="H134">
        <v>2021</v>
      </c>
      <c r="I134" s="2">
        <v>18</v>
      </c>
      <c r="J134" s="7">
        <v>109449</v>
      </c>
      <c r="K134" t="s">
        <v>365</v>
      </c>
      <c r="L134">
        <v>7</v>
      </c>
      <c r="M134" t="s">
        <v>39</v>
      </c>
      <c r="N134" t="s">
        <v>40</v>
      </c>
      <c r="O134" t="s">
        <v>18</v>
      </c>
      <c r="P134" t="s">
        <v>1489</v>
      </c>
      <c r="Q134" s="7">
        <f t="shared" si="2"/>
        <v>1313388</v>
      </c>
      <c r="R134" s="7">
        <f t="shared" si="3"/>
        <v>10944.900000000001</v>
      </c>
    </row>
    <row r="135" spans="1:18" x14ac:dyDescent="0.35">
      <c r="A135" s="5">
        <v>129</v>
      </c>
      <c r="B135" t="s">
        <v>248</v>
      </c>
      <c r="C135" t="s">
        <v>366</v>
      </c>
      <c r="D135" t="s">
        <v>1486</v>
      </c>
      <c r="E135" t="s">
        <v>14</v>
      </c>
      <c r="F135" s="1">
        <v>39005</v>
      </c>
      <c r="G135" s="2">
        <v>2006</v>
      </c>
      <c r="H135">
        <v>2021</v>
      </c>
      <c r="I135" s="2">
        <v>15</v>
      </c>
      <c r="J135" s="7">
        <v>108441</v>
      </c>
      <c r="K135" t="s">
        <v>153</v>
      </c>
      <c r="L135">
        <v>6</v>
      </c>
      <c r="M135" t="s">
        <v>50</v>
      </c>
      <c r="N135" t="s">
        <v>40</v>
      </c>
      <c r="O135" t="s">
        <v>18</v>
      </c>
      <c r="P135" t="s">
        <v>1489</v>
      </c>
      <c r="Q135" s="7">
        <f t="shared" ref="Q135:Q198" si="4">J135*12</f>
        <v>1301292</v>
      </c>
      <c r="R135" s="7">
        <f t="shared" ref="R135:R198" si="5">J135*10%</f>
        <v>10844.1</v>
      </c>
    </row>
    <row r="136" spans="1:18" x14ac:dyDescent="0.35">
      <c r="A136" s="5">
        <v>130</v>
      </c>
      <c r="B136" t="s">
        <v>367</v>
      </c>
      <c r="C136" t="s">
        <v>368</v>
      </c>
      <c r="D136" t="s">
        <v>1486</v>
      </c>
      <c r="E136" t="s">
        <v>79</v>
      </c>
      <c r="F136" s="1">
        <v>44380</v>
      </c>
      <c r="G136" s="2">
        <v>2008</v>
      </c>
      <c r="H136">
        <v>2021</v>
      </c>
      <c r="I136" s="2">
        <v>13</v>
      </c>
      <c r="J136" s="7">
        <v>145692</v>
      </c>
      <c r="K136" t="s">
        <v>27</v>
      </c>
      <c r="L136">
        <v>5</v>
      </c>
      <c r="M136" t="s">
        <v>91</v>
      </c>
      <c r="N136" t="s">
        <v>40</v>
      </c>
      <c r="O136" t="s">
        <v>41</v>
      </c>
      <c r="P136" t="s">
        <v>1489</v>
      </c>
      <c r="Q136" s="7">
        <f t="shared" si="4"/>
        <v>1748304</v>
      </c>
      <c r="R136" s="7">
        <f t="shared" si="5"/>
        <v>14569.2</v>
      </c>
    </row>
    <row r="137" spans="1:18" x14ac:dyDescent="0.35">
      <c r="A137" s="5">
        <v>131</v>
      </c>
      <c r="B137" t="s">
        <v>12</v>
      </c>
      <c r="C137" t="s">
        <v>369</v>
      </c>
      <c r="D137" t="s">
        <v>1485</v>
      </c>
      <c r="E137" t="s">
        <v>312</v>
      </c>
      <c r="F137" s="1">
        <v>36580</v>
      </c>
      <c r="G137" s="2">
        <v>2000</v>
      </c>
      <c r="H137">
        <v>2021</v>
      </c>
      <c r="I137" s="2">
        <v>21</v>
      </c>
      <c r="J137" s="7">
        <v>120377</v>
      </c>
      <c r="K137" t="s">
        <v>370</v>
      </c>
      <c r="L137">
        <v>4</v>
      </c>
      <c r="M137" t="s">
        <v>55</v>
      </c>
      <c r="N137" t="s">
        <v>17</v>
      </c>
      <c r="O137" t="s">
        <v>41</v>
      </c>
      <c r="P137" t="s">
        <v>1489</v>
      </c>
      <c r="Q137" s="7">
        <f t="shared" si="4"/>
        <v>1444524</v>
      </c>
      <c r="R137" s="7">
        <f t="shared" si="5"/>
        <v>12037.7</v>
      </c>
    </row>
    <row r="138" spans="1:18" x14ac:dyDescent="0.35">
      <c r="A138" s="5">
        <v>132</v>
      </c>
      <c r="B138" t="s">
        <v>371</v>
      </c>
      <c r="C138" t="s">
        <v>372</v>
      </c>
      <c r="D138" t="s">
        <v>1486</v>
      </c>
      <c r="E138" t="s">
        <v>89</v>
      </c>
      <c r="F138" s="1">
        <v>37755</v>
      </c>
      <c r="G138" s="2">
        <v>2003</v>
      </c>
      <c r="H138">
        <v>2021</v>
      </c>
      <c r="I138" s="2">
        <v>18</v>
      </c>
      <c r="J138" s="7">
        <v>63929</v>
      </c>
      <c r="K138" t="s">
        <v>281</v>
      </c>
      <c r="L138">
        <v>5</v>
      </c>
      <c r="M138" t="s">
        <v>91</v>
      </c>
      <c r="N138" t="s">
        <v>40</v>
      </c>
      <c r="O138" t="s">
        <v>41</v>
      </c>
      <c r="P138" t="s">
        <v>1489</v>
      </c>
      <c r="Q138" s="7">
        <f t="shared" si="4"/>
        <v>767148</v>
      </c>
      <c r="R138" s="7">
        <f t="shared" si="5"/>
        <v>6392.9000000000005</v>
      </c>
    </row>
    <row r="139" spans="1:18" x14ac:dyDescent="0.35">
      <c r="A139" s="5">
        <v>133</v>
      </c>
      <c r="B139" t="s">
        <v>270</v>
      </c>
      <c r="C139" t="s">
        <v>373</v>
      </c>
      <c r="D139" t="s">
        <v>1485</v>
      </c>
      <c r="E139" t="s">
        <v>79</v>
      </c>
      <c r="F139" s="1">
        <v>36923</v>
      </c>
      <c r="G139" s="2">
        <v>2001</v>
      </c>
      <c r="H139">
        <v>2021</v>
      </c>
      <c r="I139" s="2">
        <v>20</v>
      </c>
      <c r="J139" s="7">
        <v>124853</v>
      </c>
      <c r="K139" t="s">
        <v>374</v>
      </c>
      <c r="L139">
        <v>2</v>
      </c>
      <c r="M139" t="s">
        <v>16</v>
      </c>
      <c r="N139" t="s">
        <v>17</v>
      </c>
      <c r="O139" t="s">
        <v>41</v>
      </c>
      <c r="P139" t="s">
        <v>1489</v>
      </c>
      <c r="Q139" s="7">
        <f t="shared" si="4"/>
        <v>1498236</v>
      </c>
      <c r="R139" s="7">
        <f t="shared" si="5"/>
        <v>12485.300000000001</v>
      </c>
    </row>
    <row r="140" spans="1:18" x14ac:dyDescent="0.35">
      <c r="A140" s="5">
        <v>134</v>
      </c>
      <c r="B140" t="s">
        <v>375</v>
      </c>
      <c r="C140" t="s">
        <v>376</v>
      </c>
      <c r="D140" t="s">
        <v>1486</v>
      </c>
      <c r="E140" t="s">
        <v>148</v>
      </c>
      <c r="F140" s="1">
        <v>45080</v>
      </c>
      <c r="G140" s="2">
        <v>2010</v>
      </c>
      <c r="H140">
        <v>2021</v>
      </c>
      <c r="I140" s="2">
        <v>11</v>
      </c>
      <c r="J140" s="7">
        <v>99854</v>
      </c>
      <c r="K140" t="s">
        <v>191</v>
      </c>
      <c r="L140">
        <v>6</v>
      </c>
      <c r="M140" t="s">
        <v>50</v>
      </c>
      <c r="N140" t="s">
        <v>40</v>
      </c>
      <c r="O140" t="s">
        <v>112</v>
      </c>
      <c r="P140" t="s">
        <v>1489</v>
      </c>
      <c r="Q140" s="7">
        <f t="shared" si="4"/>
        <v>1198248</v>
      </c>
      <c r="R140" s="7">
        <f t="shared" si="5"/>
        <v>9985.4000000000015</v>
      </c>
    </row>
    <row r="141" spans="1:18" x14ac:dyDescent="0.35">
      <c r="A141" s="5">
        <v>135</v>
      </c>
      <c r="B141" t="s">
        <v>377</v>
      </c>
      <c r="C141" t="s">
        <v>378</v>
      </c>
      <c r="D141" t="s">
        <v>1486</v>
      </c>
      <c r="E141" t="s">
        <v>85</v>
      </c>
      <c r="F141" s="1">
        <v>46245</v>
      </c>
      <c r="G141" s="2">
        <v>2013</v>
      </c>
      <c r="H141">
        <v>2021</v>
      </c>
      <c r="I141" s="2">
        <v>8</v>
      </c>
      <c r="J141" s="7">
        <v>58675</v>
      </c>
      <c r="K141" t="s">
        <v>349</v>
      </c>
      <c r="L141">
        <v>3</v>
      </c>
      <c r="M141" t="s">
        <v>28</v>
      </c>
      <c r="N141" t="s">
        <v>17</v>
      </c>
      <c r="O141" t="s">
        <v>41</v>
      </c>
      <c r="P141" t="s">
        <v>1489</v>
      </c>
      <c r="Q141" s="7">
        <f t="shared" si="4"/>
        <v>704100</v>
      </c>
      <c r="R141" s="7">
        <f t="shared" si="5"/>
        <v>5867.5</v>
      </c>
    </row>
    <row r="142" spans="1:18" x14ac:dyDescent="0.35">
      <c r="A142" s="5">
        <v>136</v>
      </c>
      <c r="B142" t="s">
        <v>379</v>
      </c>
      <c r="C142" t="s">
        <v>380</v>
      </c>
      <c r="D142" t="s">
        <v>1486</v>
      </c>
      <c r="E142" t="s">
        <v>129</v>
      </c>
      <c r="F142" s="1">
        <v>43967</v>
      </c>
      <c r="G142" s="2">
        <v>2007</v>
      </c>
      <c r="H142">
        <v>2021</v>
      </c>
      <c r="I142" s="2">
        <v>14</v>
      </c>
      <c r="J142" s="7">
        <v>50060</v>
      </c>
      <c r="K142" t="s">
        <v>381</v>
      </c>
      <c r="L142">
        <v>1</v>
      </c>
      <c r="M142" t="s">
        <v>46</v>
      </c>
      <c r="N142" t="s">
        <v>17</v>
      </c>
      <c r="O142" t="s">
        <v>41</v>
      </c>
      <c r="P142" t="s">
        <v>1489</v>
      </c>
      <c r="Q142" s="7">
        <f t="shared" si="4"/>
        <v>600720</v>
      </c>
      <c r="R142" s="7">
        <f t="shared" si="5"/>
        <v>5006</v>
      </c>
    </row>
    <row r="143" spans="1:18" x14ac:dyDescent="0.35">
      <c r="A143" s="5">
        <v>137</v>
      </c>
      <c r="B143" t="s">
        <v>165</v>
      </c>
      <c r="C143" t="s">
        <v>382</v>
      </c>
      <c r="D143" t="s">
        <v>1486</v>
      </c>
      <c r="E143" t="s">
        <v>21</v>
      </c>
      <c r="F143" s="1">
        <v>46608</v>
      </c>
      <c r="G143" s="2">
        <v>2014</v>
      </c>
      <c r="H143">
        <v>2021</v>
      </c>
      <c r="I143" s="2">
        <v>7</v>
      </c>
      <c r="J143" s="7">
        <v>72748</v>
      </c>
      <c r="K143" t="s">
        <v>313</v>
      </c>
      <c r="L143">
        <v>3</v>
      </c>
      <c r="M143" t="s">
        <v>28</v>
      </c>
      <c r="N143" t="s">
        <v>17</v>
      </c>
      <c r="O143" t="s">
        <v>23</v>
      </c>
      <c r="P143" t="s">
        <v>1491</v>
      </c>
      <c r="Q143" s="7">
        <f t="shared" si="4"/>
        <v>872976</v>
      </c>
      <c r="R143" s="7">
        <f t="shared" si="5"/>
        <v>7274.8</v>
      </c>
    </row>
    <row r="144" spans="1:18" x14ac:dyDescent="0.35">
      <c r="A144" s="5">
        <v>138</v>
      </c>
      <c r="B144" t="s">
        <v>371</v>
      </c>
      <c r="C144" t="s">
        <v>383</v>
      </c>
      <c r="D144" t="s">
        <v>1485</v>
      </c>
      <c r="E144" t="s">
        <v>94</v>
      </c>
      <c r="F144" s="1">
        <v>38596</v>
      </c>
      <c r="G144" s="2">
        <v>2005</v>
      </c>
      <c r="H144">
        <v>2021</v>
      </c>
      <c r="I144" s="2">
        <v>16</v>
      </c>
      <c r="J144" s="7">
        <v>71082</v>
      </c>
      <c r="K144" t="s">
        <v>324</v>
      </c>
      <c r="L144">
        <v>7</v>
      </c>
      <c r="M144" t="s">
        <v>39</v>
      </c>
      <c r="N144" t="s">
        <v>40</v>
      </c>
      <c r="O144" t="s">
        <v>18</v>
      </c>
      <c r="P144" t="s">
        <v>1490</v>
      </c>
      <c r="Q144" s="7">
        <f t="shared" si="4"/>
        <v>852984</v>
      </c>
      <c r="R144" s="7">
        <f t="shared" si="5"/>
        <v>7108.2000000000007</v>
      </c>
    </row>
    <row r="145" spans="1:18" x14ac:dyDescent="0.35">
      <c r="A145" s="5">
        <v>139</v>
      </c>
      <c r="B145" t="s">
        <v>384</v>
      </c>
      <c r="C145" t="s">
        <v>385</v>
      </c>
      <c r="D145" t="s">
        <v>1485</v>
      </c>
      <c r="E145" t="s">
        <v>32</v>
      </c>
      <c r="F145" s="1">
        <v>40916</v>
      </c>
      <c r="G145" s="2">
        <v>2012</v>
      </c>
      <c r="H145">
        <v>2021</v>
      </c>
      <c r="I145" s="3">
        <v>9</v>
      </c>
      <c r="J145" s="7">
        <v>119773</v>
      </c>
      <c r="K145" t="s">
        <v>386</v>
      </c>
      <c r="L145">
        <v>3</v>
      </c>
      <c r="M145" t="s">
        <v>28</v>
      </c>
      <c r="N145" t="s">
        <v>17</v>
      </c>
      <c r="O145" t="s">
        <v>34</v>
      </c>
      <c r="P145" t="s">
        <v>1489</v>
      </c>
      <c r="Q145" s="7">
        <f t="shared" si="4"/>
        <v>1437276</v>
      </c>
      <c r="R145" s="7">
        <f t="shared" si="5"/>
        <v>11977.300000000001</v>
      </c>
    </row>
    <row r="146" spans="1:18" x14ac:dyDescent="0.35">
      <c r="A146" s="5">
        <v>140</v>
      </c>
      <c r="B146" t="s">
        <v>387</v>
      </c>
      <c r="C146" t="s">
        <v>388</v>
      </c>
      <c r="D146" t="s">
        <v>1485</v>
      </c>
      <c r="E146" t="s">
        <v>14</v>
      </c>
      <c r="F146" s="1">
        <v>36913</v>
      </c>
      <c r="G146" s="2">
        <v>2001</v>
      </c>
      <c r="H146">
        <v>2021</v>
      </c>
      <c r="I146" s="2">
        <v>20</v>
      </c>
      <c r="J146" s="7">
        <v>82358</v>
      </c>
      <c r="K146" t="s">
        <v>200</v>
      </c>
      <c r="L146">
        <v>4</v>
      </c>
      <c r="M146" t="s">
        <v>55</v>
      </c>
      <c r="N146" t="s">
        <v>17</v>
      </c>
      <c r="O146" t="s">
        <v>18</v>
      </c>
      <c r="P146" t="s">
        <v>1489</v>
      </c>
      <c r="Q146" s="7">
        <f t="shared" si="4"/>
        <v>988296</v>
      </c>
      <c r="R146" s="7">
        <f t="shared" si="5"/>
        <v>8235.8000000000011</v>
      </c>
    </row>
    <row r="147" spans="1:18" x14ac:dyDescent="0.35">
      <c r="A147" s="5">
        <v>141</v>
      </c>
      <c r="B147" t="s">
        <v>47</v>
      </c>
      <c r="C147" t="s">
        <v>389</v>
      </c>
      <c r="D147" t="s">
        <v>1485</v>
      </c>
      <c r="E147" t="s">
        <v>79</v>
      </c>
      <c r="F147" s="1">
        <v>38698</v>
      </c>
      <c r="G147" s="2">
        <v>2005</v>
      </c>
      <c r="H147">
        <v>2021</v>
      </c>
      <c r="I147" s="2">
        <v>16</v>
      </c>
      <c r="J147" s="7">
        <v>145575</v>
      </c>
      <c r="K147" t="s">
        <v>196</v>
      </c>
      <c r="L147">
        <v>1</v>
      </c>
      <c r="M147" t="s">
        <v>46</v>
      </c>
      <c r="N147" t="s">
        <v>17</v>
      </c>
      <c r="O147" t="s">
        <v>41</v>
      </c>
      <c r="P147" t="s">
        <v>1489</v>
      </c>
      <c r="Q147" s="7">
        <f t="shared" si="4"/>
        <v>1746900</v>
      </c>
      <c r="R147" s="7">
        <f t="shared" si="5"/>
        <v>14557.5</v>
      </c>
    </row>
    <row r="148" spans="1:18" x14ac:dyDescent="0.35">
      <c r="A148" s="5">
        <v>142</v>
      </c>
      <c r="B148" t="s">
        <v>358</v>
      </c>
      <c r="C148" t="s">
        <v>390</v>
      </c>
      <c r="D148" t="s">
        <v>1485</v>
      </c>
      <c r="E148" t="s">
        <v>100</v>
      </c>
      <c r="F148" s="1">
        <v>40153</v>
      </c>
      <c r="G148" s="2">
        <v>2009</v>
      </c>
      <c r="H148">
        <v>2021</v>
      </c>
      <c r="I148" s="2">
        <v>12</v>
      </c>
      <c r="J148" s="7">
        <v>105810</v>
      </c>
      <c r="K148" t="s">
        <v>391</v>
      </c>
      <c r="L148">
        <v>5</v>
      </c>
      <c r="M148" t="s">
        <v>91</v>
      </c>
      <c r="N148" t="s">
        <v>40</v>
      </c>
      <c r="O148" t="s">
        <v>29</v>
      </c>
      <c r="P148" t="s">
        <v>1490</v>
      </c>
      <c r="Q148" s="7">
        <f t="shared" si="4"/>
        <v>1269720</v>
      </c>
      <c r="R148" s="7">
        <f t="shared" si="5"/>
        <v>10581</v>
      </c>
    </row>
    <row r="149" spans="1:18" x14ac:dyDescent="0.35">
      <c r="A149" s="5">
        <v>143</v>
      </c>
      <c r="B149" t="s">
        <v>392</v>
      </c>
      <c r="C149" t="s">
        <v>393</v>
      </c>
      <c r="D149" t="s">
        <v>1485</v>
      </c>
      <c r="E149" t="s">
        <v>44</v>
      </c>
      <c r="F149" s="1">
        <v>41765</v>
      </c>
      <c r="G149" s="2">
        <v>2014</v>
      </c>
      <c r="H149">
        <v>2021</v>
      </c>
      <c r="I149" s="2">
        <v>7</v>
      </c>
      <c r="J149" s="7">
        <v>58805</v>
      </c>
      <c r="K149" t="s">
        <v>394</v>
      </c>
      <c r="L149">
        <v>1</v>
      </c>
      <c r="M149" t="s">
        <v>46</v>
      </c>
      <c r="N149" t="s">
        <v>17</v>
      </c>
      <c r="O149" t="s">
        <v>29</v>
      </c>
      <c r="P149" t="s">
        <v>1490</v>
      </c>
      <c r="Q149" s="7">
        <f t="shared" si="4"/>
        <v>705660</v>
      </c>
      <c r="R149" s="7">
        <f t="shared" si="5"/>
        <v>5880.5</v>
      </c>
    </row>
    <row r="150" spans="1:18" x14ac:dyDescent="0.35">
      <c r="A150" s="5">
        <v>144</v>
      </c>
      <c r="B150" t="s">
        <v>395</v>
      </c>
      <c r="C150" t="s">
        <v>396</v>
      </c>
      <c r="D150" t="s">
        <v>1486</v>
      </c>
      <c r="E150" t="s">
        <v>73</v>
      </c>
      <c r="F150" s="1">
        <v>44538</v>
      </c>
      <c r="G150" s="2">
        <v>2008</v>
      </c>
      <c r="H150">
        <v>2021</v>
      </c>
      <c r="I150" s="2">
        <v>13</v>
      </c>
      <c r="J150" s="7">
        <v>112837</v>
      </c>
      <c r="K150" t="s">
        <v>397</v>
      </c>
      <c r="L150">
        <v>5</v>
      </c>
      <c r="M150" t="s">
        <v>91</v>
      </c>
      <c r="N150" t="s">
        <v>40</v>
      </c>
      <c r="O150" t="s">
        <v>41</v>
      </c>
      <c r="P150" t="s">
        <v>1489</v>
      </c>
      <c r="Q150" s="7">
        <f t="shared" si="4"/>
        <v>1354044</v>
      </c>
      <c r="R150" s="7">
        <f t="shared" si="5"/>
        <v>11283.7</v>
      </c>
    </row>
    <row r="151" spans="1:18" x14ac:dyDescent="0.35">
      <c r="A151" s="5">
        <v>145</v>
      </c>
      <c r="B151" t="s">
        <v>92</v>
      </c>
      <c r="C151" t="s">
        <v>398</v>
      </c>
      <c r="D151" t="s">
        <v>1486</v>
      </c>
      <c r="E151" t="s">
        <v>73</v>
      </c>
      <c r="F151" s="1">
        <v>46126</v>
      </c>
      <c r="G151" s="2">
        <v>2013</v>
      </c>
      <c r="H151">
        <v>2021</v>
      </c>
      <c r="I151" s="2">
        <v>8</v>
      </c>
      <c r="J151" s="7">
        <v>125914</v>
      </c>
      <c r="K151" t="s">
        <v>172</v>
      </c>
      <c r="L151">
        <v>6</v>
      </c>
      <c r="M151" t="s">
        <v>50</v>
      </c>
      <c r="N151" t="s">
        <v>40</v>
      </c>
      <c r="O151" t="s">
        <v>41</v>
      </c>
      <c r="P151" t="s">
        <v>1489</v>
      </c>
      <c r="Q151" s="7">
        <f t="shared" si="4"/>
        <v>1510968</v>
      </c>
      <c r="R151" s="7">
        <f t="shared" si="5"/>
        <v>12591.400000000001</v>
      </c>
    </row>
    <row r="152" spans="1:18" x14ac:dyDescent="0.35">
      <c r="A152" s="5">
        <v>146</v>
      </c>
      <c r="B152" t="s">
        <v>399</v>
      </c>
      <c r="C152" t="s">
        <v>400</v>
      </c>
      <c r="D152" t="s">
        <v>1485</v>
      </c>
      <c r="E152" t="s">
        <v>61</v>
      </c>
      <c r="F152" s="1">
        <v>39848</v>
      </c>
      <c r="G152" s="2">
        <v>2009</v>
      </c>
      <c r="H152">
        <v>2021</v>
      </c>
      <c r="I152" s="2">
        <v>12</v>
      </c>
      <c r="J152" s="7">
        <v>133281</v>
      </c>
      <c r="K152" t="s">
        <v>401</v>
      </c>
      <c r="L152">
        <v>6</v>
      </c>
      <c r="M152" t="s">
        <v>50</v>
      </c>
      <c r="N152" t="s">
        <v>40</v>
      </c>
      <c r="O152" t="s">
        <v>63</v>
      </c>
      <c r="P152" t="s">
        <v>1489</v>
      </c>
      <c r="Q152" s="7">
        <f t="shared" si="4"/>
        <v>1599372</v>
      </c>
      <c r="R152" s="7">
        <f t="shared" si="5"/>
        <v>13328.1</v>
      </c>
    </row>
    <row r="153" spans="1:18" x14ac:dyDescent="0.35">
      <c r="A153" s="5">
        <v>147</v>
      </c>
      <c r="B153" t="s">
        <v>402</v>
      </c>
      <c r="C153" t="s">
        <v>403</v>
      </c>
      <c r="D153" t="s">
        <v>1486</v>
      </c>
      <c r="E153" t="s">
        <v>238</v>
      </c>
      <c r="F153" s="1">
        <v>45936</v>
      </c>
      <c r="G153" s="2">
        <v>2012</v>
      </c>
      <c r="H153">
        <v>2021</v>
      </c>
      <c r="I153" s="2">
        <v>9</v>
      </c>
      <c r="J153" s="7">
        <v>96169</v>
      </c>
      <c r="K153" t="s">
        <v>156</v>
      </c>
      <c r="L153">
        <v>1</v>
      </c>
      <c r="M153" t="s">
        <v>46</v>
      </c>
      <c r="N153" t="s">
        <v>17</v>
      </c>
      <c r="O153" t="s">
        <v>63</v>
      </c>
      <c r="P153" t="s">
        <v>1489</v>
      </c>
      <c r="Q153" s="7">
        <f t="shared" si="4"/>
        <v>1154028</v>
      </c>
      <c r="R153" s="7">
        <f t="shared" si="5"/>
        <v>9616.9</v>
      </c>
    </row>
    <row r="154" spans="1:18" x14ac:dyDescent="0.35">
      <c r="A154" s="5">
        <v>148</v>
      </c>
      <c r="B154" t="s">
        <v>404</v>
      </c>
      <c r="C154" t="s">
        <v>405</v>
      </c>
      <c r="D154" t="s">
        <v>1485</v>
      </c>
      <c r="E154" t="s">
        <v>61</v>
      </c>
      <c r="F154" s="1">
        <v>41403</v>
      </c>
      <c r="G154" s="2">
        <v>2013</v>
      </c>
      <c r="H154">
        <v>2021</v>
      </c>
      <c r="I154" s="2">
        <v>8</v>
      </c>
      <c r="J154" s="7">
        <v>146970</v>
      </c>
      <c r="K154" t="s">
        <v>406</v>
      </c>
      <c r="L154">
        <v>3</v>
      </c>
      <c r="M154" t="s">
        <v>28</v>
      </c>
      <c r="N154" t="s">
        <v>17</v>
      </c>
      <c r="O154" t="s">
        <v>63</v>
      </c>
      <c r="P154" t="s">
        <v>1489</v>
      </c>
      <c r="Q154" s="7">
        <f t="shared" si="4"/>
        <v>1763640</v>
      </c>
      <c r="R154" s="7">
        <f t="shared" si="5"/>
        <v>14697</v>
      </c>
    </row>
    <row r="155" spans="1:18" x14ac:dyDescent="0.35">
      <c r="A155" s="5">
        <v>149</v>
      </c>
      <c r="B155" t="s">
        <v>407</v>
      </c>
      <c r="C155" t="s">
        <v>408</v>
      </c>
      <c r="D155" t="s">
        <v>1486</v>
      </c>
      <c r="E155" t="s">
        <v>53</v>
      </c>
      <c r="F155" s="1">
        <v>44319</v>
      </c>
      <c r="G155" s="2">
        <v>2008</v>
      </c>
      <c r="H155">
        <v>2021</v>
      </c>
      <c r="I155" s="2">
        <v>13</v>
      </c>
      <c r="J155" s="7">
        <v>76352</v>
      </c>
      <c r="K155" t="s">
        <v>409</v>
      </c>
      <c r="L155">
        <v>4</v>
      </c>
      <c r="M155" t="s">
        <v>55</v>
      </c>
      <c r="N155" t="s">
        <v>17</v>
      </c>
      <c r="O155" t="s">
        <v>23</v>
      </c>
      <c r="P155" t="s">
        <v>1489</v>
      </c>
      <c r="Q155" s="7">
        <f t="shared" si="4"/>
        <v>916224</v>
      </c>
      <c r="R155" s="7">
        <f t="shared" si="5"/>
        <v>7635.2000000000007</v>
      </c>
    </row>
    <row r="156" spans="1:18" x14ac:dyDescent="0.35">
      <c r="A156" s="5">
        <v>150</v>
      </c>
      <c r="B156" t="s">
        <v>410</v>
      </c>
      <c r="C156" t="s">
        <v>411</v>
      </c>
      <c r="D156" t="s">
        <v>1485</v>
      </c>
      <c r="E156" t="s">
        <v>203</v>
      </c>
      <c r="F156" s="1">
        <v>39005</v>
      </c>
      <c r="G156" s="2">
        <v>2006</v>
      </c>
      <c r="H156">
        <v>2021</v>
      </c>
      <c r="I156" s="2">
        <v>15</v>
      </c>
      <c r="J156" s="7">
        <v>128748</v>
      </c>
      <c r="K156" t="s">
        <v>82</v>
      </c>
      <c r="L156">
        <v>1</v>
      </c>
      <c r="M156" t="s">
        <v>46</v>
      </c>
      <c r="N156" t="s">
        <v>17</v>
      </c>
      <c r="O156" t="s">
        <v>41</v>
      </c>
      <c r="P156" t="s">
        <v>1489</v>
      </c>
      <c r="Q156" s="7">
        <f t="shared" si="4"/>
        <v>1544976</v>
      </c>
      <c r="R156" s="7">
        <f t="shared" si="5"/>
        <v>12874.800000000001</v>
      </c>
    </row>
    <row r="157" spans="1:18" x14ac:dyDescent="0.35">
      <c r="A157" s="5">
        <v>151</v>
      </c>
      <c r="B157" t="s">
        <v>412</v>
      </c>
      <c r="C157" t="s">
        <v>413</v>
      </c>
      <c r="D157" t="s">
        <v>1485</v>
      </c>
      <c r="E157" t="s">
        <v>122</v>
      </c>
      <c r="F157" s="1">
        <v>40764</v>
      </c>
      <c r="G157" s="2">
        <v>2011</v>
      </c>
      <c r="H157">
        <v>2021</v>
      </c>
      <c r="I157" s="2">
        <v>10</v>
      </c>
      <c r="J157" s="7">
        <v>50066</v>
      </c>
      <c r="K157" t="s">
        <v>235</v>
      </c>
      <c r="L157">
        <v>1</v>
      </c>
      <c r="M157" t="s">
        <v>46</v>
      </c>
      <c r="N157" t="s">
        <v>17</v>
      </c>
      <c r="O157" t="s">
        <v>123</v>
      </c>
      <c r="P157" t="s">
        <v>1491</v>
      </c>
      <c r="Q157" s="7">
        <f t="shared" si="4"/>
        <v>600792</v>
      </c>
      <c r="R157" s="7">
        <f t="shared" si="5"/>
        <v>5006.6000000000004</v>
      </c>
    </row>
    <row r="158" spans="1:18" x14ac:dyDescent="0.35">
      <c r="A158" s="5">
        <v>152</v>
      </c>
      <c r="B158" t="s">
        <v>414</v>
      </c>
      <c r="C158" t="s">
        <v>415</v>
      </c>
      <c r="D158" t="s">
        <v>1485</v>
      </c>
      <c r="E158" t="s">
        <v>238</v>
      </c>
      <c r="F158" s="1">
        <v>40746</v>
      </c>
      <c r="G158" s="2">
        <v>2011</v>
      </c>
      <c r="H158">
        <v>2021</v>
      </c>
      <c r="I158" s="2">
        <v>10</v>
      </c>
      <c r="J158" s="7">
        <v>105319</v>
      </c>
      <c r="K158" t="s">
        <v>74</v>
      </c>
      <c r="L158">
        <v>4</v>
      </c>
      <c r="M158" t="s">
        <v>55</v>
      </c>
      <c r="N158" t="s">
        <v>17</v>
      </c>
      <c r="O158" t="s">
        <v>63</v>
      </c>
      <c r="P158" t="s">
        <v>1491</v>
      </c>
      <c r="Q158" s="7">
        <f t="shared" si="4"/>
        <v>1263828</v>
      </c>
      <c r="R158" s="7">
        <f t="shared" si="5"/>
        <v>10531.900000000001</v>
      </c>
    </row>
    <row r="159" spans="1:18" x14ac:dyDescent="0.35">
      <c r="A159" s="5">
        <v>153</v>
      </c>
      <c r="B159" t="s">
        <v>416</v>
      </c>
      <c r="C159" t="s">
        <v>417</v>
      </c>
      <c r="D159" t="s">
        <v>1485</v>
      </c>
      <c r="E159" t="s">
        <v>89</v>
      </c>
      <c r="F159" s="1">
        <v>37924</v>
      </c>
      <c r="G159" s="2">
        <v>2003</v>
      </c>
      <c r="H159">
        <v>2021</v>
      </c>
      <c r="I159" s="2">
        <v>18</v>
      </c>
      <c r="J159" s="7">
        <v>110622</v>
      </c>
      <c r="K159" t="s">
        <v>418</v>
      </c>
      <c r="L159">
        <v>4</v>
      </c>
      <c r="M159" t="s">
        <v>55</v>
      </c>
      <c r="N159" t="s">
        <v>17</v>
      </c>
      <c r="O159" t="s">
        <v>41</v>
      </c>
      <c r="P159" t="s">
        <v>1491</v>
      </c>
      <c r="Q159" s="7">
        <f t="shared" si="4"/>
        <v>1327464</v>
      </c>
      <c r="R159" s="7">
        <f t="shared" si="5"/>
        <v>11062.2</v>
      </c>
    </row>
    <row r="160" spans="1:18" x14ac:dyDescent="0.35">
      <c r="A160" s="5">
        <v>154</v>
      </c>
      <c r="B160" t="s">
        <v>419</v>
      </c>
      <c r="C160" t="s">
        <v>420</v>
      </c>
      <c r="D160" t="s">
        <v>1486</v>
      </c>
      <c r="E160" t="s">
        <v>94</v>
      </c>
      <c r="F160" s="1">
        <v>44850</v>
      </c>
      <c r="G160" s="2">
        <v>2009</v>
      </c>
      <c r="H160">
        <v>2021</v>
      </c>
      <c r="I160" s="2">
        <v>12</v>
      </c>
      <c r="J160" s="7">
        <v>87422</v>
      </c>
      <c r="K160" t="s">
        <v>327</v>
      </c>
      <c r="L160">
        <v>7</v>
      </c>
      <c r="M160" t="s">
        <v>39</v>
      </c>
      <c r="N160" t="s">
        <v>40</v>
      </c>
      <c r="O160" t="s">
        <v>18</v>
      </c>
      <c r="P160" t="s">
        <v>1491</v>
      </c>
      <c r="Q160" s="7">
        <f t="shared" si="4"/>
        <v>1049064</v>
      </c>
      <c r="R160" s="7">
        <f t="shared" si="5"/>
        <v>8742.2000000000007</v>
      </c>
    </row>
    <row r="161" spans="1:18" x14ac:dyDescent="0.35">
      <c r="A161" s="5">
        <v>155</v>
      </c>
      <c r="B161" t="s">
        <v>421</v>
      </c>
      <c r="C161" t="s">
        <v>422</v>
      </c>
      <c r="D161" t="s">
        <v>1485</v>
      </c>
      <c r="E161" t="s">
        <v>122</v>
      </c>
      <c r="F161" s="1">
        <v>39331</v>
      </c>
      <c r="G161" s="2">
        <v>2007</v>
      </c>
      <c r="H161">
        <v>2021</v>
      </c>
      <c r="I161" s="2">
        <v>14</v>
      </c>
      <c r="J161" s="7">
        <v>45456</v>
      </c>
      <c r="K161" t="s">
        <v>287</v>
      </c>
      <c r="L161">
        <v>1</v>
      </c>
      <c r="M161" t="s">
        <v>46</v>
      </c>
      <c r="N161" t="s">
        <v>17</v>
      </c>
      <c r="O161" t="s">
        <v>123</v>
      </c>
      <c r="P161" t="s">
        <v>1491</v>
      </c>
      <c r="Q161" s="7">
        <f t="shared" si="4"/>
        <v>545472</v>
      </c>
      <c r="R161" s="7">
        <f t="shared" si="5"/>
        <v>4545.6000000000004</v>
      </c>
    </row>
    <row r="162" spans="1:18" x14ac:dyDescent="0.35">
      <c r="A162" s="5">
        <v>156</v>
      </c>
      <c r="B162" t="s">
        <v>423</v>
      </c>
      <c r="C162" t="s">
        <v>424</v>
      </c>
      <c r="D162" t="s">
        <v>1485</v>
      </c>
      <c r="E162" t="s">
        <v>100</v>
      </c>
      <c r="F162" s="1">
        <v>38128</v>
      </c>
      <c r="G162" s="2">
        <v>2004</v>
      </c>
      <c r="H162">
        <v>2021</v>
      </c>
      <c r="I162" s="2">
        <v>17</v>
      </c>
      <c r="J162" s="7">
        <v>52298</v>
      </c>
      <c r="K162" t="s">
        <v>425</v>
      </c>
      <c r="L162">
        <v>7</v>
      </c>
      <c r="M162" t="s">
        <v>39</v>
      </c>
      <c r="N162" t="s">
        <v>40</v>
      </c>
      <c r="O162" t="s">
        <v>29</v>
      </c>
      <c r="P162" t="s">
        <v>1491</v>
      </c>
      <c r="Q162" s="7">
        <f t="shared" si="4"/>
        <v>627576</v>
      </c>
      <c r="R162" s="7">
        <f t="shared" si="5"/>
        <v>5229.8</v>
      </c>
    </row>
    <row r="163" spans="1:18" x14ac:dyDescent="0.35">
      <c r="A163" s="5">
        <v>157</v>
      </c>
      <c r="B163" t="s">
        <v>426</v>
      </c>
      <c r="C163" t="s">
        <v>427</v>
      </c>
      <c r="D163" t="s">
        <v>1485</v>
      </c>
      <c r="E163" t="s">
        <v>312</v>
      </c>
      <c r="F163" s="1">
        <v>39216</v>
      </c>
      <c r="G163" s="2">
        <v>2007</v>
      </c>
      <c r="H163">
        <v>2021</v>
      </c>
      <c r="I163" s="2">
        <v>14</v>
      </c>
      <c r="J163" s="7">
        <v>131252</v>
      </c>
      <c r="K163" t="s">
        <v>130</v>
      </c>
      <c r="L163">
        <v>1</v>
      </c>
      <c r="M163" t="s">
        <v>46</v>
      </c>
      <c r="N163" t="s">
        <v>17</v>
      </c>
      <c r="O163" t="s">
        <v>41</v>
      </c>
      <c r="P163" t="s">
        <v>1491</v>
      </c>
      <c r="Q163" s="7">
        <f t="shared" si="4"/>
        <v>1575024</v>
      </c>
      <c r="R163" s="7">
        <f t="shared" si="5"/>
        <v>13125.2</v>
      </c>
    </row>
    <row r="164" spans="1:18" x14ac:dyDescent="0.35">
      <c r="A164" s="5">
        <v>158</v>
      </c>
      <c r="B164" t="s">
        <v>354</v>
      </c>
      <c r="C164" t="s">
        <v>428</v>
      </c>
      <c r="D164" t="s">
        <v>1485</v>
      </c>
      <c r="E164" t="s">
        <v>110</v>
      </c>
      <c r="F164" s="1">
        <v>36945</v>
      </c>
      <c r="G164" s="2">
        <v>2001</v>
      </c>
      <c r="H164">
        <v>2021</v>
      </c>
      <c r="I164" s="2">
        <v>20</v>
      </c>
      <c r="J164" s="7">
        <v>128766</v>
      </c>
      <c r="K164" t="s">
        <v>33</v>
      </c>
      <c r="L164">
        <v>2</v>
      </c>
      <c r="M164" t="s">
        <v>16</v>
      </c>
      <c r="N164" t="s">
        <v>17</v>
      </c>
      <c r="O164" t="s">
        <v>112</v>
      </c>
      <c r="P164" t="s">
        <v>1491</v>
      </c>
      <c r="Q164" s="7">
        <f t="shared" si="4"/>
        <v>1545192</v>
      </c>
      <c r="R164" s="7">
        <f t="shared" si="5"/>
        <v>12876.6</v>
      </c>
    </row>
    <row r="165" spans="1:18" x14ac:dyDescent="0.35">
      <c r="A165" s="5">
        <v>159</v>
      </c>
      <c r="B165" t="s">
        <v>375</v>
      </c>
      <c r="C165" t="s">
        <v>429</v>
      </c>
      <c r="D165" t="s">
        <v>1485</v>
      </c>
      <c r="E165" t="s">
        <v>44</v>
      </c>
      <c r="F165" s="1">
        <v>40068</v>
      </c>
      <c r="G165" s="2">
        <v>2009</v>
      </c>
      <c r="H165">
        <v>2021</v>
      </c>
      <c r="I165" s="2">
        <v>12</v>
      </c>
      <c r="J165" s="7">
        <v>138179</v>
      </c>
      <c r="K165" t="s">
        <v>430</v>
      </c>
      <c r="L165">
        <v>3</v>
      </c>
      <c r="M165" t="s">
        <v>28</v>
      </c>
      <c r="N165" t="s">
        <v>17</v>
      </c>
      <c r="O165" t="s">
        <v>29</v>
      </c>
      <c r="P165" t="s">
        <v>1491</v>
      </c>
      <c r="Q165" s="7">
        <f t="shared" si="4"/>
        <v>1658148</v>
      </c>
      <c r="R165" s="7">
        <f t="shared" si="5"/>
        <v>13817.900000000001</v>
      </c>
    </row>
    <row r="166" spans="1:18" x14ac:dyDescent="0.35">
      <c r="A166" s="5">
        <v>160</v>
      </c>
      <c r="B166" t="s">
        <v>392</v>
      </c>
      <c r="C166" t="s">
        <v>431</v>
      </c>
      <c r="D166" t="s">
        <v>1486</v>
      </c>
      <c r="E166" t="s">
        <v>100</v>
      </c>
      <c r="F166" s="1">
        <v>37794</v>
      </c>
      <c r="G166" s="2">
        <v>2003</v>
      </c>
      <c r="H166">
        <v>2021</v>
      </c>
      <c r="I166" s="2">
        <v>18</v>
      </c>
      <c r="J166" s="7">
        <v>85012</v>
      </c>
      <c r="K166" t="s">
        <v>310</v>
      </c>
      <c r="L166">
        <v>1</v>
      </c>
      <c r="M166" t="s">
        <v>46</v>
      </c>
      <c r="N166" t="s">
        <v>17</v>
      </c>
      <c r="O166" t="s">
        <v>29</v>
      </c>
      <c r="P166" t="s">
        <v>1491</v>
      </c>
      <c r="Q166" s="7">
        <f t="shared" si="4"/>
        <v>1020144</v>
      </c>
      <c r="R166" s="7">
        <f t="shared" si="5"/>
        <v>8501.2000000000007</v>
      </c>
    </row>
    <row r="167" spans="1:18" x14ac:dyDescent="0.35">
      <c r="A167" s="5">
        <v>161</v>
      </c>
      <c r="B167" t="s">
        <v>150</v>
      </c>
      <c r="C167" t="s">
        <v>432</v>
      </c>
      <c r="D167" t="s">
        <v>1485</v>
      </c>
      <c r="E167" t="s">
        <v>203</v>
      </c>
      <c r="F167" s="1">
        <v>37127</v>
      </c>
      <c r="G167" s="2">
        <v>2001</v>
      </c>
      <c r="H167">
        <v>2021</v>
      </c>
      <c r="I167" s="2">
        <v>20</v>
      </c>
      <c r="J167" s="7">
        <v>131479</v>
      </c>
      <c r="K167" t="s">
        <v>290</v>
      </c>
      <c r="L167">
        <v>7</v>
      </c>
      <c r="M167" t="s">
        <v>39</v>
      </c>
      <c r="N167" t="s">
        <v>40</v>
      </c>
      <c r="O167" t="s">
        <v>41</v>
      </c>
      <c r="P167" t="s">
        <v>1491</v>
      </c>
      <c r="Q167" s="7">
        <f t="shared" si="4"/>
        <v>1577748</v>
      </c>
      <c r="R167" s="7">
        <f t="shared" si="5"/>
        <v>13147.900000000001</v>
      </c>
    </row>
    <row r="168" spans="1:18" x14ac:dyDescent="0.35">
      <c r="A168" s="5">
        <v>162</v>
      </c>
      <c r="B168" t="s">
        <v>433</v>
      </c>
      <c r="C168" t="s">
        <v>434</v>
      </c>
      <c r="D168" t="s">
        <v>1486</v>
      </c>
      <c r="E168" t="s">
        <v>203</v>
      </c>
      <c r="F168" s="1">
        <v>38714</v>
      </c>
      <c r="G168" s="2">
        <v>2005</v>
      </c>
      <c r="H168">
        <v>2021</v>
      </c>
      <c r="I168" s="2">
        <v>16</v>
      </c>
      <c r="J168" s="7">
        <v>103182</v>
      </c>
      <c r="K168" t="s">
        <v>277</v>
      </c>
      <c r="L168">
        <v>2</v>
      </c>
      <c r="M168" t="s">
        <v>16</v>
      </c>
      <c r="N168" t="s">
        <v>17</v>
      </c>
      <c r="O168" t="s">
        <v>41</v>
      </c>
      <c r="P168" t="s">
        <v>1491</v>
      </c>
      <c r="Q168" s="7">
        <f t="shared" si="4"/>
        <v>1238184</v>
      </c>
      <c r="R168" s="7">
        <f t="shared" si="5"/>
        <v>10318.200000000001</v>
      </c>
    </row>
    <row r="169" spans="1:18" x14ac:dyDescent="0.35">
      <c r="A169" s="5">
        <v>163</v>
      </c>
      <c r="B169" t="s">
        <v>435</v>
      </c>
      <c r="C169" t="s">
        <v>436</v>
      </c>
      <c r="D169" t="s">
        <v>1485</v>
      </c>
      <c r="E169" t="s">
        <v>110</v>
      </c>
      <c r="F169" s="1">
        <v>36684</v>
      </c>
      <c r="G169" s="2">
        <v>2000</v>
      </c>
      <c r="H169">
        <v>2021</v>
      </c>
      <c r="I169" s="2">
        <v>21</v>
      </c>
      <c r="J169" s="7">
        <v>96996</v>
      </c>
      <c r="K169" t="s">
        <v>437</v>
      </c>
      <c r="L169">
        <v>4</v>
      </c>
      <c r="M169" t="s">
        <v>55</v>
      </c>
      <c r="N169" t="s">
        <v>17</v>
      </c>
      <c r="O169" t="s">
        <v>112</v>
      </c>
      <c r="P169" t="s">
        <v>1491</v>
      </c>
      <c r="Q169" s="7">
        <f t="shared" si="4"/>
        <v>1163952</v>
      </c>
      <c r="R169" s="7">
        <f t="shared" si="5"/>
        <v>9699.6</v>
      </c>
    </row>
    <row r="170" spans="1:18" x14ac:dyDescent="0.35">
      <c r="A170" s="5">
        <v>164</v>
      </c>
      <c r="B170" t="s">
        <v>435</v>
      </c>
      <c r="C170" t="s">
        <v>438</v>
      </c>
      <c r="D170" t="s">
        <v>1486</v>
      </c>
      <c r="E170" t="s">
        <v>14</v>
      </c>
      <c r="F170" s="1">
        <v>44438</v>
      </c>
      <c r="G170" s="2">
        <v>2008</v>
      </c>
      <c r="H170">
        <v>2021</v>
      </c>
      <c r="I170" s="2">
        <v>13</v>
      </c>
      <c r="J170" s="7">
        <v>106607</v>
      </c>
      <c r="K170" t="s">
        <v>189</v>
      </c>
      <c r="L170">
        <v>2</v>
      </c>
      <c r="M170" t="s">
        <v>16</v>
      </c>
      <c r="N170" t="s">
        <v>17</v>
      </c>
      <c r="O170" t="s">
        <v>18</v>
      </c>
      <c r="P170" t="s">
        <v>1491</v>
      </c>
      <c r="Q170" s="7">
        <f t="shared" si="4"/>
        <v>1279284</v>
      </c>
      <c r="R170" s="7">
        <f t="shared" si="5"/>
        <v>10660.7</v>
      </c>
    </row>
    <row r="171" spans="1:18" x14ac:dyDescent="0.35">
      <c r="A171" s="5">
        <v>165</v>
      </c>
      <c r="B171" t="s">
        <v>439</v>
      </c>
      <c r="C171" t="s">
        <v>440</v>
      </c>
      <c r="D171" t="s">
        <v>1485</v>
      </c>
      <c r="E171" t="s">
        <v>26</v>
      </c>
      <c r="F171" s="1">
        <v>41248</v>
      </c>
      <c r="G171" s="2">
        <v>2012</v>
      </c>
      <c r="H171">
        <v>2021</v>
      </c>
      <c r="I171" s="2">
        <v>9</v>
      </c>
      <c r="J171" s="7">
        <v>130993</v>
      </c>
      <c r="K171" t="s">
        <v>441</v>
      </c>
      <c r="L171">
        <v>2</v>
      </c>
      <c r="M171" t="s">
        <v>16</v>
      </c>
      <c r="N171" t="s">
        <v>17</v>
      </c>
      <c r="O171" t="s">
        <v>29</v>
      </c>
      <c r="P171" t="s">
        <v>1491</v>
      </c>
      <c r="Q171" s="7">
        <f t="shared" si="4"/>
        <v>1571916</v>
      </c>
      <c r="R171" s="7">
        <f t="shared" si="5"/>
        <v>13099.300000000001</v>
      </c>
    </row>
    <row r="172" spans="1:18" x14ac:dyDescent="0.35">
      <c r="A172" s="5">
        <v>166</v>
      </c>
      <c r="B172" t="s">
        <v>407</v>
      </c>
      <c r="C172" t="s">
        <v>442</v>
      </c>
      <c r="D172" t="s">
        <v>1485</v>
      </c>
      <c r="E172" t="s">
        <v>100</v>
      </c>
      <c r="F172" s="1">
        <v>38781</v>
      </c>
      <c r="G172" s="2">
        <v>2006</v>
      </c>
      <c r="H172">
        <v>2021</v>
      </c>
      <c r="I172" s="2">
        <v>15</v>
      </c>
      <c r="J172" s="7">
        <v>87097</v>
      </c>
      <c r="K172" t="s">
        <v>418</v>
      </c>
      <c r="L172">
        <v>7</v>
      </c>
      <c r="M172" t="s">
        <v>39</v>
      </c>
      <c r="N172" t="s">
        <v>40</v>
      </c>
      <c r="O172" t="s">
        <v>29</v>
      </c>
      <c r="P172" t="s">
        <v>1491</v>
      </c>
      <c r="Q172" s="7">
        <f t="shared" si="4"/>
        <v>1045164</v>
      </c>
      <c r="R172" s="7">
        <f t="shared" si="5"/>
        <v>8709.7000000000007</v>
      </c>
    </row>
    <row r="173" spans="1:18" x14ac:dyDescent="0.35">
      <c r="A173" s="5">
        <v>167</v>
      </c>
      <c r="B173" t="s">
        <v>443</v>
      </c>
      <c r="C173" t="s">
        <v>444</v>
      </c>
      <c r="D173" t="s">
        <v>1485</v>
      </c>
      <c r="E173" t="s">
        <v>148</v>
      </c>
      <c r="F173" s="1">
        <v>41299</v>
      </c>
      <c r="G173" s="2">
        <v>2013</v>
      </c>
      <c r="H173">
        <v>2021</v>
      </c>
      <c r="I173" s="2">
        <v>8</v>
      </c>
      <c r="J173" s="7">
        <v>131961</v>
      </c>
      <c r="K173" t="s">
        <v>330</v>
      </c>
      <c r="L173">
        <v>4</v>
      </c>
      <c r="M173" t="s">
        <v>55</v>
      </c>
      <c r="N173" t="s">
        <v>17</v>
      </c>
      <c r="O173" t="s">
        <v>112</v>
      </c>
      <c r="P173" t="s">
        <v>1491</v>
      </c>
      <c r="Q173" s="7">
        <f t="shared" si="4"/>
        <v>1583532</v>
      </c>
      <c r="R173" s="7">
        <f t="shared" si="5"/>
        <v>13196.1</v>
      </c>
    </row>
    <row r="174" spans="1:18" x14ac:dyDescent="0.35">
      <c r="A174" s="5">
        <v>168</v>
      </c>
      <c r="B174" t="s">
        <v>445</v>
      </c>
      <c r="C174" t="s">
        <v>446</v>
      </c>
      <c r="D174" t="s">
        <v>1486</v>
      </c>
      <c r="E174" t="s">
        <v>32</v>
      </c>
      <c r="F174" s="1">
        <v>46547</v>
      </c>
      <c r="G174" s="2">
        <v>2014</v>
      </c>
      <c r="H174">
        <v>2021</v>
      </c>
      <c r="I174" s="3">
        <v>7</v>
      </c>
      <c r="J174" s="7">
        <v>88093</v>
      </c>
      <c r="K174" t="s">
        <v>179</v>
      </c>
      <c r="L174">
        <v>7</v>
      </c>
      <c r="M174" t="s">
        <v>39</v>
      </c>
      <c r="N174" t="s">
        <v>40</v>
      </c>
      <c r="O174" t="s">
        <v>34</v>
      </c>
      <c r="P174" t="s">
        <v>1491</v>
      </c>
      <c r="Q174" s="7">
        <f t="shared" si="4"/>
        <v>1057116</v>
      </c>
      <c r="R174" s="7">
        <f t="shared" si="5"/>
        <v>8809.3000000000011</v>
      </c>
    </row>
    <row r="175" spans="1:18" x14ac:dyDescent="0.35">
      <c r="A175" s="5">
        <v>169</v>
      </c>
      <c r="B175" t="s">
        <v>404</v>
      </c>
      <c r="C175" t="s">
        <v>447</v>
      </c>
      <c r="D175" t="s">
        <v>1485</v>
      </c>
      <c r="E175" t="s">
        <v>61</v>
      </c>
      <c r="F175" s="1">
        <v>40536</v>
      </c>
      <c r="G175" s="2">
        <v>2010</v>
      </c>
      <c r="H175">
        <v>2021</v>
      </c>
      <c r="I175" s="2">
        <v>11</v>
      </c>
      <c r="J175" s="7">
        <v>41898</v>
      </c>
      <c r="K175" t="s">
        <v>220</v>
      </c>
      <c r="L175">
        <v>6</v>
      </c>
      <c r="M175" t="s">
        <v>50</v>
      </c>
      <c r="N175" t="s">
        <v>40</v>
      </c>
      <c r="O175" t="s">
        <v>63</v>
      </c>
      <c r="P175" t="s">
        <v>1491</v>
      </c>
      <c r="Q175" s="7">
        <f t="shared" si="4"/>
        <v>502776</v>
      </c>
      <c r="R175" s="7">
        <f t="shared" si="5"/>
        <v>4189.8</v>
      </c>
    </row>
    <row r="176" spans="1:18" x14ac:dyDescent="0.35">
      <c r="A176" s="5">
        <v>170</v>
      </c>
      <c r="B176" t="s">
        <v>270</v>
      </c>
      <c r="C176" t="s">
        <v>448</v>
      </c>
      <c r="D176" t="s">
        <v>1485</v>
      </c>
      <c r="E176" t="s">
        <v>94</v>
      </c>
      <c r="F176" s="1">
        <v>38166</v>
      </c>
      <c r="G176" s="2">
        <v>2004</v>
      </c>
      <c r="H176">
        <v>2021</v>
      </c>
      <c r="I176" s="2">
        <v>17</v>
      </c>
      <c r="J176" s="7">
        <v>52808</v>
      </c>
      <c r="K176" t="s">
        <v>449</v>
      </c>
      <c r="L176">
        <v>2</v>
      </c>
      <c r="M176" t="s">
        <v>16</v>
      </c>
      <c r="N176" t="s">
        <v>17</v>
      </c>
      <c r="O176" t="s">
        <v>18</v>
      </c>
      <c r="P176" t="s">
        <v>1491</v>
      </c>
      <c r="Q176" s="7">
        <f t="shared" si="4"/>
        <v>633696</v>
      </c>
      <c r="R176" s="7">
        <f t="shared" si="5"/>
        <v>5280.8</v>
      </c>
    </row>
    <row r="177" spans="1:18" x14ac:dyDescent="0.35">
      <c r="A177" s="5">
        <v>171</v>
      </c>
      <c r="B177" t="s">
        <v>51</v>
      </c>
      <c r="C177" t="s">
        <v>450</v>
      </c>
      <c r="D177" t="s">
        <v>1486</v>
      </c>
      <c r="E177" t="s">
        <v>61</v>
      </c>
      <c r="F177" s="1">
        <v>38257</v>
      </c>
      <c r="G177" s="2">
        <v>2004</v>
      </c>
      <c r="H177">
        <v>2021</v>
      </c>
      <c r="I177" s="2">
        <v>17</v>
      </c>
      <c r="J177" s="7">
        <v>110912</v>
      </c>
      <c r="K177" t="s">
        <v>451</v>
      </c>
      <c r="L177">
        <v>5</v>
      </c>
      <c r="M177" t="s">
        <v>91</v>
      </c>
      <c r="N177" t="s">
        <v>40</v>
      </c>
      <c r="O177" t="s">
        <v>63</v>
      </c>
      <c r="P177" t="s">
        <v>1491</v>
      </c>
      <c r="Q177" s="7">
        <f t="shared" si="4"/>
        <v>1330944</v>
      </c>
      <c r="R177" s="7">
        <f t="shared" si="5"/>
        <v>11091.2</v>
      </c>
    </row>
    <row r="178" spans="1:18" x14ac:dyDescent="0.35">
      <c r="A178" s="5">
        <v>172</v>
      </c>
      <c r="B178" t="s">
        <v>452</v>
      </c>
      <c r="C178" t="s">
        <v>453</v>
      </c>
      <c r="D178" t="s">
        <v>1485</v>
      </c>
      <c r="E178" t="s">
        <v>122</v>
      </c>
      <c r="F178" s="1">
        <v>40061</v>
      </c>
      <c r="G178" s="2">
        <v>2009</v>
      </c>
      <c r="H178">
        <v>2021</v>
      </c>
      <c r="I178" s="2">
        <v>12</v>
      </c>
      <c r="J178" s="7">
        <v>101520</v>
      </c>
      <c r="K178" t="s">
        <v>454</v>
      </c>
      <c r="L178">
        <v>1</v>
      </c>
      <c r="M178" t="s">
        <v>46</v>
      </c>
      <c r="N178" t="s">
        <v>17</v>
      </c>
      <c r="O178" t="s">
        <v>123</v>
      </c>
      <c r="P178" t="s">
        <v>1491</v>
      </c>
      <c r="Q178" s="7">
        <f t="shared" si="4"/>
        <v>1218240</v>
      </c>
      <c r="R178" s="7">
        <f t="shared" si="5"/>
        <v>10152</v>
      </c>
    </row>
    <row r="179" spans="1:18" x14ac:dyDescent="0.35">
      <c r="A179" s="5">
        <v>173</v>
      </c>
      <c r="B179" t="s">
        <v>341</v>
      </c>
      <c r="C179" t="s">
        <v>455</v>
      </c>
      <c r="D179" t="s">
        <v>1486</v>
      </c>
      <c r="E179" t="s">
        <v>122</v>
      </c>
      <c r="F179" s="1">
        <v>38677</v>
      </c>
      <c r="G179" s="2">
        <v>2005</v>
      </c>
      <c r="H179">
        <v>2021</v>
      </c>
      <c r="I179" s="2">
        <v>16</v>
      </c>
      <c r="J179" s="7">
        <v>55633</v>
      </c>
      <c r="K179" t="s">
        <v>456</v>
      </c>
      <c r="L179">
        <v>1</v>
      </c>
      <c r="M179" t="s">
        <v>46</v>
      </c>
      <c r="N179" t="s">
        <v>17</v>
      </c>
      <c r="O179" t="s">
        <v>123</v>
      </c>
      <c r="P179" t="s">
        <v>1491</v>
      </c>
      <c r="Q179" s="7">
        <f t="shared" si="4"/>
        <v>667596</v>
      </c>
      <c r="R179" s="7">
        <f t="shared" si="5"/>
        <v>5563.3</v>
      </c>
    </row>
    <row r="180" spans="1:18" x14ac:dyDescent="0.35">
      <c r="A180" s="5">
        <v>174</v>
      </c>
      <c r="B180" t="s">
        <v>457</v>
      </c>
      <c r="C180" t="s">
        <v>458</v>
      </c>
      <c r="D180" t="s">
        <v>1486</v>
      </c>
      <c r="E180" t="s">
        <v>122</v>
      </c>
      <c r="F180" s="1">
        <v>45207</v>
      </c>
      <c r="G180" s="2">
        <v>2010</v>
      </c>
      <c r="H180">
        <v>2021</v>
      </c>
      <c r="I180" s="2">
        <v>11</v>
      </c>
      <c r="J180" s="7">
        <v>91561</v>
      </c>
      <c r="K180" t="s">
        <v>459</v>
      </c>
      <c r="L180">
        <v>7</v>
      </c>
      <c r="M180" t="s">
        <v>39</v>
      </c>
      <c r="N180" t="s">
        <v>40</v>
      </c>
      <c r="O180" t="s">
        <v>123</v>
      </c>
      <c r="P180" t="s">
        <v>1491</v>
      </c>
      <c r="Q180" s="7">
        <f t="shared" si="4"/>
        <v>1098732</v>
      </c>
      <c r="R180" s="7">
        <f t="shared" si="5"/>
        <v>9156.1</v>
      </c>
    </row>
    <row r="181" spans="1:18" x14ac:dyDescent="0.35">
      <c r="A181" s="5">
        <v>175</v>
      </c>
      <c r="B181" t="s">
        <v>251</v>
      </c>
      <c r="C181" t="s">
        <v>460</v>
      </c>
      <c r="D181" t="s">
        <v>1485</v>
      </c>
      <c r="E181" t="s">
        <v>37</v>
      </c>
      <c r="F181" s="1">
        <v>41585</v>
      </c>
      <c r="G181" s="2">
        <v>2013</v>
      </c>
      <c r="H181">
        <v>2021</v>
      </c>
      <c r="I181" s="2">
        <v>8</v>
      </c>
      <c r="J181" s="7">
        <v>77307</v>
      </c>
      <c r="K181" t="s">
        <v>461</v>
      </c>
      <c r="L181">
        <v>7</v>
      </c>
      <c r="M181" t="s">
        <v>39</v>
      </c>
      <c r="N181" t="s">
        <v>40</v>
      </c>
      <c r="O181" t="s">
        <v>41</v>
      </c>
      <c r="P181" t="s">
        <v>1491</v>
      </c>
      <c r="Q181" s="7">
        <f t="shared" si="4"/>
        <v>927684</v>
      </c>
      <c r="R181" s="7">
        <f t="shared" si="5"/>
        <v>7730.7000000000007</v>
      </c>
    </row>
    <row r="182" spans="1:18" x14ac:dyDescent="0.35">
      <c r="A182" s="5">
        <v>176</v>
      </c>
      <c r="B182" t="s">
        <v>462</v>
      </c>
      <c r="C182" t="s">
        <v>463</v>
      </c>
      <c r="D182" t="s">
        <v>1485</v>
      </c>
      <c r="E182" t="s">
        <v>69</v>
      </c>
      <c r="F182" s="1">
        <v>41196</v>
      </c>
      <c r="G182" s="2">
        <v>2012</v>
      </c>
      <c r="H182">
        <v>2021</v>
      </c>
      <c r="I182" s="2">
        <v>9</v>
      </c>
      <c r="J182" s="7">
        <v>67942</v>
      </c>
      <c r="K182" t="s">
        <v>22</v>
      </c>
      <c r="L182">
        <v>6</v>
      </c>
      <c r="M182" t="s">
        <v>50</v>
      </c>
      <c r="N182" t="s">
        <v>40</v>
      </c>
      <c r="O182" t="s">
        <v>41</v>
      </c>
      <c r="P182" t="s">
        <v>1491</v>
      </c>
      <c r="Q182" s="7">
        <f t="shared" si="4"/>
        <v>815304</v>
      </c>
      <c r="R182" s="7">
        <f t="shared" si="5"/>
        <v>6794.2000000000007</v>
      </c>
    </row>
    <row r="183" spans="1:18" x14ac:dyDescent="0.35">
      <c r="A183" s="5">
        <v>177</v>
      </c>
      <c r="B183" t="s">
        <v>163</v>
      </c>
      <c r="C183" t="s">
        <v>464</v>
      </c>
      <c r="D183" t="s">
        <v>1486</v>
      </c>
      <c r="E183" t="s">
        <v>69</v>
      </c>
      <c r="F183" s="1">
        <v>44457</v>
      </c>
      <c r="G183" s="2">
        <v>2008</v>
      </c>
      <c r="H183">
        <v>2021</v>
      </c>
      <c r="I183" s="2">
        <v>13</v>
      </c>
      <c r="J183" s="7">
        <v>80397</v>
      </c>
      <c r="K183" t="s">
        <v>74</v>
      </c>
      <c r="L183">
        <v>1</v>
      </c>
      <c r="M183" t="s">
        <v>46</v>
      </c>
      <c r="N183" t="s">
        <v>17</v>
      </c>
      <c r="O183" t="s">
        <v>41</v>
      </c>
      <c r="P183" t="s">
        <v>1491</v>
      </c>
      <c r="Q183" s="7">
        <f t="shared" si="4"/>
        <v>964764</v>
      </c>
      <c r="R183" s="7">
        <f t="shared" si="5"/>
        <v>8039.7000000000007</v>
      </c>
    </row>
    <row r="184" spans="1:18" x14ac:dyDescent="0.35">
      <c r="A184" s="5">
        <v>178</v>
      </c>
      <c r="B184" t="s">
        <v>465</v>
      </c>
      <c r="C184" t="s">
        <v>466</v>
      </c>
      <c r="D184" t="s">
        <v>1486</v>
      </c>
      <c r="E184" t="s">
        <v>21</v>
      </c>
      <c r="F184" s="1">
        <v>37669</v>
      </c>
      <c r="G184" s="2">
        <v>2003</v>
      </c>
      <c r="H184">
        <v>2021</v>
      </c>
      <c r="I184" s="2">
        <v>18</v>
      </c>
      <c r="J184" s="7">
        <v>78157</v>
      </c>
      <c r="K184" t="s">
        <v>145</v>
      </c>
      <c r="L184">
        <v>1</v>
      </c>
      <c r="M184" t="s">
        <v>46</v>
      </c>
      <c r="N184" t="s">
        <v>17</v>
      </c>
      <c r="O184" t="s">
        <v>23</v>
      </c>
      <c r="P184" t="s">
        <v>1491</v>
      </c>
      <c r="Q184" s="7">
        <f t="shared" si="4"/>
        <v>937884</v>
      </c>
      <c r="R184" s="7">
        <f t="shared" si="5"/>
        <v>7815.7000000000007</v>
      </c>
    </row>
    <row r="185" spans="1:18" x14ac:dyDescent="0.35">
      <c r="A185" s="5">
        <v>179</v>
      </c>
      <c r="B185" t="s">
        <v>457</v>
      </c>
      <c r="C185" t="s">
        <v>467</v>
      </c>
      <c r="D185" t="s">
        <v>1486</v>
      </c>
      <c r="E185" t="s">
        <v>110</v>
      </c>
      <c r="F185" s="1">
        <v>38015</v>
      </c>
      <c r="G185" s="2">
        <v>2004</v>
      </c>
      <c r="H185">
        <v>2021</v>
      </c>
      <c r="I185" s="2">
        <v>17</v>
      </c>
      <c r="J185" s="7">
        <v>121836</v>
      </c>
      <c r="K185" t="s">
        <v>196</v>
      </c>
      <c r="L185">
        <v>7</v>
      </c>
      <c r="M185" t="s">
        <v>39</v>
      </c>
      <c r="N185" t="s">
        <v>40</v>
      </c>
      <c r="O185" t="s">
        <v>112</v>
      </c>
      <c r="P185" t="s">
        <v>1491</v>
      </c>
      <c r="Q185" s="7">
        <f t="shared" si="4"/>
        <v>1462032</v>
      </c>
      <c r="R185" s="7">
        <f t="shared" si="5"/>
        <v>12183.6</v>
      </c>
    </row>
    <row r="186" spans="1:18" x14ac:dyDescent="0.35">
      <c r="A186" s="5">
        <v>180</v>
      </c>
      <c r="B186" t="s">
        <v>47</v>
      </c>
      <c r="C186" t="s">
        <v>468</v>
      </c>
      <c r="D186" t="s">
        <v>1485</v>
      </c>
      <c r="E186" t="s">
        <v>148</v>
      </c>
      <c r="F186" s="1">
        <v>39760</v>
      </c>
      <c r="G186" s="2">
        <v>2008</v>
      </c>
      <c r="H186">
        <v>2021</v>
      </c>
      <c r="I186" s="2">
        <v>13</v>
      </c>
      <c r="J186" s="7">
        <v>76063</v>
      </c>
      <c r="K186" t="s">
        <v>469</v>
      </c>
      <c r="L186">
        <v>6</v>
      </c>
      <c r="M186" t="s">
        <v>50</v>
      </c>
      <c r="N186" t="s">
        <v>40</v>
      </c>
      <c r="O186" t="s">
        <v>112</v>
      </c>
      <c r="P186" t="s">
        <v>1491</v>
      </c>
      <c r="Q186" s="7">
        <f t="shared" si="4"/>
        <v>912756</v>
      </c>
      <c r="R186" s="7">
        <f t="shared" si="5"/>
        <v>7606.3</v>
      </c>
    </row>
    <row r="187" spans="1:18" x14ac:dyDescent="0.35">
      <c r="A187" s="5">
        <v>181</v>
      </c>
      <c r="B187" t="s">
        <v>470</v>
      </c>
      <c r="C187" t="s">
        <v>471</v>
      </c>
      <c r="D187" t="s">
        <v>1486</v>
      </c>
      <c r="E187" t="s">
        <v>110</v>
      </c>
      <c r="F187" s="1">
        <v>37013</v>
      </c>
      <c r="G187" s="2">
        <v>2001</v>
      </c>
      <c r="H187">
        <v>2021</v>
      </c>
      <c r="I187" s="2">
        <v>20</v>
      </c>
      <c r="J187" s="7">
        <v>56923</v>
      </c>
      <c r="K187" t="s">
        <v>472</v>
      </c>
      <c r="L187">
        <v>2</v>
      </c>
      <c r="M187" t="s">
        <v>16</v>
      </c>
      <c r="N187" t="s">
        <v>17</v>
      </c>
      <c r="O187" t="s">
        <v>112</v>
      </c>
      <c r="P187" t="s">
        <v>1491</v>
      </c>
      <c r="Q187" s="7">
        <f t="shared" si="4"/>
        <v>683076</v>
      </c>
      <c r="R187" s="7">
        <f t="shared" si="5"/>
        <v>5692.3</v>
      </c>
    </row>
    <row r="188" spans="1:18" x14ac:dyDescent="0.35">
      <c r="A188" s="5">
        <v>182</v>
      </c>
      <c r="B188" t="s">
        <v>275</v>
      </c>
      <c r="C188" t="s">
        <v>473</v>
      </c>
      <c r="D188" t="s">
        <v>1486</v>
      </c>
      <c r="E188" t="s">
        <v>100</v>
      </c>
      <c r="F188" s="1">
        <v>44655</v>
      </c>
      <c r="G188" s="2">
        <v>2009</v>
      </c>
      <c r="H188">
        <v>2021</v>
      </c>
      <c r="I188" s="2">
        <v>12</v>
      </c>
      <c r="J188" s="7">
        <v>76932</v>
      </c>
      <c r="K188" t="s">
        <v>330</v>
      </c>
      <c r="L188">
        <v>5</v>
      </c>
      <c r="M188" t="s">
        <v>91</v>
      </c>
      <c r="N188" t="s">
        <v>40</v>
      </c>
      <c r="O188" t="s">
        <v>29</v>
      </c>
      <c r="P188" t="s">
        <v>1491</v>
      </c>
      <c r="Q188" s="7">
        <f t="shared" si="4"/>
        <v>923184</v>
      </c>
      <c r="R188" s="7">
        <f t="shared" si="5"/>
        <v>7693.2000000000007</v>
      </c>
    </row>
    <row r="189" spans="1:18" x14ac:dyDescent="0.35">
      <c r="A189" s="5">
        <v>183</v>
      </c>
      <c r="B189" t="s">
        <v>474</v>
      </c>
      <c r="C189" t="s">
        <v>475</v>
      </c>
      <c r="D189" t="s">
        <v>1486</v>
      </c>
      <c r="E189" t="s">
        <v>79</v>
      </c>
      <c r="F189" s="1">
        <v>37471</v>
      </c>
      <c r="G189" s="2">
        <v>2002</v>
      </c>
      <c r="H189">
        <v>2021</v>
      </c>
      <c r="I189" s="2">
        <v>19</v>
      </c>
      <c r="J189" s="7">
        <v>64410</v>
      </c>
      <c r="K189" t="s">
        <v>107</v>
      </c>
      <c r="L189">
        <v>2</v>
      </c>
      <c r="M189" t="s">
        <v>16</v>
      </c>
      <c r="N189" t="s">
        <v>17</v>
      </c>
      <c r="O189" t="s">
        <v>41</v>
      </c>
      <c r="P189" t="s">
        <v>1491</v>
      </c>
      <c r="Q189" s="7">
        <f t="shared" si="4"/>
        <v>772920</v>
      </c>
      <c r="R189" s="7">
        <f t="shared" si="5"/>
        <v>6441</v>
      </c>
    </row>
    <row r="190" spans="1:18" x14ac:dyDescent="0.35">
      <c r="A190" s="5">
        <v>184</v>
      </c>
      <c r="B190" t="s">
        <v>207</v>
      </c>
      <c r="C190" t="s">
        <v>476</v>
      </c>
      <c r="D190" t="s">
        <v>1486</v>
      </c>
      <c r="E190" t="s">
        <v>122</v>
      </c>
      <c r="F190" s="1">
        <v>44229</v>
      </c>
      <c r="G190" s="2">
        <v>2008</v>
      </c>
      <c r="H190">
        <v>2021</v>
      </c>
      <c r="I190" s="2">
        <v>13</v>
      </c>
      <c r="J190" s="7">
        <v>111873</v>
      </c>
      <c r="K190" t="s">
        <v>149</v>
      </c>
      <c r="L190">
        <v>2</v>
      </c>
      <c r="M190" t="s">
        <v>16</v>
      </c>
      <c r="N190" t="s">
        <v>17</v>
      </c>
      <c r="O190" t="s">
        <v>123</v>
      </c>
      <c r="P190" t="s">
        <v>1491</v>
      </c>
      <c r="Q190" s="7">
        <f t="shared" si="4"/>
        <v>1342476</v>
      </c>
      <c r="R190" s="7">
        <f t="shared" si="5"/>
        <v>11187.300000000001</v>
      </c>
    </row>
    <row r="191" spans="1:18" x14ac:dyDescent="0.35">
      <c r="A191" s="5">
        <v>185</v>
      </c>
      <c r="B191" t="s">
        <v>207</v>
      </c>
      <c r="C191" t="s">
        <v>477</v>
      </c>
      <c r="D191" t="s">
        <v>1486</v>
      </c>
      <c r="E191" t="s">
        <v>69</v>
      </c>
      <c r="F191" s="1">
        <v>37156</v>
      </c>
      <c r="G191" s="2">
        <v>2001</v>
      </c>
      <c r="H191">
        <v>2021</v>
      </c>
      <c r="I191" s="2">
        <v>20</v>
      </c>
      <c r="J191" s="7">
        <v>74648</v>
      </c>
      <c r="K191" t="s">
        <v>478</v>
      </c>
      <c r="L191">
        <v>2</v>
      </c>
      <c r="M191" t="s">
        <v>16</v>
      </c>
      <c r="N191" t="s">
        <v>17</v>
      </c>
      <c r="O191" t="s">
        <v>41</v>
      </c>
      <c r="P191" t="s">
        <v>1491</v>
      </c>
      <c r="Q191" s="7">
        <f t="shared" si="4"/>
        <v>895776</v>
      </c>
      <c r="R191" s="7">
        <f t="shared" si="5"/>
        <v>7464.8</v>
      </c>
    </row>
    <row r="192" spans="1:18" x14ac:dyDescent="0.35">
      <c r="A192" s="5">
        <v>186</v>
      </c>
      <c r="B192" t="s">
        <v>412</v>
      </c>
      <c r="C192" t="s">
        <v>479</v>
      </c>
      <c r="D192" t="s">
        <v>1486</v>
      </c>
      <c r="E192" t="s">
        <v>53</v>
      </c>
      <c r="F192" s="1">
        <v>45552</v>
      </c>
      <c r="G192" s="2">
        <v>2011</v>
      </c>
      <c r="H192">
        <v>2021</v>
      </c>
      <c r="I192" s="2">
        <v>10</v>
      </c>
      <c r="J192" s="7">
        <v>144991</v>
      </c>
      <c r="K192" t="s">
        <v>349</v>
      </c>
      <c r="L192">
        <v>7</v>
      </c>
      <c r="M192" t="s">
        <v>39</v>
      </c>
      <c r="N192" t="s">
        <v>40</v>
      </c>
      <c r="O192" t="s">
        <v>23</v>
      </c>
      <c r="P192" t="s">
        <v>1491</v>
      </c>
      <c r="Q192" s="7">
        <f t="shared" si="4"/>
        <v>1739892</v>
      </c>
      <c r="R192" s="7">
        <f t="shared" si="5"/>
        <v>14499.1</v>
      </c>
    </row>
    <row r="193" spans="1:18" x14ac:dyDescent="0.35">
      <c r="A193" s="5">
        <v>187</v>
      </c>
      <c r="B193" t="s">
        <v>480</v>
      </c>
      <c r="C193" t="s">
        <v>481</v>
      </c>
      <c r="D193" t="s">
        <v>1486</v>
      </c>
      <c r="E193" t="s">
        <v>148</v>
      </c>
      <c r="F193" s="1">
        <v>38660</v>
      </c>
      <c r="G193" s="2">
        <v>2005</v>
      </c>
      <c r="H193">
        <v>2021</v>
      </c>
      <c r="I193" s="2">
        <v>16</v>
      </c>
      <c r="J193" s="7">
        <v>107407</v>
      </c>
      <c r="K193" t="s">
        <v>272</v>
      </c>
      <c r="L193">
        <v>3</v>
      </c>
      <c r="M193" t="s">
        <v>28</v>
      </c>
      <c r="N193" t="s">
        <v>17</v>
      </c>
      <c r="O193" t="s">
        <v>112</v>
      </c>
      <c r="P193" t="s">
        <v>1491</v>
      </c>
      <c r="Q193" s="7">
        <f t="shared" si="4"/>
        <v>1288884</v>
      </c>
      <c r="R193" s="7">
        <f t="shared" si="5"/>
        <v>10740.7</v>
      </c>
    </row>
    <row r="194" spans="1:18" x14ac:dyDescent="0.35">
      <c r="A194" s="5">
        <v>188</v>
      </c>
      <c r="B194" t="s">
        <v>379</v>
      </c>
      <c r="C194" t="s">
        <v>482</v>
      </c>
      <c r="D194" t="s">
        <v>1485</v>
      </c>
      <c r="E194" t="s">
        <v>37</v>
      </c>
      <c r="F194" s="1">
        <v>40985</v>
      </c>
      <c r="G194" s="2">
        <v>2012</v>
      </c>
      <c r="H194">
        <v>2021</v>
      </c>
      <c r="I194" s="2">
        <v>9</v>
      </c>
      <c r="J194" s="7">
        <v>120225</v>
      </c>
      <c r="K194" t="s">
        <v>179</v>
      </c>
      <c r="L194">
        <v>7</v>
      </c>
      <c r="M194" t="s">
        <v>39</v>
      </c>
      <c r="N194" t="s">
        <v>40</v>
      </c>
      <c r="O194" t="s">
        <v>41</v>
      </c>
      <c r="P194" t="s">
        <v>1491</v>
      </c>
      <c r="Q194" s="7">
        <f t="shared" si="4"/>
        <v>1442700</v>
      </c>
      <c r="R194" s="7">
        <f t="shared" si="5"/>
        <v>12022.5</v>
      </c>
    </row>
    <row r="195" spans="1:18" x14ac:dyDescent="0.35">
      <c r="A195" s="5">
        <v>189</v>
      </c>
      <c r="B195" t="s">
        <v>483</v>
      </c>
      <c r="C195" t="s">
        <v>484</v>
      </c>
      <c r="D195" t="s">
        <v>1485</v>
      </c>
      <c r="E195" t="s">
        <v>89</v>
      </c>
      <c r="F195" s="1">
        <v>41975</v>
      </c>
      <c r="G195" s="2">
        <v>2014</v>
      </c>
      <c r="H195">
        <v>2021</v>
      </c>
      <c r="I195" s="2">
        <v>7</v>
      </c>
      <c r="J195" s="7">
        <v>122272</v>
      </c>
      <c r="K195" t="s">
        <v>253</v>
      </c>
      <c r="L195">
        <v>2</v>
      </c>
      <c r="M195" t="s">
        <v>16</v>
      </c>
      <c r="N195" t="s">
        <v>17</v>
      </c>
      <c r="O195" t="s">
        <v>41</v>
      </c>
      <c r="P195" t="s">
        <v>1491</v>
      </c>
      <c r="Q195" s="7">
        <f t="shared" si="4"/>
        <v>1467264</v>
      </c>
      <c r="R195" s="7">
        <f t="shared" si="5"/>
        <v>12227.2</v>
      </c>
    </row>
    <row r="196" spans="1:18" x14ac:dyDescent="0.35">
      <c r="A196" s="5">
        <v>190</v>
      </c>
      <c r="B196" t="s">
        <v>485</v>
      </c>
      <c r="C196" t="s">
        <v>486</v>
      </c>
      <c r="D196" t="s">
        <v>1486</v>
      </c>
      <c r="E196" t="s">
        <v>203</v>
      </c>
      <c r="F196" s="1">
        <v>37573</v>
      </c>
      <c r="G196" s="2">
        <v>2002</v>
      </c>
      <c r="H196">
        <v>2021</v>
      </c>
      <c r="I196" s="2">
        <v>19</v>
      </c>
      <c r="J196" s="7">
        <v>120577</v>
      </c>
      <c r="K196" t="s">
        <v>487</v>
      </c>
      <c r="L196">
        <v>1</v>
      </c>
      <c r="M196" t="s">
        <v>46</v>
      </c>
      <c r="N196" t="s">
        <v>17</v>
      </c>
      <c r="O196" t="s">
        <v>41</v>
      </c>
      <c r="P196" t="s">
        <v>1491</v>
      </c>
      <c r="Q196" s="7">
        <f t="shared" si="4"/>
        <v>1446924</v>
      </c>
      <c r="R196" s="7">
        <f t="shared" si="5"/>
        <v>12057.7</v>
      </c>
    </row>
    <row r="197" spans="1:18" x14ac:dyDescent="0.35">
      <c r="A197" s="5">
        <v>191</v>
      </c>
      <c r="B197" t="s">
        <v>488</v>
      </c>
      <c r="C197" t="s">
        <v>489</v>
      </c>
      <c r="D197" t="s">
        <v>1486</v>
      </c>
      <c r="E197" t="s">
        <v>94</v>
      </c>
      <c r="F197" s="1">
        <v>44315</v>
      </c>
      <c r="G197" s="2">
        <v>2008</v>
      </c>
      <c r="H197">
        <v>2021</v>
      </c>
      <c r="I197" s="2">
        <v>13</v>
      </c>
      <c r="J197" s="7">
        <v>148986</v>
      </c>
      <c r="K197" t="s">
        <v>490</v>
      </c>
      <c r="L197">
        <v>1</v>
      </c>
      <c r="M197" t="s">
        <v>46</v>
      </c>
      <c r="N197" t="s">
        <v>17</v>
      </c>
      <c r="O197" t="s">
        <v>18</v>
      </c>
      <c r="P197" t="s">
        <v>1491</v>
      </c>
      <c r="Q197" s="7">
        <f t="shared" si="4"/>
        <v>1787832</v>
      </c>
      <c r="R197" s="7">
        <f t="shared" si="5"/>
        <v>14898.6</v>
      </c>
    </row>
    <row r="198" spans="1:18" x14ac:dyDescent="0.35">
      <c r="A198" s="5">
        <v>192</v>
      </c>
      <c r="B198" t="s">
        <v>491</v>
      </c>
      <c r="C198" t="s">
        <v>492</v>
      </c>
      <c r="D198" t="s">
        <v>1485</v>
      </c>
      <c r="E198" t="s">
        <v>79</v>
      </c>
      <c r="F198" s="1">
        <v>36566</v>
      </c>
      <c r="G198" s="2">
        <v>2000</v>
      </c>
      <c r="H198">
        <v>2021</v>
      </c>
      <c r="I198" s="2">
        <v>21</v>
      </c>
      <c r="J198" s="7">
        <v>101855</v>
      </c>
      <c r="K198" t="s">
        <v>493</v>
      </c>
      <c r="L198">
        <v>4</v>
      </c>
      <c r="M198" t="s">
        <v>55</v>
      </c>
      <c r="N198" t="s">
        <v>17</v>
      </c>
      <c r="O198" t="s">
        <v>41</v>
      </c>
      <c r="P198" t="s">
        <v>1491</v>
      </c>
      <c r="Q198" s="7">
        <f t="shared" si="4"/>
        <v>1222260</v>
      </c>
      <c r="R198" s="7">
        <f t="shared" si="5"/>
        <v>10185.5</v>
      </c>
    </row>
    <row r="199" spans="1:18" x14ac:dyDescent="0.35">
      <c r="A199" s="5">
        <v>193</v>
      </c>
      <c r="B199" t="s">
        <v>494</v>
      </c>
      <c r="C199" t="s">
        <v>495</v>
      </c>
      <c r="D199" t="s">
        <v>1486</v>
      </c>
      <c r="E199" t="s">
        <v>100</v>
      </c>
      <c r="F199" s="1">
        <v>38765</v>
      </c>
      <c r="G199" s="2">
        <v>2006</v>
      </c>
      <c r="H199">
        <v>2021</v>
      </c>
      <c r="I199" s="2">
        <v>15</v>
      </c>
      <c r="J199" s="7">
        <v>140850</v>
      </c>
      <c r="K199" t="s">
        <v>310</v>
      </c>
      <c r="L199">
        <v>4</v>
      </c>
      <c r="M199" t="s">
        <v>55</v>
      </c>
      <c r="N199" t="s">
        <v>17</v>
      </c>
      <c r="O199" t="s">
        <v>29</v>
      </c>
      <c r="P199" t="s">
        <v>1491</v>
      </c>
      <c r="Q199" s="7">
        <f t="shared" ref="Q199:Q262" si="6">J199*12</f>
        <v>1690200</v>
      </c>
      <c r="R199" s="7">
        <f t="shared" ref="R199:R262" si="7">J199*10%</f>
        <v>14085</v>
      </c>
    </row>
    <row r="200" spans="1:18" x14ac:dyDescent="0.35">
      <c r="A200" s="5">
        <v>194</v>
      </c>
      <c r="B200" t="s">
        <v>350</v>
      </c>
      <c r="C200" t="s">
        <v>496</v>
      </c>
      <c r="D200" t="s">
        <v>1485</v>
      </c>
      <c r="E200" t="s">
        <v>53</v>
      </c>
      <c r="F200" s="1">
        <v>38749</v>
      </c>
      <c r="G200" s="2">
        <v>2006</v>
      </c>
      <c r="H200">
        <v>2021</v>
      </c>
      <c r="I200" s="2">
        <v>15</v>
      </c>
      <c r="J200" s="7">
        <v>142516</v>
      </c>
      <c r="K200" t="s">
        <v>497</v>
      </c>
      <c r="L200">
        <v>1</v>
      </c>
      <c r="M200" t="s">
        <v>46</v>
      </c>
      <c r="N200" t="s">
        <v>17</v>
      </c>
      <c r="O200" t="s">
        <v>23</v>
      </c>
      <c r="P200" t="s">
        <v>1491</v>
      </c>
      <c r="Q200" s="7">
        <f t="shared" si="6"/>
        <v>1710192</v>
      </c>
      <c r="R200" s="7">
        <f t="shared" si="7"/>
        <v>14251.6</v>
      </c>
    </row>
    <row r="201" spans="1:18" x14ac:dyDescent="0.35">
      <c r="A201" s="5">
        <v>195</v>
      </c>
      <c r="B201" t="s">
        <v>407</v>
      </c>
      <c r="C201" t="s">
        <v>498</v>
      </c>
      <c r="D201" t="s">
        <v>1485</v>
      </c>
      <c r="E201" t="s">
        <v>312</v>
      </c>
      <c r="F201" s="1">
        <v>41222</v>
      </c>
      <c r="G201" s="2">
        <v>2012</v>
      </c>
      <c r="H201">
        <v>2021</v>
      </c>
      <c r="I201" s="2">
        <v>9</v>
      </c>
      <c r="J201" s="7">
        <v>48829</v>
      </c>
      <c r="K201" t="s">
        <v>133</v>
      </c>
      <c r="L201">
        <v>1</v>
      </c>
      <c r="M201" t="s">
        <v>46</v>
      </c>
      <c r="N201" t="s">
        <v>17</v>
      </c>
      <c r="O201" t="s">
        <v>41</v>
      </c>
      <c r="P201" t="s">
        <v>1491</v>
      </c>
      <c r="Q201" s="7">
        <f t="shared" si="6"/>
        <v>585948</v>
      </c>
      <c r="R201" s="7">
        <f t="shared" si="7"/>
        <v>4882.9000000000005</v>
      </c>
    </row>
    <row r="202" spans="1:18" x14ac:dyDescent="0.35">
      <c r="A202" s="5">
        <v>196</v>
      </c>
      <c r="B202" t="s">
        <v>64</v>
      </c>
      <c r="C202" t="s">
        <v>499</v>
      </c>
      <c r="D202" t="s">
        <v>1485</v>
      </c>
      <c r="E202" t="s">
        <v>148</v>
      </c>
      <c r="F202" s="1">
        <v>38976</v>
      </c>
      <c r="G202" s="2">
        <v>2006</v>
      </c>
      <c r="H202">
        <v>2021</v>
      </c>
      <c r="I202" s="2">
        <v>15</v>
      </c>
      <c r="J202" s="7">
        <v>81270</v>
      </c>
      <c r="K202" t="s">
        <v>500</v>
      </c>
      <c r="L202">
        <v>1</v>
      </c>
      <c r="M202" t="s">
        <v>46</v>
      </c>
      <c r="N202" t="s">
        <v>17</v>
      </c>
      <c r="O202" t="s">
        <v>112</v>
      </c>
      <c r="P202" t="s">
        <v>1491</v>
      </c>
      <c r="Q202" s="7">
        <f t="shared" si="6"/>
        <v>975240</v>
      </c>
      <c r="R202" s="7">
        <f t="shared" si="7"/>
        <v>8127</v>
      </c>
    </row>
    <row r="203" spans="1:18" x14ac:dyDescent="0.35">
      <c r="A203" s="5">
        <v>197</v>
      </c>
      <c r="B203" t="s">
        <v>423</v>
      </c>
      <c r="C203" t="s">
        <v>501</v>
      </c>
      <c r="D203" t="s">
        <v>1486</v>
      </c>
      <c r="E203" t="s">
        <v>129</v>
      </c>
      <c r="F203" s="1">
        <v>45294</v>
      </c>
      <c r="G203" s="2">
        <v>2011</v>
      </c>
      <c r="H203">
        <v>2021</v>
      </c>
      <c r="I203" s="2">
        <v>10</v>
      </c>
      <c r="J203" s="7">
        <v>130097</v>
      </c>
      <c r="K203" t="s">
        <v>217</v>
      </c>
      <c r="L203">
        <v>5</v>
      </c>
      <c r="M203" t="s">
        <v>91</v>
      </c>
      <c r="N203" t="s">
        <v>40</v>
      </c>
      <c r="O203" t="s">
        <v>41</v>
      </c>
      <c r="P203" t="s">
        <v>1491</v>
      </c>
      <c r="Q203" s="7">
        <f t="shared" si="6"/>
        <v>1561164</v>
      </c>
      <c r="R203" s="7">
        <f t="shared" si="7"/>
        <v>13009.7</v>
      </c>
    </row>
    <row r="204" spans="1:18" x14ac:dyDescent="0.35">
      <c r="A204" s="5">
        <v>198</v>
      </c>
      <c r="B204" t="s">
        <v>404</v>
      </c>
      <c r="C204" t="s">
        <v>502</v>
      </c>
      <c r="D204" t="s">
        <v>1486</v>
      </c>
      <c r="E204" t="s">
        <v>100</v>
      </c>
      <c r="F204" s="1">
        <v>36549</v>
      </c>
      <c r="G204" s="2">
        <v>2000</v>
      </c>
      <c r="H204">
        <v>2021</v>
      </c>
      <c r="I204" s="2">
        <v>21</v>
      </c>
      <c r="J204" s="7">
        <v>117905</v>
      </c>
      <c r="K204" t="s">
        <v>49</v>
      </c>
      <c r="L204">
        <v>4</v>
      </c>
      <c r="M204" t="s">
        <v>55</v>
      </c>
      <c r="N204" t="s">
        <v>17</v>
      </c>
      <c r="O204" t="s">
        <v>29</v>
      </c>
      <c r="P204" t="s">
        <v>1491</v>
      </c>
      <c r="Q204" s="7">
        <f t="shared" si="6"/>
        <v>1414860</v>
      </c>
      <c r="R204" s="7">
        <f t="shared" si="7"/>
        <v>11790.5</v>
      </c>
    </row>
    <row r="205" spans="1:18" x14ac:dyDescent="0.35">
      <c r="A205" s="5">
        <v>199</v>
      </c>
      <c r="B205" t="s">
        <v>140</v>
      </c>
      <c r="C205" t="s">
        <v>503</v>
      </c>
      <c r="D205" t="s">
        <v>1486</v>
      </c>
      <c r="E205" t="s">
        <v>312</v>
      </c>
      <c r="F205" s="1">
        <v>45242</v>
      </c>
      <c r="G205" s="2">
        <v>2010</v>
      </c>
      <c r="H205">
        <v>2021</v>
      </c>
      <c r="I205" s="2">
        <v>11</v>
      </c>
      <c r="J205" s="7">
        <v>142483</v>
      </c>
      <c r="K205" t="s">
        <v>472</v>
      </c>
      <c r="L205">
        <v>3</v>
      </c>
      <c r="M205" t="s">
        <v>28</v>
      </c>
      <c r="N205" t="s">
        <v>17</v>
      </c>
      <c r="O205" t="s">
        <v>41</v>
      </c>
      <c r="P205" t="s">
        <v>1491</v>
      </c>
      <c r="Q205" s="7">
        <f t="shared" si="6"/>
        <v>1709796</v>
      </c>
      <c r="R205" s="7">
        <f t="shared" si="7"/>
        <v>14248.300000000001</v>
      </c>
    </row>
    <row r="206" spans="1:18" x14ac:dyDescent="0.35">
      <c r="A206" s="5">
        <v>200</v>
      </c>
      <c r="B206" t="s">
        <v>264</v>
      </c>
      <c r="C206" t="s">
        <v>504</v>
      </c>
      <c r="D206" t="s">
        <v>1485</v>
      </c>
      <c r="E206" t="s">
        <v>61</v>
      </c>
      <c r="F206" s="1">
        <v>38250</v>
      </c>
      <c r="G206" s="2">
        <v>2004</v>
      </c>
      <c r="H206">
        <v>2021</v>
      </c>
      <c r="I206" s="2">
        <v>17</v>
      </c>
      <c r="J206" s="7">
        <v>89633</v>
      </c>
      <c r="K206" t="s">
        <v>101</v>
      </c>
      <c r="L206">
        <v>4</v>
      </c>
      <c r="M206" t="s">
        <v>55</v>
      </c>
      <c r="N206" t="s">
        <v>17</v>
      </c>
      <c r="O206" t="s">
        <v>63</v>
      </c>
      <c r="P206" t="s">
        <v>1491</v>
      </c>
      <c r="Q206" s="7">
        <f t="shared" si="6"/>
        <v>1075596</v>
      </c>
      <c r="R206" s="7">
        <f t="shared" si="7"/>
        <v>8963.3000000000011</v>
      </c>
    </row>
    <row r="207" spans="1:18" x14ac:dyDescent="0.35">
      <c r="A207" s="5">
        <v>201</v>
      </c>
      <c r="B207" t="s">
        <v>505</v>
      </c>
      <c r="C207" t="s">
        <v>506</v>
      </c>
      <c r="D207" t="s">
        <v>1485</v>
      </c>
      <c r="E207" t="s">
        <v>89</v>
      </c>
      <c r="F207" s="1">
        <v>39890</v>
      </c>
      <c r="G207" s="2">
        <v>2009</v>
      </c>
      <c r="H207">
        <v>2021</v>
      </c>
      <c r="I207" s="2">
        <v>12</v>
      </c>
      <c r="J207" s="7">
        <v>48684</v>
      </c>
      <c r="K207" t="s">
        <v>1500</v>
      </c>
      <c r="L207">
        <v>6</v>
      </c>
      <c r="M207" t="s">
        <v>50</v>
      </c>
      <c r="N207" t="s">
        <v>40</v>
      </c>
      <c r="O207" t="s">
        <v>41</v>
      </c>
      <c r="P207" t="s">
        <v>1491</v>
      </c>
      <c r="Q207" s="7">
        <f t="shared" si="6"/>
        <v>584208</v>
      </c>
      <c r="R207" s="7">
        <f t="shared" si="7"/>
        <v>4868.4000000000005</v>
      </c>
    </row>
    <row r="208" spans="1:18" x14ac:dyDescent="0.35">
      <c r="A208" s="5">
        <v>202</v>
      </c>
      <c r="B208" t="s">
        <v>328</v>
      </c>
      <c r="C208" t="s">
        <v>507</v>
      </c>
      <c r="D208" t="s">
        <v>1486</v>
      </c>
      <c r="E208" t="s">
        <v>26</v>
      </c>
      <c r="F208" s="1">
        <v>38009</v>
      </c>
      <c r="G208" s="2">
        <v>2004</v>
      </c>
      <c r="H208">
        <v>2021</v>
      </c>
      <c r="I208" s="2">
        <v>17</v>
      </c>
      <c r="J208" s="7">
        <v>91932</v>
      </c>
      <c r="K208" t="s">
        <v>425</v>
      </c>
      <c r="L208">
        <v>1</v>
      </c>
      <c r="M208" t="s">
        <v>46</v>
      </c>
      <c r="N208" t="s">
        <v>17</v>
      </c>
      <c r="O208" t="s">
        <v>29</v>
      </c>
      <c r="P208" t="s">
        <v>1491</v>
      </c>
      <c r="Q208" s="7">
        <f t="shared" si="6"/>
        <v>1103184</v>
      </c>
      <c r="R208" s="7">
        <f t="shared" si="7"/>
        <v>9193.2000000000007</v>
      </c>
    </row>
    <row r="209" spans="1:18" x14ac:dyDescent="0.35">
      <c r="A209" s="5">
        <v>203</v>
      </c>
      <c r="B209" t="s">
        <v>508</v>
      </c>
      <c r="C209" t="s">
        <v>509</v>
      </c>
      <c r="D209" t="s">
        <v>1486</v>
      </c>
      <c r="E209" t="s">
        <v>37</v>
      </c>
      <c r="F209" s="1">
        <v>38632</v>
      </c>
      <c r="G209" s="2">
        <v>2005</v>
      </c>
      <c r="H209">
        <v>2021</v>
      </c>
      <c r="I209" s="2">
        <v>16</v>
      </c>
      <c r="J209" s="7">
        <v>112004</v>
      </c>
      <c r="K209" t="s">
        <v>510</v>
      </c>
      <c r="L209">
        <v>7</v>
      </c>
      <c r="M209" t="s">
        <v>39</v>
      </c>
      <c r="N209" t="s">
        <v>40</v>
      </c>
      <c r="O209" t="s">
        <v>41</v>
      </c>
      <c r="P209" t="s">
        <v>1491</v>
      </c>
      <c r="Q209" s="7">
        <f t="shared" si="6"/>
        <v>1344048</v>
      </c>
      <c r="R209" s="7">
        <f t="shared" si="7"/>
        <v>11200.400000000001</v>
      </c>
    </row>
    <row r="210" spans="1:18" x14ac:dyDescent="0.35">
      <c r="A210" s="5">
        <v>204</v>
      </c>
      <c r="B210" t="s">
        <v>485</v>
      </c>
      <c r="C210" t="s">
        <v>511</v>
      </c>
      <c r="D210" t="s">
        <v>1486</v>
      </c>
      <c r="E210" t="s">
        <v>129</v>
      </c>
      <c r="F210" s="1">
        <v>36794</v>
      </c>
      <c r="G210" s="2">
        <v>2000</v>
      </c>
      <c r="H210">
        <v>2021</v>
      </c>
      <c r="I210" s="2">
        <v>21</v>
      </c>
      <c r="J210" s="7">
        <v>116013</v>
      </c>
      <c r="K210" t="s">
        <v>220</v>
      </c>
      <c r="L210">
        <v>4</v>
      </c>
      <c r="M210" t="s">
        <v>55</v>
      </c>
      <c r="N210" t="s">
        <v>17</v>
      </c>
      <c r="O210" t="s">
        <v>41</v>
      </c>
      <c r="P210" t="s">
        <v>1491</v>
      </c>
      <c r="Q210" s="7">
        <f t="shared" si="6"/>
        <v>1392156</v>
      </c>
      <c r="R210" s="7">
        <f t="shared" si="7"/>
        <v>11601.300000000001</v>
      </c>
    </row>
    <row r="211" spans="1:18" x14ac:dyDescent="0.35">
      <c r="A211" s="5">
        <v>205</v>
      </c>
      <c r="B211" t="s">
        <v>512</v>
      </c>
      <c r="C211" t="s">
        <v>513</v>
      </c>
      <c r="D211" t="s">
        <v>1486</v>
      </c>
      <c r="E211" t="s">
        <v>79</v>
      </c>
      <c r="F211" s="1">
        <v>44449</v>
      </c>
      <c r="G211" s="2">
        <v>2008</v>
      </c>
      <c r="H211">
        <v>2021</v>
      </c>
      <c r="I211" s="2">
        <v>13</v>
      </c>
      <c r="J211" s="7">
        <v>109058</v>
      </c>
      <c r="K211" t="s">
        <v>287</v>
      </c>
      <c r="L211">
        <v>7</v>
      </c>
      <c r="M211" t="s">
        <v>39</v>
      </c>
      <c r="N211" t="s">
        <v>40</v>
      </c>
      <c r="O211" t="s">
        <v>41</v>
      </c>
      <c r="P211" t="s">
        <v>1491</v>
      </c>
      <c r="Q211" s="7">
        <f t="shared" si="6"/>
        <v>1308696</v>
      </c>
      <c r="R211" s="7">
        <f t="shared" si="7"/>
        <v>10905.800000000001</v>
      </c>
    </row>
    <row r="212" spans="1:18" x14ac:dyDescent="0.35">
      <c r="A212" s="5">
        <v>206</v>
      </c>
      <c r="B212" t="s">
        <v>514</v>
      </c>
      <c r="C212" t="s">
        <v>515</v>
      </c>
      <c r="D212" t="s">
        <v>1485</v>
      </c>
      <c r="E212" t="s">
        <v>53</v>
      </c>
      <c r="F212" s="1">
        <v>41035</v>
      </c>
      <c r="G212" s="2">
        <v>2012</v>
      </c>
      <c r="H212">
        <v>2021</v>
      </c>
      <c r="I212" s="2">
        <v>9</v>
      </c>
      <c r="J212" s="7">
        <v>61992</v>
      </c>
      <c r="K212" t="s">
        <v>62</v>
      </c>
      <c r="L212">
        <v>4</v>
      </c>
      <c r="M212" t="s">
        <v>55</v>
      </c>
      <c r="N212" t="s">
        <v>17</v>
      </c>
      <c r="O212" t="s">
        <v>23</v>
      </c>
      <c r="P212" t="s">
        <v>1491</v>
      </c>
      <c r="Q212" s="7">
        <f t="shared" si="6"/>
        <v>743904</v>
      </c>
      <c r="R212" s="7">
        <f t="shared" si="7"/>
        <v>6199.2000000000007</v>
      </c>
    </row>
    <row r="213" spans="1:18" x14ac:dyDescent="0.35">
      <c r="A213" s="5">
        <v>207</v>
      </c>
      <c r="B213" t="s">
        <v>51</v>
      </c>
      <c r="C213" t="s">
        <v>516</v>
      </c>
      <c r="D213" t="s">
        <v>1486</v>
      </c>
      <c r="E213" t="s">
        <v>61</v>
      </c>
      <c r="F213" s="1">
        <v>44471</v>
      </c>
      <c r="G213" s="2">
        <v>2008</v>
      </c>
      <c r="H213">
        <v>2021</v>
      </c>
      <c r="I213" s="2">
        <v>13</v>
      </c>
      <c r="J213" s="7">
        <v>129527</v>
      </c>
      <c r="K213" t="s">
        <v>517</v>
      </c>
      <c r="L213">
        <v>2</v>
      </c>
      <c r="M213" t="s">
        <v>16</v>
      </c>
      <c r="N213" t="s">
        <v>17</v>
      </c>
      <c r="O213" t="s">
        <v>63</v>
      </c>
      <c r="P213" t="s">
        <v>1491</v>
      </c>
      <c r="Q213" s="7">
        <f t="shared" si="6"/>
        <v>1554324</v>
      </c>
      <c r="R213" s="7">
        <f t="shared" si="7"/>
        <v>12952.7</v>
      </c>
    </row>
    <row r="214" spans="1:18" x14ac:dyDescent="0.35">
      <c r="A214" s="5">
        <v>208</v>
      </c>
      <c r="B214" t="s">
        <v>262</v>
      </c>
      <c r="C214" t="s">
        <v>518</v>
      </c>
      <c r="D214" t="s">
        <v>1486</v>
      </c>
      <c r="E214" t="s">
        <v>37</v>
      </c>
      <c r="F214" s="1">
        <v>37240</v>
      </c>
      <c r="G214" s="2">
        <v>2001</v>
      </c>
      <c r="H214">
        <v>2021</v>
      </c>
      <c r="I214" s="2">
        <v>20</v>
      </c>
      <c r="J214" s="7">
        <v>67746</v>
      </c>
      <c r="K214" t="s">
        <v>242</v>
      </c>
      <c r="L214">
        <v>2</v>
      </c>
      <c r="M214" t="s">
        <v>16</v>
      </c>
      <c r="N214" t="s">
        <v>17</v>
      </c>
      <c r="O214" t="s">
        <v>41</v>
      </c>
      <c r="P214" t="s">
        <v>1491</v>
      </c>
      <c r="Q214" s="7">
        <f t="shared" si="6"/>
        <v>812952</v>
      </c>
      <c r="R214" s="7">
        <f t="shared" si="7"/>
        <v>6774.6</v>
      </c>
    </row>
    <row r="215" spans="1:18" x14ac:dyDescent="0.35">
      <c r="A215" s="5">
        <v>209</v>
      </c>
      <c r="B215" t="s">
        <v>519</v>
      </c>
      <c r="C215" t="s">
        <v>520</v>
      </c>
      <c r="D215" t="s">
        <v>1485</v>
      </c>
      <c r="E215" t="s">
        <v>122</v>
      </c>
      <c r="F215" s="1">
        <v>40251</v>
      </c>
      <c r="G215" s="2">
        <v>2010</v>
      </c>
      <c r="H215">
        <v>2021</v>
      </c>
      <c r="I215" s="2">
        <v>11</v>
      </c>
      <c r="J215" s="7">
        <v>104530</v>
      </c>
      <c r="K215" t="s">
        <v>191</v>
      </c>
      <c r="L215">
        <v>2</v>
      </c>
      <c r="M215" t="s">
        <v>16</v>
      </c>
      <c r="N215" t="s">
        <v>17</v>
      </c>
      <c r="O215" t="s">
        <v>123</v>
      </c>
      <c r="P215" t="s">
        <v>1491</v>
      </c>
      <c r="Q215" s="7">
        <f t="shared" si="6"/>
        <v>1254360</v>
      </c>
      <c r="R215" s="7">
        <f t="shared" si="7"/>
        <v>10453</v>
      </c>
    </row>
    <row r="216" spans="1:18" x14ac:dyDescent="0.35">
      <c r="A216" s="5">
        <v>210</v>
      </c>
      <c r="B216" t="s">
        <v>521</v>
      </c>
      <c r="C216" t="s">
        <v>522</v>
      </c>
      <c r="D216" t="s">
        <v>1486</v>
      </c>
      <c r="E216" t="s">
        <v>238</v>
      </c>
      <c r="F216" s="1">
        <v>44213</v>
      </c>
      <c r="G216" s="2">
        <v>2008</v>
      </c>
      <c r="H216">
        <v>2021</v>
      </c>
      <c r="I216" s="2">
        <v>13</v>
      </c>
      <c r="J216" s="7">
        <v>42759</v>
      </c>
      <c r="K216" t="s">
        <v>472</v>
      </c>
      <c r="L216">
        <v>4</v>
      </c>
      <c r="M216" t="s">
        <v>55</v>
      </c>
      <c r="N216" t="s">
        <v>17</v>
      </c>
      <c r="O216" t="s">
        <v>63</v>
      </c>
      <c r="P216" t="s">
        <v>1491</v>
      </c>
      <c r="Q216" s="7">
        <f t="shared" si="6"/>
        <v>513108</v>
      </c>
      <c r="R216" s="7">
        <f t="shared" si="7"/>
        <v>4275.9000000000005</v>
      </c>
    </row>
    <row r="217" spans="1:18" x14ac:dyDescent="0.35">
      <c r="A217" s="5">
        <v>211</v>
      </c>
      <c r="B217" t="s">
        <v>523</v>
      </c>
      <c r="C217" t="s">
        <v>524</v>
      </c>
      <c r="D217" t="s">
        <v>1486</v>
      </c>
      <c r="E217" t="s">
        <v>85</v>
      </c>
      <c r="F217" s="1">
        <v>45347</v>
      </c>
      <c r="G217" s="2">
        <v>2011</v>
      </c>
      <c r="H217">
        <v>2021</v>
      </c>
      <c r="I217" s="2">
        <v>10</v>
      </c>
      <c r="J217" s="7">
        <v>43097</v>
      </c>
      <c r="K217" t="s">
        <v>360</v>
      </c>
      <c r="L217">
        <v>2</v>
      </c>
      <c r="M217" t="s">
        <v>16</v>
      </c>
      <c r="N217" t="s">
        <v>17</v>
      </c>
      <c r="O217" t="s">
        <v>41</v>
      </c>
      <c r="P217" t="s">
        <v>1491</v>
      </c>
      <c r="Q217" s="7">
        <f t="shared" si="6"/>
        <v>517164</v>
      </c>
      <c r="R217" s="7">
        <f t="shared" si="7"/>
        <v>4309.7</v>
      </c>
    </row>
    <row r="218" spans="1:18" x14ac:dyDescent="0.35">
      <c r="A218" s="5">
        <v>212</v>
      </c>
      <c r="B218" t="s">
        <v>304</v>
      </c>
      <c r="C218" t="s">
        <v>525</v>
      </c>
      <c r="D218" t="s">
        <v>1486</v>
      </c>
      <c r="E218" t="s">
        <v>148</v>
      </c>
      <c r="F218" s="1">
        <v>38678</v>
      </c>
      <c r="G218" s="2">
        <v>2005</v>
      </c>
      <c r="H218">
        <v>2021</v>
      </c>
      <c r="I218" s="2">
        <v>16</v>
      </c>
      <c r="J218" s="7">
        <v>123936</v>
      </c>
      <c r="K218" t="s">
        <v>510</v>
      </c>
      <c r="L218">
        <v>1</v>
      </c>
      <c r="M218" t="s">
        <v>46</v>
      </c>
      <c r="N218" t="s">
        <v>17</v>
      </c>
      <c r="O218" t="s">
        <v>112</v>
      </c>
      <c r="P218" t="s">
        <v>1491</v>
      </c>
      <c r="Q218" s="7">
        <f t="shared" si="6"/>
        <v>1487232</v>
      </c>
      <c r="R218" s="7">
        <f t="shared" si="7"/>
        <v>12393.6</v>
      </c>
    </row>
    <row r="219" spans="1:18" x14ac:dyDescent="0.35">
      <c r="A219" s="5">
        <v>213</v>
      </c>
      <c r="B219" t="s">
        <v>279</v>
      </c>
      <c r="C219" t="s">
        <v>526</v>
      </c>
      <c r="D219" t="s">
        <v>1485</v>
      </c>
      <c r="E219" t="s">
        <v>44</v>
      </c>
      <c r="F219" s="1">
        <v>39049</v>
      </c>
      <c r="G219" s="2">
        <v>2006</v>
      </c>
      <c r="H219">
        <v>2021</v>
      </c>
      <c r="I219" s="2">
        <v>15</v>
      </c>
      <c r="J219" s="7">
        <v>128239</v>
      </c>
      <c r="K219" t="s">
        <v>527</v>
      </c>
      <c r="L219">
        <v>6</v>
      </c>
      <c r="M219" t="s">
        <v>50</v>
      </c>
      <c r="N219" t="s">
        <v>40</v>
      </c>
      <c r="O219" t="s">
        <v>29</v>
      </c>
      <c r="P219" t="s">
        <v>1491</v>
      </c>
      <c r="Q219" s="7">
        <f t="shared" si="6"/>
        <v>1538868</v>
      </c>
      <c r="R219" s="7">
        <f t="shared" si="7"/>
        <v>12823.900000000001</v>
      </c>
    </row>
    <row r="220" spans="1:18" x14ac:dyDescent="0.35">
      <c r="A220" s="5">
        <v>214</v>
      </c>
      <c r="B220" t="s">
        <v>528</v>
      </c>
      <c r="C220" t="s">
        <v>529</v>
      </c>
      <c r="D220" t="s">
        <v>1485</v>
      </c>
      <c r="E220" t="s">
        <v>14</v>
      </c>
      <c r="F220" s="1">
        <v>37925</v>
      </c>
      <c r="G220" s="2">
        <v>2003</v>
      </c>
      <c r="H220">
        <v>2021</v>
      </c>
      <c r="I220" s="2">
        <v>18</v>
      </c>
      <c r="J220" s="7">
        <v>66084</v>
      </c>
      <c r="K220" t="s">
        <v>169</v>
      </c>
      <c r="L220">
        <v>6</v>
      </c>
      <c r="M220" t="s">
        <v>50</v>
      </c>
      <c r="N220" t="s">
        <v>40</v>
      </c>
      <c r="O220" t="s">
        <v>18</v>
      </c>
      <c r="P220" t="s">
        <v>1491</v>
      </c>
      <c r="Q220" s="7">
        <f t="shared" si="6"/>
        <v>793008</v>
      </c>
      <c r="R220" s="7">
        <f t="shared" si="7"/>
        <v>6608.4000000000005</v>
      </c>
    </row>
    <row r="221" spans="1:18" x14ac:dyDescent="0.35">
      <c r="A221" s="5">
        <v>215</v>
      </c>
      <c r="B221" t="s">
        <v>530</v>
      </c>
      <c r="C221" t="s">
        <v>531</v>
      </c>
      <c r="D221" t="s">
        <v>1485</v>
      </c>
      <c r="E221" t="s">
        <v>79</v>
      </c>
      <c r="F221" s="1">
        <v>39886</v>
      </c>
      <c r="G221" s="2">
        <v>2009</v>
      </c>
      <c r="H221">
        <v>2021</v>
      </c>
      <c r="I221" s="2">
        <v>12</v>
      </c>
      <c r="J221" s="7">
        <v>106729</v>
      </c>
      <c r="K221" t="s">
        <v>209</v>
      </c>
      <c r="L221">
        <v>5</v>
      </c>
      <c r="M221" t="s">
        <v>91</v>
      </c>
      <c r="N221" t="s">
        <v>40</v>
      </c>
      <c r="O221" t="s">
        <v>41</v>
      </c>
      <c r="P221" t="s">
        <v>1491</v>
      </c>
      <c r="Q221" s="7">
        <f t="shared" si="6"/>
        <v>1280748</v>
      </c>
      <c r="R221" s="7">
        <f t="shared" si="7"/>
        <v>10672.900000000001</v>
      </c>
    </row>
    <row r="222" spans="1:18" x14ac:dyDescent="0.35">
      <c r="A222" s="5">
        <v>216</v>
      </c>
      <c r="B222" t="s">
        <v>532</v>
      </c>
      <c r="C222" t="s">
        <v>533</v>
      </c>
      <c r="D222" t="s">
        <v>1485</v>
      </c>
      <c r="E222" t="s">
        <v>32</v>
      </c>
      <c r="F222" s="1">
        <v>39887</v>
      </c>
      <c r="G222" s="2">
        <v>2009</v>
      </c>
      <c r="H222">
        <v>2021</v>
      </c>
      <c r="I222" s="3">
        <v>12</v>
      </c>
      <c r="J222" s="7">
        <v>87269</v>
      </c>
      <c r="K222" t="s">
        <v>321</v>
      </c>
      <c r="L222">
        <v>4</v>
      </c>
      <c r="M222" t="s">
        <v>55</v>
      </c>
      <c r="N222" t="s">
        <v>17</v>
      </c>
      <c r="O222" t="s">
        <v>34</v>
      </c>
      <c r="P222" t="s">
        <v>1491</v>
      </c>
      <c r="Q222" s="7">
        <f t="shared" si="6"/>
        <v>1047228</v>
      </c>
      <c r="R222" s="7">
        <f t="shared" si="7"/>
        <v>8726.9</v>
      </c>
    </row>
    <row r="223" spans="1:18" x14ac:dyDescent="0.35">
      <c r="A223" s="5">
        <v>217</v>
      </c>
      <c r="B223" t="s">
        <v>210</v>
      </c>
      <c r="C223" t="s">
        <v>534</v>
      </c>
      <c r="D223" t="s">
        <v>1485</v>
      </c>
      <c r="E223" t="s">
        <v>89</v>
      </c>
      <c r="F223" s="1">
        <v>38322</v>
      </c>
      <c r="G223" s="2">
        <v>2004</v>
      </c>
      <c r="H223">
        <v>2021</v>
      </c>
      <c r="I223" s="2">
        <v>17</v>
      </c>
      <c r="J223" s="7">
        <v>128765</v>
      </c>
      <c r="K223" t="s">
        <v>247</v>
      </c>
      <c r="L223">
        <v>2</v>
      </c>
      <c r="M223" t="s">
        <v>16</v>
      </c>
      <c r="N223" t="s">
        <v>17</v>
      </c>
      <c r="O223" t="s">
        <v>41</v>
      </c>
      <c r="P223" t="s">
        <v>1491</v>
      </c>
      <c r="Q223" s="7">
        <f t="shared" si="6"/>
        <v>1545180</v>
      </c>
      <c r="R223" s="7">
        <f t="shared" si="7"/>
        <v>12876.5</v>
      </c>
    </row>
    <row r="224" spans="1:18" x14ac:dyDescent="0.35">
      <c r="A224" s="5">
        <v>218</v>
      </c>
      <c r="B224" t="s">
        <v>192</v>
      </c>
      <c r="C224" t="s">
        <v>535</v>
      </c>
      <c r="D224" t="s">
        <v>1485</v>
      </c>
      <c r="E224" t="s">
        <v>79</v>
      </c>
      <c r="F224" s="1">
        <v>37766</v>
      </c>
      <c r="G224" s="2">
        <v>2003</v>
      </c>
      <c r="H224">
        <v>2021</v>
      </c>
      <c r="I224" s="2">
        <v>18</v>
      </c>
      <c r="J224" s="7">
        <v>104671</v>
      </c>
      <c r="K224" t="s">
        <v>191</v>
      </c>
      <c r="L224">
        <v>7</v>
      </c>
      <c r="M224" t="s">
        <v>39</v>
      </c>
      <c r="N224" t="s">
        <v>40</v>
      </c>
      <c r="O224" t="s">
        <v>41</v>
      </c>
      <c r="P224" t="s">
        <v>1491</v>
      </c>
      <c r="Q224" s="7">
        <f t="shared" si="6"/>
        <v>1256052</v>
      </c>
      <c r="R224" s="7">
        <f t="shared" si="7"/>
        <v>10467.1</v>
      </c>
    </row>
    <row r="225" spans="1:18" x14ac:dyDescent="0.35">
      <c r="A225" s="5">
        <v>219</v>
      </c>
      <c r="B225" t="s">
        <v>474</v>
      </c>
      <c r="C225" t="s">
        <v>536</v>
      </c>
      <c r="D225" t="s">
        <v>1485</v>
      </c>
      <c r="E225" t="s">
        <v>312</v>
      </c>
      <c r="F225" s="1">
        <v>40664</v>
      </c>
      <c r="G225" s="2">
        <v>2011</v>
      </c>
      <c r="H225">
        <v>2021</v>
      </c>
      <c r="I225" s="2">
        <v>10</v>
      </c>
      <c r="J225" s="7">
        <v>55073</v>
      </c>
      <c r="K225" t="s">
        <v>537</v>
      </c>
      <c r="L225">
        <v>4</v>
      </c>
      <c r="M225" t="s">
        <v>55</v>
      </c>
      <c r="N225" t="s">
        <v>17</v>
      </c>
      <c r="O225" t="s">
        <v>41</v>
      </c>
      <c r="P225" t="s">
        <v>1491</v>
      </c>
      <c r="Q225" s="7">
        <f t="shared" si="6"/>
        <v>660876</v>
      </c>
      <c r="R225" s="7">
        <f t="shared" si="7"/>
        <v>5507.3</v>
      </c>
    </row>
    <row r="226" spans="1:18" x14ac:dyDescent="0.35">
      <c r="A226" s="5">
        <v>220</v>
      </c>
      <c r="B226" t="s">
        <v>35</v>
      </c>
      <c r="C226" t="s">
        <v>538</v>
      </c>
      <c r="D226" t="s">
        <v>1486</v>
      </c>
      <c r="E226" t="s">
        <v>148</v>
      </c>
      <c r="F226" s="1">
        <v>44156</v>
      </c>
      <c r="G226" s="2">
        <v>2007</v>
      </c>
      <c r="H226">
        <v>2021</v>
      </c>
      <c r="I226" s="2">
        <v>14</v>
      </c>
      <c r="J226" s="7">
        <v>146256</v>
      </c>
      <c r="K226" t="s">
        <v>539</v>
      </c>
      <c r="L226">
        <v>1</v>
      </c>
      <c r="M226" t="s">
        <v>46</v>
      </c>
      <c r="N226" t="s">
        <v>17</v>
      </c>
      <c r="O226" t="s">
        <v>112</v>
      </c>
      <c r="P226" t="s">
        <v>1491</v>
      </c>
      <c r="Q226" s="7">
        <f t="shared" si="6"/>
        <v>1755072</v>
      </c>
      <c r="R226" s="7">
        <f t="shared" si="7"/>
        <v>14625.6</v>
      </c>
    </row>
    <row r="227" spans="1:18" x14ac:dyDescent="0.35">
      <c r="A227" s="5">
        <v>221</v>
      </c>
      <c r="B227" t="s">
        <v>410</v>
      </c>
      <c r="C227" t="s">
        <v>540</v>
      </c>
      <c r="D227" t="s">
        <v>1486</v>
      </c>
      <c r="E227" t="s">
        <v>89</v>
      </c>
      <c r="F227" s="1">
        <v>38367</v>
      </c>
      <c r="G227" s="2">
        <v>2005</v>
      </c>
      <c r="H227">
        <v>2021</v>
      </c>
      <c r="I227" s="2">
        <v>16</v>
      </c>
      <c r="J227" s="7">
        <v>55077</v>
      </c>
      <c r="K227" t="s">
        <v>204</v>
      </c>
      <c r="L227">
        <v>7</v>
      </c>
      <c r="M227" t="s">
        <v>39</v>
      </c>
      <c r="N227" t="s">
        <v>40</v>
      </c>
      <c r="O227" t="s">
        <v>41</v>
      </c>
      <c r="P227" t="s">
        <v>1491</v>
      </c>
      <c r="Q227" s="7">
        <f t="shared" si="6"/>
        <v>660924</v>
      </c>
      <c r="R227" s="7">
        <f t="shared" si="7"/>
        <v>5507.7000000000007</v>
      </c>
    </row>
    <row r="228" spans="1:18" x14ac:dyDescent="0.35">
      <c r="A228" s="5">
        <v>222</v>
      </c>
      <c r="B228" t="s">
        <v>184</v>
      </c>
      <c r="C228" t="s">
        <v>541</v>
      </c>
      <c r="D228" t="s">
        <v>1486</v>
      </c>
      <c r="E228" t="s">
        <v>37</v>
      </c>
      <c r="F228" s="1">
        <v>45393</v>
      </c>
      <c r="G228" s="2">
        <v>2011</v>
      </c>
      <c r="H228">
        <v>2021</v>
      </c>
      <c r="I228" s="2">
        <v>10</v>
      </c>
      <c r="J228" s="7">
        <v>124215</v>
      </c>
      <c r="K228" t="s">
        <v>27</v>
      </c>
      <c r="L228">
        <v>2</v>
      </c>
      <c r="M228" t="s">
        <v>16</v>
      </c>
      <c r="N228" t="s">
        <v>17</v>
      </c>
      <c r="O228" t="s">
        <v>41</v>
      </c>
      <c r="P228" t="s">
        <v>1491</v>
      </c>
      <c r="Q228" s="7">
        <f t="shared" si="6"/>
        <v>1490580</v>
      </c>
      <c r="R228" s="7">
        <f t="shared" si="7"/>
        <v>12421.5</v>
      </c>
    </row>
    <row r="229" spans="1:18" x14ac:dyDescent="0.35">
      <c r="A229" s="5">
        <v>223</v>
      </c>
      <c r="B229" t="s">
        <v>363</v>
      </c>
      <c r="C229" t="s">
        <v>542</v>
      </c>
      <c r="D229" t="s">
        <v>1485</v>
      </c>
      <c r="E229" t="s">
        <v>14</v>
      </c>
      <c r="F229" s="1">
        <v>39566</v>
      </c>
      <c r="G229" s="2">
        <v>2008</v>
      </c>
      <c r="H229">
        <v>2021</v>
      </c>
      <c r="I229" s="2">
        <v>13</v>
      </c>
      <c r="J229" s="7">
        <v>105444</v>
      </c>
      <c r="K229" t="s">
        <v>543</v>
      </c>
      <c r="L229">
        <v>6</v>
      </c>
      <c r="M229" t="s">
        <v>50</v>
      </c>
      <c r="N229" t="s">
        <v>40</v>
      </c>
      <c r="O229" t="s">
        <v>18</v>
      </c>
      <c r="P229" t="s">
        <v>1491</v>
      </c>
      <c r="Q229" s="7">
        <f t="shared" si="6"/>
        <v>1265328</v>
      </c>
      <c r="R229" s="7">
        <f t="shared" si="7"/>
        <v>10544.400000000001</v>
      </c>
    </row>
    <row r="230" spans="1:18" x14ac:dyDescent="0.35">
      <c r="A230" s="5">
        <v>224</v>
      </c>
      <c r="B230" t="s">
        <v>544</v>
      </c>
      <c r="C230" t="s">
        <v>545</v>
      </c>
      <c r="D230" t="s">
        <v>1486</v>
      </c>
      <c r="E230" t="s">
        <v>21</v>
      </c>
      <c r="F230" s="1">
        <v>45047</v>
      </c>
      <c r="G230" s="2">
        <v>2010</v>
      </c>
      <c r="H230">
        <v>2021</v>
      </c>
      <c r="I230" s="2">
        <v>11</v>
      </c>
      <c r="J230" s="7">
        <v>141513</v>
      </c>
      <c r="K230" t="s">
        <v>546</v>
      </c>
      <c r="L230">
        <v>1</v>
      </c>
      <c r="M230" t="s">
        <v>46</v>
      </c>
      <c r="N230" t="s">
        <v>17</v>
      </c>
      <c r="O230" t="s">
        <v>23</v>
      </c>
      <c r="P230" t="s">
        <v>1491</v>
      </c>
      <c r="Q230" s="7">
        <f t="shared" si="6"/>
        <v>1698156</v>
      </c>
      <c r="R230" s="7">
        <f t="shared" si="7"/>
        <v>14151.300000000001</v>
      </c>
    </row>
    <row r="231" spans="1:18" x14ac:dyDescent="0.35">
      <c r="A231" s="5">
        <v>225</v>
      </c>
      <c r="B231" t="s">
        <v>519</v>
      </c>
      <c r="C231" t="s">
        <v>547</v>
      </c>
      <c r="D231" t="s">
        <v>1486</v>
      </c>
      <c r="E231" t="s">
        <v>312</v>
      </c>
      <c r="F231" s="1">
        <v>44268</v>
      </c>
      <c r="G231" s="2">
        <v>2008</v>
      </c>
      <c r="H231">
        <v>2021</v>
      </c>
      <c r="I231" s="2">
        <v>13</v>
      </c>
      <c r="J231" s="7">
        <v>97623</v>
      </c>
      <c r="K231" t="s">
        <v>349</v>
      </c>
      <c r="L231">
        <v>1</v>
      </c>
      <c r="M231" t="s">
        <v>46</v>
      </c>
      <c r="N231" t="s">
        <v>17</v>
      </c>
      <c r="O231" t="s">
        <v>41</v>
      </c>
      <c r="P231" t="s">
        <v>1491</v>
      </c>
      <c r="Q231" s="7">
        <f t="shared" si="6"/>
        <v>1171476</v>
      </c>
      <c r="R231" s="7">
        <f t="shared" si="7"/>
        <v>9762.3000000000011</v>
      </c>
    </row>
    <row r="232" spans="1:18" x14ac:dyDescent="0.35">
      <c r="A232" s="5">
        <v>226</v>
      </c>
      <c r="B232" t="s">
        <v>548</v>
      </c>
      <c r="C232" t="s">
        <v>549</v>
      </c>
      <c r="D232" t="s">
        <v>1485</v>
      </c>
      <c r="E232" t="s">
        <v>203</v>
      </c>
      <c r="F232" s="1">
        <v>38668</v>
      </c>
      <c r="G232" s="2">
        <v>2005</v>
      </c>
      <c r="H232">
        <v>2021</v>
      </c>
      <c r="I232" s="2">
        <v>16</v>
      </c>
      <c r="J232" s="7">
        <v>106833</v>
      </c>
      <c r="K232" t="s">
        <v>204</v>
      </c>
      <c r="L232">
        <v>7</v>
      </c>
      <c r="M232" t="s">
        <v>39</v>
      </c>
      <c r="N232" t="s">
        <v>40</v>
      </c>
      <c r="O232" t="s">
        <v>41</v>
      </c>
      <c r="P232" t="s">
        <v>1491</v>
      </c>
      <c r="Q232" s="7">
        <f t="shared" si="6"/>
        <v>1281996</v>
      </c>
      <c r="R232" s="7">
        <f t="shared" si="7"/>
        <v>10683.300000000001</v>
      </c>
    </row>
    <row r="233" spans="1:18" x14ac:dyDescent="0.35">
      <c r="A233" s="5">
        <v>227</v>
      </c>
      <c r="B233" t="s">
        <v>302</v>
      </c>
      <c r="C233" t="s">
        <v>550</v>
      </c>
      <c r="D233" t="s">
        <v>1486</v>
      </c>
      <c r="E233" t="s">
        <v>129</v>
      </c>
      <c r="F233" s="1">
        <v>38825</v>
      </c>
      <c r="G233" s="2">
        <v>2006</v>
      </c>
      <c r="H233">
        <v>2021</v>
      </c>
      <c r="I233" s="2">
        <v>15</v>
      </c>
      <c r="J233" s="7">
        <v>69045</v>
      </c>
      <c r="K233" t="s">
        <v>551</v>
      </c>
      <c r="L233">
        <v>2</v>
      </c>
      <c r="M233" t="s">
        <v>16</v>
      </c>
      <c r="N233" t="s">
        <v>17</v>
      </c>
      <c r="O233" t="s">
        <v>41</v>
      </c>
      <c r="P233" t="s">
        <v>1491</v>
      </c>
      <c r="Q233" s="7">
        <f t="shared" si="6"/>
        <v>828540</v>
      </c>
      <c r="R233" s="7">
        <f t="shared" si="7"/>
        <v>6904.5</v>
      </c>
    </row>
    <row r="234" spans="1:18" x14ac:dyDescent="0.35">
      <c r="A234" s="5">
        <v>228</v>
      </c>
      <c r="B234" t="s">
        <v>243</v>
      </c>
      <c r="C234" t="s">
        <v>552</v>
      </c>
      <c r="D234" t="s">
        <v>1485</v>
      </c>
      <c r="E234" t="s">
        <v>148</v>
      </c>
      <c r="F234" s="1">
        <v>39633</v>
      </c>
      <c r="G234" s="2">
        <v>2008</v>
      </c>
      <c r="H234">
        <v>2021</v>
      </c>
      <c r="I234" s="2">
        <v>13</v>
      </c>
      <c r="J234" s="7">
        <v>113311</v>
      </c>
      <c r="K234" t="s">
        <v>245</v>
      </c>
      <c r="L234">
        <v>2</v>
      </c>
      <c r="M234" t="s">
        <v>16</v>
      </c>
      <c r="N234" t="s">
        <v>17</v>
      </c>
      <c r="O234" t="s">
        <v>112</v>
      </c>
      <c r="P234" t="s">
        <v>1491</v>
      </c>
      <c r="Q234" s="7">
        <f t="shared" si="6"/>
        <v>1359732</v>
      </c>
      <c r="R234" s="7">
        <f t="shared" si="7"/>
        <v>11331.1</v>
      </c>
    </row>
    <row r="235" spans="1:18" x14ac:dyDescent="0.35">
      <c r="A235" s="5">
        <v>229</v>
      </c>
      <c r="B235" t="s">
        <v>553</v>
      </c>
      <c r="C235" t="s">
        <v>554</v>
      </c>
      <c r="D235" t="s">
        <v>1486</v>
      </c>
      <c r="E235" t="s">
        <v>148</v>
      </c>
      <c r="F235" s="1">
        <v>46328</v>
      </c>
      <c r="G235" s="2">
        <v>2013</v>
      </c>
      <c r="H235">
        <v>2021</v>
      </c>
      <c r="I235" s="2">
        <v>8</v>
      </c>
      <c r="J235" s="7">
        <v>116301</v>
      </c>
      <c r="K235" t="s">
        <v>186</v>
      </c>
      <c r="L235">
        <v>3</v>
      </c>
      <c r="M235" t="s">
        <v>28</v>
      </c>
      <c r="N235" t="s">
        <v>17</v>
      </c>
      <c r="O235" t="s">
        <v>112</v>
      </c>
      <c r="P235" t="s">
        <v>1491</v>
      </c>
      <c r="Q235" s="7">
        <f t="shared" si="6"/>
        <v>1395612</v>
      </c>
      <c r="R235" s="7">
        <f t="shared" si="7"/>
        <v>11630.1</v>
      </c>
    </row>
    <row r="236" spans="1:18" x14ac:dyDescent="0.35">
      <c r="A236" s="5">
        <v>230</v>
      </c>
      <c r="B236" t="s">
        <v>555</v>
      </c>
      <c r="C236" t="s">
        <v>556</v>
      </c>
      <c r="D236" t="s">
        <v>1486</v>
      </c>
      <c r="E236" t="s">
        <v>100</v>
      </c>
      <c r="F236" s="1">
        <v>38722</v>
      </c>
      <c r="G236" s="2">
        <v>2006</v>
      </c>
      <c r="H236">
        <v>2021</v>
      </c>
      <c r="I236" s="2">
        <v>15</v>
      </c>
      <c r="J236" s="7">
        <v>138459</v>
      </c>
      <c r="K236" t="s">
        <v>500</v>
      </c>
      <c r="L236">
        <v>1</v>
      </c>
      <c r="M236" t="s">
        <v>46</v>
      </c>
      <c r="N236" t="s">
        <v>17</v>
      </c>
      <c r="O236" t="s">
        <v>29</v>
      </c>
      <c r="P236" t="s">
        <v>1491</v>
      </c>
      <c r="Q236" s="7">
        <f t="shared" si="6"/>
        <v>1661508</v>
      </c>
      <c r="R236" s="7">
        <f t="shared" si="7"/>
        <v>13845.900000000001</v>
      </c>
    </row>
    <row r="237" spans="1:18" x14ac:dyDescent="0.35">
      <c r="A237" s="5">
        <v>231</v>
      </c>
      <c r="B237" t="s">
        <v>92</v>
      </c>
      <c r="C237" t="s">
        <v>557</v>
      </c>
      <c r="D237" t="s">
        <v>1486</v>
      </c>
      <c r="E237" t="s">
        <v>69</v>
      </c>
      <c r="F237" s="1">
        <v>38536</v>
      </c>
      <c r="G237" s="2">
        <v>2005</v>
      </c>
      <c r="H237">
        <v>2021</v>
      </c>
      <c r="I237" s="2">
        <v>16</v>
      </c>
      <c r="J237" s="7">
        <v>87800</v>
      </c>
      <c r="K237" t="s">
        <v>58</v>
      </c>
      <c r="L237">
        <v>7</v>
      </c>
      <c r="M237" t="s">
        <v>39</v>
      </c>
      <c r="N237" t="s">
        <v>40</v>
      </c>
      <c r="O237" t="s">
        <v>41</v>
      </c>
      <c r="P237" t="s">
        <v>1491</v>
      </c>
      <c r="Q237" s="7">
        <f t="shared" si="6"/>
        <v>1053600</v>
      </c>
      <c r="R237" s="7">
        <f t="shared" si="7"/>
        <v>8780</v>
      </c>
    </row>
    <row r="238" spans="1:18" x14ac:dyDescent="0.35">
      <c r="A238" s="5">
        <v>232</v>
      </c>
      <c r="B238" t="s">
        <v>519</v>
      </c>
      <c r="C238" t="s">
        <v>558</v>
      </c>
      <c r="D238" t="s">
        <v>1486</v>
      </c>
      <c r="E238" t="s">
        <v>85</v>
      </c>
      <c r="F238" s="1">
        <v>36673</v>
      </c>
      <c r="G238" s="2">
        <v>2000</v>
      </c>
      <c r="H238">
        <v>2021</v>
      </c>
      <c r="I238" s="2">
        <v>21</v>
      </c>
      <c r="J238" s="7">
        <v>52572</v>
      </c>
      <c r="K238" t="s">
        <v>74</v>
      </c>
      <c r="L238">
        <v>7</v>
      </c>
      <c r="M238" t="s">
        <v>39</v>
      </c>
      <c r="N238" t="s">
        <v>40</v>
      </c>
      <c r="O238" t="s">
        <v>41</v>
      </c>
      <c r="P238" t="s">
        <v>1491</v>
      </c>
      <c r="Q238" s="7">
        <f t="shared" si="6"/>
        <v>630864</v>
      </c>
      <c r="R238" s="7">
        <f t="shared" si="7"/>
        <v>5257.2000000000007</v>
      </c>
    </row>
    <row r="239" spans="1:18" x14ac:dyDescent="0.35">
      <c r="A239" s="5">
        <v>233</v>
      </c>
      <c r="B239" t="s">
        <v>548</v>
      </c>
      <c r="C239" t="s">
        <v>559</v>
      </c>
      <c r="D239" t="s">
        <v>1485</v>
      </c>
      <c r="E239" t="s">
        <v>94</v>
      </c>
      <c r="F239" s="1">
        <v>39927</v>
      </c>
      <c r="G239" s="2">
        <v>2009</v>
      </c>
      <c r="H239">
        <v>2021</v>
      </c>
      <c r="I239" s="2">
        <v>12</v>
      </c>
      <c r="J239" s="7">
        <v>44917</v>
      </c>
      <c r="K239" t="s">
        <v>461</v>
      </c>
      <c r="L239">
        <v>5</v>
      </c>
      <c r="M239" t="s">
        <v>91</v>
      </c>
      <c r="N239" t="s">
        <v>40</v>
      </c>
      <c r="O239" t="s">
        <v>18</v>
      </c>
      <c r="P239" t="s">
        <v>1491</v>
      </c>
      <c r="Q239" s="7">
        <f t="shared" si="6"/>
        <v>539004</v>
      </c>
      <c r="R239" s="7">
        <f t="shared" si="7"/>
        <v>4491.7</v>
      </c>
    </row>
    <row r="240" spans="1:18" x14ac:dyDescent="0.35">
      <c r="A240" s="5">
        <v>234</v>
      </c>
      <c r="B240" t="s">
        <v>560</v>
      </c>
      <c r="C240" t="s">
        <v>561</v>
      </c>
      <c r="D240" t="s">
        <v>1486</v>
      </c>
      <c r="E240" t="s">
        <v>312</v>
      </c>
      <c r="F240" s="1">
        <v>44959</v>
      </c>
      <c r="G240" s="2">
        <v>2010</v>
      </c>
      <c r="H240">
        <v>2021</v>
      </c>
      <c r="I240" s="2">
        <v>11</v>
      </c>
      <c r="J240" s="7">
        <v>110896</v>
      </c>
      <c r="K240" t="s">
        <v>562</v>
      </c>
      <c r="L240">
        <v>2</v>
      </c>
      <c r="M240" t="s">
        <v>16</v>
      </c>
      <c r="N240" t="s">
        <v>17</v>
      </c>
      <c r="O240" t="s">
        <v>41</v>
      </c>
      <c r="P240" t="s">
        <v>1491</v>
      </c>
      <c r="Q240" s="7">
        <f t="shared" si="6"/>
        <v>1330752</v>
      </c>
      <c r="R240" s="7">
        <f t="shared" si="7"/>
        <v>11089.6</v>
      </c>
    </row>
    <row r="241" spans="1:18" x14ac:dyDescent="0.35">
      <c r="A241" s="5">
        <v>235</v>
      </c>
      <c r="B241" t="s">
        <v>352</v>
      </c>
      <c r="C241" t="s">
        <v>563</v>
      </c>
      <c r="D241" t="s">
        <v>1485</v>
      </c>
      <c r="E241" t="s">
        <v>122</v>
      </c>
      <c r="F241" s="1">
        <v>37247</v>
      </c>
      <c r="G241" s="2">
        <v>2001</v>
      </c>
      <c r="H241">
        <v>2021</v>
      </c>
      <c r="I241" s="2">
        <v>20</v>
      </c>
      <c r="J241" s="7">
        <v>108970</v>
      </c>
      <c r="K241" t="s">
        <v>290</v>
      </c>
      <c r="L241">
        <v>2</v>
      </c>
      <c r="M241" t="s">
        <v>16</v>
      </c>
      <c r="N241" t="s">
        <v>17</v>
      </c>
      <c r="O241" t="s">
        <v>123</v>
      </c>
      <c r="P241" t="s">
        <v>1491</v>
      </c>
      <c r="Q241" s="7">
        <f t="shared" si="6"/>
        <v>1307640</v>
      </c>
      <c r="R241" s="7">
        <f t="shared" si="7"/>
        <v>10897</v>
      </c>
    </row>
    <row r="242" spans="1:18" x14ac:dyDescent="0.35">
      <c r="A242" s="5">
        <v>236</v>
      </c>
      <c r="B242" t="s">
        <v>564</v>
      </c>
      <c r="C242" t="s">
        <v>565</v>
      </c>
      <c r="D242" t="s">
        <v>1485</v>
      </c>
      <c r="E242" t="s">
        <v>32</v>
      </c>
      <c r="F242" s="1">
        <v>39930</v>
      </c>
      <c r="G242" s="2">
        <v>2009</v>
      </c>
      <c r="H242">
        <v>2021</v>
      </c>
      <c r="I242" s="3">
        <v>12</v>
      </c>
      <c r="J242" s="7">
        <v>83543</v>
      </c>
      <c r="K242" t="s">
        <v>566</v>
      </c>
      <c r="L242">
        <v>5</v>
      </c>
      <c r="M242" t="s">
        <v>91</v>
      </c>
      <c r="N242" t="s">
        <v>40</v>
      </c>
      <c r="O242" t="s">
        <v>34</v>
      </c>
      <c r="P242" t="s">
        <v>1491</v>
      </c>
      <c r="Q242" s="7">
        <f t="shared" si="6"/>
        <v>1002516</v>
      </c>
      <c r="R242" s="7">
        <f t="shared" si="7"/>
        <v>8354.3000000000011</v>
      </c>
    </row>
    <row r="243" spans="1:18" x14ac:dyDescent="0.35">
      <c r="A243" s="5">
        <v>237</v>
      </c>
      <c r="B243" t="s">
        <v>19</v>
      </c>
      <c r="C243" t="s">
        <v>567</v>
      </c>
      <c r="D243" t="s">
        <v>1486</v>
      </c>
      <c r="E243" t="s">
        <v>238</v>
      </c>
      <c r="F243" s="1">
        <v>46217</v>
      </c>
      <c r="G243" s="2">
        <v>2013</v>
      </c>
      <c r="H243">
        <v>2021</v>
      </c>
      <c r="I243" s="2">
        <v>8</v>
      </c>
      <c r="J243" s="7">
        <v>63598</v>
      </c>
      <c r="K243" t="s">
        <v>568</v>
      </c>
      <c r="L243">
        <v>1</v>
      </c>
      <c r="M243" t="s">
        <v>46</v>
      </c>
      <c r="N243" t="s">
        <v>17</v>
      </c>
      <c r="O243" t="s">
        <v>63</v>
      </c>
      <c r="P243" t="s">
        <v>1491</v>
      </c>
      <c r="Q243" s="7">
        <f t="shared" si="6"/>
        <v>763176</v>
      </c>
      <c r="R243" s="7">
        <f t="shared" si="7"/>
        <v>6359.8</v>
      </c>
    </row>
    <row r="244" spans="1:18" x14ac:dyDescent="0.35">
      <c r="A244" s="5">
        <v>238</v>
      </c>
      <c r="B244" t="s">
        <v>569</v>
      </c>
      <c r="C244" t="s">
        <v>570</v>
      </c>
      <c r="D244" t="s">
        <v>1485</v>
      </c>
      <c r="E244" t="s">
        <v>61</v>
      </c>
      <c r="F244" s="1">
        <v>41735</v>
      </c>
      <c r="G244" s="2">
        <v>2014</v>
      </c>
      <c r="H244">
        <v>2021</v>
      </c>
      <c r="I244" s="2">
        <v>7</v>
      </c>
      <c r="J244" s="7">
        <v>131274</v>
      </c>
      <c r="K244" t="s">
        <v>397</v>
      </c>
      <c r="L244">
        <v>2</v>
      </c>
      <c r="M244" t="s">
        <v>16</v>
      </c>
      <c r="N244" t="s">
        <v>17</v>
      </c>
      <c r="O244" t="s">
        <v>63</v>
      </c>
      <c r="P244" t="s">
        <v>1491</v>
      </c>
      <c r="Q244" s="7">
        <f t="shared" si="6"/>
        <v>1575288</v>
      </c>
      <c r="R244" s="7">
        <f t="shared" si="7"/>
        <v>13127.400000000001</v>
      </c>
    </row>
    <row r="245" spans="1:18" x14ac:dyDescent="0.35">
      <c r="A245" s="5">
        <v>239</v>
      </c>
      <c r="B245" t="s">
        <v>47</v>
      </c>
      <c r="C245" t="s">
        <v>571</v>
      </c>
      <c r="D245" t="s">
        <v>1486</v>
      </c>
      <c r="E245" t="s">
        <v>14</v>
      </c>
      <c r="F245" s="1">
        <v>38399</v>
      </c>
      <c r="G245" s="2">
        <v>2005</v>
      </c>
      <c r="H245">
        <v>2021</v>
      </c>
      <c r="I245" s="2">
        <v>16</v>
      </c>
      <c r="J245" s="7">
        <v>149085</v>
      </c>
      <c r="K245" t="s">
        <v>38</v>
      </c>
      <c r="L245">
        <v>7</v>
      </c>
      <c r="M245" t="s">
        <v>39</v>
      </c>
      <c r="N245" t="s">
        <v>40</v>
      </c>
      <c r="O245" t="s">
        <v>18</v>
      </c>
      <c r="P245" t="s">
        <v>1491</v>
      </c>
      <c r="Q245" s="7">
        <f t="shared" si="6"/>
        <v>1789020</v>
      </c>
      <c r="R245" s="7">
        <f t="shared" si="7"/>
        <v>14908.5</v>
      </c>
    </row>
    <row r="246" spans="1:18" x14ac:dyDescent="0.35">
      <c r="A246" s="5">
        <v>240</v>
      </c>
      <c r="B246" t="s">
        <v>572</v>
      </c>
      <c r="C246" t="s">
        <v>573</v>
      </c>
      <c r="D246" t="s">
        <v>1485</v>
      </c>
      <c r="E246" t="s">
        <v>79</v>
      </c>
      <c r="F246" s="1">
        <v>41538</v>
      </c>
      <c r="G246" s="2">
        <v>2013</v>
      </c>
      <c r="H246">
        <v>2021</v>
      </c>
      <c r="I246" s="2">
        <v>8</v>
      </c>
      <c r="J246" s="7">
        <v>143223</v>
      </c>
      <c r="K246" t="s">
        <v>574</v>
      </c>
      <c r="L246">
        <v>6</v>
      </c>
      <c r="M246" t="s">
        <v>50</v>
      </c>
      <c r="N246" t="s">
        <v>40</v>
      </c>
      <c r="O246" t="s">
        <v>41</v>
      </c>
      <c r="P246" t="s">
        <v>1491</v>
      </c>
      <c r="Q246" s="7">
        <f t="shared" si="6"/>
        <v>1718676</v>
      </c>
      <c r="R246" s="7">
        <f t="shared" si="7"/>
        <v>14322.300000000001</v>
      </c>
    </row>
    <row r="247" spans="1:18" x14ac:dyDescent="0.35">
      <c r="A247" s="5">
        <v>241</v>
      </c>
      <c r="B247" t="s">
        <v>379</v>
      </c>
      <c r="C247" t="s">
        <v>575</v>
      </c>
      <c r="D247" t="s">
        <v>1486</v>
      </c>
      <c r="E247" t="s">
        <v>69</v>
      </c>
      <c r="F247" s="1">
        <v>45282</v>
      </c>
      <c r="G247" s="2">
        <v>2010</v>
      </c>
      <c r="H247">
        <v>2021</v>
      </c>
      <c r="I247" s="2">
        <v>11</v>
      </c>
      <c r="J247" s="7">
        <v>107207</v>
      </c>
      <c r="K247" t="s">
        <v>576</v>
      </c>
      <c r="L247">
        <v>3</v>
      </c>
      <c r="M247" t="s">
        <v>28</v>
      </c>
      <c r="N247" t="s">
        <v>17</v>
      </c>
      <c r="O247" t="s">
        <v>41</v>
      </c>
      <c r="P247" t="s">
        <v>1491</v>
      </c>
      <c r="Q247" s="7">
        <f t="shared" si="6"/>
        <v>1286484</v>
      </c>
      <c r="R247" s="7">
        <f t="shared" si="7"/>
        <v>10720.7</v>
      </c>
    </row>
    <row r="248" spans="1:18" x14ac:dyDescent="0.35">
      <c r="A248" s="5">
        <v>242</v>
      </c>
      <c r="B248" t="s">
        <v>421</v>
      </c>
      <c r="C248" t="s">
        <v>577</v>
      </c>
      <c r="D248" t="s">
        <v>1485</v>
      </c>
      <c r="E248" t="s">
        <v>203</v>
      </c>
      <c r="F248" s="1">
        <v>37955</v>
      </c>
      <c r="G248" s="2">
        <v>2003</v>
      </c>
      <c r="H248">
        <v>2021</v>
      </c>
      <c r="I248" s="2">
        <v>18</v>
      </c>
      <c r="J248" s="7">
        <v>137594</v>
      </c>
      <c r="K248" t="s">
        <v>235</v>
      </c>
      <c r="L248">
        <v>6</v>
      </c>
      <c r="M248" t="s">
        <v>50</v>
      </c>
      <c r="N248" t="s">
        <v>40</v>
      </c>
      <c r="O248" t="s">
        <v>41</v>
      </c>
      <c r="P248" t="s">
        <v>1491</v>
      </c>
      <c r="Q248" s="7">
        <f t="shared" si="6"/>
        <v>1651128</v>
      </c>
      <c r="R248" s="7">
        <f t="shared" si="7"/>
        <v>13759.400000000001</v>
      </c>
    </row>
    <row r="249" spans="1:18" x14ac:dyDescent="0.35">
      <c r="A249" s="5">
        <v>243</v>
      </c>
      <c r="B249" t="s">
        <v>392</v>
      </c>
      <c r="C249" t="s">
        <v>578</v>
      </c>
      <c r="D249" t="s">
        <v>1485</v>
      </c>
      <c r="E249" t="s">
        <v>89</v>
      </c>
      <c r="F249" s="1">
        <v>38743</v>
      </c>
      <c r="G249" s="2">
        <v>2006</v>
      </c>
      <c r="H249">
        <v>2021</v>
      </c>
      <c r="I249" s="2">
        <v>15</v>
      </c>
      <c r="J249" s="7">
        <v>139845</v>
      </c>
      <c r="K249" t="s">
        <v>242</v>
      </c>
      <c r="L249">
        <v>4</v>
      </c>
      <c r="M249" t="s">
        <v>55</v>
      </c>
      <c r="N249" t="s">
        <v>17</v>
      </c>
      <c r="O249" t="s">
        <v>41</v>
      </c>
      <c r="P249" t="s">
        <v>1491</v>
      </c>
      <c r="Q249" s="7">
        <f t="shared" si="6"/>
        <v>1678140</v>
      </c>
      <c r="R249" s="7">
        <f t="shared" si="7"/>
        <v>13984.5</v>
      </c>
    </row>
    <row r="250" spans="1:18" x14ac:dyDescent="0.35">
      <c r="A250" s="5">
        <v>244</v>
      </c>
      <c r="B250" t="s">
        <v>579</v>
      </c>
      <c r="C250" t="s">
        <v>580</v>
      </c>
      <c r="D250" t="s">
        <v>1486</v>
      </c>
      <c r="E250" t="s">
        <v>21</v>
      </c>
      <c r="F250" s="1">
        <v>45907</v>
      </c>
      <c r="G250" s="2">
        <v>2012</v>
      </c>
      <c r="H250">
        <v>2021</v>
      </c>
      <c r="I250" s="2">
        <v>9</v>
      </c>
      <c r="J250" s="7">
        <v>65563</v>
      </c>
      <c r="K250" t="s">
        <v>581</v>
      </c>
      <c r="L250">
        <v>4</v>
      </c>
      <c r="M250" t="s">
        <v>55</v>
      </c>
      <c r="N250" t="s">
        <v>17</v>
      </c>
      <c r="O250" t="s">
        <v>23</v>
      </c>
      <c r="P250" t="s">
        <v>1491</v>
      </c>
      <c r="Q250" s="7">
        <f t="shared" si="6"/>
        <v>786756</v>
      </c>
      <c r="R250" s="7">
        <f t="shared" si="7"/>
        <v>6556.3</v>
      </c>
    </row>
    <row r="251" spans="1:18" x14ac:dyDescent="0.35">
      <c r="A251" s="5">
        <v>245</v>
      </c>
      <c r="B251" t="s">
        <v>75</v>
      </c>
      <c r="C251" t="s">
        <v>582</v>
      </c>
      <c r="D251" t="s">
        <v>1486</v>
      </c>
      <c r="E251" t="s">
        <v>85</v>
      </c>
      <c r="F251" s="1">
        <v>46389</v>
      </c>
      <c r="G251" s="2">
        <v>2014</v>
      </c>
      <c r="H251">
        <v>2021</v>
      </c>
      <c r="I251" s="2">
        <v>7</v>
      </c>
      <c r="J251" s="7">
        <v>142988</v>
      </c>
      <c r="K251" t="s">
        <v>583</v>
      </c>
      <c r="L251">
        <v>6</v>
      </c>
      <c r="M251" t="s">
        <v>50</v>
      </c>
      <c r="N251" t="s">
        <v>40</v>
      </c>
      <c r="O251" t="s">
        <v>41</v>
      </c>
      <c r="P251" t="s">
        <v>1491</v>
      </c>
      <c r="Q251" s="7">
        <f t="shared" si="6"/>
        <v>1715856</v>
      </c>
      <c r="R251" s="7">
        <f t="shared" si="7"/>
        <v>14298.800000000001</v>
      </c>
    </row>
    <row r="252" spans="1:18" x14ac:dyDescent="0.35">
      <c r="A252" s="5">
        <v>246</v>
      </c>
      <c r="B252" t="s">
        <v>35</v>
      </c>
      <c r="C252" t="s">
        <v>584</v>
      </c>
      <c r="D252" t="s">
        <v>1486</v>
      </c>
      <c r="E252" t="s">
        <v>100</v>
      </c>
      <c r="F252" s="1">
        <v>36547</v>
      </c>
      <c r="G252" s="2">
        <v>2000</v>
      </c>
      <c r="H252">
        <v>2021</v>
      </c>
      <c r="I252" s="2">
        <v>21</v>
      </c>
      <c r="J252" s="7">
        <v>134074</v>
      </c>
      <c r="K252" t="s">
        <v>223</v>
      </c>
      <c r="L252">
        <v>6</v>
      </c>
      <c r="M252" t="s">
        <v>50</v>
      </c>
      <c r="N252" t="s">
        <v>40</v>
      </c>
      <c r="O252" t="s">
        <v>29</v>
      </c>
      <c r="P252" t="s">
        <v>1491</v>
      </c>
      <c r="Q252" s="7">
        <f t="shared" si="6"/>
        <v>1608888</v>
      </c>
      <c r="R252" s="7">
        <f t="shared" si="7"/>
        <v>13407.400000000001</v>
      </c>
    </row>
    <row r="253" spans="1:18" x14ac:dyDescent="0.35">
      <c r="A253" s="5">
        <v>247</v>
      </c>
      <c r="B253" t="s">
        <v>585</v>
      </c>
      <c r="C253" t="s">
        <v>586</v>
      </c>
      <c r="D253" t="s">
        <v>1485</v>
      </c>
      <c r="E253" t="s">
        <v>53</v>
      </c>
      <c r="F253" s="1">
        <v>40199</v>
      </c>
      <c r="G253" s="2">
        <v>2010</v>
      </c>
      <c r="H253">
        <v>2021</v>
      </c>
      <c r="I253" s="2">
        <v>11</v>
      </c>
      <c r="J253" s="7">
        <v>80654</v>
      </c>
      <c r="K253" t="s">
        <v>500</v>
      </c>
      <c r="L253">
        <v>2</v>
      </c>
      <c r="M253" t="s">
        <v>16</v>
      </c>
      <c r="N253" t="s">
        <v>17</v>
      </c>
      <c r="O253" t="s">
        <v>23</v>
      </c>
      <c r="P253" t="s">
        <v>1491</v>
      </c>
      <c r="Q253" s="7">
        <f t="shared" si="6"/>
        <v>967848</v>
      </c>
      <c r="R253" s="7">
        <f t="shared" si="7"/>
        <v>8065.4000000000005</v>
      </c>
    </row>
    <row r="254" spans="1:18" x14ac:dyDescent="0.35">
      <c r="A254" s="5">
        <v>248</v>
      </c>
      <c r="B254" t="s">
        <v>587</v>
      </c>
      <c r="C254" t="s">
        <v>588</v>
      </c>
      <c r="D254" t="s">
        <v>1485</v>
      </c>
      <c r="E254" t="s">
        <v>110</v>
      </c>
      <c r="F254" s="1">
        <v>38699</v>
      </c>
      <c r="G254" s="2">
        <v>2005</v>
      </c>
      <c r="H254">
        <v>2021</v>
      </c>
      <c r="I254" s="2">
        <v>16</v>
      </c>
      <c r="J254" s="7">
        <v>118834</v>
      </c>
      <c r="K254" t="s">
        <v>310</v>
      </c>
      <c r="L254">
        <v>6</v>
      </c>
      <c r="M254" t="s">
        <v>50</v>
      </c>
      <c r="N254" t="s">
        <v>40</v>
      </c>
      <c r="O254" t="s">
        <v>112</v>
      </c>
      <c r="P254" t="s">
        <v>1491</v>
      </c>
      <c r="Q254" s="7">
        <f t="shared" si="6"/>
        <v>1426008</v>
      </c>
      <c r="R254" s="7">
        <f t="shared" si="7"/>
        <v>11883.400000000001</v>
      </c>
    </row>
    <row r="255" spans="1:18" x14ac:dyDescent="0.35">
      <c r="A255" s="5">
        <v>249</v>
      </c>
      <c r="B255" t="s">
        <v>589</v>
      </c>
      <c r="C255" t="s">
        <v>590</v>
      </c>
      <c r="D255" t="s">
        <v>1485</v>
      </c>
      <c r="E255" t="s">
        <v>85</v>
      </c>
      <c r="F255" s="1">
        <v>41336</v>
      </c>
      <c r="G255" s="2">
        <v>2013</v>
      </c>
      <c r="H255">
        <v>2021</v>
      </c>
      <c r="I255" s="2">
        <v>8</v>
      </c>
      <c r="J255" s="7">
        <v>85559</v>
      </c>
      <c r="K255" t="s">
        <v>386</v>
      </c>
      <c r="L255">
        <v>2</v>
      </c>
      <c r="M255" t="s">
        <v>16</v>
      </c>
      <c r="N255" t="s">
        <v>17</v>
      </c>
      <c r="O255" t="s">
        <v>41</v>
      </c>
      <c r="P255" t="s">
        <v>1491</v>
      </c>
      <c r="Q255" s="7">
        <f t="shared" si="6"/>
        <v>1026708</v>
      </c>
      <c r="R255" s="7">
        <f t="shared" si="7"/>
        <v>8555.9</v>
      </c>
    </row>
    <row r="256" spans="1:18" x14ac:dyDescent="0.35">
      <c r="A256" s="5">
        <v>250</v>
      </c>
      <c r="B256" t="s">
        <v>523</v>
      </c>
      <c r="C256" t="s">
        <v>591</v>
      </c>
      <c r="D256" t="s">
        <v>1485</v>
      </c>
      <c r="E256" t="s">
        <v>122</v>
      </c>
      <c r="F256" s="1">
        <v>37149</v>
      </c>
      <c r="G256" s="2">
        <v>2001</v>
      </c>
      <c r="H256">
        <v>2021</v>
      </c>
      <c r="I256" s="2">
        <v>20</v>
      </c>
      <c r="J256" s="7">
        <v>84049</v>
      </c>
      <c r="K256" t="s">
        <v>200</v>
      </c>
      <c r="L256">
        <v>5</v>
      </c>
      <c r="M256" t="s">
        <v>91</v>
      </c>
      <c r="N256" t="s">
        <v>40</v>
      </c>
      <c r="O256" t="s">
        <v>123</v>
      </c>
      <c r="P256" t="s">
        <v>1491</v>
      </c>
      <c r="Q256" s="7">
        <f t="shared" si="6"/>
        <v>1008588</v>
      </c>
      <c r="R256" s="7">
        <f t="shared" si="7"/>
        <v>8404.9</v>
      </c>
    </row>
    <row r="257" spans="1:18" x14ac:dyDescent="0.35">
      <c r="A257" s="5">
        <v>251</v>
      </c>
      <c r="B257" t="s">
        <v>592</v>
      </c>
      <c r="C257" t="s">
        <v>593</v>
      </c>
      <c r="D257" t="s">
        <v>1486</v>
      </c>
      <c r="E257" t="s">
        <v>32</v>
      </c>
      <c r="F257" s="1">
        <v>45307</v>
      </c>
      <c r="G257" s="2">
        <v>2011</v>
      </c>
      <c r="H257">
        <v>2021</v>
      </c>
      <c r="I257" s="3">
        <v>10</v>
      </c>
      <c r="J257" s="7">
        <v>47439</v>
      </c>
      <c r="K257" t="s">
        <v>220</v>
      </c>
      <c r="L257">
        <v>7</v>
      </c>
      <c r="M257" t="s">
        <v>39</v>
      </c>
      <c r="N257" t="s">
        <v>40</v>
      </c>
      <c r="O257" t="s">
        <v>34</v>
      </c>
      <c r="P257" t="s">
        <v>1491</v>
      </c>
      <c r="Q257" s="7">
        <f t="shared" si="6"/>
        <v>569268</v>
      </c>
      <c r="R257" s="7">
        <f t="shared" si="7"/>
        <v>4743.9000000000005</v>
      </c>
    </row>
    <row r="258" spans="1:18" x14ac:dyDescent="0.35">
      <c r="A258" s="5">
        <v>252</v>
      </c>
      <c r="B258" t="s">
        <v>594</v>
      </c>
      <c r="C258" t="s">
        <v>595</v>
      </c>
      <c r="D258" t="s">
        <v>1485</v>
      </c>
      <c r="E258" t="s">
        <v>44</v>
      </c>
      <c r="F258" s="1">
        <v>36876</v>
      </c>
      <c r="G258" s="2">
        <v>2000</v>
      </c>
      <c r="H258">
        <v>2021</v>
      </c>
      <c r="I258" s="2">
        <v>21</v>
      </c>
      <c r="J258" s="7">
        <v>87072</v>
      </c>
      <c r="K258" t="s">
        <v>15</v>
      </c>
      <c r="L258">
        <v>7</v>
      </c>
      <c r="M258" t="s">
        <v>39</v>
      </c>
      <c r="N258" t="s">
        <v>40</v>
      </c>
      <c r="O258" t="s">
        <v>29</v>
      </c>
      <c r="P258" t="s">
        <v>1491</v>
      </c>
      <c r="Q258" s="7">
        <f t="shared" si="6"/>
        <v>1044864</v>
      </c>
      <c r="R258" s="7">
        <f t="shared" si="7"/>
        <v>8707.2000000000007</v>
      </c>
    </row>
    <row r="259" spans="1:18" x14ac:dyDescent="0.35">
      <c r="A259" s="5">
        <v>253</v>
      </c>
      <c r="B259" t="s">
        <v>596</v>
      </c>
      <c r="C259" t="s">
        <v>597</v>
      </c>
      <c r="D259" t="s">
        <v>1486</v>
      </c>
      <c r="E259" t="s">
        <v>14</v>
      </c>
      <c r="F259" s="1">
        <v>37753</v>
      </c>
      <c r="G259" s="2">
        <v>2003</v>
      </c>
      <c r="H259">
        <v>2021</v>
      </c>
      <c r="I259" s="2">
        <v>18</v>
      </c>
      <c r="J259" s="7">
        <v>123401</v>
      </c>
      <c r="K259" t="s">
        <v>598</v>
      </c>
      <c r="L259">
        <v>4</v>
      </c>
      <c r="M259" t="s">
        <v>55</v>
      </c>
      <c r="N259" t="s">
        <v>17</v>
      </c>
      <c r="O259" t="s">
        <v>18</v>
      </c>
      <c r="P259" t="s">
        <v>1491</v>
      </c>
      <c r="Q259" s="7">
        <f t="shared" si="6"/>
        <v>1480812</v>
      </c>
      <c r="R259" s="7">
        <f t="shared" si="7"/>
        <v>12340.1</v>
      </c>
    </row>
    <row r="260" spans="1:18" x14ac:dyDescent="0.35">
      <c r="A260" s="5">
        <v>254</v>
      </c>
      <c r="B260" t="s">
        <v>170</v>
      </c>
      <c r="C260" t="s">
        <v>599</v>
      </c>
      <c r="D260" t="s">
        <v>1486</v>
      </c>
      <c r="E260" t="s">
        <v>37</v>
      </c>
      <c r="F260" s="1">
        <v>36983</v>
      </c>
      <c r="G260" s="2">
        <v>2001</v>
      </c>
      <c r="H260">
        <v>2021</v>
      </c>
      <c r="I260" s="2">
        <v>20</v>
      </c>
      <c r="J260" s="7">
        <v>131681</v>
      </c>
      <c r="K260" t="s">
        <v>401</v>
      </c>
      <c r="L260">
        <v>7</v>
      </c>
      <c r="M260" t="s">
        <v>39</v>
      </c>
      <c r="N260" t="s">
        <v>40</v>
      </c>
      <c r="O260" t="s">
        <v>41</v>
      </c>
      <c r="P260" t="s">
        <v>1491</v>
      </c>
      <c r="Q260" s="7">
        <f t="shared" si="6"/>
        <v>1580172</v>
      </c>
      <c r="R260" s="7">
        <f t="shared" si="7"/>
        <v>13168.1</v>
      </c>
    </row>
    <row r="261" spans="1:18" x14ac:dyDescent="0.35">
      <c r="A261" s="5">
        <v>255</v>
      </c>
      <c r="B261" t="s">
        <v>600</v>
      </c>
      <c r="C261" t="s">
        <v>601</v>
      </c>
      <c r="D261" t="s">
        <v>1486</v>
      </c>
      <c r="E261" t="s">
        <v>85</v>
      </c>
      <c r="F261" s="1">
        <v>46628</v>
      </c>
      <c r="G261" s="2">
        <v>2014</v>
      </c>
      <c r="H261">
        <v>2021</v>
      </c>
      <c r="I261" s="2">
        <v>7</v>
      </c>
      <c r="J261" s="7">
        <v>96118</v>
      </c>
      <c r="K261" t="s">
        <v>472</v>
      </c>
      <c r="L261">
        <v>5</v>
      </c>
      <c r="M261" t="s">
        <v>91</v>
      </c>
      <c r="N261" t="s">
        <v>40</v>
      </c>
      <c r="O261" t="s">
        <v>41</v>
      </c>
      <c r="P261" t="s">
        <v>1491</v>
      </c>
      <c r="Q261" s="7">
        <f t="shared" si="6"/>
        <v>1153416</v>
      </c>
      <c r="R261" s="7">
        <f t="shared" si="7"/>
        <v>9611.8000000000011</v>
      </c>
    </row>
    <row r="262" spans="1:18" x14ac:dyDescent="0.35">
      <c r="A262" s="5">
        <v>256</v>
      </c>
      <c r="B262" t="s">
        <v>602</v>
      </c>
      <c r="C262" t="s">
        <v>603</v>
      </c>
      <c r="D262" t="s">
        <v>1486</v>
      </c>
      <c r="E262" t="s">
        <v>122</v>
      </c>
      <c r="F262" s="1">
        <v>39052</v>
      </c>
      <c r="G262" s="2">
        <v>2006</v>
      </c>
      <c r="H262">
        <v>2021</v>
      </c>
      <c r="I262" s="2">
        <v>15</v>
      </c>
      <c r="J262" s="7">
        <v>87816</v>
      </c>
      <c r="K262" t="s">
        <v>604</v>
      </c>
      <c r="L262">
        <v>2</v>
      </c>
      <c r="M262" t="s">
        <v>16</v>
      </c>
      <c r="N262" t="s">
        <v>17</v>
      </c>
      <c r="O262" t="s">
        <v>123</v>
      </c>
      <c r="P262" t="s">
        <v>1491</v>
      </c>
      <c r="Q262" s="7">
        <f t="shared" si="6"/>
        <v>1053792</v>
      </c>
      <c r="R262" s="7">
        <f t="shared" si="7"/>
        <v>8781.6</v>
      </c>
    </row>
    <row r="263" spans="1:18" x14ac:dyDescent="0.35">
      <c r="A263" s="5">
        <v>257</v>
      </c>
      <c r="B263" t="s">
        <v>296</v>
      </c>
      <c r="C263" t="s">
        <v>605</v>
      </c>
      <c r="D263" t="s">
        <v>1486</v>
      </c>
      <c r="E263" t="s">
        <v>89</v>
      </c>
      <c r="F263" s="1">
        <v>45813</v>
      </c>
      <c r="G263" s="2">
        <v>2012</v>
      </c>
      <c r="H263">
        <v>2021</v>
      </c>
      <c r="I263" s="2">
        <v>9</v>
      </c>
      <c r="J263" s="7">
        <v>83804</v>
      </c>
      <c r="K263" t="s">
        <v>235</v>
      </c>
      <c r="L263">
        <v>1</v>
      </c>
      <c r="M263" t="s">
        <v>46</v>
      </c>
      <c r="N263" t="s">
        <v>17</v>
      </c>
      <c r="O263" t="s">
        <v>41</v>
      </c>
      <c r="P263" t="s">
        <v>1491</v>
      </c>
      <c r="Q263" s="7">
        <f t="shared" ref="Q263:Q326" si="8">J263*12</f>
        <v>1005648</v>
      </c>
      <c r="R263" s="7">
        <f t="shared" ref="R263:R326" si="9">J263*10%</f>
        <v>8380.4</v>
      </c>
    </row>
    <row r="264" spans="1:18" x14ac:dyDescent="0.35">
      <c r="A264" s="5">
        <v>258</v>
      </c>
      <c r="B264" t="s">
        <v>71</v>
      </c>
      <c r="C264" t="s">
        <v>606</v>
      </c>
      <c r="D264" t="s">
        <v>1485</v>
      </c>
      <c r="E264" t="s">
        <v>26</v>
      </c>
      <c r="F264" s="1">
        <v>39381</v>
      </c>
      <c r="G264" s="2">
        <v>2007</v>
      </c>
      <c r="H264">
        <v>2021</v>
      </c>
      <c r="I264" s="2">
        <v>14</v>
      </c>
      <c r="J264" s="7">
        <v>133612</v>
      </c>
      <c r="K264" t="s">
        <v>459</v>
      </c>
      <c r="L264">
        <v>4</v>
      </c>
      <c r="M264" t="s">
        <v>55</v>
      </c>
      <c r="N264" t="s">
        <v>17</v>
      </c>
      <c r="O264" t="s">
        <v>29</v>
      </c>
      <c r="P264" t="s">
        <v>1491</v>
      </c>
      <c r="Q264" s="7">
        <f t="shared" si="8"/>
        <v>1603344</v>
      </c>
      <c r="R264" s="7">
        <f t="shared" si="9"/>
        <v>13361.2</v>
      </c>
    </row>
    <row r="265" spans="1:18" x14ac:dyDescent="0.35">
      <c r="A265" s="5">
        <v>259</v>
      </c>
      <c r="B265" t="s">
        <v>282</v>
      </c>
      <c r="C265" t="s">
        <v>607</v>
      </c>
      <c r="D265" t="s">
        <v>1486</v>
      </c>
      <c r="E265" t="s">
        <v>14</v>
      </c>
      <c r="F265" s="1">
        <v>45030</v>
      </c>
      <c r="G265" s="2">
        <v>2010</v>
      </c>
      <c r="H265">
        <v>2021</v>
      </c>
      <c r="I265" s="2">
        <v>11</v>
      </c>
      <c r="J265" s="7">
        <v>47007</v>
      </c>
      <c r="K265" t="s">
        <v>510</v>
      </c>
      <c r="L265">
        <v>3</v>
      </c>
      <c r="M265" t="s">
        <v>28</v>
      </c>
      <c r="N265" t="s">
        <v>17</v>
      </c>
      <c r="O265" t="s">
        <v>18</v>
      </c>
      <c r="P265" t="s">
        <v>1491</v>
      </c>
      <c r="Q265" s="7">
        <f t="shared" si="8"/>
        <v>564084</v>
      </c>
      <c r="R265" s="7">
        <f t="shared" si="9"/>
        <v>4700.7</v>
      </c>
    </row>
    <row r="266" spans="1:18" x14ac:dyDescent="0.35">
      <c r="A266" s="5">
        <v>260</v>
      </c>
      <c r="B266" t="s">
        <v>608</v>
      </c>
      <c r="C266" t="s">
        <v>609</v>
      </c>
      <c r="D266" t="s">
        <v>1485</v>
      </c>
      <c r="E266" t="s">
        <v>203</v>
      </c>
      <c r="F266" s="1">
        <v>38699</v>
      </c>
      <c r="G266" s="2">
        <v>2005</v>
      </c>
      <c r="H266">
        <v>2021</v>
      </c>
      <c r="I266" s="2">
        <v>16</v>
      </c>
      <c r="J266" s="7">
        <v>142967</v>
      </c>
      <c r="K266" t="s">
        <v>610</v>
      </c>
      <c r="L266">
        <v>5</v>
      </c>
      <c r="M266" t="s">
        <v>91</v>
      </c>
      <c r="N266" t="s">
        <v>40</v>
      </c>
      <c r="O266" t="s">
        <v>41</v>
      </c>
      <c r="P266" t="s">
        <v>1491</v>
      </c>
      <c r="Q266" s="7">
        <f t="shared" si="8"/>
        <v>1715604</v>
      </c>
      <c r="R266" s="7">
        <f t="shared" si="9"/>
        <v>14296.7</v>
      </c>
    </row>
    <row r="267" spans="1:18" x14ac:dyDescent="0.35">
      <c r="A267" s="5">
        <v>261</v>
      </c>
      <c r="B267" t="s">
        <v>611</v>
      </c>
      <c r="C267" t="s">
        <v>612</v>
      </c>
      <c r="D267" t="s">
        <v>1486</v>
      </c>
      <c r="E267" t="s">
        <v>85</v>
      </c>
      <c r="F267" s="1">
        <v>45632</v>
      </c>
      <c r="G267" s="2">
        <v>2011</v>
      </c>
      <c r="H267">
        <v>2021</v>
      </c>
      <c r="I267" s="2">
        <v>10</v>
      </c>
      <c r="J267" s="7">
        <v>71433</v>
      </c>
      <c r="K267" t="s">
        <v>613</v>
      </c>
      <c r="L267">
        <v>4</v>
      </c>
      <c r="M267" t="s">
        <v>55</v>
      </c>
      <c r="N267" t="s">
        <v>17</v>
      </c>
      <c r="O267" t="s">
        <v>41</v>
      </c>
      <c r="P267" t="s">
        <v>1491</v>
      </c>
      <c r="Q267" s="7">
        <f t="shared" si="8"/>
        <v>857196</v>
      </c>
      <c r="R267" s="7">
        <f t="shared" si="9"/>
        <v>7143.3</v>
      </c>
    </row>
    <row r="268" spans="1:18" x14ac:dyDescent="0.35">
      <c r="A268" s="5">
        <v>262</v>
      </c>
      <c r="B268" t="s">
        <v>614</v>
      </c>
      <c r="C268" t="s">
        <v>615</v>
      </c>
      <c r="D268" t="s">
        <v>1486</v>
      </c>
      <c r="E268" t="s">
        <v>129</v>
      </c>
      <c r="F268" s="1">
        <v>36593</v>
      </c>
      <c r="G268" s="2">
        <v>2000</v>
      </c>
      <c r="H268">
        <v>2021</v>
      </c>
      <c r="I268" s="2">
        <v>21</v>
      </c>
      <c r="J268" s="7">
        <v>74191</v>
      </c>
      <c r="K268" t="s">
        <v>115</v>
      </c>
      <c r="L268">
        <v>1</v>
      </c>
      <c r="M268" t="s">
        <v>46</v>
      </c>
      <c r="N268" t="s">
        <v>17</v>
      </c>
      <c r="O268" t="s">
        <v>41</v>
      </c>
      <c r="P268" t="s">
        <v>1491</v>
      </c>
      <c r="Q268" s="7">
        <f t="shared" si="8"/>
        <v>890292</v>
      </c>
      <c r="R268" s="7">
        <f t="shared" si="9"/>
        <v>7419.1</v>
      </c>
    </row>
    <row r="269" spans="1:18" x14ac:dyDescent="0.35">
      <c r="A269" s="5">
        <v>263</v>
      </c>
      <c r="B269" t="s">
        <v>184</v>
      </c>
      <c r="C269" t="s">
        <v>616</v>
      </c>
      <c r="D269" t="s">
        <v>1485</v>
      </c>
      <c r="E269" t="s">
        <v>61</v>
      </c>
      <c r="F269" s="1">
        <v>38381</v>
      </c>
      <c r="G269" s="2">
        <v>2005</v>
      </c>
      <c r="H269">
        <v>2021</v>
      </c>
      <c r="I269" s="2">
        <v>16</v>
      </c>
      <c r="J269" s="7">
        <v>109004</v>
      </c>
      <c r="K269" t="s">
        <v>617</v>
      </c>
      <c r="L269">
        <v>5</v>
      </c>
      <c r="M269" t="s">
        <v>91</v>
      </c>
      <c r="N269" t="s">
        <v>40</v>
      </c>
      <c r="O269" t="s">
        <v>63</v>
      </c>
      <c r="P269" t="s">
        <v>1491</v>
      </c>
      <c r="Q269" s="7">
        <f t="shared" si="8"/>
        <v>1308048</v>
      </c>
      <c r="R269" s="7">
        <f t="shared" si="9"/>
        <v>10900.400000000001</v>
      </c>
    </row>
    <row r="270" spans="1:18" x14ac:dyDescent="0.35">
      <c r="A270" s="5">
        <v>264</v>
      </c>
      <c r="B270" t="s">
        <v>404</v>
      </c>
      <c r="C270" t="s">
        <v>618</v>
      </c>
      <c r="D270" t="s">
        <v>1485</v>
      </c>
      <c r="E270" t="s">
        <v>100</v>
      </c>
      <c r="F270" s="1">
        <v>41749</v>
      </c>
      <c r="G270" s="2">
        <v>2014</v>
      </c>
      <c r="H270">
        <v>2021</v>
      </c>
      <c r="I270" s="2">
        <v>7</v>
      </c>
      <c r="J270" s="7">
        <v>102211</v>
      </c>
      <c r="K270" t="s">
        <v>290</v>
      </c>
      <c r="L270">
        <v>3</v>
      </c>
      <c r="M270" t="s">
        <v>28</v>
      </c>
      <c r="N270" t="s">
        <v>17</v>
      </c>
      <c r="O270" t="s">
        <v>29</v>
      </c>
      <c r="P270" t="s">
        <v>1491</v>
      </c>
      <c r="Q270" s="7">
        <f t="shared" si="8"/>
        <v>1226532</v>
      </c>
      <c r="R270" s="7">
        <f t="shared" si="9"/>
        <v>10221.1</v>
      </c>
    </row>
    <row r="271" spans="1:18" x14ac:dyDescent="0.35">
      <c r="A271" s="5">
        <v>265</v>
      </c>
      <c r="B271" t="s">
        <v>341</v>
      </c>
      <c r="C271" t="s">
        <v>619</v>
      </c>
      <c r="D271" t="s">
        <v>1485</v>
      </c>
      <c r="E271" t="s">
        <v>14</v>
      </c>
      <c r="F271" s="1">
        <v>36741</v>
      </c>
      <c r="G271" s="2">
        <v>2000</v>
      </c>
      <c r="H271">
        <v>2021</v>
      </c>
      <c r="I271" s="2">
        <v>21</v>
      </c>
      <c r="J271" s="7">
        <v>75862</v>
      </c>
      <c r="K271" t="s">
        <v>169</v>
      </c>
      <c r="L271">
        <v>5</v>
      </c>
      <c r="M271" t="s">
        <v>91</v>
      </c>
      <c r="N271" t="s">
        <v>40</v>
      </c>
      <c r="O271" t="s">
        <v>18</v>
      </c>
      <c r="P271" t="s">
        <v>1491</v>
      </c>
      <c r="Q271" s="7">
        <f t="shared" si="8"/>
        <v>910344</v>
      </c>
      <c r="R271" s="7">
        <f t="shared" si="9"/>
        <v>7586.2000000000007</v>
      </c>
    </row>
    <row r="272" spans="1:18" x14ac:dyDescent="0.35">
      <c r="A272" s="5">
        <v>266</v>
      </c>
      <c r="B272" t="s">
        <v>620</v>
      </c>
      <c r="C272" t="s">
        <v>621</v>
      </c>
      <c r="D272" t="s">
        <v>1485</v>
      </c>
      <c r="E272" t="s">
        <v>32</v>
      </c>
      <c r="F272" s="1">
        <v>36590</v>
      </c>
      <c r="G272" s="2">
        <v>2000</v>
      </c>
      <c r="H272">
        <v>2021</v>
      </c>
      <c r="I272" s="3">
        <v>21</v>
      </c>
      <c r="J272" s="7">
        <v>61446</v>
      </c>
      <c r="K272" t="s">
        <v>253</v>
      </c>
      <c r="L272">
        <v>2</v>
      </c>
      <c r="M272" t="s">
        <v>16</v>
      </c>
      <c r="N272" t="s">
        <v>17</v>
      </c>
      <c r="O272" t="s">
        <v>34</v>
      </c>
      <c r="P272" t="s">
        <v>1491</v>
      </c>
      <c r="Q272" s="7">
        <f t="shared" si="8"/>
        <v>737352</v>
      </c>
      <c r="R272" s="7">
        <f t="shared" si="9"/>
        <v>6144.6</v>
      </c>
    </row>
    <row r="273" spans="1:18" x14ac:dyDescent="0.35">
      <c r="A273" s="5">
        <v>267</v>
      </c>
      <c r="B273" t="s">
        <v>622</v>
      </c>
      <c r="C273" t="s">
        <v>623</v>
      </c>
      <c r="D273" t="s">
        <v>1485</v>
      </c>
      <c r="E273" t="s">
        <v>89</v>
      </c>
      <c r="F273" s="1">
        <v>40696</v>
      </c>
      <c r="G273" s="2">
        <v>2011</v>
      </c>
      <c r="H273">
        <v>2021</v>
      </c>
      <c r="I273" s="2">
        <v>10</v>
      </c>
      <c r="J273" s="7">
        <v>146432</v>
      </c>
      <c r="K273" t="s">
        <v>97</v>
      </c>
      <c r="L273">
        <v>2</v>
      </c>
      <c r="M273" t="s">
        <v>16</v>
      </c>
      <c r="N273" t="s">
        <v>17</v>
      </c>
      <c r="O273" t="s">
        <v>41</v>
      </c>
      <c r="P273" t="s">
        <v>1491</v>
      </c>
      <c r="Q273" s="7">
        <f t="shared" si="8"/>
        <v>1757184</v>
      </c>
      <c r="R273" s="7">
        <f t="shared" si="9"/>
        <v>14643.2</v>
      </c>
    </row>
    <row r="274" spans="1:18" x14ac:dyDescent="0.35">
      <c r="A274" s="5">
        <v>268</v>
      </c>
      <c r="B274" t="s">
        <v>624</v>
      </c>
      <c r="C274" t="s">
        <v>625</v>
      </c>
      <c r="D274" t="s">
        <v>1486</v>
      </c>
      <c r="E274" t="s">
        <v>37</v>
      </c>
      <c r="F274" s="1">
        <v>37305</v>
      </c>
      <c r="G274" s="2">
        <v>2002</v>
      </c>
      <c r="H274">
        <v>2021</v>
      </c>
      <c r="I274" s="2">
        <v>19</v>
      </c>
      <c r="J274" s="7">
        <v>50623</v>
      </c>
      <c r="K274" t="s">
        <v>626</v>
      </c>
      <c r="L274">
        <v>7</v>
      </c>
      <c r="M274" t="s">
        <v>39</v>
      </c>
      <c r="N274" t="s">
        <v>40</v>
      </c>
      <c r="O274" t="s">
        <v>41</v>
      </c>
      <c r="P274" t="s">
        <v>1491</v>
      </c>
      <c r="Q274" s="7">
        <f t="shared" si="8"/>
        <v>607476</v>
      </c>
      <c r="R274" s="7">
        <f t="shared" si="9"/>
        <v>5062.3</v>
      </c>
    </row>
    <row r="275" spans="1:18" x14ac:dyDescent="0.35">
      <c r="A275" s="5">
        <v>269</v>
      </c>
      <c r="B275" t="s">
        <v>255</v>
      </c>
      <c r="C275" t="s">
        <v>627</v>
      </c>
      <c r="D275" t="s">
        <v>1485</v>
      </c>
      <c r="E275" t="s">
        <v>148</v>
      </c>
      <c r="F275" s="1">
        <v>41984</v>
      </c>
      <c r="G275" s="2">
        <v>2014</v>
      </c>
      <c r="H275">
        <v>2021</v>
      </c>
      <c r="I275" s="2">
        <v>7</v>
      </c>
      <c r="J275" s="7">
        <v>108248</v>
      </c>
      <c r="K275" t="s">
        <v>54</v>
      </c>
      <c r="L275">
        <v>3</v>
      </c>
      <c r="M275" t="s">
        <v>28</v>
      </c>
      <c r="N275" t="s">
        <v>17</v>
      </c>
      <c r="O275" t="s">
        <v>112</v>
      </c>
      <c r="P275" t="s">
        <v>1491</v>
      </c>
      <c r="Q275" s="7">
        <f t="shared" si="8"/>
        <v>1298976</v>
      </c>
      <c r="R275" s="7">
        <f t="shared" si="9"/>
        <v>10824.800000000001</v>
      </c>
    </row>
    <row r="276" spans="1:18" x14ac:dyDescent="0.35">
      <c r="A276" s="5">
        <v>270</v>
      </c>
      <c r="B276" t="s">
        <v>134</v>
      </c>
      <c r="C276" t="s">
        <v>628</v>
      </c>
      <c r="D276" t="s">
        <v>1486</v>
      </c>
      <c r="E276" t="s">
        <v>26</v>
      </c>
      <c r="F276" s="1">
        <v>38570</v>
      </c>
      <c r="G276" s="2">
        <v>2005</v>
      </c>
      <c r="H276">
        <v>2021</v>
      </c>
      <c r="I276" s="2">
        <v>16</v>
      </c>
      <c r="J276" s="7">
        <v>120875</v>
      </c>
      <c r="K276" t="s">
        <v>101</v>
      </c>
      <c r="L276">
        <v>1</v>
      </c>
      <c r="M276" t="s">
        <v>46</v>
      </c>
      <c r="N276" t="s">
        <v>17</v>
      </c>
      <c r="O276" t="s">
        <v>29</v>
      </c>
      <c r="P276" t="s">
        <v>1491</v>
      </c>
      <c r="Q276" s="7">
        <f t="shared" si="8"/>
        <v>1450500</v>
      </c>
      <c r="R276" s="7">
        <f t="shared" si="9"/>
        <v>12087.5</v>
      </c>
    </row>
    <row r="277" spans="1:18" x14ac:dyDescent="0.35">
      <c r="A277" s="5">
        <v>271</v>
      </c>
      <c r="B277" t="s">
        <v>218</v>
      </c>
      <c r="C277" t="s">
        <v>629</v>
      </c>
      <c r="D277" t="s">
        <v>1486</v>
      </c>
      <c r="E277" t="s">
        <v>21</v>
      </c>
      <c r="F277" s="1">
        <v>37110</v>
      </c>
      <c r="G277" s="2">
        <v>2001</v>
      </c>
      <c r="H277">
        <v>2021</v>
      </c>
      <c r="I277" s="2">
        <v>20</v>
      </c>
      <c r="J277" s="7">
        <v>123843</v>
      </c>
      <c r="K277" t="s">
        <v>226</v>
      </c>
      <c r="L277">
        <v>7</v>
      </c>
      <c r="M277" t="s">
        <v>39</v>
      </c>
      <c r="N277" t="s">
        <v>40</v>
      </c>
      <c r="O277" t="s">
        <v>23</v>
      </c>
      <c r="P277" t="s">
        <v>1491</v>
      </c>
      <c r="Q277" s="7">
        <f t="shared" si="8"/>
        <v>1486116</v>
      </c>
      <c r="R277" s="7">
        <f t="shared" si="9"/>
        <v>12384.300000000001</v>
      </c>
    </row>
    <row r="278" spans="1:18" x14ac:dyDescent="0.35">
      <c r="A278" s="5">
        <v>272</v>
      </c>
      <c r="B278" t="s">
        <v>630</v>
      </c>
      <c r="C278" t="s">
        <v>631</v>
      </c>
      <c r="D278" t="s">
        <v>1485</v>
      </c>
      <c r="E278" t="s">
        <v>238</v>
      </c>
      <c r="F278" s="1">
        <v>41775</v>
      </c>
      <c r="G278" s="2">
        <v>2014</v>
      </c>
      <c r="H278">
        <v>2021</v>
      </c>
      <c r="I278" s="2">
        <v>7</v>
      </c>
      <c r="J278" s="7">
        <v>43940</v>
      </c>
      <c r="K278" t="s">
        <v>632</v>
      </c>
      <c r="L278">
        <v>2</v>
      </c>
      <c r="M278" t="s">
        <v>16</v>
      </c>
      <c r="N278" t="s">
        <v>17</v>
      </c>
      <c r="O278" t="s">
        <v>63</v>
      </c>
      <c r="P278" t="s">
        <v>1491</v>
      </c>
      <c r="Q278" s="7">
        <f t="shared" si="8"/>
        <v>527280</v>
      </c>
      <c r="R278" s="7">
        <f t="shared" si="9"/>
        <v>4394</v>
      </c>
    </row>
    <row r="279" spans="1:18" x14ac:dyDescent="0.35">
      <c r="A279" s="5">
        <v>273</v>
      </c>
      <c r="B279" t="s">
        <v>480</v>
      </c>
      <c r="C279" t="s">
        <v>633</v>
      </c>
      <c r="D279" t="s">
        <v>1486</v>
      </c>
      <c r="E279" t="s">
        <v>61</v>
      </c>
      <c r="F279" s="1">
        <v>46028</v>
      </c>
      <c r="G279" s="2">
        <v>2013</v>
      </c>
      <c r="H279">
        <v>2021</v>
      </c>
      <c r="I279" s="2">
        <v>8</v>
      </c>
      <c r="J279" s="7">
        <v>142840</v>
      </c>
      <c r="K279" t="s">
        <v>617</v>
      </c>
      <c r="L279">
        <v>1</v>
      </c>
      <c r="M279" t="s">
        <v>46</v>
      </c>
      <c r="N279" t="s">
        <v>17</v>
      </c>
      <c r="O279" t="s">
        <v>63</v>
      </c>
      <c r="P279" t="s">
        <v>1491</v>
      </c>
      <c r="Q279" s="7">
        <f t="shared" si="8"/>
        <v>1714080</v>
      </c>
      <c r="R279" s="7">
        <f t="shared" si="9"/>
        <v>14284</v>
      </c>
    </row>
    <row r="280" spans="1:18" x14ac:dyDescent="0.35">
      <c r="A280" s="5">
        <v>274</v>
      </c>
      <c r="B280" t="s">
        <v>611</v>
      </c>
      <c r="C280" t="s">
        <v>634</v>
      </c>
      <c r="D280" t="s">
        <v>1485</v>
      </c>
      <c r="E280" t="s">
        <v>110</v>
      </c>
      <c r="F280" s="1">
        <v>38930</v>
      </c>
      <c r="G280" s="2">
        <v>2006</v>
      </c>
      <c r="H280">
        <v>2021</v>
      </c>
      <c r="I280" s="2">
        <v>15</v>
      </c>
      <c r="J280" s="7">
        <v>125713</v>
      </c>
      <c r="K280" t="s">
        <v>130</v>
      </c>
      <c r="L280">
        <v>3</v>
      </c>
      <c r="M280" t="s">
        <v>28</v>
      </c>
      <c r="N280" t="s">
        <v>17</v>
      </c>
      <c r="O280" t="s">
        <v>112</v>
      </c>
      <c r="P280" t="s">
        <v>1491</v>
      </c>
      <c r="Q280" s="7">
        <f t="shared" si="8"/>
        <v>1508556</v>
      </c>
      <c r="R280" s="7">
        <f t="shared" si="9"/>
        <v>12571.300000000001</v>
      </c>
    </row>
    <row r="281" spans="1:18" x14ac:dyDescent="0.35">
      <c r="A281" s="5">
        <v>275</v>
      </c>
      <c r="B281" t="s">
        <v>302</v>
      </c>
      <c r="C281" t="s">
        <v>635</v>
      </c>
      <c r="D281" t="s">
        <v>1486</v>
      </c>
      <c r="E281" t="s">
        <v>122</v>
      </c>
      <c r="F281" s="1">
        <v>45042</v>
      </c>
      <c r="G281" s="2">
        <v>2010</v>
      </c>
      <c r="H281">
        <v>2021</v>
      </c>
      <c r="I281" s="2">
        <v>11</v>
      </c>
      <c r="J281" s="7">
        <v>122219</v>
      </c>
      <c r="K281" t="s">
        <v>636</v>
      </c>
      <c r="L281">
        <v>6</v>
      </c>
      <c r="M281" t="s">
        <v>50</v>
      </c>
      <c r="N281" t="s">
        <v>40</v>
      </c>
      <c r="O281" t="s">
        <v>123</v>
      </c>
      <c r="P281" t="s">
        <v>1491</v>
      </c>
      <c r="Q281" s="7">
        <f t="shared" si="8"/>
        <v>1466628</v>
      </c>
      <c r="R281" s="7">
        <f t="shared" si="9"/>
        <v>12221.900000000001</v>
      </c>
    </row>
    <row r="282" spans="1:18" x14ac:dyDescent="0.35">
      <c r="A282" s="5">
        <v>276</v>
      </c>
      <c r="B282" t="s">
        <v>35</v>
      </c>
      <c r="C282" t="s">
        <v>637</v>
      </c>
      <c r="D282" t="s">
        <v>1486</v>
      </c>
      <c r="E282" t="s">
        <v>94</v>
      </c>
      <c r="F282" s="1">
        <v>36667</v>
      </c>
      <c r="G282" s="2">
        <v>2000</v>
      </c>
      <c r="H282">
        <v>2021</v>
      </c>
      <c r="I282" s="2">
        <v>21</v>
      </c>
      <c r="J282" s="7">
        <v>46259</v>
      </c>
      <c r="K282" t="s">
        <v>581</v>
      </c>
      <c r="L282">
        <v>6</v>
      </c>
      <c r="M282" t="s">
        <v>50</v>
      </c>
      <c r="N282" t="s">
        <v>40</v>
      </c>
      <c r="O282" t="s">
        <v>18</v>
      </c>
      <c r="P282" t="s">
        <v>1491</v>
      </c>
      <c r="Q282" s="7">
        <f t="shared" si="8"/>
        <v>555108</v>
      </c>
      <c r="R282" s="7">
        <f t="shared" si="9"/>
        <v>4625.9000000000005</v>
      </c>
    </row>
    <row r="283" spans="1:18" x14ac:dyDescent="0.35">
      <c r="A283" s="5">
        <v>277</v>
      </c>
      <c r="B283" t="s">
        <v>638</v>
      </c>
      <c r="C283" t="s">
        <v>639</v>
      </c>
      <c r="D283" t="s">
        <v>1486</v>
      </c>
      <c r="E283" t="s">
        <v>69</v>
      </c>
      <c r="F283" s="1">
        <v>37816</v>
      </c>
      <c r="G283" s="2">
        <v>2003</v>
      </c>
      <c r="H283">
        <v>2021</v>
      </c>
      <c r="I283" s="2">
        <v>18</v>
      </c>
      <c r="J283" s="7">
        <v>142403</v>
      </c>
      <c r="K283" t="s">
        <v>640</v>
      </c>
      <c r="L283">
        <v>3</v>
      </c>
      <c r="M283" t="s">
        <v>28</v>
      </c>
      <c r="N283" t="s">
        <v>17</v>
      </c>
      <c r="O283" t="s">
        <v>41</v>
      </c>
      <c r="P283" t="s">
        <v>1491</v>
      </c>
      <c r="Q283" s="7">
        <f t="shared" si="8"/>
        <v>1708836</v>
      </c>
      <c r="R283" s="7">
        <f t="shared" si="9"/>
        <v>14240.300000000001</v>
      </c>
    </row>
    <row r="284" spans="1:18" x14ac:dyDescent="0.35">
      <c r="A284" s="5">
        <v>278</v>
      </c>
      <c r="B284" t="s">
        <v>284</v>
      </c>
      <c r="C284" t="s">
        <v>641</v>
      </c>
      <c r="D284" t="s">
        <v>1485</v>
      </c>
      <c r="E284" t="s">
        <v>110</v>
      </c>
      <c r="F284" s="1">
        <v>36551</v>
      </c>
      <c r="G284" s="2">
        <v>2000</v>
      </c>
      <c r="H284">
        <v>2021</v>
      </c>
      <c r="I284" s="2">
        <v>21</v>
      </c>
      <c r="J284" s="7">
        <v>88165</v>
      </c>
      <c r="K284" t="s">
        <v>145</v>
      </c>
      <c r="L284">
        <v>4</v>
      </c>
      <c r="M284" t="s">
        <v>55</v>
      </c>
      <c r="N284" t="s">
        <v>17</v>
      </c>
      <c r="O284" t="s">
        <v>112</v>
      </c>
      <c r="P284" t="s">
        <v>1491</v>
      </c>
      <c r="Q284" s="7">
        <f t="shared" si="8"/>
        <v>1057980</v>
      </c>
      <c r="R284" s="7">
        <f t="shared" si="9"/>
        <v>8816.5</v>
      </c>
    </row>
    <row r="285" spans="1:18" x14ac:dyDescent="0.35">
      <c r="A285" s="5">
        <v>279</v>
      </c>
      <c r="B285" t="s">
        <v>642</v>
      </c>
      <c r="C285" t="s">
        <v>643</v>
      </c>
      <c r="D285" t="s">
        <v>1485</v>
      </c>
      <c r="E285" t="s">
        <v>110</v>
      </c>
      <c r="F285" s="1">
        <v>39259</v>
      </c>
      <c r="G285" s="2">
        <v>2007</v>
      </c>
      <c r="H285">
        <v>2021</v>
      </c>
      <c r="I285" s="2">
        <v>14</v>
      </c>
      <c r="J285" s="7">
        <v>86291</v>
      </c>
      <c r="K285" t="s">
        <v>49</v>
      </c>
      <c r="L285">
        <v>7</v>
      </c>
      <c r="M285" t="s">
        <v>39</v>
      </c>
      <c r="N285" t="s">
        <v>40</v>
      </c>
      <c r="O285" t="s">
        <v>112</v>
      </c>
      <c r="P285" t="s">
        <v>1491</v>
      </c>
      <c r="Q285" s="7">
        <f t="shared" si="8"/>
        <v>1035492</v>
      </c>
      <c r="R285" s="7">
        <f t="shared" si="9"/>
        <v>8629.1</v>
      </c>
    </row>
    <row r="286" spans="1:18" x14ac:dyDescent="0.35">
      <c r="A286" s="5">
        <v>280</v>
      </c>
      <c r="B286" t="s">
        <v>354</v>
      </c>
      <c r="C286" t="s">
        <v>644</v>
      </c>
      <c r="D286" t="s">
        <v>1485</v>
      </c>
      <c r="E286" t="s">
        <v>85</v>
      </c>
      <c r="F286" s="1">
        <v>39603</v>
      </c>
      <c r="G286" s="2">
        <v>2008</v>
      </c>
      <c r="H286">
        <v>2021</v>
      </c>
      <c r="I286" s="2">
        <v>13</v>
      </c>
      <c r="J286" s="7">
        <v>139163</v>
      </c>
      <c r="K286" t="s">
        <v>330</v>
      </c>
      <c r="L286">
        <v>5</v>
      </c>
      <c r="M286" t="s">
        <v>91</v>
      </c>
      <c r="N286" t="s">
        <v>40</v>
      </c>
      <c r="O286" t="s">
        <v>41</v>
      </c>
      <c r="P286" t="s">
        <v>1491</v>
      </c>
      <c r="Q286" s="7">
        <f t="shared" si="8"/>
        <v>1669956</v>
      </c>
      <c r="R286" s="7">
        <f t="shared" si="9"/>
        <v>13916.300000000001</v>
      </c>
    </row>
    <row r="287" spans="1:18" x14ac:dyDescent="0.35">
      <c r="A287" s="5">
        <v>281</v>
      </c>
      <c r="B287" t="s">
        <v>645</v>
      </c>
      <c r="C287" t="s">
        <v>646</v>
      </c>
      <c r="D287" t="s">
        <v>1485</v>
      </c>
      <c r="E287" t="s">
        <v>238</v>
      </c>
      <c r="F287" s="1">
        <v>39026</v>
      </c>
      <c r="G287" s="2">
        <v>2006</v>
      </c>
      <c r="H287">
        <v>2021</v>
      </c>
      <c r="I287" s="2">
        <v>15</v>
      </c>
      <c r="J287" s="7">
        <v>48892</v>
      </c>
      <c r="K287" t="s">
        <v>277</v>
      </c>
      <c r="L287">
        <v>1</v>
      </c>
      <c r="M287" t="s">
        <v>46</v>
      </c>
      <c r="N287" t="s">
        <v>17</v>
      </c>
      <c r="O287" t="s">
        <v>63</v>
      </c>
      <c r="P287" t="s">
        <v>1491</v>
      </c>
      <c r="Q287" s="7">
        <f t="shared" si="8"/>
        <v>586704</v>
      </c>
      <c r="R287" s="7">
        <f t="shared" si="9"/>
        <v>4889.2</v>
      </c>
    </row>
    <row r="288" spans="1:18" x14ac:dyDescent="0.35">
      <c r="A288" s="5">
        <v>282</v>
      </c>
      <c r="B288" t="s">
        <v>523</v>
      </c>
      <c r="C288" t="s">
        <v>647</v>
      </c>
      <c r="D288" t="s">
        <v>1486</v>
      </c>
      <c r="E288" t="s">
        <v>148</v>
      </c>
      <c r="F288" s="1">
        <v>46745</v>
      </c>
      <c r="G288" s="2">
        <v>2014</v>
      </c>
      <c r="H288">
        <v>2021</v>
      </c>
      <c r="I288" s="2">
        <v>7</v>
      </c>
      <c r="J288" s="7">
        <v>120540</v>
      </c>
      <c r="K288" t="s">
        <v>172</v>
      </c>
      <c r="L288">
        <v>6</v>
      </c>
      <c r="M288" t="s">
        <v>50</v>
      </c>
      <c r="N288" t="s">
        <v>40</v>
      </c>
      <c r="O288" t="s">
        <v>112</v>
      </c>
      <c r="P288" t="s">
        <v>1491</v>
      </c>
      <c r="Q288" s="7">
        <f t="shared" si="8"/>
        <v>1446480</v>
      </c>
      <c r="R288" s="7">
        <f t="shared" si="9"/>
        <v>12054</v>
      </c>
    </row>
    <row r="289" spans="1:18" x14ac:dyDescent="0.35">
      <c r="A289" s="5">
        <v>283</v>
      </c>
      <c r="B289" t="s">
        <v>264</v>
      </c>
      <c r="C289" t="s">
        <v>648</v>
      </c>
      <c r="D289" t="s">
        <v>1486</v>
      </c>
      <c r="E289" t="s">
        <v>203</v>
      </c>
      <c r="F289" s="1">
        <v>36598</v>
      </c>
      <c r="G289" s="2">
        <v>2000</v>
      </c>
      <c r="H289">
        <v>2021</v>
      </c>
      <c r="I289" s="2">
        <v>21</v>
      </c>
      <c r="J289" s="7">
        <v>47450</v>
      </c>
      <c r="K289" t="s">
        <v>189</v>
      </c>
      <c r="L289">
        <v>1</v>
      </c>
      <c r="M289" t="s">
        <v>46</v>
      </c>
      <c r="N289" t="s">
        <v>17</v>
      </c>
      <c r="O289" t="s">
        <v>41</v>
      </c>
      <c r="P289" t="s">
        <v>1491</v>
      </c>
      <c r="Q289" s="7">
        <f t="shared" si="8"/>
        <v>569400</v>
      </c>
      <c r="R289" s="7">
        <f t="shared" si="9"/>
        <v>4745</v>
      </c>
    </row>
    <row r="290" spans="1:18" x14ac:dyDescent="0.35">
      <c r="A290" s="5">
        <v>284</v>
      </c>
      <c r="B290" t="s">
        <v>30</v>
      </c>
      <c r="C290" t="s">
        <v>649</v>
      </c>
      <c r="D290" t="s">
        <v>1486</v>
      </c>
      <c r="E290" t="s">
        <v>203</v>
      </c>
      <c r="F290" s="1">
        <v>44433</v>
      </c>
      <c r="G290" s="2">
        <v>2008</v>
      </c>
      <c r="H290">
        <v>2021</v>
      </c>
      <c r="I290" s="2">
        <v>13</v>
      </c>
      <c r="J290" s="7">
        <v>142255</v>
      </c>
      <c r="K290" t="s">
        <v>126</v>
      </c>
      <c r="L290">
        <v>4</v>
      </c>
      <c r="M290" t="s">
        <v>55</v>
      </c>
      <c r="N290" t="s">
        <v>17</v>
      </c>
      <c r="O290" t="s">
        <v>41</v>
      </c>
      <c r="P290" t="s">
        <v>1491</v>
      </c>
      <c r="Q290" s="7">
        <f t="shared" si="8"/>
        <v>1707060</v>
      </c>
      <c r="R290" s="7">
        <f t="shared" si="9"/>
        <v>14225.5</v>
      </c>
    </row>
    <row r="291" spans="1:18" x14ac:dyDescent="0.35">
      <c r="A291" s="5">
        <v>285</v>
      </c>
      <c r="B291" t="s">
        <v>650</v>
      </c>
      <c r="C291" t="s">
        <v>651</v>
      </c>
      <c r="D291" t="s">
        <v>1485</v>
      </c>
      <c r="E291" t="s">
        <v>110</v>
      </c>
      <c r="F291" s="1">
        <v>36754</v>
      </c>
      <c r="G291" s="2">
        <v>2000</v>
      </c>
      <c r="H291">
        <v>2021</v>
      </c>
      <c r="I291" s="2">
        <v>21</v>
      </c>
      <c r="J291" s="7">
        <v>62441</v>
      </c>
      <c r="K291" t="s">
        <v>253</v>
      </c>
      <c r="L291">
        <v>3</v>
      </c>
      <c r="M291" t="s">
        <v>28</v>
      </c>
      <c r="N291" t="s">
        <v>17</v>
      </c>
      <c r="O291" t="s">
        <v>112</v>
      </c>
      <c r="P291" t="s">
        <v>1491</v>
      </c>
      <c r="Q291" s="7">
        <f t="shared" si="8"/>
        <v>749292</v>
      </c>
      <c r="R291" s="7">
        <f t="shared" si="9"/>
        <v>6244.1</v>
      </c>
    </row>
    <row r="292" spans="1:18" x14ac:dyDescent="0.35">
      <c r="A292" s="5">
        <v>286</v>
      </c>
      <c r="B292" t="s">
        <v>652</v>
      </c>
      <c r="C292" t="s">
        <v>653</v>
      </c>
      <c r="D292" t="s">
        <v>1486</v>
      </c>
      <c r="E292" t="s">
        <v>79</v>
      </c>
      <c r="F292" s="1">
        <v>43901</v>
      </c>
      <c r="G292" s="2">
        <v>2007</v>
      </c>
      <c r="H292">
        <v>2021</v>
      </c>
      <c r="I292" s="2">
        <v>14</v>
      </c>
      <c r="J292" s="7">
        <v>142529</v>
      </c>
      <c r="K292" t="s">
        <v>145</v>
      </c>
      <c r="L292">
        <v>2</v>
      </c>
      <c r="M292" t="s">
        <v>16</v>
      </c>
      <c r="N292" t="s">
        <v>17</v>
      </c>
      <c r="O292" t="s">
        <v>41</v>
      </c>
      <c r="P292" t="s">
        <v>1491</v>
      </c>
      <c r="Q292" s="7">
        <f t="shared" si="8"/>
        <v>1710348</v>
      </c>
      <c r="R292" s="7">
        <f t="shared" si="9"/>
        <v>14252.900000000001</v>
      </c>
    </row>
    <row r="293" spans="1:18" x14ac:dyDescent="0.35">
      <c r="A293" s="5">
        <v>287</v>
      </c>
      <c r="B293" t="s">
        <v>505</v>
      </c>
      <c r="C293" t="s">
        <v>654</v>
      </c>
      <c r="D293" t="s">
        <v>1486</v>
      </c>
      <c r="E293" t="s">
        <v>129</v>
      </c>
      <c r="F293" s="1">
        <v>45004</v>
      </c>
      <c r="G293" s="2">
        <v>2010</v>
      </c>
      <c r="H293">
        <v>2021</v>
      </c>
      <c r="I293" s="2">
        <v>11</v>
      </c>
      <c r="J293" s="7">
        <v>142103</v>
      </c>
      <c r="K293" t="s">
        <v>360</v>
      </c>
      <c r="L293">
        <v>4</v>
      </c>
      <c r="M293" t="s">
        <v>55</v>
      </c>
      <c r="N293" t="s">
        <v>17</v>
      </c>
      <c r="O293" t="s">
        <v>41</v>
      </c>
      <c r="P293" t="s">
        <v>1491</v>
      </c>
      <c r="Q293" s="7">
        <f t="shared" si="8"/>
        <v>1705236</v>
      </c>
      <c r="R293" s="7">
        <f t="shared" si="9"/>
        <v>14210.300000000001</v>
      </c>
    </row>
    <row r="294" spans="1:18" x14ac:dyDescent="0.35">
      <c r="A294" s="5">
        <v>288</v>
      </c>
      <c r="B294" t="s">
        <v>331</v>
      </c>
      <c r="C294" t="s">
        <v>655</v>
      </c>
      <c r="D294" t="s">
        <v>1485</v>
      </c>
      <c r="E294" t="s">
        <v>94</v>
      </c>
      <c r="F294" s="1">
        <v>37479</v>
      </c>
      <c r="G294" s="2">
        <v>2002</v>
      </c>
      <c r="H294">
        <v>2021</v>
      </c>
      <c r="I294" s="2">
        <v>19</v>
      </c>
      <c r="J294" s="7">
        <v>102395</v>
      </c>
      <c r="K294" t="s">
        <v>617</v>
      </c>
      <c r="L294">
        <v>6</v>
      </c>
      <c r="M294" t="s">
        <v>50</v>
      </c>
      <c r="N294" t="s">
        <v>40</v>
      </c>
      <c r="O294" t="s">
        <v>18</v>
      </c>
      <c r="P294" t="s">
        <v>1491</v>
      </c>
      <c r="Q294" s="7">
        <f t="shared" si="8"/>
        <v>1228740</v>
      </c>
      <c r="R294" s="7">
        <f t="shared" si="9"/>
        <v>10239.5</v>
      </c>
    </row>
    <row r="295" spans="1:18" x14ac:dyDescent="0.35">
      <c r="A295" s="5">
        <v>289</v>
      </c>
      <c r="B295" t="s">
        <v>404</v>
      </c>
      <c r="C295" t="s">
        <v>656</v>
      </c>
      <c r="D295" t="s">
        <v>1485</v>
      </c>
      <c r="E295" t="s">
        <v>89</v>
      </c>
      <c r="F295" s="1">
        <v>40095</v>
      </c>
      <c r="G295" s="2">
        <v>2009</v>
      </c>
      <c r="H295">
        <v>2021</v>
      </c>
      <c r="I295" s="2">
        <v>12</v>
      </c>
      <c r="J295" s="7">
        <v>44593</v>
      </c>
      <c r="K295" t="s">
        <v>640</v>
      </c>
      <c r="L295">
        <v>2</v>
      </c>
      <c r="M295" t="s">
        <v>16</v>
      </c>
      <c r="N295" t="s">
        <v>17</v>
      </c>
      <c r="O295" t="s">
        <v>41</v>
      </c>
      <c r="P295" t="s">
        <v>1491</v>
      </c>
      <c r="Q295" s="7">
        <f t="shared" si="8"/>
        <v>535116</v>
      </c>
      <c r="R295" s="7">
        <f t="shared" si="9"/>
        <v>4459.3</v>
      </c>
    </row>
    <row r="296" spans="1:18" x14ac:dyDescent="0.35">
      <c r="A296" s="5">
        <v>290</v>
      </c>
      <c r="B296" t="s">
        <v>657</v>
      </c>
      <c r="C296" t="s">
        <v>658</v>
      </c>
      <c r="D296" t="s">
        <v>1485</v>
      </c>
      <c r="E296" t="s">
        <v>37</v>
      </c>
      <c r="F296" s="1">
        <v>39122</v>
      </c>
      <c r="G296" s="2">
        <v>2007</v>
      </c>
      <c r="H296">
        <v>2021</v>
      </c>
      <c r="I296" s="2">
        <v>14</v>
      </c>
      <c r="J296" s="7">
        <v>120800</v>
      </c>
      <c r="K296" t="s">
        <v>659</v>
      </c>
      <c r="L296">
        <v>5</v>
      </c>
      <c r="M296" t="s">
        <v>91</v>
      </c>
      <c r="N296" t="s">
        <v>40</v>
      </c>
      <c r="O296" t="s">
        <v>41</v>
      </c>
      <c r="P296" t="s">
        <v>1491</v>
      </c>
      <c r="Q296" s="7">
        <f t="shared" si="8"/>
        <v>1449600</v>
      </c>
      <c r="R296" s="7">
        <f t="shared" si="9"/>
        <v>12080</v>
      </c>
    </row>
    <row r="297" spans="1:18" x14ac:dyDescent="0.35">
      <c r="A297" s="5">
        <v>291</v>
      </c>
      <c r="B297" t="s">
        <v>508</v>
      </c>
      <c r="C297" t="s">
        <v>660</v>
      </c>
      <c r="D297" t="s">
        <v>1486</v>
      </c>
      <c r="E297" t="s">
        <v>122</v>
      </c>
      <c r="F297" s="1">
        <v>37951</v>
      </c>
      <c r="G297" s="2">
        <v>2003</v>
      </c>
      <c r="H297">
        <v>2021</v>
      </c>
      <c r="I297" s="2">
        <v>18</v>
      </c>
      <c r="J297" s="7">
        <v>121238</v>
      </c>
      <c r="K297" t="s">
        <v>107</v>
      </c>
      <c r="L297">
        <v>4</v>
      </c>
      <c r="M297" t="s">
        <v>55</v>
      </c>
      <c r="N297" t="s">
        <v>17</v>
      </c>
      <c r="O297" t="s">
        <v>123</v>
      </c>
      <c r="P297" t="s">
        <v>1491</v>
      </c>
      <c r="Q297" s="7">
        <f t="shared" si="8"/>
        <v>1454856</v>
      </c>
      <c r="R297" s="7">
        <f t="shared" si="9"/>
        <v>12123.800000000001</v>
      </c>
    </row>
    <row r="298" spans="1:18" x14ac:dyDescent="0.35">
      <c r="A298" s="5">
        <v>292</v>
      </c>
      <c r="B298" t="s">
        <v>284</v>
      </c>
      <c r="C298" t="s">
        <v>661</v>
      </c>
      <c r="D298" t="s">
        <v>1486</v>
      </c>
      <c r="E298" t="s">
        <v>26</v>
      </c>
      <c r="F298" s="1">
        <v>45634</v>
      </c>
      <c r="G298" s="2">
        <v>2011</v>
      </c>
      <c r="H298">
        <v>2021</v>
      </c>
      <c r="I298" s="2">
        <v>10</v>
      </c>
      <c r="J298" s="7">
        <v>91296</v>
      </c>
      <c r="K298" t="s">
        <v>194</v>
      </c>
      <c r="L298">
        <v>6</v>
      </c>
      <c r="M298" t="s">
        <v>50</v>
      </c>
      <c r="N298" t="s">
        <v>40</v>
      </c>
      <c r="O298" t="s">
        <v>29</v>
      </c>
      <c r="P298" t="s">
        <v>1491</v>
      </c>
      <c r="Q298" s="7">
        <f t="shared" si="8"/>
        <v>1095552</v>
      </c>
      <c r="R298" s="7">
        <f t="shared" si="9"/>
        <v>9129.6</v>
      </c>
    </row>
    <row r="299" spans="1:18" x14ac:dyDescent="0.35">
      <c r="A299" s="5">
        <v>293</v>
      </c>
      <c r="B299" t="s">
        <v>316</v>
      </c>
      <c r="C299" t="s">
        <v>662</v>
      </c>
      <c r="D299" t="s">
        <v>1486</v>
      </c>
      <c r="E299" t="s">
        <v>203</v>
      </c>
      <c r="F299" s="1">
        <v>45528</v>
      </c>
      <c r="G299" s="2">
        <v>2011</v>
      </c>
      <c r="H299">
        <v>2021</v>
      </c>
      <c r="I299" s="2">
        <v>10</v>
      </c>
      <c r="J299" s="7">
        <v>86070</v>
      </c>
      <c r="K299" t="s">
        <v>397</v>
      </c>
      <c r="L299">
        <v>3</v>
      </c>
      <c r="M299" t="s">
        <v>28</v>
      </c>
      <c r="N299" t="s">
        <v>17</v>
      </c>
      <c r="O299" t="s">
        <v>41</v>
      </c>
      <c r="P299" t="s">
        <v>1491</v>
      </c>
      <c r="Q299" s="7">
        <f t="shared" si="8"/>
        <v>1032840</v>
      </c>
      <c r="R299" s="7">
        <f t="shared" si="9"/>
        <v>8607</v>
      </c>
    </row>
    <row r="300" spans="1:18" x14ac:dyDescent="0.35">
      <c r="A300" s="5">
        <v>294</v>
      </c>
      <c r="B300" t="s">
        <v>215</v>
      </c>
      <c r="C300" t="s">
        <v>663</v>
      </c>
      <c r="D300" t="s">
        <v>1486</v>
      </c>
      <c r="E300" t="s">
        <v>61</v>
      </c>
      <c r="F300" s="1">
        <v>44592</v>
      </c>
      <c r="G300" s="2">
        <v>2009</v>
      </c>
      <c r="H300">
        <v>2021</v>
      </c>
      <c r="I300" s="2">
        <v>12</v>
      </c>
      <c r="J300" s="7">
        <v>61519</v>
      </c>
      <c r="K300" t="s">
        <v>664</v>
      </c>
      <c r="L300">
        <v>7</v>
      </c>
      <c r="M300" t="s">
        <v>39</v>
      </c>
      <c r="N300" t="s">
        <v>40</v>
      </c>
      <c r="O300" t="s">
        <v>63</v>
      </c>
      <c r="P300" t="s">
        <v>1491</v>
      </c>
      <c r="Q300" s="7">
        <f t="shared" si="8"/>
        <v>738228</v>
      </c>
      <c r="R300" s="7">
        <f t="shared" si="9"/>
        <v>6151.9000000000005</v>
      </c>
    </row>
    <row r="301" spans="1:18" x14ac:dyDescent="0.35">
      <c r="A301" s="5">
        <v>295</v>
      </c>
      <c r="B301" t="s">
        <v>51</v>
      </c>
      <c r="C301" t="s">
        <v>665</v>
      </c>
      <c r="D301" t="s">
        <v>1486</v>
      </c>
      <c r="E301" t="s">
        <v>122</v>
      </c>
      <c r="F301" s="1">
        <v>38615</v>
      </c>
      <c r="G301" s="2">
        <v>2005</v>
      </c>
      <c r="H301">
        <v>2021</v>
      </c>
      <c r="I301" s="2">
        <v>16</v>
      </c>
      <c r="J301" s="7">
        <v>47131</v>
      </c>
      <c r="K301" t="s">
        <v>666</v>
      </c>
      <c r="L301">
        <v>6</v>
      </c>
      <c r="M301" t="s">
        <v>50</v>
      </c>
      <c r="N301" t="s">
        <v>40</v>
      </c>
      <c r="O301" t="s">
        <v>123</v>
      </c>
      <c r="P301" t="s">
        <v>1491</v>
      </c>
      <c r="Q301" s="7">
        <f t="shared" si="8"/>
        <v>565572</v>
      </c>
      <c r="R301" s="7">
        <f t="shared" si="9"/>
        <v>4713.1000000000004</v>
      </c>
    </row>
    <row r="302" spans="1:18" x14ac:dyDescent="0.35">
      <c r="A302" s="5">
        <v>296</v>
      </c>
      <c r="B302" t="s">
        <v>667</v>
      </c>
      <c r="C302" t="s">
        <v>668</v>
      </c>
      <c r="D302" t="s">
        <v>1485</v>
      </c>
      <c r="E302" t="s">
        <v>85</v>
      </c>
      <c r="F302" s="1">
        <v>39545</v>
      </c>
      <c r="G302" s="2">
        <v>2008</v>
      </c>
      <c r="H302">
        <v>2021</v>
      </c>
      <c r="I302" s="2">
        <v>13</v>
      </c>
      <c r="J302" s="7">
        <v>93962</v>
      </c>
      <c r="K302" t="s">
        <v>669</v>
      </c>
      <c r="L302">
        <v>3</v>
      </c>
      <c r="M302" t="s">
        <v>28</v>
      </c>
      <c r="N302" t="s">
        <v>17</v>
      </c>
      <c r="O302" t="s">
        <v>41</v>
      </c>
      <c r="P302" t="s">
        <v>1491</v>
      </c>
      <c r="Q302" s="7">
        <f t="shared" si="8"/>
        <v>1127544</v>
      </c>
      <c r="R302" s="7">
        <f t="shared" si="9"/>
        <v>9396.2000000000007</v>
      </c>
    </row>
    <row r="303" spans="1:18" x14ac:dyDescent="0.35">
      <c r="A303" s="5">
        <v>297</v>
      </c>
      <c r="B303" t="s">
        <v>474</v>
      </c>
      <c r="C303" t="s">
        <v>670</v>
      </c>
      <c r="D303" t="s">
        <v>1485</v>
      </c>
      <c r="E303" t="s">
        <v>312</v>
      </c>
      <c r="F303" s="1">
        <v>41955</v>
      </c>
      <c r="G303" s="2">
        <v>2014</v>
      </c>
      <c r="H303">
        <v>2021</v>
      </c>
      <c r="I303" s="2">
        <v>7</v>
      </c>
      <c r="J303" s="7">
        <v>133845</v>
      </c>
      <c r="K303" t="s">
        <v>45</v>
      </c>
      <c r="L303">
        <v>4</v>
      </c>
      <c r="M303" t="s">
        <v>55</v>
      </c>
      <c r="N303" t="s">
        <v>17</v>
      </c>
      <c r="O303" t="s">
        <v>41</v>
      </c>
      <c r="P303" t="s">
        <v>1491</v>
      </c>
      <c r="Q303" s="7">
        <f t="shared" si="8"/>
        <v>1606140</v>
      </c>
      <c r="R303" s="7">
        <f t="shared" si="9"/>
        <v>13384.5</v>
      </c>
    </row>
    <row r="304" spans="1:18" x14ac:dyDescent="0.35">
      <c r="A304" s="5">
        <v>298</v>
      </c>
      <c r="B304" t="s">
        <v>671</v>
      </c>
      <c r="C304" t="s">
        <v>672</v>
      </c>
      <c r="D304" t="s">
        <v>1485</v>
      </c>
      <c r="E304" t="s">
        <v>69</v>
      </c>
      <c r="F304" s="1">
        <v>40346</v>
      </c>
      <c r="G304" s="2">
        <v>2010</v>
      </c>
      <c r="H304">
        <v>2021</v>
      </c>
      <c r="I304" s="2">
        <v>11</v>
      </c>
      <c r="J304" s="7">
        <v>43067</v>
      </c>
      <c r="K304" t="s">
        <v>673</v>
      </c>
      <c r="L304">
        <v>7</v>
      </c>
      <c r="M304" t="s">
        <v>39</v>
      </c>
      <c r="N304" t="s">
        <v>40</v>
      </c>
      <c r="O304" t="s">
        <v>41</v>
      </c>
      <c r="P304" t="s">
        <v>1491</v>
      </c>
      <c r="Q304" s="7">
        <f t="shared" si="8"/>
        <v>516804</v>
      </c>
      <c r="R304" s="7">
        <f t="shared" si="9"/>
        <v>4306.7</v>
      </c>
    </row>
    <row r="305" spans="1:18" x14ac:dyDescent="0.35">
      <c r="A305" s="5">
        <v>299</v>
      </c>
      <c r="B305" t="s">
        <v>113</v>
      </c>
      <c r="C305" t="s">
        <v>674</v>
      </c>
      <c r="D305" t="s">
        <v>1486</v>
      </c>
      <c r="E305" t="s">
        <v>129</v>
      </c>
      <c r="F305" s="1">
        <v>37135</v>
      </c>
      <c r="G305" s="2">
        <v>2001</v>
      </c>
      <c r="H305">
        <v>2021</v>
      </c>
      <c r="I305" s="2">
        <v>20</v>
      </c>
      <c r="J305" s="7">
        <v>88972</v>
      </c>
      <c r="K305" t="s">
        <v>539</v>
      </c>
      <c r="L305">
        <v>7</v>
      </c>
      <c r="M305" t="s">
        <v>39</v>
      </c>
      <c r="N305" t="s">
        <v>40</v>
      </c>
      <c r="O305" t="s">
        <v>41</v>
      </c>
      <c r="P305" t="s">
        <v>1491</v>
      </c>
      <c r="Q305" s="7">
        <f t="shared" si="8"/>
        <v>1067664</v>
      </c>
      <c r="R305" s="7">
        <f t="shared" si="9"/>
        <v>8897.2000000000007</v>
      </c>
    </row>
    <row r="306" spans="1:18" x14ac:dyDescent="0.35">
      <c r="A306" s="5">
        <v>300</v>
      </c>
      <c r="B306" t="s">
        <v>675</v>
      </c>
      <c r="C306" t="s">
        <v>676</v>
      </c>
      <c r="D306" t="s">
        <v>1485</v>
      </c>
      <c r="E306" t="s">
        <v>69</v>
      </c>
      <c r="F306" s="1">
        <v>38671</v>
      </c>
      <c r="G306" s="2">
        <v>2005</v>
      </c>
      <c r="H306">
        <v>2021</v>
      </c>
      <c r="I306" s="2">
        <v>16</v>
      </c>
      <c r="J306" s="7">
        <v>77635</v>
      </c>
      <c r="K306" t="s">
        <v>459</v>
      </c>
      <c r="L306">
        <v>3</v>
      </c>
      <c r="M306" t="s">
        <v>28</v>
      </c>
      <c r="N306" t="s">
        <v>17</v>
      </c>
      <c r="O306" t="s">
        <v>41</v>
      </c>
      <c r="P306" t="s">
        <v>1491</v>
      </c>
      <c r="Q306" s="7">
        <f t="shared" si="8"/>
        <v>931620</v>
      </c>
      <c r="R306" s="7">
        <f t="shared" si="9"/>
        <v>7763.5</v>
      </c>
    </row>
    <row r="307" spans="1:18" x14ac:dyDescent="0.35">
      <c r="A307" s="5">
        <v>301</v>
      </c>
      <c r="B307" t="s">
        <v>677</v>
      </c>
      <c r="C307" t="s">
        <v>678</v>
      </c>
      <c r="D307" t="s">
        <v>1485</v>
      </c>
      <c r="E307" t="s">
        <v>37</v>
      </c>
      <c r="F307" s="1">
        <v>40679</v>
      </c>
      <c r="G307" s="2">
        <v>2011</v>
      </c>
      <c r="H307">
        <v>2021</v>
      </c>
      <c r="I307" s="2">
        <v>10</v>
      </c>
      <c r="J307" s="7">
        <v>148993</v>
      </c>
      <c r="K307" t="s">
        <v>344</v>
      </c>
      <c r="L307">
        <v>1</v>
      </c>
      <c r="M307" t="s">
        <v>46</v>
      </c>
      <c r="N307" t="s">
        <v>17</v>
      </c>
      <c r="O307" t="s">
        <v>41</v>
      </c>
      <c r="P307" t="s">
        <v>1491</v>
      </c>
      <c r="Q307" s="7">
        <f t="shared" si="8"/>
        <v>1787916</v>
      </c>
      <c r="R307" s="7">
        <f t="shared" si="9"/>
        <v>14899.300000000001</v>
      </c>
    </row>
    <row r="308" spans="1:18" x14ac:dyDescent="0.35">
      <c r="A308" s="5">
        <v>302</v>
      </c>
      <c r="B308" t="s">
        <v>679</v>
      </c>
      <c r="C308" t="s">
        <v>680</v>
      </c>
      <c r="D308" t="s">
        <v>1486</v>
      </c>
      <c r="E308" t="s">
        <v>44</v>
      </c>
      <c r="F308" s="1">
        <v>37483</v>
      </c>
      <c r="G308" s="2">
        <v>2002</v>
      </c>
      <c r="H308">
        <v>2021</v>
      </c>
      <c r="I308" s="2">
        <v>19</v>
      </c>
      <c r="J308" s="7">
        <v>113599</v>
      </c>
      <c r="K308" t="s">
        <v>500</v>
      </c>
      <c r="L308">
        <v>2</v>
      </c>
      <c r="M308" t="s">
        <v>16</v>
      </c>
      <c r="N308" t="s">
        <v>17</v>
      </c>
      <c r="O308" t="s">
        <v>29</v>
      </c>
      <c r="P308" t="s">
        <v>1491</v>
      </c>
      <c r="Q308" s="7">
        <f t="shared" si="8"/>
        <v>1363188</v>
      </c>
      <c r="R308" s="7">
        <f t="shared" si="9"/>
        <v>11359.900000000001</v>
      </c>
    </row>
    <row r="309" spans="1:18" x14ac:dyDescent="0.35">
      <c r="A309" s="5">
        <v>303</v>
      </c>
      <c r="B309" t="s">
        <v>528</v>
      </c>
      <c r="C309" t="s">
        <v>681</v>
      </c>
      <c r="D309" t="s">
        <v>1485</v>
      </c>
      <c r="E309" t="s">
        <v>94</v>
      </c>
      <c r="F309" s="1">
        <v>40983</v>
      </c>
      <c r="G309" s="2">
        <v>2012</v>
      </c>
      <c r="H309">
        <v>2021</v>
      </c>
      <c r="I309" s="2">
        <v>9</v>
      </c>
      <c r="J309" s="7">
        <v>76943</v>
      </c>
      <c r="K309" t="s">
        <v>321</v>
      </c>
      <c r="L309">
        <v>7</v>
      </c>
      <c r="M309" t="s">
        <v>39</v>
      </c>
      <c r="N309" t="s">
        <v>40</v>
      </c>
      <c r="O309" t="s">
        <v>18</v>
      </c>
      <c r="P309" t="s">
        <v>1491</v>
      </c>
      <c r="Q309" s="7">
        <f t="shared" si="8"/>
        <v>923316</v>
      </c>
      <c r="R309" s="7">
        <f t="shared" si="9"/>
        <v>7694.3</v>
      </c>
    </row>
    <row r="310" spans="1:18" x14ac:dyDescent="0.35">
      <c r="A310" s="5">
        <v>304</v>
      </c>
      <c r="B310" t="s">
        <v>682</v>
      </c>
      <c r="C310" t="s">
        <v>683</v>
      </c>
      <c r="D310" t="s">
        <v>1486</v>
      </c>
      <c r="E310" t="s">
        <v>122</v>
      </c>
      <c r="F310" s="1">
        <v>43977</v>
      </c>
      <c r="G310" s="2">
        <v>2007</v>
      </c>
      <c r="H310">
        <v>2021</v>
      </c>
      <c r="I310" s="2">
        <v>14</v>
      </c>
      <c r="J310" s="7">
        <v>77486</v>
      </c>
      <c r="K310" t="s">
        <v>66</v>
      </c>
      <c r="L310">
        <v>4</v>
      </c>
      <c r="M310" t="s">
        <v>55</v>
      </c>
      <c r="N310" t="s">
        <v>17</v>
      </c>
      <c r="O310" t="s">
        <v>123</v>
      </c>
      <c r="P310" t="s">
        <v>1491</v>
      </c>
      <c r="Q310" s="7">
        <f t="shared" si="8"/>
        <v>929832</v>
      </c>
      <c r="R310" s="7">
        <f t="shared" si="9"/>
        <v>7748.6</v>
      </c>
    </row>
    <row r="311" spans="1:18" x14ac:dyDescent="0.35">
      <c r="A311" s="5">
        <v>305</v>
      </c>
      <c r="B311" t="s">
        <v>175</v>
      </c>
      <c r="C311" t="s">
        <v>684</v>
      </c>
      <c r="D311" t="s">
        <v>1485</v>
      </c>
      <c r="E311" t="s">
        <v>94</v>
      </c>
      <c r="F311" s="1">
        <v>41598</v>
      </c>
      <c r="G311" s="2">
        <v>2013</v>
      </c>
      <c r="H311">
        <v>2021</v>
      </c>
      <c r="I311" s="2">
        <v>8</v>
      </c>
      <c r="J311" s="7">
        <v>135001</v>
      </c>
      <c r="K311" t="s">
        <v>27</v>
      </c>
      <c r="L311">
        <v>4</v>
      </c>
      <c r="M311" t="s">
        <v>55</v>
      </c>
      <c r="N311" t="s">
        <v>17</v>
      </c>
      <c r="O311" t="s">
        <v>18</v>
      </c>
      <c r="P311" t="s">
        <v>1491</v>
      </c>
      <c r="Q311" s="7">
        <f t="shared" si="8"/>
        <v>1620012</v>
      </c>
      <c r="R311" s="7">
        <f t="shared" si="9"/>
        <v>13500.1</v>
      </c>
    </row>
    <row r="312" spans="1:18" x14ac:dyDescent="0.35">
      <c r="A312" s="5">
        <v>306</v>
      </c>
      <c r="B312" t="s">
        <v>404</v>
      </c>
      <c r="C312" t="s">
        <v>685</v>
      </c>
      <c r="D312" t="s">
        <v>1485</v>
      </c>
      <c r="E312" t="s">
        <v>73</v>
      </c>
      <c r="F312" s="1">
        <v>39762</v>
      </c>
      <c r="G312" s="2">
        <v>2008</v>
      </c>
      <c r="H312">
        <v>2021</v>
      </c>
      <c r="I312" s="2">
        <v>13</v>
      </c>
      <c r="J312" s="7">
        <v>52171</v>
      </c>
      <c r="K312" t="s">
        <v>1499</v>
      </c>
      <c r="L312">
        <v>2</v>
      </c>
      <c r="M312" t="s">
        <v>16</v>
      </c>
      <c r="N312" t="s">
        <v>17</v>
      </c>
      <c r="O312" t="s">
        <v>41</v>
      </c>
      <c r="P312" t="s">
        <v>1491</v>
      </c>
      <c r="Q312" s="7">
        <f t="shared" si="8"/>
        <v>626052</v>
      </c>
      <c r="R312" s="7">
        <f t="shared" si="9"/>
        <v>5217.1000000000004</v>
      </c>
    </row>
    <row r="313" spans="1:18" x14ac:dyDescent="0.35">
      <c r="A313" s="5">
        <v>307</v>
      </c>
      <c r="B313" t="s">
        <v>255</v>
      </c>
      <c r="C313" t="s">
        <v>686</v>
      </c>
      <c r="D313" t="s">
        <v>1486</v>
      </c>
      <c r="E313" t="s">
        <v>110</v>
      </c>
      <c r="F313" s="1">
        <v>38890</v>
      </c>
      <c r="G313" s="2">
        <v>2006</v>
      </c>
      <c r="H313">
        <v>2021</v>
      </c>
      <c r="I313" s="2">
        <v>15</v>
      </c>
      <c r="J313" s="7">
        <v>139302</v>
      </c>
      <c r="K313" t="s">
        <v>493</v>
      </c>
      <c r="L313">
        <v>5</v>
      </c>
      <c r="M313" t="s">
        <v>91</v>
      </c>
      <c r="N313" t="s">
        <v>40</v>
      </c>
      <c r="O313" t="s">
        <v>112</v>
      </c>
      <c r="P313" t="s">
        <v>1491</v>
      </c>
      <c r="Q313" s="7">
        <f t="shared" si="8"/>
        <v>1671624</v>
      </c>
      <c r="R313" s="7">
        <f t="shared" si="9"/>
        <v>13930.2</v>
      </c>
    </row>
    <row r="314" spans="1:18" x14ac:dyDescent="0.35">
      <c r="A314" s="5">
        <v>308</v>
      </c>
      <c r="B314" t="s">
        <v>600</v>
      </c>
      <c r="C314" t="s">
        <v>687</v>
      </c>
      <c r="D314" t="s">
        <v>1486</v>
      </c>
      <c r="E314" t="s">
        <v>203</v>
      </c>
      <c r="F314" s="1">
        <v>36747</v>
      </c>
      <c r="G314" s="2">
        <v>2000</v>
      </c>
      <c r="H314">
        <v>2021</v>
      </c>
      <c r="I314" s="2">
        <v>21</v>
      </c>
      <c r="J314" s="7">
        <v>126683</v>
      </c>
      <c r="K314" t="s">
        <v>145</v>
      </c>
      <c r="L314">
        <v>4</v>
      </c>
      <c r="M314" t="s">
        <v>55</v>
      </c>
      <c r="N314" t="s">
        <v>17</v>
      </c>
      <c r="O314" t="s">
        <v>41</v>
      </c>
      <c r="P314" t="s">
        <v>1491</v>
      </c>
      <c r="Q314" s="7">
        <f t="shared" si="8"/>
        <v>1520196</v>
      </c>
      <c r="R314" s="7">
        <f t="shared" si="9"/>
        <v>12668.300000000001</v>
      </c>
    </row>
    <row r="315" spans="1:18" x14ac:dyDescent="0.35">
      <c r="A315" s="5">
        <v>309</v>
      </c>
      <c r="B315" t="s">
        <v>514</v>
      </c>
      <c r="C315" t="s">
        <v>688</v>
      </c>
      <c r="D315" t="s">
        <v>1485</v>
      </c>
      <c r="E315" t="s">
        <v>21</v>
      </c>
      <c r="F315" s="1">
        <v>38902</v>
      </c>
      <c r="G315" s="2">
        <v>2006</v>
      </c>
      <c r="H315">
        <v>2021</v>
      </c>
      <c r="I315" s="2">
        <v>15</v>
      </c>
      <c r="J315" s="7">
        <v>143781</v>
      </c>
      <c r="K315" t="s">
        <v>223</v>
      </c>
      <c r="L315">
        <v>4</v>
      </c>
      <c r="M315" t="s">
        <v>55</v>
      </c>
      <c r="N315" t="s">
        <v>17</v>
      </c>
      <c r="O315" t="s">
        <v>23</v>
      </c>
      <c r="P315" t="s">
        <v>1491</v>
      </c>
      <c r="Q315" s="7">
        <f t="shared" si="8"/>
        <v>1725372</v>
      </c>
      <c r="R315" s="7">
        <f t="shared" si="9"/>
        <v>14378.1</v>
      </c>
    </row>
    <row r="316" spans="1:18" x14ac:dyDescent="0.35">
      <c r="A316" s="5">
        <v>310</v>
      </c>
      <c r="B316" t="s">
        <v>689</v>
      </c>
      <c r="C316" t="s">
        <v>690</v>
      </c>
      <c r="D316" t="s">
        <v>1485</v>
      </c>
      <c r="E316" t="s">
        <v>122</v>
      </c>
      <c r="F316" s="1">
        <v>39512</v>
      </c>
      <c r="G316" s="2">
        <v>2008</v>
      </c>
      <c r="H316">
        <v>2021</v>
      </c>
      <c r="I316" s="2">
        <v>13</v>
      </c>
      <c r="J316" s="7">
        <v>51761</v>
      </c>
      <c r="K316" t="s">
        <v>691</v>
      </c>
      <c r="L316">
        <v>5</v>
      </c>
      <c r="M316" t="s">
        <v>91</v>
      </c>
      <c r="N316" t="s">
        <v>40</v>
      </c>
      <c r="O316" t="s">
        <v>123</v>
      </c>
      <c r="P316" t="s">
        <v>1491</v>
      </c>
      <c r="Q316" s="7">
        <f t="shared" si="8"/>
        <v>621132</v>
      </c>
      <c r="R316" s="7">
        <f t="shared" si="9"/>
        <v>5176.1000000000004</v>
      </c>
    </row>
    <row r="317" spans="1:18" x14ac:dyDescent="0.35">
      <c r="A317" s="5">
        <v>311</v>
      </c>
      <c r="B317" t="s">
        <v>205</v>
      </c>
      <c r="C317" t="s">
        <v>692</v>
      </c>
      <c r="D317" t="s">
        <v>1485</v>
      </c>
      <c r="E317" t="s">
        <v>312</v>
      </c>
      <c r="F317" s="1">
        <v>40689</v>
      </c>
      <c r="G317" s="2">
        <v>2011</v>
      </c>
      <c r="H317">
        <v>2021</v>
      </c>
      <c r="I317" s="2">
        <v>10</v>
      </c>
      <c r="J317" s="7">
        <v>45463</v>
      </c>
      <c r="K317" t="s">
        <v>583</v>
      </c>
      <c r="L317">
        <v>5</v>
      </c>
      <c r="M317" t="s">
        <v>91</v>
      </c>
      <c r="N317" t="s">
        <v>40</v>
      </c>
      <c r="O317" t="s">
        <v>41</v>
      </c>
      <c r="P317" t="s">
        <v>1491</v>
      </c>
      <c r="Q317" s="7">
        <f t="shared" si="8"/>
        <v>545556</v>
      </c>
      <c r="R317" s="7">
        <f t="shared" si="9"/>
        <v>4546.3</v>
      </c>
    </row>
    <row r="318" spans="1:18" x14ac:dyDescent="0.35">
      <c r="A318" s="5">
        <v>312</v>
      </c>
      <c r="B318" t="s">
        <v>218</v>
      </c>
      <c r="C318" t="s">
        <v>693</v>
      </c>
      <c r="D318" t="s">
        <v>1486</v>
      </c>
      <c r="E318" t="s">
        <v>69</v>
      </c>
      <c r="F318" s="1">
        <v>37940</v>
      </c>
      <c r="G318" s="2">
        <v>2003</v>
      </c>
      <c r="H318">
        <v>2021</v>
      </c>
      <c r="I318" s="2">
        <v>18</v>
      </c>
      <c r="J318" s="7">
        <v>133498</v>
      </c>
      <c r="K318" t="s">
        <v>136</v>
      </c>
      <c r="L318">
        <v>7</v>
      </c>
      <c r="M318" t="s">
        <v>39</v>
      </c>
      <c r="N318" t="s">
        <v>40</v>
      </c>
      <c r="O318" t="s">
        <v>41</v>
      </c>
      <c r="P318" t="s">
        <v>1491</v>
      </c>
      <c r="Q318" s="7">
        <f t="shared" si="8"/>
        <v>1601976</v>
      </c>
      <c r="R318" s="7">
        <f t="shared" si="9"/>
        <v>13349.800000000001</v>
      </c>
    </row>
    <row r="319" spans="1:18" x14ac:dyDescent="0.35">
      <c r="A319" s="5">
        <v>313</v>
      </c>
      <c r="B319" t="s">
        <v>363</v>
      </c>
      <c r="C319" t="s">
        <v>694</v>
      </c>
      <c r="D319" t="s">
        <v>1486</v>
      </c>
      <c r="E319" t="s">
        <v>89</v>
      </c>
      <c r="F319" s="1">
        <v>45372</v>
      </c>
      <c r="G319" s="2">
        <v>2011</v>
      </c>
      <c r="H319">
        <v>2021</v>
      </c>
      <c r="I319" s="2">
        <v>10</v>
      </c>
      <c r="J319" s="7">
        <v>81273</v>
      </c>
      <c r="K319" t="s">
        <v>695</v>
      </c>
      <c r="L319">
        <v>4</v>
      </c>
      <c r="M319" t="s">
        <v>55</v>
      </c>
      <c r="N319" t="s">
        <v>17</v>
      </c>
      <c r="O319" t="s">
        <v>41</v>
      </c>
      <c r="P319" t="s">
        <v>1491</v>
      </c>
      <c r="Q319" s="7">
        <f t="shared" si="8"/>
        <v>975276</v>
      </c>
      <c r="R319" s="7">
        <f t="shared" si="9"/>
        <v>8127.3</v>
      </c>
    </row>
    <row r="320" spans="1:18" x14ac:dyDescent="0.35">
      <c r="A320" s="5">
        <v>314</v>
      </c>
      <c r="B320" t="s">
        <v>347</v>
      </c>
      <c r="C320" t="s">
        <v>696</v>
      </c>
      <c r="D320" t="s">
        <v>1485</v>
      </c>
      <c r="E320" t="s">
        <v>14</v>
      </c>
      <c r="F320" s="1">
        <v>39505</v>
      </c>
      <c r="G320" s="2">
        <v>2008</v>
      </c>
      <c r="H320">
        <v>2021</v>
      </c>
      <c r="I320" s="2">
        <v>13</v>
      </c>
      <c r="J320" s="7">
        <v>77921</v>
      </c>
      <c r="K320" t="s">
        <v>253</v>
      </c>
      <c r="L320">
        <v>7</v>
      </c>
      <c r="M320" t="s">
        <v>39</v>
      </c>
      <c r="N320" t="s">
        <v>40</v>
      </c>
      <c r="O320" t="s">
        <v>18</v>
      </c>
      <c r="P320" t="s">
        <v>1491</v>
      </c>
      <c r="Q320" s="7">
        <f t="shared" si="8"/>
        <v>935052</v>
      </c>
      <c r="R320" s="7">
        <f t="shared" si="9"/>
        <v>7792.1</v>
      </c>
    </row>
    <row r="321" spans="1:18" x14ac:dyDescent="0.35">
      <c r="A321" s="5">
        <v>315</v>
      </c>
      <c r="B321" t="s">
        <v>143</v>
      </c>
      <c r="C321" t="s">
        <v>697</v>
      </c>
      <c r="D321" t="s">
        <v>1485</v>
      </c>
      <c r="E321" t="s">
        <v>79</v>
      </c>
      <c r="F321" s="1">
        <v>41115</v>
      </c>
      <c r="G321" s="2">
        <v>2012</v>
      </c>
      <c r="H321">
        <v>2021</v>
      </c>
      <c r="I321" s="2">
        <v>9</v>
      </c>
      <c r="J321" s="7">
        <v>59580</v>
      </c>
      <c r="K321" t="s">
        <v>321</v>
      </c>
      <c r="L321">
        <v>2</v>
      </c>
      <c r="M321" t="s">
        <v>16</v>
      </c>
      <c r="N321" t="s">
        <v>17</v>
      </c>
      <c r="O321" t="s">
        <v>41</v>
      </c>
      <c r="P321" t="s">
        <v>1491</v>
      </c>
      <c r="Q321" s="7">
        <f t="shared" si="8"/>
        <v>714960</v>
      </c>
      <c r="R321" s="7">
        <f t="shared" si="9"/>
        <v>5958</v>
      </c>
    </row>
    <row r="322" spans="1:18" x14ac:dyDescent="0.35">
      <c r="A322" s="5">
        <v>316</v>
      </c>
      <c r="B322" t="s">
        <v>698</v>
      </c>
      <c r="C322" t="s">
        <v>699</v>
      </c>
      <c r="D322" t="s">
        <v>1485</v>
      </c>
      <c r="E322" t="s">
        <v>21</v>
      </c>
      <c r="F322" s="1">
        <v>40437</v>
      </c>
      <c r="G322" s="2">
        <v>2010</v>
      </c>
      <c r="H322">
        <v>2021</v>
      </c>
      <c r="I322" s="2">
        <v>11</v>
      </c>
      <c r="J322" s="7">
        <v>40418</v>
      </c>
      <c r="K322" t="s">
        <v>191</v>
      </c>
      <c r="L322">
        <v>2</v>
      </c>
      <c r="M322" t="s">
        <v>16</v>
      </c>
      <c r="N322" t="s">
        <v>17</v>
      </c>
      <c r="O322" t="s">
        <v>23</v>
      </c>
      <c r="P322" t="s">
        <v>1491</v>
      </c>
      <c r="Q322" s="7">
        <f t="shared" si="8"/>
        <v>485016</v>
      </c>
      <c r="R322" s="7">
        <f t="shared" si="9"/>
        <v>4041.8</v>
      </c>
    </row>
    <row r="323" spans="1:18" x14ac:dyDescent="0.35">
      <c r="A323" s="5">
        <v>317</v>
      </c>
      <c r="B323" t="s">
        <v>564</v>
      </c>
      <c r="C323" t="s">
        <v>700</v>
      </c>
      <c r="D323" t="s">
        <v>1485</v>
      </c>
      <c r="E323" t="s">
        <v>37</v>
      </c>
      <c r="F323" s="1">
        <v>38204</v>
      </c>
      <c r="G323" s="2">
        <v>2004</v>
      </c>
      <c r="H323">
        <v>2021</v>
      </c>
      <c r="I323" s="2">
        <v>17</v>
      </c>
      <c r="J323" s="7">
        <v>104844</v>
      </c>
      <c r="K323" t="s">
        <v>490</v>
      </c>
      <c r="L323">
        <v>3</v>
      </c>
      <c r="M323" t="s">
        <v>28</v>
      </c>
      <c r="N323" t="s">
        <v>17</v>
      </c>
      <c r="O323" t="s">
        <v>41</v>
      </c>
      <c r="P323" t="s">
        <v>1491</v>
      </c>
      <c r="Q323" s="7">
        <f t="shared" si="8"/>
        <v>1258128</v>
      </c>
      <c r="R323" s="7">
        <f t="shared" si="9"/>
        <v>10484.400000000001</v>
      </c>
    </row>
    <row r="324" spans="1:18" x14ac:dyDescent="0.35">
      <c r="A324" s="5">
        <v>318</v>
      </c>
      <c r="B324" t="s">
        <v>331</v>
      </c>
      <c r="C324" t="s">
        <v>701</v>
      </c>
      <c r="D324" t="s">
        <v>1485</v>
      </c>
      <c r="E324" t="s">
        <v>14</v>
      </c>
      <c r="F324" s="1">
        <v>37738</v>
      </c>
      <c r="G324" s="2">
        <v>2003</v>
      </c>
      <c r="H324">
        <v>2021</v>
      </c>
      <c r="I324" s="2">
        <v>18</v>
      </c>
      <c r="J324" s="7">
        <v>139304</v>
      </c>
      <c r="K324" t="s">
        <v>581</v>
      </c>
      <c r="L324">
        <v>3</v>
      </c>
      <c r="M324" t="s">
        <v>28</v>
      </c>
      <c r="N324" t="s">
        <v>17</v>
      </c>
      <c r="O324" t="s">
        <v>18</v>
      </c>
      <c r="P324" t="s">
        <v>1491</v>
      </c>
      <c r="Q324" s="7">
        <f t="shared" si="8"/>
        <v>1671648</v>
      </c>
      <c r="R324" s="7">
        <f t="shared" si="9"/>
        <v>13930.400000000001</v>
      </c>
    </row>
    <row r="325" spans="1:18" x14ac:dyDescent="0.35">
      <c r="A325" s="5">
        <v>319</v>
      </c>
      <c r="B325" t="s">
        <v>177</v>
      </c>
      <c r="C325" t="s">
        <v>702</v>
      </c>
      <c r="D325" t="s">
        <v>1486</v>
      </c>
      <c r="E325" t="s">
        <v>89</v>
      </c>
      <c r="F325" s="1">
        <v>45646</v>
      </c>
      <c r="G325" s="2">
        <v>2011</v>
      </c>
      <c r="H325">
        <v>2021</v>
      </c>
      <c r="I325" s="2">
        <v>10</v>
      </c>
      <c r="J325" s="7">
        <v>140996</v>
      </c>
      <c r="K325" t="s">
        <v>703</v>
      </c>
      <c r="L325">
        <v>3</v>
      </c>
      <c r="M325" t="s">
        <v>28</v>
      </c>
      <c r="N325" t="s">
        <v>17</v>
      </c>
      <c r="O325" t="s">
        <v>41</v>
      </c>
      <c r="P325" t="s">
        <v>1491</v>
      </c>
      <c r="Q325" s="7">
        <f t="shared" si="8"/>
        <v>1691952</v>
      </c>
      <c r="R325" s="7">
        <f t="shared" si="9"/>
        <v>14099.6</v>
      </c>
    </row>
    <row r="326" spans="1:18" x14ac:dyDescent="0.35">
      <c r="A326" s="5">
        <v>320</v>
      </c>
      <c r="B326" t="s">
        <v>262</v>
      </c>
      <c r="C326" t="s">
        <v>704</v>
      </c>
      <c r="D326" t="s">
        <v>1485</v>
      </c>
      <c r="E326" t="s">
        <v>110</v>
      </c>
      <c r="F326" s="1">
        <v>40280</v>
      </c>
      <c r="G326" s="2">
        <v>2010</v>
      </c>
      <c r="H326">
        <v>2021</v>
      </c>
      <c r="I326" s="2">
        <v>11</v>
      </c>
      <c r="J326" s="7">
        <v>52430</v>
      </c>
      <c r="K326" t="s">
        <v>142</v>
      </c>
      <c r="L326">
        <v>5</v>
      </c>
      <c r="M326" t="s">
        <v>91</v>
      </c>
      <c r="N326" t="s">
        <v>40</v>
      </c>
      <c r="O326" t="s">
        <v>112</v>
      </c>
      <c r="P326" t="s">
        <v>1491</v>
      </c>
      <c r="Q326" s="7">
        <f t="shared" si="8"/>
        <v>629160</v>
      </c>
      <c r="R326" s="7">
        <f t="shared" si="9"/>
        <v>5243</v>
      </c>
    </row>
    <row r="327" spans="1:18" x14ac:dyDescent="0.35">
      <c r="A327" s="5">
        <v>321</v>
      </c>
      <c r="B327" t="s">
        <v>387</v>
      </c>
      <c r="C327" t="s">
        <v>705</v>
      </c>
      <c r="D327" t="s">
        <v>1486</v>
      </c>
      <c r="E327" t="s">
        <v>122</v>
      </c>
      <c r="F327" s="1">
        <v>37127</v>
      </c>
      <c r="G327" s="2">
        <v>2001</v>
      </c>
      <c r="H327">
        <v>2021</v>
      </c>
      <c r="I327" s="2">
        <v>20</v>
      </c>
      <c r="J327" s="7">
        <v>145284</v>
      </c>
      <c r="K327" t="s">
        <v>200</v>
      </c>
      <c r="L327">
        <v>7</v>
      </c>
      <c r="M327" t="s">
        <v>39</v>
      </c>
      <c r="N327" t="s">
        <v>40</v>
      </c>
      <c r="O327" t="s">
        <v>123</v>
      </c>
      <c r="P327" t="s">
        <v>1491</v>
      </c>
      <c r="Q327" s="7">
        <f t="shared" ref="Q327:Q390" si="10">J327*12</f>
        <v>1743408</v>
      </c>
      <c r="R327" s="7">
        <f t="shared" ref="R327:R390" si="11">J327*10%</f>
        <v>14528.400000000001</v>
      </c>
    </row>
    <row r="328" spans="1:18" x14ac:dyDescent="0.35">
      <c r="A328" s="5">
        <v>322</v>
      </c>
      <c r="B328" t="s">
        <v>596</v>
      </c>
      <c r="C328" t="s">
        <v>706</v>
      </c>
      <c r="D328" t="s">
        <v>1485</v>
      </c>
      <c r="E328" t="s">
        <v>14</v>
      </c>
      <c r="F328" s="1">
        <v>41585</v>
      </c>
      <c r="G328" s="2">
        <v>2013</v>
      </c>
      <c r="H328">
        <v>2021</v>
      </c>
      <c r="I328" s="2">
        <v>8</v>
      </c>
      <c r="J328" s="7">
        <v>66063</v>
      </c>
      <c r="K328" t="s">
        <v>487</v>
      </c>
      <c r="L328">
        <v>2</v>
      </c>
      <c r="M328" t="s">
        <v>16</v>
      </c>
      <c r="N328" t="s">
        <v>17</v>
      </c>
      <c r="O328" t="s">
        <v>18</v>
      </c>
      <c r="P328" t="s">
        <v>1491</v>
      </c>
      <c r="Q328" s="7">
        <f t="shared" si="10"/>
        <v>792756</v>
      </c>
      <c r="R328" s="7">
        <f t="shared" si="11"/>
        <v>6606.3</v>
      </c>
    </row>
    <row r="329" spans="1:18" x14ac:dyDescent="0.35">
      <c r="A329" s="5">
        <v>323</v>
      </c>
      <c r="B329" t="s">
        <v>421</v>
      </c>
      <c r="C329" t="s">
        <v>707</v>
      </c>
      <c r="D329" t="s">
        <v>1485</v>
      </c>
      <c r="E329" t="s">
        <v>94</v>
      </c>
      <c r="F329" s="1">
        <v>39548</v>
      </c>
      <c r="G329" s="2">
        <v>2008</v>
      </c>
      <c r="H329">
        <v>2021</v>
      </c>
      <c r="I329" s="2">
        <v>13</v>
      </c>
      <c r="J329" s="7">
        <v>134422</v>
      </c>
      <c r="K329" t="s">
        <v>209</v>
      </c>
      <c r="L329">
        <v>4</v>
      </c>
      <c r="M329" t="s">
        <v>55</v>
      </c>
      <c r="N329" t="s">
        <v>17</v>
      </c>
      <c r="O329" t="s">
        <v>18</v>
      </c>
      <c r="P329" t="s">
        <v>1491</v>
      </c>
      <c r="Q329" s="7">
        <f t="shared" si="10"/>
        <v>1613064</v>
      </c>
      <c r="R329" s="7">
        <f t="shared" si="11"/>
        <v>13442.2</v>
      </c>
    </row>
    <row r="330" spans="1:18" x14ac:dyDescent="0.35">
      <c r="A330" s="5">
        <v>324</v>
      </c>
      <c r="B330" t="s">
        <v>530</v>
      </c>
      <c r="C330" t="s">
        <v>708</v>
      </c>
      <c r="D330" t="s">
        <v>1486</v>
      </c>
      <c r="E330" t="s">
        <v>14</v>
      </c>
      <c r="F330" s="1">
        <v>45796</v>
      </c>
      <c r="G330" s="2">
        <v>2012</v>
      </c>
      <c r="H330">
        <v>2021</v>
      </c>
      <c r="I330" s="2">
        <v>9</v>
      </c>
      <c r="J330" s="7">
        <v>106229</v>
      </c>
      <c r="K330" t="s">
        <v>709</v>
      </c>
      <c r="L330">
        <v>4</v>
      </c>
      <c r="M330" t="s">
        <v>55</v>
      </c>
      <c r="N330" t="s">
        <v>17</v>
      </c>
      <c r="O330" t="s">
        <v>18</v>
      </c>
      <c r="P330" t="s">
        <v>1491</v>
      </c>
      <c r="Q330" s="7">
        <f t="shared" si="10"/>
        <v>1274748</v>
      </c>
      <c r="R330" s="7">
        <f t="shared" si="11"/>
        <v>10622.900000000001</v>
      </c>
    </row>
    <row r="331" spans="1:18" x14ac:dyDescent="0.35">
      <c r="A331" s="5">
        <v>325</v>
      </c>
      <c r="B331" t="s">
        <v>710</v>
      </c>
      <c r="C331" t="s">
        <v>711</v>
      </c>
      <c r="D331" t="s">
        <v>1486</v>
      </c>
      <c r="E331" t="s">
        <v>69</v>
      </c>
      <c r="F331" s="1">
        <v>45790</v>
      </c>
      <c r="G331" s="2">
        <v>2012</v>
      </c>
      <c r="H331">
        <v>2021</v>
      </c>
      <c r="I331" s="2">
        <v>9</v>
      </c>
      <c r="J331" s="7">
        <v>107727</v>
      </c>
      <c r="K331" t="s">
        <v>598</v>
      </c>
      <c r="L331">
        <v>2</v>
      </c>
      <c r="M331" t="s">
        <v>16</v>
      </c>
      <c r="N331" t="s">
        <v>17</v>
      </c>
      <c r="O331" t="s">
        <v>41</v>
      </c>
      <c r="P331" t="s">
        <v>1491</v>
      </c>
      <c r="Q331" s="7">
        <f t="shared" si="10"/>
        <v>1292724</v>
      </c>
      <c r="R331" s="7">
        <f t="shared" si="11"/>
        <v>10772.7</v>
      </c>
    </row>
    <row r="332" spans="1:18" x14ac:dyDescent="0.35">
      <c r="A332" s="5">
        <v>326</v>
      </c>
      <c r="B332" t="s">
        <v>316</v>
      </c>
      <c r="C332" t="s">
        <v>712</v>
      </c>
      <c r="D332" t="s">
        <v>1486</v>
      </c>
      <c r="E332" t="s">
        <v>32</v>
      </c>
      <c r="F332" s="1">
        <v>44177</v>
      </c>
      <c r="G332" s="2">
        <v>2007</v>
      </c>
      <c r="H332">
        <v>2021</v>
      </c>
      <c r="I332" s="3">
        <v>14</v>
      </c>
      <c r="J332" s="7">
        <v>130188</v>
      </c>
      <c r="K332" t="s">
        <v>472</v>
      </c>
      <c r="L332">
        <v>3</v>
      </c>
      <c r="M332" t="s">
        <v>28</v>
      </c>
      <c r="N332" t="s">
        <v>17</v>
      </c>
      <c r="O332" t="s">
        <v>34</v>
      </c>
      <c r="P332" t="s">
        <v>1491</v>
      </c>
      <c r="Q332" s="7">
        <f t="shared" si="10"/>
        <v>1562256</v>
      </c>
      <c r="R332" s="7">
        <f t="shared" si="11"/>
        <v>13018.800000000001</v>
      </c>
    </row>
    <row r="333" spans="1:18" x14ac:dyDescent="0.35">
      <c r="A333" s="5">
        <v>327</v>
      </c>
      <c r="B333" t="s">
        <v>667</v>
      </c>
      <c r="C333" t="s">
        <v>713</v>
      </c>
      <c r="D333" t="s">
        <v>1485</v>
      </c>
      <c r="E333" t="s">
        <v>26</v>
      </c>
      <c r="F333" s="1">
        <v>37533</v>
      </c>
      <c r="G333" s="2">
        <v>2002</v>
      </c>
      <c r="H333">
        <v>2021</v>
      </c>
      <c r="I333" s="2">
        <v>19</v>
      </c>
      <c r="J333" s="7">
        <v>140194</v>
      </c>
      <c r="K333" t="s">
        <v>86</v>
      </c>
      <c r="L333">
        <v>5</v>
      </c>
      <c r="M333" t="s">
        <v>91</v>
      </c>
      <c r="N333" t="s">
        <v>40</v>
      </c>
      <c r="O333" t="s">
        <v>29</v>
      </c>
      <c r="P333" t="s">
        <v>1491</v>
      </c>
      <c r="Q333" s="7">
        <f t="shared" si="10"/>
        <v>1682328</v>
      </c>
      <c r="R333" s="7">
        <f t="shared" si="11"/>
        <v>14019.400000000001</v>
      </c>
    </row>
    <row r="334" spans="1:18" x14ac:dyDescent="0.35">
      <c r="A334" s="5">
        <v>328</v>
      </c>
      <c r="B334" t="s">
        <v>544</v>
      </c>
      <c r="C334" t="s">
        <v>714</v>
      </c>
      <c r="D334" t="s">
        <v>1486</v>
      </c>
      <c r="E334" t="s">
        <v>14</v>
      </c>
      <c r="F334" s="1">
        <v>38358</v>
      </c>
      <c r="G334" s="2">
        <v>2005</v>
      </c>
      <c r="H334">
        <v>2021</v>
      </c>
      <c r="I334" s="2">
        <v>16</v>
      </c>
      <c r="J334" s="7">
        <v>58719</v>
      </c>
      <c r="K334" t="s">
        <v>715</v>
      </c>
      <c r="L334">
        <v>4</v>
      </c>
      <c r="M334" t="s">
        <v>55</v>
      </c>
      <c r="N334" t="s">
        <v>17</v>
      </c>
      <c r="O334" t="s">
        <v>18</v>
      </c>
      <c r="P334" t="s">
        <v>1491</v>
      </c>
      <c r="Q334" s="7">
        <f t="shared" si="10"/>
        <v>704628</v>
      </c>
      <c r="R334" s="7">
        <f t="shared" si="11"/>
        <v>5871.9000000000005</v>
      </c>
    </row>
    <row r="335" spans="1:18" x14ac:dyDescent="0.35">
      <c r="A335" s="5">
        <v>329</v>
      </c>
      <c r="B335" t="s">
        <v>682</v>
      </c>
      <c r="C335" t="s">
        <v>716</v>
      </c>
      <c r="D335" t="s">
        <v>1486</v>
      </c>
      <c r="E335" t="s">
        <v>312</v>
      </c>
      <c r="F335" s="1">
        <v>38195</v>
      </c>
      <c r="G335" s="2">
        <v>2004</v>
      </c>
      <c r="H335">
        <v>2021</v>
      </c>
      <c r="I335" s="2">
        <v>17</v>
      </c>
      <c r="J335" s="7">
        <v>86803</v>
      </c>
      <c r="K335" t="s">
        <v>717</v>
      </c>
      <c r="L335">
        <v>4</v>
      </c>
      <c r="M335" t="s">
        <v>55</v>
      </c>
      <c r="N335" t="s">
        <v>17</v>
      </c>
      <c r="O335" t="s">
        <v>41</v>
      </c>
      <c r="P335" t="s">
        <v>1491</v>
      </c>
      <c r="Q335" s="7">
        <f t="shared" si="10"/>
        <v>1041636</v>
      </c>
      <c r="R335" s="7">
        <f t="shared" si="11"/>
        <v>8680.3000000000011</v>
      </c>
    </row>
    <row r="336" spans="1:18" x14ac:dyDescent="0.35">
      <c r="A336" s="5">
        <v>330</v>
      </c>
      <c r="B336" t="s">
        <v>718</v>
      </c>
      <c r="C336" t="s">
        <v>719</v>
      </c>
      <c r="D336" t="s">
        <v>1485</v>
      </c>
      <c r="E336" t="s">
        <v>100</v>
      </c>
      <c r="F336" s="1">
        <v>40352</v>
      </c>
      <c r="G336" s="2">
        <v>2010</v>
      </c>
      <c r="H336">
        <v>2021</v>
      </c>
      <c r="I336" s="2">
        <v>11</v>
      </c>
      <c r="J336" s="7">
        <v>68334</v>
      </c>
      <c r="K336" t="s">
        <v>441</v>
      </c>
      <c r="L336">
        <v>7</v>
      </c>
      <c r="M336" t="s">
        <v>39</v>
      </c>
      <c r="N336" t="s">
        <v>40</v>
      </c>
      <c r="O336" t="s">
        <v>29</v>
      </c>
      <c r="P336" t="s">
        <v>1491</v>
      </c>
      <c r="Q336" s="7">
        <f t="shared" si="10"/>
        <v>820008</v>
      </c>
      <c r="R336" s="7">
        <f t="shared" si="11"/>
        <v>6833.4000000000005</v>
      </c>
    </row>
    <row r="337" spans="1:18" x14ac:dyDescent="0.35">
      <c r="A337" s="5">
        <v>331</v>
      </c>
      <c r="B337" t="s">
        <v>720</v>
      </c>
      <c r="C337" t="s">
        <v>721</v>
      </c>
      <c r="D337" t="s">
        <v>1486</v>
      </c>
      <c r="E337" t="s">
        <v>21</v>
      </c>
      <c r="F337" s="1">
        <v>44553</v>
      </c>
      <c r="G337" s="2">
        <v>2008</v>
      </c>
      <c r="H337">
        <v>2021</v>
      </c>
      <c r="I337" s="2">
        <v>13</v>
      </c>
      <c r="J337" s="7">
        <v>91906</v>
      </c>
      <c r="K337" t="s">
        <v>613</v>
      </c>
      <c r="L337">
        <v>4</v>
      </c>
      <c r="M337" t="s">
        <v>55</v>
      </c>
      <c r="N337" t="s">
        <v>17</v>
      </c>
      <c r="O337" t="s">
        <v>23</v>
      </c>
      <c r="P337" t="s">
        <v>1491</v>
      </c>
      <c r="Q337" s="7">
        <f t="shared" si="10"/>
        <v>1102872</v>
      </c>
      <c r="R337" s="7">
        <f t="shared" si="11"/>
        <v>9190.6</v>
      </c>
    </row>
    <row r="338" spans="1:18" x14ac:dyDescent="0.35">
      <c r="A338" s="5">
        <v>332</v>
      </c>
      <c r="B338" t="s">
        <v>722</v>
      </c>
      <c r="C338" t="s">
        <v>723</v>
      </c>
      <c r="D338" t="s">
        <v>1486</v>
      </c>
      <c r="E338" t="s">
        <v>79</v>
      </c>
      <c r="F338" s="1">
        <v>39071</v>
      </c>
      <c r="G338" s="2">
        <v>2006</v>
      </c>
      <c r="H338">
        <v>2021</v>
      </c>
      <c r="I338" s="2">
        <v>15</v>
      </c>
      <c r="J338" s="7">
        <v>48064</v>
      </c>
      <c r="K338" t="s">
        <v>724</v>
      </c>
      <c r="L338">
        <v>5</v>
      </c>
      <c r="M338" t="s">
        <v>91</v>
      </c>
      <c r="N338" t="s">
        <v>40</v>
      </c>
      <c r="O338" t="s">
        <v>41</v>
      </c>
      <c r="P338" t="s">
        <v>1491</v>
      </c>
      <c r="Q338" s="7">
        <f t="shared" si="10"/>
        <v>576768</v>
      </c>
      <c r="R338" s="7">
        <f t="shared" si="11"/>
        <v>4806.4000000000005</v>
      </c>
    </row>
    <row r="339" spans="1:18" x14ac:dyDescent="0.35">
      <c r="A339" s="5">
        <v>333</v>
      </c>
      <c r="B339" t="s">
        <v>722</v>
      </c>
      <c r="C339" t="s">
        <v>725</v>
      </c>
      <c r="D339" t="s">
        <v>1485</v>
      </c>
      <c r="E339" t="s">
        <v>100</v>
      </c>
      <c r="F339" s="1">
        <v>38168</v>
      </c>
      <c r="G339" s="2">
        <v>2004</v>
      </c>
      <c r="H339">
        <v>2021</v>
      </c>
      <c r="I339" s="2">
        <v>17</v>
      </c>
      <c r="J339" s="7">
        <v>75281</v>
      </c>
      <c r="K339" t="s">
        <v>1499</v>
      </c>
      <c r="L339">
        <v>7</v>
      </c>
      <c r="M339" t="s">
        <v>39</v>
      </c>
      <c r="N339" t="s">
        <v>40</v>
      </c>
      <c r="O339" t="s">
        <v>29</v>
      </c>
      <c r="P339" t="s">
        <v>1491</v>
      </c>
      <c r="Q339" s="7">
        <f t="shared" si="10"/>
        <v>903372</v>
      </c>
      <c r="R339" s="7">
        <f t="shared" si="11"/>
        <v>7528.1</v>
      </c>
    </row>
    <row r="340" spans="1:18" x14ac:dyDescent="0.35">
      <c r="A340" s="5">
        <v>334</v>
      </c>
      <c r="B340" t="s">
        <v>224</v>
      </c>
      <c r="C340" t="s">
        <v>726</v>
      </c>
      <c r="D340" t="s">
        <v>1485</v>
      </c>
      <c r="E340" t="s">
        <v>100</v>
      </c>
      <c r="F340" s="1">
        <v>39896</v>
      </c>
      <c r="G340" s="2">
        <v>2009</v>
      </c>
      <c r="H340">
        <v>2021</v>
      </c>
      <c r="I340" s="2">
        <v>12</v>
      </c>
      <c r="J340" s="7">
        <v>91659</v>
      </c>
      <c r="K340" t="s">
        <v>196</v>
      </c>
      <c r="L340">
        <v>4</v>
      </c>
      <c r="M340" t="s">
        <v>55</v>
      </c>
      <c r="N340" t="s">
        <v>17</v>
      </c>
      <c r="O340" t="s">
        <v>29</v>
      </c>
      <c r="P340" t="s">
        <v>1491</v>
      </c>
      <c r="Q340" s="7">
        <f t="shared" si="10"/>
        <v>1099908</v>
      </c>
      <c r="R340" s="7">
        <f t="shared" si="11"/>
        <v>9165.9</v>
      </c>
    </row>
    <row r="341" spans="1:18" x14ac:dyDescent="0.35">
      <c r="A341" s="5">
        <v>335</v>
      </c>
      <c r="B341" t="s">
        <v>262</v>
      </c>
      <c r="C341" t="s">
        <v>727</v>
      </c>
      <c r="D341" t="s">
        <v>1486</v>
      </c>
      <c r="E341" t="s">
        <v>21</v>
      </c>
      <c r="F341" s="1">
        <v>37167</v>
      </c>
      <c r="G341" s="2">
        <v>2001</v>
      </c>
      <c r="H341">
        <v>2021</v>
      </c>
      <c r="I341" s="2">
        <v>20</v>
      </c>
      <c r="J341" s="7">
        <v>52792</v>
      </c>
      <c r="K341" t="s">
        <v>386</v>
      </c>
      <c r="L341">
        <v>2</v>
      </c>
      <c r="M341" t="s">
        <v>16</v>
      </c>
      <c r="N341" t="s">
        <v>17</v>
      </c>
      <c r="O341" t="s">
        <v>23</v>
      </c>
      <c r="P341" t="s">
        <v>1491</v>
      </c>
      <c r="Q341" s="7">
        <f t="shared" si="10"/>
        <v>633504</v>
      </c>
      <c r="R341" s="7">
        <f t="shared" si="11"/>
        <v>5279.2000000000007</v>
      </c>
    </row>
    <row r="342" spans="1:18" x14ac:dyDescent="0.35">
      <c r="A342" s="5">
        <v>336</v>
      </c>
      <c r="B342" t="s">
        <v>728</v>
      </c>
      <c r="C342" t="s">
        <v>729</v>
      </c>
      <c r="D342" t="s">
        <v>1486</v>
      </c>
      <c r="E342" t="s">
        <v>89</v>
      </c>
      <c r="F342" s="1">
        <v>37133</v>
      </c>
      <c r="G342" s="2">
        <v>2001</v>
      </c>
      <c r="H342">
        <v>2021</v>
      </c>
      <c r="I342" s="2">
        <v>20</v>
      </c>
      <c r="J342" s="7">
        <v>40415</v>
      </c>
      <c r="K342" t="s">
        <v>613</v>
      </c>
      <c r="L342">
        <v>4</v>
      </c>
      <c r="M342" t="s">
        <v>55</v>
      </c>
      <c r="N342" t="s">
        <v>17</v>
      </c>
      <c r="O342" t="s">
        <v>41</v>
      </c>
      <c r="P342" t="s">
        <v>1491</v>
      </c>
      <c r="Q342" s="7">
        <f t="shared" si="10"/>
        <v>484980</v>
      </c>
      <c r="R342" s="7">
        <f t="shared" si="11"/>
        <v>4041.5</v>
      </c>
    </row>
    <row r="343" spans="1:18" x14ac:dyDescent="0.35">
      <c r="A343" s="5">
        <v>337</v>
      </c>
      <c r="B343" t="s">
        <v>572</v>
      </c>
      <c r="C343" t="s">
        <v>730</v>
      </c>
      <c r="D343" t="s">
        <v>1485</v>
      </c>
      <c r="E343" t="s">
        <v>61</v>
      </c>
      <c r="F343" s="1">
        <v>39615</v>
      </c>
      <c r="G343" s="2">
        <v>2008</v>
      </c>
      <c r="H343">
        <v>2021</v>
      </c>
      <c r="I343" s="2">
        <v>13</v>
      </c>
      <c r="J343" s="7">
        <v>83256</v>
      </c>
      <c r="K343" t="s">
        <v>181</v>
      </c>
      <c r="L343">
        <v>5</v>
      </c>
      <c r="M343" t="s">
        <v>91</v>
      </c>
      <c r="N343" t="s">
        <v>40</v>
      </c>
      <c r="O343" t="s">
        <v>63</v>
      </c>
      <c r="P343" t="s">
        <v>1491</v>
      </c>
      <c r="Q343" s="7">
        <f t="shared" si="10"/>
        <v>999072</v>
      </c>
      <c r="R343" s="7">
        <f t="shared" si="11"/>
        <v>8325.6</v>
      </c>
    </row>
    <row r="344" spans="1:18" x14ac:dyDescent="0.35">
      <c r="A344" s="5">
        <v>338</v>
      </c>
      <c r="B344" t="s">
        <v>731</v>
      </c>
      <c r="C344" t="s">
        <v>732</v>
      </c>
      <c r="D344" t="s">
        <v>1486</v>
      </c>
      <c r="E344" t="s">
        <v>94</v>
      </c>
      <c r="F344" s="1">
        <v>46021</v>
      </c>
      <c r="G344" s="2">
        <v>2012</v>
      </c>
      <c r="H344">
        <v>2021</v>
      </c>
      <c r="I344" s="2">
        <v>9</v>
      </c>
      <c r="J344" s="7">
        <v>145181</v>
      </c>
      <c r="K344" t="s">
        <v>733</v>
      </c>
      <c r="L344">
        <v>1</v>
      </c>
      <c r="M344" t="s">
        <v>46</v>
      </c>
      <c r="N344" t="s">
        <v>17</v>
      </c>
      <c r="O344" t="s">
        <v>18</v>
      </c>
      <c r="P344" t="s">
        <v>1491</v>
      </c>
      <c r="Q344" s="7">
        <f t="shared" si="10"/>
        <v>1742172</v>
      </c>
      <c r="R344" s="7">
        <f t="shared" si="11"/>
        <v>14518.1</v>
      </c>
    </row>
    <row r="345" spans="1:18" x14ac:dyDescent="0.35">
      <c r="A345" s="5">
        <v>339</v>
      </c>
      <c r="B345" t="s">
        <v>720</v>
      </c>
      <c r="C345" t="s">
        <v>734</v>
      </c>
      <c r="D345" t="s">
        <v>1486</v>
      </c>
      <c r="E345" t="s">
        <v>32</v>
      </c>
      <c r="F345" s="1">
        <v>38191</v>
      </c>
      <c r="G345" s="2">
        <v>2004</v>
      </c>
      <c r="H345">
        <v>2021</v>
      </c>
      <c r="I345" s="3">
        <v>17</v>
      </c>
      <c r="J345" s="7">
        <v>78294</v>
      </c>
      <c r="K345" t="s">
        <v>101</v>
      </c>
      <c r="L345">
        <v>4</v>
      </c>
      <c r="M345" t="s">
        <v>55</v>
      </c>
      <c r="N345" t="s">
        <v>17</v>
      </c>
      <c r="O345" t="s">
        <v>34</v>
      </c>
      <c r="P345" t="s">
        <v>1491</v>
      </c>
      <c r="Q345" s="7">
        <f t="shared" si="10"/>
        <v>939528</v>
      </c>
      <c r="R345" s="7">
        <f t="shared" si="11"/>
        <v>7829.4000000000005</v>
      </c>
    </row>
    <row r="346" spans="1:18" x14ac:dyDescent="0.35">
      <c r="A346" s="5">
        <v>340</v>
      </c>
      <c r="B346" t="s">
        <v>268</v>
      </c>
      <c r="C346" t="s">
        <v>735</v>
      </c>
      <c r="D346" t="s">
        <v>1485</v>
      </c>
      <c r="E346" t="s">
        <v>94</v>
      </c>
      <c r="F346" s="1">
        <v>39266</v>
      </c>
      <c r="G346" s="2">
        <v>2007</v>
      </c>
      <c r="H346">
        <v>2021</v>
      </c>
      <c r="I346" s="2">
        <v>14</v>
      </c>
      <c r="J346" s="7">
        <v>90120</v>
      </c>
      <c r="K346" t="s">
        <v>736</v>
      </c>
      <c r="L346">
        <v>2</v>
      </c>
      <c r="M346" t="s">
        <v>16</v>
      </c>
      <c r="N346" t="s">
        <v>17</v>
      </c>
      <c r="O346" t="s">
        <v>18</v>
      </c>
      <c r="P346" t="s">
        <v>1491</v>
      </c>
      <c r="Q346" s="7">
        <f t="shared" si="10"/>
        <v>1081440</v>
      </c>
      <c r="R346" s="7">
        <f t="shared" si="11"/>
        <v>9012</v>
      </c>
    </row>
    <row r="347" spans="1:18" x14ac:dyDescent="0.35">
      <c r="A347" s="5">
        <v>341</v>
      </c>
      <c r="B347" t="s">
        <v>35</v>
      </c>
      <c r="C347" t="s">
        <v>737</v>
      </c>
      <c r="D347" t="s">
        <v>1485</v>
      </c>
      <c r="E347" t="s">
        <v>89</v>
      </c>
      <c r="F347" s="1">
        <v>39715</v>
      </c>
      <c r="G347" s="2">
        <v>2008</v>
      </c>
      <c r="H347">
        <v>2021</v>
      </c>
      <c r="I347" s="2">
        <v>13</v>
      </c>
      <c r="J347" s="7">
        <v>80284</v>
      </c>
      <c r="K347" t="s">
        <v>196</v>
      </c>
      <c r="L347">
        <v>3</v>
      </c>
      <c r="M347" t="s">
        <v>28</v>
      </c>
      <c r="N347" t="s">
        <v>17</v>
      </c>
      <c r="O347" t="s">
        <v>41</v>
      </c>
      <c r="P347" t="s">
        <v>1491</v>
      </c>
      <c r="Q347" s="7">
        <f t="shared" si="10"/>
        <v>963408</v>
      </c>
      <c r="R347" s="7">
        <f t="shared" si="11"/>
        <v>8028.4000000000005</v>
      </c>
    </row>
    <row r="348" spans="1:18" x14ac:dyDescent="0.35">
      <c r="A348" s="5">
        <v>342</v>
      </c>
      <c r="B348" t="s">
        <v>416</v>
      </c>
      <c r="C348" t="s">
        <v>738</v>
      </c>
      <c r="D348" t="s">
        <v>1486</v>
      </c>
      <c r="E348" t="s">
        <v>312</v>
      </c>
      <c r="F348" s="1">
        <v>44768</v>
      </c>
      <c r="G348" s="2">
        <v>2009</v>
      </c>
      <c r="H348">
        <v>2021</v>
      </c>
      <c r="I348" s="2">
        <v>12</v>
      </c>
      <c r="J348" s="7">
        <v>85511</v>
      </c>
      <c r="K348" t="s">
        <v>115</v>
      </c>
      <c r="L348">
        <v>5</v>
      </c>
      <c r="M348" t="s">
        <v>91</v>
      </c>
      <c r="N348" t="s">
        <v>40</v>
      </c>
      <c r="O348" t="s">
        <v>41</v>
      </c>
      <c r="P348" t="s">
        <v>1491</v>
      </c>
      <c r="Q348" s="7">
        <f t="shared" si="10"/>
        <v>1026132</v>
      </c>
      <c r="R348" s="7">
        <f t="shared" si="11"/>
        <v>8551.1</v>
      </c>
    </row>
    <row r="349" spans="1:18" x14ac:dyDescent="0.35">
      <c r="A349" s="5">
        <v>343</v>
      </c>
      <c r="B349" t="s">
        <v>652</v>
      </c>
      <c r="C349" t="s">
        <v>739</v>
      </c>
      <c r="D349" t="s">
        <v>1486</v>
      </c>
      <c r="E349" t="s">
        <v>53</v>
      </c>
      <c r="F349" s="1">
        <v>44360</v>
      </c>
      <c r="G349" s="2">
        <v>2008</v>
      </c>
      <c r="H349">
        <v>2021</v>
      </c>
      <c r="I349" s="2">
        <v>13</v>
      </c>
      <c r="J349" s="7">
        <v>40138</v>
      </c>
      <c r="K349" t="s">
        <v>149</v>
      </c>
      <c r="L349">
        <v>6</v>
      </c>
      <c r="M349" t="s">
        <v>50</v>
      </c>
      <c r="N349" t="s">
        <v>40</v>
      </c>
      <c r="O349" t="s">
        <v>23</v>
      </c>
      <c r="P349" t="s">
        <v>1491</v>
      </c>
      <c r="Q349" s="7">
        <f t="shared" si="10"/>
        <v>481656</v>
      </c>
      <c r="R349" s="7">
        <f t="shared" si="11"/>
        <v>4013.8</v>
      </c>
    </row>
    <row r="350" spans="1:18" x14ac:dyDescent="0.35">
      <c r="A350" s="5">
        <v>344</v>
      </c>
      <c r="B350" t="s">
        <v>118</v>
      </c>
      <c r="C350" t="s">
        <v>740</v>
      </c>
      <c r="D350" t="s">
        <v>1485</v>
      </c>
      <c r="E350" t="s">
        <v>122</v>
      </c>
      <c r="F350" s="1">
        <v>40346</v>
      </c>
      <c r="G350" s="2">
        <v>2010</v>
      </c>
      <c r="H350">
        <v>2021</v>
      </c>
      <c r="I350" s="2">
        <v>11</v>
      </c>
      <c r="J350" s="7">
        <v>42714</v>
      </c>
      <c r="K350" t="s">
        <v>169</v>
      </c>
      <c r="L350">
        <v>7</v>
      </c>
      <c r="M350" t="s">
        <v>39</v>
      </c>
      <c r="N350" t="s">
        <v>40</v>
      </c>
      <c r="O350" t="s">
        <v>123</v>
      </c>
      <c r="P350" t="s">
        <v>1491</v>
      </c>
      <c r="Q350" s="7">
        <f t="shared" si="10"/>
        <v>512568</v>
      </c>
      <c r="R350" s="7">
        <f t="shared" si="11"/>
        <v>4271.4000000000005</v>
      </c>
    </row>
    <row r="351" spans="1:18" x14ac:dyDescent="0.35">
      <c r="A351" s="5">
        <v>345</v>
      </c>
      <c r="B351" t="s">
        <v>741</v>
      </c>
      <c r="C351" t="s">
        <v>742</v>
      </c>
      <c r="D351" t="s">
        <v>1485</v>
      </c>
      <c r="E351" t="s">
        <v>238</v>
      </c>
      <c r="F351" s="1">
        <v>38524</v>
      </c>
      <c r="G351" s="2">
        <v>2005</v>
      </c>
      <c r="H351">
        <v>2021</v>
      </c>
      <c r="I351" s="2">
        <v>16</v>
      </c>
      <c r="J351" s="7">
        <v>65767</v>
      </c>
      <c r="K351" t="s">
        <v>743</v>
      </c>
      <c r="L351">
        <v>4</v>
      </c>
      <c r="M351" t="s">
        <v>55</v>
      </c>
      <c r="N351" t="s">
        <v>17</v>
      </c>
      <c r="O351" t="s">
        <v>63</v>
      </c>
      <c r="P351" t="s">
        <v>1491</v>
      </c>
      <c r="Q351" s="7">
        <f t="shared" si="10"/>
        <v>789204</v>
      </c>
      <c r="R351" s="7">
        <f t="shared" si="11"/>
        <v>6576.7000000000007</v>
      </c>
    </row>
    <row r="352" spans="1:18" x14ac:dyDescent="0.35">
      <c r="A352" s="5">
        <v>346</v>
      </c>
      <c r="B352" t="s">
        <v>296</v>
      </c>
      <c r="C352" t="s">
        <v>744</v>
      </c>
      <c r="D352" t="s">
        <v>1486</v>
      </c>
      <c r="E352" t="s">
        <v>85</v>
      </c>
      <c r="F352" s="1">
        <v>46066</v>
      </c>
      <c r="G352" s="2">
        <v>2013</v>
      </c>
      <c r="H352">
        <v>2021</v>
      </c>
      <c r="I352" s="2">
        <v>8</v>
      </c>
      <c r="J352" s="7">
        <v>149351</v>
      </c>
      <c r="K352" t="s">
        <v>186</v>
      </c>
      <c r="L352">
        <v>7</v>
      </c>
      <c r="M352" t="s">
        <v>39</v>
      </c>
      <c r="N352" t="s">
        <v>40</v>
      </c>
      <c r="O352" t="s">
        <v>41</v>
      </c>
      <c r="P352" t="s">
        <v>1491</v>
      </c>
      <c r="Q352" s="7">
        <f t="shared" si="10"/>
        <v>1792212</v>
      </c>
      <c r="R352" s="7">
        <f t="shared" si="11"/>
        <v>14935.1</v>
      </c>
    </row>
    <row r="353" spans="1:18" x14ac:dyDescent="0.35">
      <c r="A353" s="5">
        <v>347</v>
      </c>
      <c r="B353" t="s">
        <v>745</v>
      </c>
      <c r="C353" t="s">
        <v>746</v>
      </c>
      <c r="D353" t="s">
        <v>1486</v>
      </c>
      <c r="E353" t="s">
        <v>44</v>
      </c>
      <c r="F353" s="1">
        <v>45660</v>
      </c>
      <c r="G353" s="2">
        <v>2012</v>
      </c>
      <c r="H353">
        <v>2021</v>
      </c>
      <c r="I353" s="2">
        <v>9</v>
      </c>
      <c r="J353" s="7">
        <v>88470</v>
      </c>
      <c r="K353" t="s">
        <v>360</v>
      </c>
      <c r="L353">
        <v>1</v>
      </c>
      <c r="M353" t="s">
        <v>46</v>
      </c>
      <c r="N353" t="s">
        <v>17</v>
      </c>
      <c r="O353" t="s">
        <v>29</v>
      </c>
      <c r="P353" t="s">
        <v>1491</v>
      </c>
      <c r="Q353" s="7">
        <f t="shared" si="10"/>
        <v>1061640</v>
      </c>
      <c r="R353" s="7">
        <f t="shared" si="11"/>
        <v>8847</v>
      </c>
    </row>
    <row r="354" spans="1:18" x14ac:dyDescent="0.35">
      <c r="A354" s="5">
        <v>348</v>
      </c>
      <c r="B354" t="s">
        <v>279</v>
      </c>
      <c r="C354" t="s">
        <v>747</v>
      </c>
      <c r="D354" t="s">
        <v>1486</v>
      </c>
      <c r="E354" t="s">
        <v>94</v>
      </c>
      <c r="F354" s="1">
        <v>44891</v>
      </c>
      <c r="G354" s="2">
        <v>2009</v>
      </c>
      <c r="H354">
        <v>2021</v>
      </c>
      <c r="I354" s="2">
        <v>12</v>
      </c>
      <c r="J354" s="7">
        <v>90317</v>
      </c>
      <c r="K354" t="s">
        <v>632</v>
      </c>
      <c r="L354">
        <v>4</v>
      </c>
      <c r="M354" t="s">
        <v>55</v>
      </c>
      <c r="N354" t="s">
        <v>17</v>
      </c>
      <c r="O354" t="s">
        <v>18</v>
      </c>
      <c r="P354" t="s">
        <v>1491</v>
      </c>
      <c r="Q354" s="7">
        <f t="shared" si="10"/>
        <v>1083804</v>
      </c>
      <c r="R354" s="7">
        <f t="shared" si="11"/>
        <v>9031.7000000000007</v>
      </c>
    </row>
    <row r="355" spans="1:18" x14ac:dyDescent="0.35">
      <c r="A355" s="5">
        <v>349</v>
      </c>
      <c r="B355" t="s">
        <v>177</v>
      </c>
      <c r="C355" t="s">
        <v>748</v>
      </c>
      <c r="D355" t="s">
        <v>1485</v>
      </c>
      <c r="E355" t="s">
        <v>110</v>
      </c>
      <c r="F355" s="1">
        <v>41192</v>
      </c>
      <c r="G355" s="2">
        <v>2012</v>
      </c>
      <c r="H355">
        <v>2021</v>
      </c>
      <c r="I355" s="2">
        <v>9</v>
      </c>
      <c r="J355" s="7">
        <v>142149</v>
      </c>
      <c r="K355" t="s">
        <v>74</v>
      </c>
      <c r="L355">
        <v>2</v>
      </c>
      <c r="M355" t="s">
        <v>16</v>
      </c>
      <c r="N355" t="s">
        <v>17</v>
      </c>
      <c r="O355" t="s">
        <v>112</v>
      </c>
      <c r="P355" t="s">
        <v>1491</v>
      </c>
      <c r="Q355" s="7">
        <f t="shared" si="10"/>
        <v>1705788</v>
      </c>
      <c r="R355" s="7">
        <f t="shared" si="11"/>
        <v>14214.900000000001</v>
      </c>
    </row>
    <row r="356" spans="1:18" x14ac:dyDescent="0.35">
      <c r="A356" s="5">
        <v>350</v>
      </c>
      <c r="B356" t="s">
        <v>157</v>
      </c>
      <c r="C356" t="s">
        <v>749</v>
      </c>
      <c r="D356" t="s">
        <v>1485</v>
      </c>
      <c r="E356" t="s">
        <v>94</v>
      </c>
      <c r="F356" s="1">
        <v>36667</v>
      </c>
      <c r="G356" s="2">
        <v>2000</v>
      </c>
      <c r="H356">
        <v>2021</v>
      </c>
      <c r="I356" s="2">
        <v>21</v>
      </c>
      <c r="J356" s="7">
        <v>144073</v>
      </c>
      <c r="K356" t="s">
        <v>750</v>
      </c>
      <c r="L356">
        <v>1</v>
      </c>
      <c r="M356" t="s">
        <v>46</v>
      </c>
      <c r="N356" t="s">
        <v>17</v>
      </c>
      <c r="O356" t="s">
        <v>18</v>
      </c>
      <c r="P356" t="s">
        <v>1491</v>
      </c>
      <c r="Q356" s="7">
        <f t="shared" si="10"/>
        <v>1728876</v>
      </c>
      <c r="R356" s="7">
        <f t="shared" si="11"/>
        <v>14407.300000000001</v>
      </c>
    </row>
    <row r="357" spans="1:18" x14ac:dyDescent="0.35">
      <c r="A357" s="5">
        <v>351</v>
      </c>
      <c r="B357" t="s">
        <v>608</v>
      </c>
      <c r="C357" t="s">
        <v>751</v>
      </c>
      <c r="D357" t="s">
        <v>1486</v>
      </c>
      <c r="E357" t="s">
        <v>122</v>
      </c>
      <c r="F357" s="1">
        <v>37120</v>
      </c>
      <c r="G357" s="2">
        <v>2001</v>
      </c>
      <c r="H357">
        <v>2021</v>
      </c>
      <c r="I357" s="2">
        <v>20</v>
      </c>
      <c r="J357" s="7">
        <v>54410</v>
      </c>
      <c r="K357" t="s">
        <v>752</v>
      </c>
      <c r="L357">
        <v>7</v>
      </c>
      <c r="M357" t="s">
        <v>39</v>
      </c>
      <c r="N357" t="s">
        <v>40</v>
      </c>
      <c r="O357" t="s">
        <v>123</v>
      </c>
      <c r="P357" t="s">
        <v>1491</v>
      </c>
      <c r="Q357" s="7">
        <f t="shared" si="10"/>
        <v>652920</v>
      </c>
      <c r="R357" s="7">
        <f t="shared" si="11"/>
        <v>5441</v>
      </c>
    </row>
    <row r="358" spans="1:18" x14ac:dyDescent="0.35">
      <c r="A358" s="5">
        <v>352</v>
      </c>
      <c r="B358" t="s">
        <v>508</v>
      </c>
      <c r="C358" t="s">
        <v>753</v>
      </c>
      <c r="D358" t="s">
        <v>1485</v>
      </c>
      <c r="E358" t="s">
        <v>89</v>
      </c>
      <c r="F358" s="1">
        <v>36705</v>
      </c>
      <c r="G358" s="2">
        <v>2000</v>
      </c>
      <c r="H358">
        <v>2021</v>
      </c>
      <c r="I358" s="2">
        <v>21</v>
      </c>
      <c r="J358" s="7">
        <v>107907</v>
      </c>
      <c r="K358" t="s">
        <v>22</v>
      </c>
      <c r="L358">
        <v>5</v>
      </c>
      <c r="M358" t="s">
        <v>91</v>
      </c>
      <c r="N358" t="s">
        <v>40</v>
      </c>
      <c r="O358" t="s">
        <v>41</v>
      </c>
      <c r="P358" t="s">
        <v>1491</v>
      </c>
      <c r="Q358" s="7">
        <f t="shared" si="10"/>
        <v>1294884</v>
      </c>
      <c r="R358" s="7">
        <f t="shared" si="11"/>
        <v>10790.7</v>
      </c>
    </row>
    <row r="359" spans="1:18" x14ac:dyDescent="0.35">
      <c r="A359" s="5">
        <v>353</v>
      </c>
      <c r="B359" t="s">
        <v>569</v>
      </c>
      <c r="C359" t="s">
        <v>754</v>
      </c>
      <c r="D359" t="s">
        <v>1486</v>
      </c>
      <c r="E359" t="s">
        <v>89</v>
      </c>
      <c r="F359" s="1">
        <v>45117</v>
      </c>
      <c r="G359" s="2">
        <v>2010</v>
      </c>
      <c r="H359">
        <v>2021</v>
      </c>
      <c r="I359" s="2">
        <v>11</v>
      </c>
      <c r="J359" s="7">
        <v>91249</v>
      </c>
      <c r="K359" t="s">
        <v>214</v>
      </c>
      <c r="L359">
        <v>2</v>
      </c>
      <c r="M359" t="s">
        <v>16</v>
      </c>
      <c r="N359" t="s">
        <v>17</v>
      </c>
      <c r="O359" t="s">
        <v>41</v>
      </c>
      <c r="P359" t="s">
        <v>1491</v>
      </c>
      <c r="Q359" s="7">
        <f t="shared" si="10"/>
        <v>1094988</v>
      </c>
      <c r="R359" s="7">
        <f t="shared" si="11"/>
        <v>9124.9</v>
      </c>
    </row>
    <row r="360" spans="1:18" x14ac:dyDescent="0.35">
      <c r="A360" s="5">
        <v>354</v>
      </c>
      <c r="B360" t="s">
        <v>720</v>
      </c>
      <c r="C360" t="s">
        <v>755</v>
      </c>
      <c r="D360" t="s">
        <v>1485</v>
      </c>
      <c r="E360" t="s">
        <v>148</v>
      </c>
      <c r="F360" s="1">
        <v>38706</v>
      </c>
      <c r="G360" s="2">
        <v>2005</v>
      </c>
      <c r="H360">
        <v>2021</v>
      </c>
      <c r="I360" s="2">
        <v>16</v>
      </c>
      <c r="J360" s="7">
        <v>78478</v>
      </c>
      <c r="K360" t="s">
        <v>74</v>
      </c>
      <c r="L360">
        <v>5</v>
      </c>
      <c r="M360" t="s">
        <v>91</v>
      </c>
      <c r="N360" t="s">
        <v>40</v>
      </c>
      <c r="O360" t="s">
        <v>112</v>
      </c>
      <c r="P360" t="s">
        <v>1491</v>
      </c>
      <c r="Q360" s="7">
        <f t="shared" si="10"/>
        <v>941736</v>
      </c>
      <c r="R360" s="7">
        <f t="shared" si="11"/>
        <v>7847.8</v>
      </c>
    </row>
    <row r="361" spans="1:18" x14ac:dyDescent="0.35">
      <c r="A361" s="5">
        <v>355</v>
      </c>
      <c r="B361" t="s">
        <v>30</v>
      </c>
      <c r="C361" t="s">
        <v>756</v>
      </c>
      <c r="D361" t="s">
        <v>1485</v>
      </c>
      <c r="E361" t="s">
        <v>21</v>
      </c>
      <c r="F361" s="1">
        <v>38540</v>
      </c>
      <c r="G361" s="2">
        <v>2005</v>
      </c>
      <c r="H361">
        <v>2021</v>
      </c>
      <c r="I361" s="2">
        <v>16</v>
      </c>
      <c r="J361" s="7">
        <v>48812</v>
      </c>
      <c r="K361" t="s">
        <v>664</v>
      </c>
      <c r="L361">
        <v>7</v>
      </c>
      <c r="M361" t="s">
        <v>39</v>
      </c>
      <c r="N361" t="s">
        <v>40</v>
      </c>
      <c r="O361" t="s">
        <v>23</v>
      </c>
      <c r="P361" t="s">
        <v>1491</v>
      </c>
      <c r="Q361" s="7">
        <f t="shared" si="10"/>
        <v>585744</v>
      </c>
      <c r="R361" s="7">
        <f t="shared" si="11"/>
        <v>4881.2</v>
      </c>
    </row>
    <row r="362" spans="1:18" x14ac:dyDescent="0.35">
      <c r="A362" s="5">
        <v>356</v>
      </c>
      <c r="B362" t="s">
        <v>113</v>
      </c>
      <c r="C362" t="s">
        <v>757</v>
      </c>
      <c r="D362" t="s">
        <v>1486</v>
      </c>
      <c r="E362" t="s">
        <v>37</v>
      </c>
      <c r="F362" s="1">
        <v>36643</v>
      </c>
      <c r="G362" s="2">
        <v>2000</v>
      </c>
      <c r="H362">
        <v>2021</v>
      </c>
      <c r="I362" s="2">
        <v>21</v>
      </c>
      <c r="J362" s="7">
        <v>147440</v>
      </c>
      <c r="K362" t="s">
        <v>58</v>
      </c>
      <c r="L362">
        <v>2</v>
      </c>
      <c r="M362" t="s">
        <v>16</v>
      </c>
      <c r="N362" t="s">
        <v>17</v>
      </c>
      <c r="O362" t="s">
        <v>41</v>
      </c>
      <c r="P362" t="s">
        <v>1491</v>
      </c>
      <c r="Q362" s="7">
        <f t="shared" si="10"/>
        <v>1769280</v>
      </c>
      <c r="R362" s="7">
        <f t="shared" si="11"/>
        <v>14744</v>
      </c>
    </row>
    <row r="363" spans="1:18" x14ac:dyDescent="0.35">
      <c r="A363" s="5">
        <v>357</v>
      </c>
      <c r="B363" t="s">
        <v>457</v>
      </c>
      <c r="C363" t="s">
        <v>758</v>
      </c>
      <c r="D363" t="s">
        <v>1485</v>
      </c>
      <c r="E363" t="s">
        <v>148</v>
      </c>
      <c r="F363" s="1">
        <v>37759</v>
      </c>
      <c r="G363" s="2">
        <v>2003</v>
      </c>
      <c r="H363">
        <v>2021</v>
      </c>
      <c r="I363" s="2">
        <v>18</v>
      </c>
      <c r="J363" s="7">
        <v>87978</v>
      </c>
      <c r="K363" t="s">
        <v>247</v>
      </c>
      <c r="L363">
        <v>1</v>
      </c>
      <c r="M363" t="s">
        <v>46</v>
      </c>
      <c r="N363" t="s">
        <v>17</v>
      </c>
      <c r="O363" t="s">
        <v>112</v>
      </c>
      <c r="P363" t="s">
        <v>1491</v>
      </c>
      <c r="Q363" s="7">
        <f t="shared" si="10"/>
        <v>1055736</v>
      </c>
      <c r="R363" s="7">
        <f t="shared" si="11"/>
        <v>8797.8000000000011</v>
      </c>
    </row>
    <row r="364" spans="1:18" x14ac:dyDescent="0.35">
      <c r="A364" s="5">
        <v>358</v>
      </c>
      <c r="B364" t="s">
        <v>392</v>
      </c>
      <c r="C364" t="s">
        <v>759</v>
      </c>
      <c r="D364" t="s">
        <v>1485</v>
      </c>
      <c r="E364" t="s">
        <v>26</v>
      </c>
      <c r="F364" s="1">
        <v>37424</v>
      </c>
      <c r="G364" s="2">
        <v>2002</v>
      </c>
      <c r="H364">
        <v>2021</v>
      </c>
      <c r="I364" s="2">
        <v>19</v>
      </c>
      <c r="J364" s="7">
        <v>67800</v>
      </c>
      <c r="K364" t="s">
        <v>33</v>
      </c>
      <c r="L364">
        <v>2</v>
      </c>
      <c r="M364" t="s">
        <v>16</v>
      </c>
      <c r="N364" t="s">
        <v>17</v>
      </c>
      <c r="O364" t="s">
        <v>29</v>
      </c>
      <c r="P364" t="s">
        <v>1491</v>
      </c>
      <c r="Q364" s="7">
        <f t="shared" si="10"/>
        <v>813600</v>
      </c>
      <c r="R364" s="7">
        <f t="shared" si="11"/>
        <v>6780</v>
      </c>
    </row>
    <row r="365" spans="1:18" x14ac:dyDescent="0.35">
      <c r="A365" s="5">
        <v>359</v>
      </c>
      <c r="B365" t="s">
        <v>564</v>
      </c>
      <c r="C365" t="s">
        <v>760</v>
      </c>
      <c r="D365" t="s">
        <v>1485</v>
      </c>
      <c r="E365" t="s">
        <v>73</v>
      </c>
      <c r="F365" s="1">
        <v>40312</v>
      </c>
      <c r="G365" s="2">
        <v>2010</v>
      </c>
      <c r="H365">
        <v>2021</v>
      </c>
      <c r="I365" s="2">
        <v>11</v>
      </c>
      <c r="J365" s="7">
        <v>42944</v>
      </c>
      <c r="K365" t="s">
        <v>220</v>
      </c>
      <c r="L365">
        <v>3</v>
      </c>
      <c r="M365" t="s">
        <v>28</v>
      </c>
      <c r="N365" t="s">
        <v>17</v>
      </c>
      <c r="O365" t="s">
        <v>41</v>
      </c>
      <c r="P365" t="s">
        <v>1491</v>
      </c>
      <c r="Q365" s="7">
        <f t="shared" si="10"/>
        <v>515328</v>
      </c>
      <c r="R365" s="7">
        <f t="shared" si="11"/>
        <v>4294.4000000000005</v>
      </c>
    </row>
    <row r="366" spans="1:18" x14ac:dyDescent="0.35">
      <c r="A366" s="5">
        <v>360</v>
      </c>
      <c r="B366" t="s">
        <v>679</v>
      </c>
      <c r="C366" t="s">
        <v>761</v>
      </c>
      <c r="D366" t="s">
        <v>1486</v>
      </c>
      <c r="E366" t="s">
        <v>26</v>
      </c>
      <c r="F366" s="1">
        <v>38186</v>
      </c>
      <c r="G366" s="2">
        <v>2004</v>
      </c>
      <c r="H366">
        <v>2021</v>
      </c>
      <c r="I366" s="2">
        <v>17</v>
      </c>
      <c r="J366" s="7">
        <v>84356</v>
      </c>
      <c r="K366" t="s">
        <v>104</v>
      </c>
      <c r="L366">
        <v>2</v>
      </c>
      <c r="M366" t="s">
        <v>16</v>
      </c>
      <c r="N366" t="s">
        <v>17</v>
      </c>
      <c r="O366" t="s">
        <v>29</v>
      </c>
      <c r="P366" t="s">
        <v>1491</v>
      </c>
      <c r="Q366" s="7">
        <f t="shared" si="10"/>
        <v>1012272</v>
      </c>
      <c r="R366" s="7">
        <f t="shared" si="11"/>
        <v>8435.6</v>
      </c>
    </row>
    <row r="367" spans="1:18" x14ac:dyDescent="0.35">
      <c r="A367" s="5">
        <v>361</v>
      </c>
      <c r="B367" t="s">
        <v>762</v>
      </c>
      <c r="C367" t="s">
        <v>763</v>
      </c>
      <c r="D367" t="s">
        <v>1486</v>
      </c>
      <c r="E367" t="s">
        <v>110</v>
      </c>
      <c r="F367" s="1">
        <v>39057</v>
      </c>
      <c r="G367" s="2">
        <v>2006</v>
      </c>
      <c r="H367">
        <v>2021</v>
      </c>
      <c r="I367" s="2">
        <v>15</v>
      </c>
      <c r="J367" s="7">
        <v>144724</v>
      </c>
      <c r="K367" t="s">
        <v>764</v>
      </c>
      <c r="L367">
        <v>7</v>
      </c>
      <c r="M367" t="s">
        <v>39</v>
      </c>
      <c r="N367" t="s">
        <v>40</v>
      </c>
      <c r="O367" t="s">
        <v>112</v>
      </c>
      <c r="P367" t="s">
        <v>1491</v>
      </c>
      <c r="Q367" s="7">
        <f t="shared" si="10"/>
        <v>1736688</v>
      </c>
      <c r="R367" s="7">
        <f t="shared" si="11"/>
        <v>14472.400000000001</v>
      </c>
    </row>
    <row r="368" spans="1:18" x14ac:dyDescent="0.35">
      <c r="A368" s="5">
        <v>362</v>
      </c>
      <c r="B368" t="s">
        <v>620</v>
      </c>
      <c r="C368" t="s">
        <v>765</v>
      </c>
      <c r="D368" t="s">
        <v>1485</v>
      </c>
      <c r="E368" t="s">
        <v>37</v>
      </c>
      <c r="F368" s="1">
        <v>37872</v>
      </c>
      <c r="G368" s="2">
        <v>2003</v>
      </c>
      <c r="H368">
        <v>2021</v>
      </c>
      <c r="I368" s="2">
        <v>18</v>
      </c>
      <c r="J368" s="7">
        <v>147290</v>
      </c>
      <c r="K368" t="s">
        <v>425</v>
      </c>
      <c r="L368">
        <v>6</v>
      </c>
      <c r="M368" t="s">
        <v>50</v>
      </c>
      <c r="N368" t="s">
        <v>40</v>
      </c>
      <c r="O368" t="s">
        <v>41</v>
      </c>
      <c r="P368" t="s">
        <v>1491</v>
      </c>
      <c r="Q368" s="7">
        <f t="shared" si="10"/>
        <v>1767480</v>
      </c>
      <c r="R368" s="7">
        <f t="shared" si="11"/>
        <v>14729</v>
      </c>
    </row>
    <row r="369" spans="1:18" x14ac:dyDescent="0.35">
      <c r="A369" s="5">
        <v>363</v>
      </c>
      <c r="B369" t="s">
        <v>766</v>
      </c>
      <c r="C369" t="s">
        <v>767</v>
      </c>
      <c r="D369" t="s">
        <v>1485</v>
      </c>
      <c r="E369" t="s">
        <v>26</v>
      </c>
      <c r="F369" s="1">
        <v>37253</v>
      </c>
      <c r="G369" s="2">
        <v>2001</v>
      </c>
      <c r="H369">
        <v>2021</v>
      </c>
      <c r="I369" s="2">
        <v>20</v>
      </c>
      <c r="J369" s="7">
        <v>83177</v>
      </c>
      <c r="K369" t="s">
        <v>66</v>
      </c>
      <c r="L369">
        <v>3</v>
      </c>
      <c r="M369" t="s">
        <v>28</v>
      </c>
      <c r="N369" t="s">
        <v>17</v>
      </c>
      <c r="O369" t="s">
        <v>29</v>
      </c>
      <c r="P369" t="s">
        <v>1491</v>
      </c>
      <c r="Q369" s="7">
        <f t="shared" si="10"/>
        <v>998124</v>
      </c>
      <c r="R369" s="7">
        <f t="shared" si="11"/>
        <v>8317.7000000000007</v>
      </c>
    </row>
    <row r="370" spans="1:18" x14ac:dyDescent="0.35">
      <c r="A370" s="5">
        <v>364</v>
      </c>
      <c r="B370" t="s">
        <v>768</v>
      </c>
      <c r="C370" t="s">
        <v>769</v>
      </c>
      <c r="D370" t="s">
        <v>1485</v>
      </c>
      <c r="E370" t="s">
        <v>203</v>
      </c>
      <c r="F370" s="1">
        <v>41790</v>
      </c>
      <c r="G370" s="2">
        <v>2014</v>
      </c>
      <c r="H370">
        <v>2021</v>
      </c>
      <c r="I370" s="2">
        <v>7</v>
      </c>
      <c r="J370" s="7">
        <v>83252</v>
      </c>
      <c r="K370" t="s">
        <v>156</v>
      </c>
      <c r="L370">
        <v>3</v>
      </c>
      <c r="M370" t="s">
        <v>28</v>
      </c>
      <c r="N370" t="s">
        <v>17</v>
      </c>
      <c r="O370" t="s">
        <v>41</v>
      </c>
      <c r="P370" t="s">
        <v>1491</v>
      </c>
      <c r="Q370" s="7">
        <f t="shared" si="10"/>
        <v>999024</v>
      </c>
      <c r="R370" s="7">
        <f t="shared" si="11"/>
        <v>8325.2000000000007</v>
      </c>
    </row>
    <row r="371" spans="1:18" x14ac:dyDescent="0.35">
      <c r="A371" s="5">
        <v>365</v>
      </c>
      <c r="B371" t="s">
        <v>569</v>
      </c>
      <c r="C371" t="s">
        <v>770</v>
      </c>
      <c r="D371" t="s">
        <v>1485</v>
      </c>
      <c r="E371" t="s">
        <v>69</v>
      </c>
      <c r="F371" s="1">
        <v>36768</v>
      </c>
      <c r="G371" s="2">
        <v>2000</v>
      </c>
      <c r="H371">
        <v>2021</v>
      </c>
      <c r="I371" s="2">
        <v>21</v>
      </c>
      <c r="J371" s="7">
        <v>127393</v>
      </c>
      <c r="K371" t="s">
        <v>581</v>
      </c>
      <c r="L371">
        <v>7</v>
      </c>
      <c r="M371" t="s">
        <v>39</v>
      </c>
      <c r="N371" t="s">
        <v>40</v>
      </c>
      <c r="O371" t="s">
        <v>41</v>
      </c>
      <c r="P371" t="s">
        <v>1491</v>
      </c>
      <c r="Q371" s="7">
        <f t="shared" si="10"/>
        <v>1528716</v>
      </c>
      <c r="R371" s="7">
        <f t="shared" si="11"/>
        <v>12739.300000000001</v>
      </c>
    </row>
    <row r="372" spans="1:18" x14ac:dyDescent="0.35">
      <c r="A372" s="5">
        <v>366</v>
      </c>
      <c r="B372" t="s">
        <v>64</v>
      </c>
      <c r="C372" t="s">
        <v>771</v>
      </c>
      <c r="D372" t="s">
        <v>1485</v>
      </c>
      <c r="E372" t="s">
        <v>100</v>
      </c>
      <c r="F372" s="1">
        <v>38746</v>
      </c>
      <c r="G372" s="2">
        <v>2006</v>
      </c>
      <c r="H372">
        <v>2021</v>
      </c>
      <c r="I372" s="2">
        <v>15</v>
      </c>
      <c r="J372" s="7">
        <v>67186</v>
      </c>
      <c r="K372" t="s">
        <v>370</v>
      </c>
      <c r="L372">
        <v>1</v>
      </c>
      <c r="M372" t="s">
        <v>46</v>
      </c>
      <c r="N372" t="s">
        <v>17</v>
      </c>
      <c r="O372" t="s">
        <v>29</v>
      </c>
      <c r="P372" t="s">
        <v>1491</v>
      </c>
      <c r="Q372" s="7">
        <f t="shared" si="10"/>
        <v>806232</v>
      </c>
      <c r="R372" s="7">
        <f t="shared" si="11"/>
        <v>6718.6</v>
      </c>
    </row>
    <row r="373" spans="1:18" x14ac:dyDescent="0.35">
      <c r="A373" s="5">
        <v>367</v>
      </c>
      <c r="B373" t="s">
        <v>772</v>
      </c>
      <c r="C373" t="s">
        <v>773</v>
      </c>
      <c r="D373" t="s">
        <v>1486</v>
      </c>
      <c r="E373" t="s">
        <v>129</v>
      </c>
      <c r="F373" s="1">
        <v>37320</v>
      </c>
      <c r="G373" s="2">
        <v>2002</v>
      </c>
      <c r="H373">
        <v>2021</v>
      </c>
      <c r="I373" s="2">
        <v>19</v>
      </c>
      <c r="J373" s="7">
        <v>102361</v>
      </c>
      <c r="K373" t="s">
        <v>774</v>
      </c>
      <c r="L373">
        <v>5</v>
      </c>
      <c r="M373" t="s">
        <v>91</v>
      </c>
      <c r="N373" t="s">
        <v>40</v>
      </c>
      <c r="O373" t="s">
        <v>41</v>
      </c>
      <c r="P373" t="s">
        <v>1491</v>
      </c>
      <c r="Q373" s="7">
        <f t="shared" si="10"/>
        <v>1228332</v>
      </c>
      <c r="R373" s="7">
        <f t="shared" si="11"/>
        <v>10236.1</v>
      </c>
    </row>
    <row r="374" spans="1:18" x14ac:dyDescent="0.35">
      <c r="A374" s="5">
        <v>368</v>
      </c>
      <c r="B374" t="s">
        <v>302</v>
      </c>
      <c r="C374" t="s">
        <v>775</v>
      </c>
      <c r="D374" t="s">
        <v>1486</v>
      </c>
      <c r="E374" t="s">
        <v>85</v>
      </c>
      <c r="F374" s="1">
        <v>37118</v>
      </c>
      <c r="G374" s="2">
        <v>2001</v>
      </c>
      <c r="H374">
        <v>2021</v>
      </c>
      <c r="I374" s="2">
        <v>20</v>
      </c>
      <c r="J374" s="7">
        <v>60688</v>
      </c>
      <c r="K374" t="s">
        <v>539</v>
      </c>
      <c r="L374">
        <v>1</v>
      </c>
      <c r="M374" t="s">
        <v>46</v>
      </c>
      <c r="N374" t="s">
        <v>17</v>
      </c>
      <c r="O374" t="s">
        <v>41</v>
      </c>
      <c r="P374" t="s">
        <v>1491</v>
      </c>
      <c r="Q374" s="7">
        <f t="shared" si="10"/>
        <v>728256</v>
      </c>
      <c r="R374" s="7">
        <f t="shared" si="11"/>
        <v>6068.8</v>
      </c>
    </row>
    <row r="375" spans="1:18" x14ac:dyDescent="0.35">
      <c r="A375" s="5">
        <v>369</v>
      </c>
      <c r="B375" t="s">
        <v>170</v>
      </c>
      <c r="C375" t="s">
        <v>776</v>
      </c>
      <c r="D375" t="s">
        <v>1486</v>
      </c>
      <c r="E375" t="s">
        <v>94</v>
      </c>
      <c r="F375" s="1">
        <v>46136</v>
      </c>
      <c r="G375" s="2">
        <v>2013</v>
      </c>
      <c r="H375">
        <v>2021</v>
      </c>
      <c r="I375" s="2">
        <v>8</v>
      </c>
      <c r="J375" s="7">
        <v>44704</v>
      </c>
      <c r="K375" t="s">
        <v>1499</v>
      </c>
      <c r="L375">
        <v>2</v>
      </c>
      <c r="M375" t="s">
        <v>16</v>
      </c>
      <c r="N375" t="s">
        <v>17</v>
      </c>
      <c r="O375" t="s">
        <v>18</v>
      </c>
      <c r="P375" t="s">
        <v>1491</v>
      </c>
      <c r="Q375" s="7">
        <f t="shared" si="10"/>
        <v>536448</v>
      </c>
      <c r="R375" s="7">
        <f t="shared" si="11"/>
        <v>4470.4000000000005</v>
      </c>
    </row>
    <row r="376" spans="1:18" x14ac:dyDescent="0.35">
      <c r="A376" s="5">
        <v>370</v>
      </c>
      <c r="B376" t="s">
        <v>325</v>
      </c>
      <c r="C376" t="s">
        <v>777</v>
      </c>
      <c r="D376" t="s">
        <v>1485</v>
      </c>
      <c r="E376" t="s">
        <v>89</v>
      </c>
      <c r="F376" s="1">
        <v>37265</v>
      </c>
      <c r="G376" s="2">
        <v>2002</v>
      </c>
      <c r="H376">
        <v>2021</v>
      </c>
      <c r="I376" s="2">
        <v>19</v>
      </c>
      <c r="J376" s="7">
        <v>110627</v>
      </c>
      <c r="K376" t="s">
        <v>527</v>
      </c>
      <c r="L376">
        <v>7</v>
      </c>
      <c r="M376" t="s">
        <v>39</v>
      </c>
      <c r="N376" t="s">
        <v>40</v>
      </c>
      <c r="O376" t="s">
        <v>41</v>
      </c>
      <c r="P376" t="s">
        <v>1491</v>
      </c>
      <c r="Q376" s="7">
        <f t="shared" si="10"/>
        <v>1327524</v>
      </c>
      <c r="R376" s="7">
        <f t="shared" si="11"/>
        <v>11062.7</v>
      </c>
    </row>
    <row r="377" spans="1:18" x14ac:dyDescent="0.35">
      <c r="A377" s="5">
        <v>371</v>
      </c>
      <c r="B377" t="s">
        <v>333</v>
      </c>
      <c r="C377" t="s">
        <v>778</v>
      </c>
      <c r="D377" t="s">
        <v>1485</v>
      </c>
      <c r="E377" t="s">
        <v>21</v>
      </c>
      <c r="F377" s="1">
        <v>36681</v>
      </c>
      <c r="G377" s="2">
        <v>2000</v>
      </c>
      <c r="H377">
        <v>2021</v>
      </c>
      <c r="I377" s="2">
        <v>21</v>
      </c>
      <c r="J377" s="7">
        <v>127223</v>
      </c>
      <c r="K377" t="s">
        <v>235</v>
      </c>
      <c r="L377">
        <v>5</v>
      </c>
      <c r="M377" t="s">
        <v>91</v>
      </c>
      <c r="N377" t="s">
        <v>40</v>
      </c>
      <c r="O377" t="s">
        <v>23</v>
      </c>
      <c r="P377" t="s">
        <v>1491</v>
      </c>
      <c r="Q377" s="7">
        <f t="shared" si="10"/>
        <v>1526676</v>
      </c>
      <c r="R377" s="7">
        <f t="shared" si="11"/>
        <v>12722.300000000001</v>
      </c>
    </row>
    <row r="378" spans="1:18" x14ac:dyDescent="0.35">
      <c r="A378" s="5">
        <v>372</v>
      </c>
      <c r="B378" t="s">
        <v>361</v>
      </c>
      <c r="C378" t="s">
        <v>779</v>
      </c>
      <c r="D378" t="s">
        <v>1486</v>
      </c>
      <c r="E378" t="s">
        <v>85</v>
      </c>
      <c r="F378" s="1">
        <v>37134</v>
      </c>
      <c r="G378" s="2">
        <v>2001</v>
      </c>
      <c r="H378">
        <v>2021</v>
      </c>
      <c r="I378" s="2">
        <v>20</v>
      </c>
      <c r="J378" s="7">
        <v>96163</v>
      </c>
      <c r="K378" t="s">
        <v>418</v>
      </c>
      <c r="L378">
        <v>3</v>
      </c>
      <c r="M378" t="s">
        <v>28</v>
      </c>
      <c r="N378" t="s">
        <v>17</v>
      </c>
      <c r="O378" t="s">
        <v>41</v>
      </c>
      <c r="P378" t="s">
        <v>1491</v>
      </c>
      <c r="Q378" s="7">
        <f t="shared" si="10"/>
        <v>1153956</v>
      </c>
      <c r="R378" s="7">
        <f t="shared" si="11"/>
        <v>9616.3000000000011</v>
      </c>
    </row>
    <row r="379" spans="1:18" x14ac:dyDescent="0.35">
      <c r="A379" s="5">
        <v>373</v>
      </c>
      <c r="B379" t="s">
        <v>333</v>
      </c>
      <c r="C379" t="s">
        <v>780</v>
      </c>
      <c r="D379" t="s">
        <v>1485</v>
      </c>
      <c r="E379" t="s">
        <v>32</v>
      </c>
      <c r="F379" s="1">
        <v>41023</v>
      </c>
      <c r="G379" s="2">
        <v>2012</v>
      </c>
      <c r="H379">
        <v>2021</v>
      </c>
      <c r="I379" s="3">
        <v>9</v>
      </c>
      <c r="J379" s="7">
        <v>86524</v>
      </c>
      <c r="K379" t="s">
        <v>666</v>
      </c>
      <c r="L379">
        <v>5</v>
      </c>
      <c r="M379" t="s">
        <v>91</v>
      </c>
      <c r="N379" t="s">
        <v>40</v>
      </c>
      <c r="O379" t="s">
        <v>34</v>
      </c>
      <c r="P379" t="s">
        <v>1491</v>
      </c>
      <c r="Q379" s="7">
        <f t="shared" si="10"/>
        <v>1038288</v>
      </c>
      <c r="R379" s="7">
        <f t="shared" si="11"/>
        <v>8652.4</v>
      </c>
    </row>
    <row r="380" spans="1:18" x14ac:dyDescent="0.35">
      <c r="A380" s="5">
        <v>374</v>
      </c>
      <c r="B380" t="s">
        <v>781</v>
      </c>
      <c r="C380" t="s">
        <v>782</v>
      </c>
      <c r="D380" t="s">
        <v>1486</v>
      </c>
      <c r="E380" t="s">
        <v>73</v>
      </c>
      <c r="F380" s="1">
        <v>38614</v>
      </c>
      <c r="G380" s="2">
        <v>2005</v>
      </c>
      <c r="H380">
        <v>2021</v>
      </c>
      <c r="I380" s="2">
        <v>16</v>
      </c>
      <c r="J380" s="7">
        <v>141464</v>
      </c>
      <c r="K380" t="s">
        <v>86</v>
      </c>
      <c r="L380">
        <v>4</v>
      </c>
      <c r="M380" t="s">
        <v>55</v>
      </c>
      <c r="N380" t="s">
        <v>17</v>
      </c>
      <c r="O380" t="s">
        <v>41</v>
      </c>
      <c r="P380" t="s">
        <v>1491</v>
      </c>
      <c r="Q380" s="7">
        <f t="shared" si="10"/>
        <v>1697568</v>
      </c>
      <c r="R380" s="7">
        <f t="shared" si="11"/>
        <v>14146.400000000001</v>
      </c>
    </row>
    <row r="381" spans="1:18" x14ac:dyDescent="0.35">
      <c r="A381" s="5">
        <v>375</v>
      </c>
      <c r="B381" t="s">
        <v>720</v>
      </c>
      <c r="C381" t="s">
        <v>783</v>
      </c>
      <c r="D381" t="s">
        <v>1486</v>
      </c>
      <c r="E381" t="s">
        <v>100</v>
      </c>
      <c r="F381" s="1">
        <v>46626</v>
      </c>
      <c r="G381" s="2">
        <v>2014</v>
      </c>
      <c r="H381">
        <v>2021</v>
      </c>
      <c r="I381" s="2">
        <v>7</v>
      </c>
      <c r="J381" s="7">
        <v>88029</v>
      </c>
      <c r="K381" t="s">
        <v>327</v>
      </c>
      <c r="L381">
        <v>4</v>
      </c>
      <c r="M381" t="s">
        <v>55</v>
      </c>
      <c r="N381" t="s">
        <v>17</v>
      </c>
      <c r="O381" t="s">
        <v>29</v>
      </c>
      <c r="P381" t="s">
        <v>1491</v>
      </c>
      <c r="Q381" s="7">
        <f t="shared" si="10"/>
        <v>1056348</v>
      </c>
      <c r="R381" s="7">
        <f t="shared" si="11"/>
        <v>8802.9</v>
      </c>
    </row>
    <row r="382" spans="1:18" x14ac:dyDescent="0.35">
      <c r="A382" s="5">
        <v>376</v>
      </c>
      <c r="B382" t="s">
        <v>361</v>
      </c>
      <c r="C382" t="s">
        <v>784</v>
      </c>
      <c r="D382" t="s">
        <v>1485</v>
      </c>
      <c r="E382" t="s">
        <v>89</v>
      </c>
      <c r="F382" s="1">
        <v>39162</v>
      </c>
      <c r="G382" s="2">
        <v>2007</v>
      </c>
      <c r="H382">
        <v>2021</v>
      </c>
      <c r="I382" s="2">
        <v>14</v>
      </c>
      <c r="J382" s="7">
        <v>47281</v>
      </c>
      <c r="K382" t="s">
        <v>97</v>
      </c>
      <c r="L382">
        <v>6</v>
      </c>
      <c r="M382" t="s">
        <v>50</v>
      </c>
      <c r="N382" t="s">
        <v>40</v>
      </c>
      <c r="O382" t="s">
        <v>41</v>
      </c>
      <c r="P382" t="s">
        <v>1491</v>
      </c>
      <c r="Q382" s="7">
        <f t="shared" si="10"/>
        <v>567372</v>
      </c>
      <c r="R382" s="7">
        <f t="shared" si="11"/>
        <v>4728.1000000000004</v>
      </c>
    </row>
    <row r="383" spans="1:18" x14ac:dyDescent="0.35">
      <c r="A383" s="5">
        <v>377</v>
      </c>
      <c r="B383" t="s">
        <v>102</v>
      </c>
      <c r="C383" t="s">
        <v>785</v>
      </c>
      <c r="D383" t="s">
        <v>1486</v>
      </c>
      <c r="E383" t="s">
        <v>94</v>
      </c>
      <c r="F383" s="1">
        <v>37271</v>
      </c>
      <c r="G383" s="2">
        <v>2002</v>
      </c>
      <c r="H383">
        <v>2021</v>
      </c>
      <c r="I383" s="2">
        <v>19</v>
      </c>
      <c r="J383" s="7">
        <v>93245</v>
      </c>
      <c r="K383" t="s">
        <v>669</v>
      </c>
      <c r="L383">
        <v>1</v>
      </c>
      <c r="M383" t="s">
        <v>46</v>
      </c>
      <c r="N383" t="s">
        <v>17</v>
      </c>
      <c r="O383" t="s">
        <v>18</v>
      </c>
      <c r="P383" t="s">
        <v>1491</v>
      </c>
      <c r="Q383" s="7">
        <f t="shared" si="10"/>
        <v>1118940</v>
      </c>
      <c r="R383" s="7">
        <f t="shared" si="11"/>
        <v>9324.5</v>
      </c>
    </row>
    <row r="384" spans="1:18" x14ac:dyDescent="0.35">
      <c r="A384" s="5">
        <v>378</v>
      </c>
      <c r="B384" t="s">
        <v>367</v>
      </c>
      <c r="C384" t="s">
        <v>786</v>
      </c>
      <c r="D384" t="s">
        <v>1485</v>
      </c>
      <c r="E384" t="s">
        <v>26</v>
      </c>
      <c r="F384" s="1">
        <v>41120</v>
      </c>
      <c r="G384" s="2">
        <v>2012</v>
      </c>
      <c r="H384">
        <v>2021</v>
      </c>
      <c r="I384" s="2">
        <v>9</v>
      </c>
      <c r="J384" s="7">
        <v>110589</v>
      </c>
      <c r="K384" t="s">
        <v>691</v>
      </c>
      <c r="L384">
        <v>7</v>
      </c>
      <c r="M384" t="s">
        <v>39</v>
      </c>
      <c r="N384" t="s">
        <v>40</v>
      </c>
      <c r="O384" t="s">
        <v>29</v>
      </c>
      <c r="P384" t="s">
        <v>1491</v>
      </c>
      <c r="Q384" s="7">
        <f t="shared" si="10"/>
        <v>1327068</v>
      </c>
      <c r="R384" s="7">
        <f t="shared" si="11"/>
        <v>11058.900000000001</v>
      </c>
    </row>
    <row r="385" spans="1:18" x14ac:dyDescent="0.35">
      <c r="A385" s="5">
        <v>379</v>
      </c>
      <c r="B385" t="s">
        <v>377</v>
      </c>
      <c r="C385" t="s">
        <v>787</v>
      </c>
      <c r="D385" t="s">
        <v>1485</v>
      </c>
      <c r="E385" t="s">
        <v>32</v>
      </c>
      <c r="F385" s="1">
        <v>37714</v>
      </c>
      <c r="G385" s="2">
        <v>2003</v>
      </c>
      <c r="H385">
        <v>2021</v>
      </c>
      <c r="I385" s="3">
        <v>18</v>
      </c>
      <c r="J385" s="7">
        <v>63735</v>
      </c>
      <c r="K385" t="s">
        <v>196</v>
      </c>
      <c r="L385">
        <v>6</v>
      </c>
      <c r="M385" t="s">
        <v>50</v>
      </c>
      <c r="N385" t="s">
        <v>40</v>
      </c>
      <c r="O385" t="s">
        <v>34</v>
      </c>
      <c r="P385" t="s">
        <v>1491</v>
      </c>
      <c r="Q385" s="7">
        <f t="shared" si="10"/>
        <v>764820</v>
      </c>
      <c r="R385" s="7">
        <f t="shared" si="11"/>
        <v>6373.5</v>
      </c>
    </row>
    <row r="386" spans="1:18" x14ac:dyDescent="0.35">
      <c r="A386" s="5">
        <v>380</v>
      </c>
      <c r="B386" t="s">
        <v>788</v>
      </c>
      <c r="C386" t="s">
        <v>789</v>
      </c>
      <c r="D386" t="s">
        <v>1486</v>
      </c>
      <c r="E386" t="s">
        <v>100</v>
      </c>
      <c r="F386" s="1">
        <v>46349</v>
      </c>
      <c r="G386" s="2">
        <v>2013</v>
      </c>
      <c r="H386">
        <v>2021</v>
      </c>
      <c r="I386" s="2">
        <v>8</v>
      </c>
      <c r="J386" s="7">
        <v>91182</v>
      </c>
      <c r="K386" t="s">
        <v>74</v>
      </c>
      <c r="L386">
        <v>5</v>
      </c>
      <c r="M386" t="s">
        <v>91</v>
      </c>
      <c r="N386" t="s">
        <v>40</v>
      </c>
      <c r="O386" t="s">
        <v>29</v>
      </c>
      <c r="P386" t="s">
        <v>1491</v>
      </c>
      <c r="Q386" s="7">
        <f t="shared" si="10"/>
        <v>1094184</v>
      </c>
      <c r="R386" s="7">
        <f t="shared" si="11"/>
        <v>9118.2000000000007</v>
      </c>
    </row>
    <row r="387" spans="1:18" x14ac:dyDescent="0.35">
      <c r="A387" s="5">
        <v>381</v>
      </c>
      <c r="B387" t="s">
        <v>259</v>
      </c>
      <c r="C387" t="s">
        <v>790</v>
      </c>
      <c r="D387" t="s">
        <v>1485</v>
      </c>
      <c r="E387" t="s">
        <v>238</v>
      </c>
      <c r="F387" s="1">
        <v>41161</v>
      </c>
      <c r="G387" s="2">
        <v>2012</v>
      </c>
      <c r="H387">
        <v>2021</v>
      </c>
      <c r="I387" s="2">
        <v>9</v>
      </c>
      <c r="J387" s="7">
        <v>133007</v>
      </c>
      <c r="K387" t="s">
        <v>437</v>
      </c>
      <c r="L387">
        <v>7</v>
      </c>
      <c r="M387" t="s">
        <v>39</v>
      </c>
      <c r="N387" t="s">
        <v>40</v>
      </c>
      <c r="O387" t="s">
        <v>63</v>
      </c>
      <c r="P387" t="s">
        <v>1491</v>
      </c>
      <c r="Q387" s="7">
        <f t="shared" si="10"/>
        <v>1596084</v>
      </c>
      <c r="R387" s="7">
        <f t="shared" si="11"/>
        <v>13300.7</v>
      </c>
    </row>
    <row r="388" spans="1:18" x14ac:dyDescent="0.35">
      <c r="A388" s="5">
        <v>382</v>
      </c>
      <c r="B388" t="s">
        <v>791</v>
      </c>
      <c r="C388" t="s">
        <v>792</v>
      </c>
      <c r="D388" t="s">
        <v>1486</v>
      </c>
      <c r="E388" t="s">
        <v>89</v>
      </c>
      <c r="F388" s="1">
        <v>45879</v>
      </c>
      <c r="G388" s="2">
        <v>2012</v>
      </c>
      <c r="H388">
        <v>2021</v>
      </c>
      <c r="I388" s="2">
        <v>9</v>
      </c>
      <c r="J388" s="7">
        <v>92879</v>
      </c>
      <c r="K388" t="s">
        <v>153</v>
      </c>
      <c r="L388">
        <v>2</v>
      </c>
      <c r="M388" t="s">
        <v>16</v>
      </c>
      <c r="N388" t="s">
        <v>17</v>
      </c>
      <c r="O388" t="s">
        <v>41</v>
      </c>
      <c r="P388" t="s">
        <v>1491</v>
      </c>
      <c r="Q388" s="7">
        <f t="shared" si="10"/>
        <v>1114548</v>
      </c>
      <c r="R388" s="7">
        <f t="shared" si="11"/>
        <v>9287.9</v>
      </c>
    </row>
    <row r="389" spans="1:18" x14ac:dyDescent="0.35">
      <c r="A389" s="5">
        <v>383</v>
      </c>
      <c r="B389" t="s">
        <v>212</v>
      </c>
      <c r="C389" t="s">
        <v>793</v>
      </c>
      <c r="D389" t="s">
        <v>1485</v>
      </c>
      <c r="E389" t="s">
        <v>69</v>
      </c>
      <c r="F389" s="1">
        <v>37600</v>
      </c>
      <c r="G389" s="2">
        <v>2002</v>
      </c>
      <c r="H389">
        <v>2021</v>
      </c>
      <c r="I389" s="2">
        <v>19</v>
      </c>
      <c r="J389" s="7">
        <v>104079</v>
      </c>
      <c r="K389" t="s">
        <v>456</v>
      </c>
      <c r="L389">
        <v>4</v>
      </c>
      <c r="M389" t="s">
        <v>55</v>
      </c>
      <c r="N389" t="s">
        <v>17</v>
      </c>
      <c r="O389" t="s">
        <v>41</v>
      </c>
      <c r="P389" t="s">
        <v>1491</v>
      </c>
      <c r="Q389" s="7">
        <f t="shared" si="10"/>
        <v>1248948</v>
      </c>
      <c r="R389" s="7">
        <f t="shared" si="11"/>
        <v>10407.900000000001</v>
      </c>
    </row>
    <row r="390" spans="1:18" x14ac:dyDescent="0.35">
      <c r="A390" s="5">
        <v>384</v>
      </c>
      <c r="B390" t="s">
        <v>465</v>
      </c>
      <c r="C390" t="s">
        <v>794</v>
      </c>
      <c r="D390" t="s">
        <v>1486</v>
      </c>
      <c r="E390" t="s">
        <v>129</v>
      </c>
      <c r="F390" s="1">
        <v>38657</v>
      </c>
      <c r="G390" s="2">
        <v>2005</v>
      </c>
      <c r="H390">
        <v>2021</v>
      </c>
      <c r="I390" s="2">
        <v>16</v>
      </c>
      <c r="J390" s="7">
        <v>63918</v>
      </c>
      <c r="K390" t="s">
        <v>15</v>
      </c>
      <c r="L390">
        <v>4</v>
      </c>
      <c r="M390" t="s">
        <v>55</v>
      </c>
      <c r="N390" t="s">
        <v>17</v>
      </c>
      <c r="O390" t="s">
        <v>41</v>
      </c>
      <c r="P390" t="s">
        <v>1491</v>
      </c>
      <c r="Q390" s="7">
        <f t="shared" si="10"/>
        <v>767016</v>
      </c>
      <c r="R390" s="7">
        <f t="shared" si="11"/>
        <v>6391.8</v>
      </c>
    </row>
    <row r="391" spans="1:18" x14ac:dyDescent="0.35">
      <c r="A391" s="5">
        <v>385</v>
      </c>
      <c r="B391" t="s">
        <v>416</v>
      </c>
      <c r="C391" t="s">
        <v>795</v>
      </c>
      <c r="D391" t="s">
        <v>1486</v>
      </c>
      <c r="E391" t="s">
        <v>26</v>
      </c>
      <c r="F391" s="1">
        <v>45414</v>
      </c>
      <c r="G391" s="2">
        <v>2011</v>
      </c>
      <c r="H391">
        <v>2021</v>
      </c>
      <c r="I391" s="2">
        <v>10</v>
      </c>
      <c r="J391" s="7">
        <v>128885</v>
      </c>
      <c r="K391" t="s">
        <v>796</v>
      </c>
      <c r="L391">
        <v>5</v>
      </c>
      <c r="M391" t="s">
        <v>91</v>
      </c>
      <c r="N391" t="s">
        <v>40</v>
      </c>
      <c r="O391" t="s">
        <v>29</v>
      </c>
      <c r="P391" t="s">
        <v>1491</v>
      </c>
      <c r="Q391" s="7">
        <f t="shared" ref="Q391:Q454" si="12">J391*12</f>
        <v>1546620</v>
      </c>
      <c r="R391" s="7">
        <f t="shared" ref="R391:R454" si="13">J391*10%</f>
        <v>12888.5</v>
      </c>
    </row>
    <row r="392" spans="1:18" x14ac:dyDescent="0.35">
      <c r="A392" s="5">
        <v>386</v>
      </c>
      <c r="B392" t="s">
        <v>352</v>
      </c>
      <c r="C392" t="s">
        <v>797</v>
      </c>
      <c r="D392" t="s">
        <v>1485</v>
      </c>
      <c r="E392" t="s">
        <v>79</v>
      </c>
      <c r="F392" s="1">
        <v>40601</v>
      </c>
      <c r="G392" s="2">
        <v>2011</v>
      </c>
      <c r="H392">
        <v>2021</v>
      </c>
      <c r="I392" s="2">
        <v>10</v>
      </c>
      <c r="J392" s="7">
        <v>140567</v>
      </c>
      <c r="K392" t="s">
        <v>709</v>
      </c>
      <c r="L392">
        <v>2</v>
      </c>
      <c r="M392" t="s">
        <v>16</v>
      </c>
      <c r="N392" t="s">
        <v>17</v>
      </c>
      <c r="O392" t="s">
        <v>41</v>
      </c>
      <c r="P392" t="s">
        <v>1491</v>
      </c>
      <c r="Q392" s="7">
        <f t="shared" si="12"/>
        <v>1686804</v>
      </c>
      <c r="R392" s="7">
        <f t="shared" si="13"/>
        <v>14056.7</v>
      </c>
    </row>
    <row r="393" spans="1:18" x14ac:dyDescent="0.35">
      <c r="A393" s="5">
        <v>387</v>
      </c>
      <c r="B393" t="s">
        <v>620</v>
      </c>
      <c r="C393" t="s">
        <v>798</v>
      </c>
      <c r="D393" t="s">
        <v>1486</v>
      </c>
      <c r="E393" t="s">
        <v>110</v>
      </c>
      <c r="F393" s="1">
        <v>37842</v>
      </c>
      <c r="G393" s="2">
        <v>2003</v>
      </c>
      <c r="H393">
        <v>2021</v>
      </c>
      <c r="I393" s="2">
        <v>18</v>
      </c>
      <c r="J393" s="7">
        <v>95726</v>
      </c>
      <c r="K393" t="s">
        <v>204</v>
      </c>
      <c r="L393">
        <v>4</v>
      </c>
      <c r="M393" t="s">
        <v>55</v>
      </c>
      <c r="N393" t="s">
        <v>17</v>
      </c>
      <c r="O393" t="s">
        <v>112</v>
      </c>
      <c r="P393" t="s">
        <v>1491</v>
      </c>
      <c r="Q393" s="7">
        <f t="shared" si="12"/>
        <v>1148712</v>
      </c>
      <c r="R393" s="7">
        <f t="shared" si="13"/>
        <v>9572.6</v>
      </c>
    </row>
    <row r="394" spans="1:18" x14ac:dyDescent="0.35">
      <c r="A394" s="5">
        <v>388</v>
      </c>
      <c r="B394" t="s">
        <v>12</v>
      </c>
      <c r="C394" t="s">
        <v>799</v>
      </c>
      <c r="D394" t="s">
        <v>1486</v>
      </c>
      <c r="E394" t="s">
        <v>238</v>
      </c>
      <c r="F394" s="1">
        <v>44220</v>
      </c>
      <c r="G394" s="2">
        <v>2008</v>
      </c>
      <c r="H394">
        <v>2021</v>
      </c>
      <c r="I394" s="2">
        <v>13</v>
      </c>
      <c r="J394" s="7">
        <v>84261</v>
      </c>
      <c r="K394" t="s">
        <v>181</v>
      </c>
      <c r="L394">
        <v>5</v>
      </c>
      <c r="M394" t="s">
        <v>91</v>
      </c>
      <c r="N394" t="s">
        <v>40</v>
      </c>
      <c r="O394" t="s">
        <v>63</v>
      </c>
      <c r="P394" t="s">
        <v>1491</v>
      </c>
      <c r="Q394" s="7">
        <f t="shared" si="12"/>
        <v>1011132</v>
      </c>
      <c r="R394" s="7">
        <f t="shared" si="13"/>
        <v>8426.1</v>
      </c>
    </row>
    <row r="395" spans="1:18" x14ac:dyDescent="0.35">
      <c r="A395" s="5">
        <v>389</v>
      </c>
      <c r="B395" t="s">
        <v>284</v>
      </c>
      <c r="C395" t="s">
        <v>800</v>
      </c>
      <c r="D395" t="s">
        <v>1485</v>
      </c>
      <c r="E395" t="s">
        <v>73</v>
      </c>
      <c r="F395" s="1">
        <v>41447</v>
      </c>
      <c r="G395" s="2">
        <v>2013</v>
      </c>
      <c r="H395">
        <v>2021</v>
      </c>
      <c r="I395" s="2">
        <v>8</v>
      </c>
      <c r="J395" s="7">
        <v>42924</v>
      </c>
      <c r="K395" t="s">
        <v>104</v>
      </c>
      <c r="L395">
        <v>2</v>
      </c>
      <c r="M395" t="s">
        <v>16</v>
      </c>
      <c r="N395" t="s">
        <v>17</v>
      </c>
      <c r="O395" t="s">
        <v>41</v>
      </c>
      <c r="P395" t="s">
        <v>1491</v>
      </c>
      <c r="Q395" s="7">
        <f t="shared" si="12"/>
        <v>515088</v>
      </c>
      <c r="R395" s="7">
        <f t="shared" si="13"/>
        <v>4292.4000000000005</v>
      </c>
    </row>
    <row r="396" spans="1:18" x14ac:dyDescent="0.35">
      <c r="A396" s="5">
        <v>390</v>
      </c>
      <c r="B396" t="s">
        <v>801</v>
      </c>
      <c r="C396" t="s">
        <v>802</v>
      </c>
      <c r="D396" t="s">
        <v>1485</v>
      </c>
      <c r="E396" t="s">
        <v>14</v>
      </c>
      <c r="F396" s="1">
        <v>39705</v>
      </c>
      <c r="G396" s="2">
        <v>2008</v>
      </c>
      <c r="H396">
        <v>2021</v>
      </c>
      <c r="I396" s="2">
        <v>13</v>
      </c>
      <c r="J396" s="7">
        <v>86670</v>
      </c>
      <c r="K396" t="s">
        <v>803</v>
      </c>
      <c r="L396">
        <v>2</v>
      </c>
      <c r="M396" t="s">
        <v>16</v>
      </c>
      <c r="N396" t="s">
        <v>17</v>
      </c>
      <c r="O396" t="s">
        <v>18</v>
      </c>
      <c r="P396" t="s">
        <v>1489</v>
      </c>
      <c r="Q396" s="7">
        <f t="shared" si="12"/>
        <v>1040040</v>
      </c>
      <c r="R396" s="7">
        <f t="shared" si="13"/>
        <v>8667</v>
      </c>
    </row>
    <row r="397" spans="1:18" x14ac:dyDescent="0.35">
      <c r="A397" s="5">
        <v>391</v>
      </c>
      <c r="B397" t="s">
        <v>587</v>
      </c>
      <c r="C397" t="s">
        <v>804</v>
      </c>
      <c r="D397" t="s">
        <v>1486</v>
      </c>
      <c r="E397" t="s">
        <v>69</v>
      </c>
      <c r="F397" s="1">
        <v>37929</v>
      </c>
      <c r="G397" s="2">
        <v>2003</v>
      </c>
      <c r="H397">
        <v>2021</v>
      </c>
      <c r="I397" s="2">
        <v>18</v>
      </c>
      <c r="J397" s="7">
        <v>147702</v>
      </c>
      <c r="K397" t="s">
        <v>97</v>
      </c>
      <c r="L397">
        <v>4</v>
      </c>
      <c r="M397" t="s">
        <v>55</v>
      </c>
      <c r="N397" t="s">
        <v>17</v>
      </c>
      <c r="O397" t="s">
        <v>41</v>
      </c>
      <c r="P397" t="s">
        <v>1489</v>
      </c>
      <c r="Q397" s="7">
        <f t="shared" si="12"/>
        <v>1772424</v>
      </c>
      <c r="R397" s="7">
        <f t="shared" si="13"/>
        <v>14770.2</v>
      </c>
    </row>
    <row r="398" spans="1:18" x14ac:dyDescent="0.35">
      <c r="A398" s="5">
        <v>392</v>
      </c>
      <c r="B398" t="s">
        <v>698</v>
      </c>
      <c r="C398" t="s">
        <v>805</v>
      </c>
      <c r="D398" t="s">
        <v>1486</v>
      </c>
      <c r="E398" t="s">
        <v>129</v>
      </c>
      <c r="F398" s="1">
        <v>46055</v>
      </c>
      <c r="G398" s="2">
        <v>2013</v>
      </c>
      <c r="H398">
        <v>2021</v>
      </c>
      <c r="I398" s="2">
        <v>8</v>
      </c>
      <c r="J398" s="7">
        <v>132470</v>
      </c>
      <c r="K398" t="s">
        <v>806</v>
      </c>
      <c r="L398">
        <v>6</v>
      </c>
      <c r="M398" t="s">
        <v>50</v>
      </c>
      <c r="N398" t="s">
        <v>40</v>
      </c>
      <c r="O398" t="s">
        <v>41</v>
      </c>
      <c r="P398" t="s">
        <v>1489</v>
      </c>
      <c r="Q398" s="7">
        <f t="shared" si="12"/>
        <v>1589640</v>
      </c>
      <c r="R398" s="7">
        <f t="shared" si="13"/>
        <v>13247</v>
      </c>
    </row>
    <row r="399" spans="1:18" x14ac:dyDescent="0.35">
      <c r="A399" s="5">
        <v>393</v>
      </c>
      <c r="B399" t="s">
        <v>433</v>
      </c>
      <c r="C399" t="s">
        <v>807</v>
      </c>
      <c r="D399" t="s">
        <v>1486</v>
      </c>
      <c r="E399" t="s">
        <v>238</v>
      </c>
      <c r="F399" s="1">
        <v>36780</v>
      </c>
      <c r="G399" s="2">
        <v>2000</v>
      </c>
      <c r="H399">
        <v>2021</v>
      </c>
      <c r="I399" s="2">
        <v>21</v>
      </c>
      <c r="J399" s="7">
        <v>63341</v>
      </c>
      <c r="K399" t="s">
        <v>709</v>
      </c>
      <c r="L399">
        <v>7</v>
      </c>
      <c r="M399" t="s">
        <v>39</v>
      </c>
      <c r="N399" t="s">
        <v>40</v>
      </c>
      <c r="O399" t="s">
        <v>63</v>
      </c>
      <c r="P399" t="s">
        <v>1489</v>
      </c>
      <c r="Q399" s="7">
        <f t="shared" si="12"/>
        <v>760092</v>
      </c>
      <c r="R399" s="7">
        <f t="shared" si="13"/>
        <v>6334.1</v>
      </c>
    </row>
    <row r="400" spans="1:18" x14ac:dyDescent="0.35">
      <c r="A400" s="5">
        <v>394</v>
      </c>
      <c r="B400" t="s">
        <v>243</v>
      </c>
      <c r="C400" t="s">
        <v>808</v>
      </c>
      <c r="D400" t="s">
        <v>1486</v>
      </c>
      <c r="E400" t="s">
        <v>129</v>
      </c>
      <c r="F400" s="1">
        <v>37552</v>
      </c>
      <c r="G400" s="2">
        <v>2002</v>
      </c>
      <c r="H400">
        <v>2021</v>
      </c>
      <c r="I400" s="2">
        <v>19</v>
      </c>
      <c r="J400" s="7">
        <v>91651</v>
      </c>
      <c r="K400" t="s">
        <v>406</v>
      </c>
      <c r="L400">
        <v>4</v>
      </c>
      <c r="M400" t="s">
        <v>55</v>
      </c>
      <c r="N400" t="s">
        <v>17</v>
      </c>
      <c r="O400" t="s">
        <v>41</v>
      </c>
      <c r="P400" t="s">
        <v>1489</v>
      </c>
      <c r="Q400" s="7">
        <f t="shared" si="12"/>
        <v>1099812</v>
      </c>
      <c r="R400" s="7">
        <f t="shared" si="13"/>
        <v>9165.1</v>
      </c>
    </row>
    <row r="401" spans="1:18" x14ac:dyDescent="0.35">
      <c r="A401" s="5">
        <v>395</v>
      </c>
      <c r="B401" t="s">
        <v>809</v>
      </c>
      <c r="C401" t="s">
        <v>810</v>
      </c>
      <c r="D401" t="s">
        <v>1485</v>
      </c>
      <c r="E401" t="s">
        <v>73</v>
      </c>
      <c r="F401" s="1">
        <v>41528</v>
      </c>
      <c r="G401" s="2">
        <v>2013</v>
      </c>
      <c r="H401">
        <v>2021</v>
      </c>
      <c r="I401" s="2">
        <v>8</v>
      </c>
      <c r="J401" s="7">
        <v>48927</v>
      </c>
      <c r="K401" t="s">
        <v>62</v>
      </c>
      <c r="L401">
        <v>6</v>
      </c>
      <c r="M401" t="s">
        <v>50</v>
      </c>
      <c r="N401" t="s">
        <v>40</v>
      </c>
      <c r="O401" t="s">
        <v>41</v>
      </c>
      <c r="P401" t="s">
        <v>1489</v>
      </c>
      <c r="Q401" s="7">
        <f t="shared" si="12"/>
        <v>587124</v>
      </c>
      <c r="R401" s="7">
        <f t="shared" si="13"/>
        <v>4892.7</v>
      </c>
    </row>
    <row r="402" spans="1:18" x14ac:dyDescent="0.35">
      <c r="A402" s="5">
        <v>396</v>
      </c>
      <c r="B402" t="s">
        <v>108</v>
      </c>
      <c r="C402" t="s">
        <v>811</v>
      </c>
      <c r="D402" t="s">
        <v>1486</v>
      </c>
      <c r="E402" t="s">
        <v>85</v>
      </c>
      <c r="F402" s="1">
        <v>46343</v>
      </c>
      <c r="G402" s="2">
        <v>2013</v>
      </c>
      <c r="H402">
        <v>2021</v>
      </c>
      <c r="I402" s="2">
        <v>8</v>
      </c>
      <c r="J402" s="7">
        <v>143433</v>
      </c>
      <c r="K402" t="s">
        <v>576</v>
      </c>
      <c r="L402">
        <v>1</v>
      </c>
      <c r="M402" t="s">
        <v>46</v>
      </c>
      <c r="N402" t="s">
        <v>17</v>
      </c>
      <c r="O402" t="s">
        <v>41</v>
      </c>
      <c r="P402" t="s">
        <v>1489</v>
      </c>
      <c r="Q402" s="7">
        <f t="shared" si="12"/>
        <v>1721196</v>
      </c>
      <c r="R402" s="7">
        <f t="shared" si="13"/>
        <v>14343.300000000001</v>
      </c>
    </row>
    <row r="403" spans="1:18" x14ac:dyDescent="0.35">
      <c r="A403" s="5">
        <v>397</v>
      </c>
      <c r="B403" t="s">
        <v>339</v>
      </c>
      <c r="C403" t="s">
        <v>812</v>
      </c>
      <c r="D403" t="s">
        <v>1485</v>
      </c>
      <c r="E403" t="s">
        <v>53</v>
      </c>
      <c r="F403" s="1">
        <v>38992</v>
      </c>
      <c r="G403" s="2">
        <v>2006</v>
      </c>
      <c r="H403">
        <v>2021</v>
      </c>
      <c r="I403" s="2">
        <v>15</v>
      </c>
      <c r="J403" s="7">
        <v>81998</v>
      </c>
      <c r="K403" t="s">
        <v>223</v>
      </c>
      <c r="L403">
        <v>5</v>
      </c>
      <c r="M403" t="s">
        <v>91</v>
      </c>
      <c r="N403" t="s">
        <v>40</v>
      </c>
      <c r="O403" t="s">
        <v>23</v>
      </c>
      <c r="P403" t="s">
        <v>1489</v>
      </c>
      <c r="Q403" s="7">
        <f t="shared" si="12"/>
        <v>983976</v>
      </c>
      <c r="R403" s="7">
        <f t="shared" si="13"/>
        <v>8199.8000000000011</v>
      </c>
    </row>
    <row r="404" spans="1:18" x14ac:dyDescent="0.35">
      <c r="A404" s="5">
        <v>398</v>
      </c>
      <c r="B404" t="s">
        <v>215</v>
      </c>
      <c r="C404" t="s">
        <v>813</v>
      </c>
      <c r="D404" t="s">
        <v>1486</v>
      </c>
      <c r="E404" t="s">
        <v>89</v>
      </c>
      <c r="F404" s="1">
        <v>37019</v>
      </c>
      <c r="G404" s="2">
        <v>2001</v>
      </c>
      <c r="H404">
        <v>2021</v>
      </c>
      <c r="I404" s="2">
        <v>20</v>
      </c>
      <c r="J404" s="7">
        <v>68584</v>
      </c>
      <c r="K404" t="s">
        <v>126</v>
      </c>
      <c r="L404">
        <v>2</v>
      </c>
      <c r="M404" t="s">
        <v>16</v>
      </c>
      <c r="N404" t="s">
        <v>17</v>
      </c>
      <c r="O404" t="s">
        <v>41</v>
      </c>
      <c r="P404" t="s">
        <v>1489</v>
      </c>
      <c r="Q404" s="7">
        <f t="shared" si="12"/>
        <v>823008</v>
      </c>
      <c r="R404" s="7">
        <f t="shared" si="13"/>
        <v>6858.4000000000005</v>
      </c>
    </row>
    <row r="405" spans="1:18" x14ac:dyDescent="0.35">
      <c r="A405" s="5">
        <v>399</v>
      </c>
      <c r="B405" t="s">
        <v>645</v>
      </c>
      <c r="C405" t="s">
        <v>814</v>
      </c>
      <c r="D405" t="s">
        <v>1486</v>
      </c>
      <c r="E405" t="s">
        <v>14</v>
      </c>
      <c r="F405" s="1">
        <v>44746</v>
      </c>
      <c r="G405" s="2">
        <v>2009</v>
      </c>
      <c r="H405">
        <v>2021</v>
      </c>
      <c r="I405" s="2">
        <v>12</v>
      </c>
      <c r="J405" s="7">
        <v>88216</v>
      </c>
      <c r="K405" t="s">
        <v>659</v>
      </c>
      <c r="L405">
        <v>3</v>
      </c>
      <c r="M405" t="s">
        <v>28</v>
      </c>
      <c r="N405" t="s">
        <v>17</v>
      </c>
      <c r="O405" t="s">
        <v>18</v>
      </c>
      <c r="P405" t="s">
        <v>1489</v>
      </c>
      <c r="Q405" s="7">
        <f t="shared" si="12"/>
        <v>1058592</v>
      </c>
      <c r="R405" s="7">
        <f t="shared" si="13"/>
        <v>8821.6</v>
      </c>
    </row>
    <row r="406" spans="1:18" x14ac:dyDescent="0.35">
      <c r="A406" s="5">
        <v>400</v>
      </c>
      <c r="B406" t="s">
        <v>474</v>
      </c>
      <c r="C406" t="s">
        <v>815</v>
      </c>
      <c r="D406" t="s">
        <v>1485</v>
      </c>
      <c r="E406" t="s">
        <v>203</v>
      </c>
      <c r="F406" s="1">
        <v>40901</v>
      </c>
      <c r="G406" s="2">
        <v>2011</v>
      </c>
      <c r="H406">
        <v>2021</v>
      </c>
      <c r="I406" s="2">
        <v>10</v>
      </c>
      <c r="J406" s="7">
        <v>86046</v>
      </c>
      <c r="K406" t="s">
        <v>136</v>
      </c>
      <c r="L406">
        <v>5</v>
      </c>
      <c r="M406" t="s">
        <v>91</v>
      </c>
      <c r="N406" t="s">
        <v>40</v>
      </c>
      <c r="O406" t="s">
        <v>41</v>
      </c>
      <c r="P406" t="s">
        <v>1489</v>
      </c>
      <c r="Q406" s="7">
        <f t="shared" si="12"/>
        <v>1032552</v>
      </c>
      <c r="R406" s="7">
        <f t="shared" si="13"/>
        <v>8604.6</v>
      </c>
    </row>
    <row r="407" spans="1:18" x14ac:dyDescent="0.35">
      <c r="A407" s="5">
        <v>401</v>
      </c>
      <c r="B407" t="s">
        <v>816</v>
      </c>
      <c r="C407" t="s">
        <v>817</v>
      </c>
      <c r="D407" t="s">
        <v>1486</v>
      </c>
      <c r="E407" t="s">
        <v>148</v>
      </c>
      <c r="F407" s="1">
        <v>44260</v>
      </c>
      <c r="G407" s="2">
        <v>2008</v>
      </c>
      <c r="H407">
        <v>2021</v>
      </c>
      <c r="I407" s="2">
        <v>13</v>
      </c>
      <c r="J407" s="7">
        <v>148906</v>
      </c>
      <c r="K407" t="s">
        <v>454</v>
      </c>
      <c r="L407">
        <v>5</v>
      </c>
      <c r="M407" t="s">
        <v>91</v>
      </c>
      <c r="N407" t="s">
        <v>40</v>
      </c>
      <c r="O407" t="s">
        <v>112</v>
      </c>
      <c r="P407" t="s">
        <v>1489</v>
      </c>
      <c r="Q407" s="7">
        <f t="shared" si="12"/>
        <v>1786872</v>
      </c>
      <c r="R407" s="7">
        <f t="shared" si="13"/>
        <v>14890.6</v>
      </c>
    </row>
    <row r="408" spans="1:18" x14ac:dyDescent="0.35">
      <c r="A408" s="5">
        <v>402</v>
      </c>
      <c r="B408" t="s">
        <v>596</v>
      </c>
      <c r="C408" t="s">
        <v>818</v>
      </c>
      <c r="D408" t="s">
        <v>1486</v>
      </c>
      <c r="E408" t="s">
        <v>69</v>
      </c>
      <c r="F408" s="1">
        <v>44145</v>
      </c>
      <c r="G408" s="2">
        <v>2007</v>
      </c>
      <c r="H408">
        <v>2021</v>
      </c>
      <c r="I408" s="2">
        <v>14</v>
      </c>
      <c r="J408" s="7">
        <v>93266</v>
      </c>
      <c r="K408" t="s">
        <v>391</v>
      </c>
      <c r="L408">
        <v>7</v>
      </c>
      <c r="M408" t="s">
        <v>39</v>
      </c>
      <c r="N408" t="s">
        <v>40</v>
      </c>
      <c r="O408" t="s">
        <v>41</v>
      </c>
      <c r="P408" t="s">
        <v>1489</v>
      </c>
      <c r="Q408" s="7">
        <f t="shared" si="12"/>
        <v>1119192</v>
      </c>
      <c r="R408" s="7">
        <f t="shared" si="13"/>
        <v>9326.6</v>
      </c>
    </row>
    <row r="409" spans="1:18" x14ac:dyDescent="0.35">
      <c r="A409" s="5">
        <v>403</v>
      </c>
      <c r="B409" t="s">
        <v>105</v>
      </c>
      <c r="C409" t="s">
        <v>819</v>
      </c>
      <c r="D409" t="s">
        <v>1486</v>
      </c>
      <c r="E409" t="s">
        <v>89</v>
      </c>
      <c r="F409" s="1">
        <v>37324</v>
      </c>
      <c r="G409" s="2">
        <v>2002</v>
      </c>
      <c r="H409">
        <v>2021</v>
      </c>
      <c r="I409" s="2">
        <v>19</v>
      </c>
      <c r="J409" s="7">
        <v>69702</v>
      </c>
      <c r="K409" t="s">
        <v>613</v>
      </c>
      <c r="L409">
        <v>1</v>
      </c>
      <c r="M409" t="s">
        <v>46</v>
      </c>
      <c r="N409" t="s">
        <v>17</v>
      </c>
      <c r="O409" t="s">
        <v>41</v>
      </c>
      <c r="P409" t="s">
        <v>1489</v>
      </c>
      <c r="Q409" s="7">
        <f t="shared" si="12"/>
        <v>836424</v>
      </c>
      <c r="R409" s="7">
        <f t="shared" si="13"/>
        <v>6970.2000000000007</v>
      </c>
    </row>
    <row r="410" spans="1:18" x14ac:dyDescent="0.35">
      <c r="A410" s="5">
        <v>404</v>
      </c>
      <c r="B410" t="s">
        <v>375</v>
      </c>
      <c r="C410" t="s">
        <v>820</v>
      </c>
      <c r="D410" t="s">
        <v>1486</v>
      </c>
      <c r="E410" t="s">
        <v>148</v>
      </c>
      <c r="F410" s="1">
        <v>45288</v>
      </c>
      <c r="G410" s="2">
        <v>2010</v>
      </c>
      <c r="H410">
        <v>2021</v>
      </c>
      <c r="I410" s="2">
        <v>11</v>
      </c>
      <c r="J410" s="7">
        <v>43366</v>
      </c>
      <c r="K410" t="s">
        <v>821</v>
      </c>
      <c r="L410">
        <v>4</v>
      </c>
      <c r="M410" t="s">
        <v>55</v>
      </c>
      <c r="N410" t="s">
        <v>17</v>
      </c>
      <c r="O410" t="s">
        <v>112</v>
      </c>
      <c r="P410" t="s">
        <v>1489</v>
      </c>
      <c r="Q410" s="7">
        <f t="shared" si="12"/>
        <v>520392</v>
      </c>
      <c r="R410" s="7">
        <f t="shared" si="13"/>
        <v>4336.6000000000004</v>
      </c>
    </row>
    <row r="411" spans="1:18" x14ac:dyDescent="0.35">
      <c r="A411" s="5">
        <v>405</v>
      </c>
      <c r="B411" t="s">
        <v>83</v>
      </c>
      <c r="C411" t="s">
        <v>822</v>
      </c>
      <c r="D411" t="s">
        <v>1485</v>
      </c>
      <c r="E411" t="s">
        <v>100</v>
      </c>
      <c r="F411" s="1">
        <v>38491</v>
      </c>
      <c r="G411" s="2">
        <v>2005</v>
      </c>
      <c r="H411">
        <v>2021</v>
      </c>
      <c r="I411" s="2">
        <v>16</v>
      </c>
      <c r="J411" s="7">
        <v>101945</v>
      </c>
      <c r="K411" t="s">
        <v>228</v>
      </c>
      <c r="L411">
        <v>2</v>
      </c>
      <c r="M411" t="s">
        <v>16</v>
      </c>
      <c r="N411" t="s">
        <v>17</v>
      </c>
      <c r="O411" t="s">
        <v>29</v>
      </c>
      <c r="P411" t="s">
        <v>1489</v>
      </c>
      <c r="Q411" s="7">
        <f t="shared" si="12"/>
        <v>1223340</v>
      </c>
      <c r="R411" s="7">
        <f t="shared" si="13"/>
        <v>10194.5</v>
      </c>
    </row>
    <row r="412" spans="1:18" x14ac:dyDescent="0.35">
      <c r="A412" s="5">
        <v>406</v>
      </c>
      <c r="B412" t="s">
        <v>521</v>
      </c>
      <c r="C412" t="s">
        <v>823</v>
      </c>
      <c r="D412" t="s">
        <v>1485</v>
      </c>
      <c r="E412" t="s">
        <v>53</v>
      </c>
      <c r="F412" s="1">
        <v>37653</v>
      </c>
      <c r="G412" s="2">
        <v>2003</v>
      </c>
      <c r="H412">
        <v>2021</v>
      </c>
      <c r="I412" s="2">
        <v>18</v>
      </c>
      <c r="J412" s="7">
        <v>54007</v>
      </c>
      <c r="K412" t="s">
        <v>500</v>
      </c>
      <c r="L412">
        <v>5</v>
      </c>
      <c r="M412" t="s">
        <v>91</v>
      </c>
      <c r="N412" t="s">
        <v>40</v>
      </c>
      <c r="O412" t="s">
        <v>23</v>
      </c>
      <c r="P412" t="s">
        <v>1489</v>
      </c>
      <c r="Q412" s="7">
        <f t="shared" si="12"/>
        <v>648084</v>
      </c>
      <c r="R412" s="7">
        <f t="shared" si="13"/>
        <v>5400.7000000000007</v>
      </c>
    </row>
    <row r="413" spans="1:18" x14ac:dyDescent="0.35">
      <c r="A413" s="5">
        <v>407</v>
      </c>
      <c r="B413" t="s">
        <v>233</v>
      </c>
      <c r="C413" t="s">
        <v>824</v>
      </c>
      <c r="D413" t="s">
        <v>1485</v>
      </c>
      <c r="E413" t="s">
        <v>73</v>
      </c>
      <c r="F413" s="1">
        <v>41373</v>
      </c>
      <c r="G413" s="2">
        <v>2013</v>
      </c>
      <c r="H413">
        <v>2021</v>
      </c>
      <c r="I413" s="2">
        <v>8</v>
      </c>
      <c r="J413" s="7">
        <v>54704</v>
      </c>
      <c r="K413" t="s">
        <v>430</v>
      </c>
      <c r="L413">
        <v>3</v>
      </c>
      <c r="M413" t="s">
        <v>28</v>
      </c>
      <c r="N413" t="s">
        <v>17</v>
      </c>
      <c r="O413" t="s">
        <v>41</v>
      </c>
      <c r="P413" t="s">
        <v>1489</v>
      </c>
      <c r="Q413" s="7">
        <f t="shared" si="12"/>
        <v>656448</v>
      </c>
      <c r="R413" s="7">
        <f t="shared" si="13"/>
        <v>5470.4000000000005</v>
      </c>
    </row>
    <row r="414" spans="1:18" x14ac:dyDescent="0.35">
      <c r="A414" s="5">
        <v>408</v>
      </c>
      <c r="B414" t="s">
        <v>331</v>
      </c>
      <c r="C414" t="s">
        <v>825</v>
      </c>
      <c r="D414" t="s">
        <v>1486</v>
      </c>
      <c r="E414" t="s">
        <v>14</v>
      </c>
      <c r="F414" s="1">
        <v>44148</v>
      </c>
      <c r="G414" s="2">
        <v>2007</v>
      </c>
      <c r="H414">
        <v>2021</v>
      </c>
      <c r="I414" s="2">
        <v>14</v>
      </c>
      <c r="J414" s="7">
        <v>93954</v>
      </c>
      <c r="K414" t="s">
        <v>454</v>
      </c>
      <c r="L414">
        <v>5</v>
      </c>
      <c r="M414" t="s">
        <v>91</v>
      </c>
      <c r="N414" t="s">
        <v>40</v>
      </c>
      <c r="O414" t="s">
        <v>18</v>
      </c>
      <c r="P414" t="s">
        <v>1489</v>
      </c>
      <c r="Q414" s="7">
        <f t="shared" si="12"/>
        <v>1127448</v>
      </c>
      <c r="R414" s="7">
        <f t="shared" si="13"/>
        <v>9395.4</v>
      </c>
    </row>
    <row r="415" spans="1:18" x14ac:dyDescent="0.35">
      <c r="A415" s="5">
        <v>409</v>
      </c>
      <c r="B415" t="s">
        <v>268</v>
      </c>
      <c r="C415" t="s">
        <v>826</v>
      </c>
      <c r="D415" t="s">
        <v>1486</v>
      </c>
      <c r="E415" t="s">
        <v>89</v>
      </c>
      <c r="F415" s="1">
        <v>43943</v>
      </c>
      <c r="G415" s="2">
        <v>2007</v>
      </c>
      <c r="H415">
        <v>2021</v>
      </c>
      <c r="I415" s="2">
        <v>14</v>
      </c>
      <c r="J415" s="7">
        <v>58235</v>
      </c>
      <c r="K415" t="s">
        <v>430</v>
      </c>
      <c r="L415">
        <v>6</v>
      </c>
      <c r="M415" t="s">
        <v>50</v>
      </c>
      <c r="N415" t="s">
        <v>40</v>
      </c>
      <c r="O415" t="s">
        <v>41</v>
      </c>
      <c r="P415" t="s">
        <v>1489</v>
      </c>
      <c r="Q415" s="7">
        <f t="shared" si="12"/>
        <v>698820</v>
      </c>
      <c r="R415" s="7">
        <f t="shared" si="13"/>
        <v>5823.5</v>
      </c>
    </row>
    <row r="416" spans="1:18" x14ac:dyDescent="0.35">
      <c r="A416" s="5">
        <v>410</v>
      </c>
      <c r="B416" t="s">
        <v>51</v>
      </c>
      <c r="C416" t="s">
        <v>827</v>
      </c>
      <c r="D416" t="s">
        <v>1486</v>
      </c>
      <c r="E416" t="s">
        <v>44</v>
      </c>
      <c r="F416" s="1">
        <v>45664</v>
      </c>
      <c r="G416" s="2">
        <v>2012</v>
      </c>
      <c r="H416">
        <v>2021</v>
      </c>
      <c r="I416" s="2">
        <v>9</v>
      </c>
      <c r="J416" s="7">
        <v>148940</v>
      </c>
      <c r="K416" t="s">
        <v>247</v>
      </c>
      <c r="L416">
        <v>6</v>
      </c>
      <c r="M416" t="s">
        <v>50</v>
      </c>
      <c r="N416" t="s">
        <v>40</v>
      </c>
      <c r="O416" t="s">
        <v>29</v>
      </c>
      <c r="P416" t="s">
        <v>1489</v>
      </c>
      <c r="Q416" s="7">
        <f t="shared" si="12"/>
        <v>1787280</v>
      </c>
      <c r="R416" s="7">
        <f t="shared" si="13"/>
        <v>14894</v>
      </c>
    </row>
    <row r="417" spans="1:18" x14ac:dyDescent="0.35">
      <c r="A417" s="5">
        <v>411</v>
      </c>
      <c r="B417" t="s">
        <v>423</v>
      </c>
      <c r="C417" t="s">
        <v>828</v>
      </c>
      <c r="D417" t="s">
        <v>1485</v>
      </c>
      <c r="E417" t="s">
        <v>85</v>
      </c>
      <c r="F417" s="1">
        <v>37720</v>
      </c>
      <c r="G417" s="2">
        <v>2003</v>
      </c>
      <c r="H417">
        <v>2021</v>
      </c>
      <c r="I417" s="2">
        <v>18</v>
      </c>
      <c r="J417" s="7">
        <v>110615</v>
      </c>
      <c r="K417" t="s">
        <v>539</v>
      </c>
      <c r="L417">
        <v>6</v>
      </c>
      <c r="M417" t="s">
        <v>50</v>
      </c>
      <c r="N417" t="s">
        <v>40</v>
      </c>
      <c r="O417" t="s">
        <v>41</v>
      </c>
      <c r="P417" t="s">
        <v>1489</v>
      </c>
      <c r="Q417" s="7">
        <f t="shared" si="12"/>
        <v>1327380</v>
      </c>
      <c r="R417" s="7">
        <f t="shared" si="13"/>
        <v>11061.5</v>
      </c>
    </row>
    <row r="418" spans="1:18" x14ac:dyDescent="0.35">
      <c r="A418" s="5">
        <v>412</v>
      </c>
      <c r="B418" t="s">
        <v>233</v>
      </c>
      <c r="C418" t="s">
        <v>829</v>
      </c>
      <c r="D418" t="s">
        <v>1485</v>
      </c>
      <c r="E418" t="s">
        <v>32</v>
      </c>
      <c r="F418" s="1">
        <v>40922</v>
      </c>
      <c r="G418" s="2">
        <v>2012</v>
      </c>
      <c r="H418">
        <v>2021</v>
      </c>
      <c r="I418" s="3">
        <v>9</v>
      </c>
      <c r="J418" s="7">
        <v>94596</v>
      </c>
      <c r="K418" t="s">
        <v>228</v>
      </c>
      <c r="L418">
        <v>1</v>
      </c>
      <c r="M418" t="s">
        <v>46</v>
      </c>
      <c r="N418" t="s">
        <v>17</v>
      </c>
      <c r="O418" t="s">
        <v>34</v>
      </c>
      <c r="P418" t="s">
        <v>1489</v>
      </c>
      <c r="Q418" s="7">
        <f t="shared" si="12"/>
        <v>1135152</v>
      </c>
      <c r="R418" s="7">
        <f t="shared" si="13"/>
        <v>9459.6</v>
      </c>
    </row>
    <row r="419" spans="1:18" x14ac:dyDescent="0.35">
      <c r="A419" s="5">
        <v>413</v>
      </c>
      <c r="B419" t="s">
        <v>830</v>
      </c>
      <c r="C419" t="s">
        <v>831</v>
      </c>
      <c r="D419" t="s">
        <v>1486</v>
      </c>
      <c r="E419" t="s">
        <v>203</v>
      </c>
      <c r="F419" s="1">
        <v>44458</v>
      </c>
      <c r="G419" s="2">
        <v>2008</v>
      </c>
      <c r="H419">
        <v>2021</v>
      </c>
      <c r="I419" s="2">
        <v>13</v>
      </c>
      <c r="J419" s="7">
        <v>94502</v>
      </c>
      <c r="K419" t="s">
        <v>45</v>
      </c>
      <c r="L419">
        <v>1</v>
      </c>
      <c r="M419" t="s">
        <v>46</v>
      </c>
      <c r="N419" t="s">
        <v>17</v>
      </c>
      <c r="O419" t="s">
        <v>41</v>
      </c>
      <c r="P419" t="s">
        <v>1489</v>
      </c>
      <c r="Q419" s="7">
        <f t="shared" si="12"/>
        <v>1134024</v>
      </c>
      <c r="R419" s="7">
        <f t="shared" si="13"/>
        <v>9450.2000000000007</v>
      </c>
    </row>
    <row r="420" spans="1:18" x14ac:dyDescent="0.35">
      <c r="A420" s="5">
        <v>414</v>
      </c>
      <c r="B420" t="s">
        <v>519</v>
      </c>
      <c r="C420" t="s">
        <v>832</v>
      </c>
      <c r="D420" t="s">
        <v>1485</v>
      </c>
      <c r="E420" t="s">
        <v>79</v>
      </c>
      <c r="F420" s="1">
        <v>40765</v>
      </c>
      <c r="G420" s="2">
        <v>2011</v>
      </c>
      <c r="H420">
        <v>2021</v>
      </c>
      <c r="I420" s="2">
        <v>10</v>
      </c>
      <c r="J420" s="7">
        <v>72505</v>
      </c>
      <c r="K420" t="s">
        <v>204</v>
      </c>
      <c r="L420">
        <v>3</v>
      </c>
      <c r="M420" t="s">
        <v>28</v>
      </c>
      <c r="N420" t="s">
        <v>17</v>
      </c>
      <c r="O420" t="s">
        <v>41</v>
      </c>
      <c r="P420" t="s">
        <v>1489</v>
      </c>
      <c r="Q420" s="7">
        <f t="shared" si="12"/>
        <v>870060</v>
      </c>
      <c r="R420" s="7">
        <f t="shared" si="13"/>
        <v>7250.5</v>
      </c>
    </row>
    <row r="421" spans="1:18" x14ac:dyDescent="0.35">
      <c r="A421" s="5">
        <v>415</v>
      </c>
      <c r="B421" t="s">
        <v>645</v>
      </c>
      <c r="C421" t="s">
        <v>833</v>
      </c>
      <c r="D421" t="s">
        <v>1485</v>
      </c>
      <c r="E421" t="s">
        <v>53</v>
      </c>
      <c r="F421" s="1">
        <v>37060</v>
      </c>
      <c r="G421" s="2">
        <v>2001</v>
      </c>
      <c r="H421">
        <v>2021</v>
      </c>
      <c r="I421" s="2">
        <v>20</v>
      </c>
      <c r="J421" s="7">
        <v>147150</v>
      </c>
      <c r="K421" t="s">
        <v>430</v>
      </c>
      <c r="L421">
        <v>6</v>
      </c>
      <c r="M421" t="s">
        <v>50</v>
      </c>
      <c r="N421" t="s">
        <v>40</v>
      </c>
      <c r="O421" t="s">
        <v>23</v>
      </c>
      <c r="P421" t="s">
        <v>1489</v>
      </c>
      <c r="Q421" s="7">
        <f t="shared" si="12"/>
        <v>1765800</v>
      </c>
      <c r="R421" s="7">
        <f t="shared" si="13"/>
        <v>14715</v>
      </c>
    </row>
    <row r="422" spans="1:18" x14ac:dyDescent="0.35">
      <c r="A422" s="5">
        <v>416</v>
      </c>
      <c r="B422" t="s">
        <v>465</v>
      </c>
      <c r="C422" t="s">
        <v>834</v>
      </c>
      <c r="D422" t="s">
        <v>1486</v>
      </c>
      <c r="E422" t="s">
        <v>129</v>
      </c>
      <c r="F422" s="1">
        <v>37296</v>
      </c>
      <c r="G422" s="2">
        <v>2002</v>
      </c>
      <c r="H422">
        <v>2021</v>
      </c>
      <c r="I422" s="2">
        <v>19</v>
      </c>
      <c r="J422" s="7">
        <v>66313</v>
      </c>
      <c r="K422" t="s">
        <v>613</v>
      </c>
      <c r="L422">
        <v>5</v>
      </c>
      <c r="M422" t="s">
        <v>91</v>
      </c>
      <c r="N422" t="s">
        <v>40</v>
      </c>
      <c r="O422" t="s">
        <v>41</v>
      </c>
      <c r="P422" t="s">
        <v>1489</v>
      </c>
      <c r="Q422" s="7">
        <f t="shared" si="12"/>
        <v>795756</v>
      </c>
      <c r="R422" s="7">
        <f t="shared" si="13"/>
        <v>6631.3</v>
      </c>
    </row>
    <row r="423" spans="1:18" x14ac:dyDescent="0.35">
      <c r="A423" s="5">
        <v>417</v>
      </c>
      <c r="B423" t="s">
        <v>544</v>
      </c>
      <c r="C423" t="s">
        <v>835</v>
      </c>
      <c r="D423" t="s">
        <v>1485</v>
      </c>
      <c r="E423" t="s">
        <v>94</v>
      </c>
      <c r="F423" s="1">
        <v>37564</v>
      </c>
      <c r="G423" s="2">
        <v>2002</v>
      </c>
      <c r="H423">
        <v>2021</v>
      </c>
      <c r="I423" s="2">
        <v>19</v>
      </c>
      <c r="J423" s="7">
        <v>97372</v>
      </c>
      <c r="K423" t="s">
        <v>836</v>
      </c>
      <c r="L423">
        <v>6</v>
      </c>
      <c r="M423" t="s">
        <v>50</v>
      </c>
      <c r="N423" t="s">
        <v>40</v>
      </c>
      <c r="O423" t="s">
        <v>18</v>
      </c>
      <c r="P423" t="s">
        <v>1489</v>
      </c>
      <c r="Q423" s="7">
        <f t="shared" si="12"/>
        <v>1168464</v>
      </c>
      <c r="R423" s="7">
        <f t="shared" si="13"/>
        <v>9737.2000000000007</v>
      </c>
    </row>
    <row r="424" spans="1:18" x14ac:dyDescent="0.35">
      <c r="A424" s="5">
        <v>418</v>
      </c>
      <c r="B424" t="s">
        <v>491</v>
      </c>
      <c r="C424" t="s">
        <v>837</v>
      </c>
      <c r="D424" t="s">
        <v>1486</v>
      </c>
      <c r="E424" t="s">
        <v>89</v>
      </c>
      <c r="F424" s="1">
        <v>46297</v>
      </c>
      <c r="G424" s="2">
        <v>2013</v>
      </c>
      <c r="H424">
        <v>2021</v>
      </c>
      <c r="I424" s="2">
        <v>8</v>
      </c>
      <c r="J424" s="7">
        <v>149598</v>
      </c>
      <c r="K424" t="s">
        <v>459</v>
      </c>
      <c r="L424">
        <v>3</v>
      </c>
      <c r="M424" t="s">
        <v>28</v>
      </c>
      <c r="N424" t="s">
        <v>17</v>
      </c>
      <c r="O424" t="s">
        <v>41</v>
      </c>
      <c r="P424" t="s">
        <v>1489</v>
      </c>
      <c r="Q424" s="7">
        <f t="shared" si="12"/>
        <v>1795176</v>
      </c>
      <c r="R424" s="7">
        <f t="shared" si="13"/>
        <v>14959.800000000001</v>
      </c>
    </row>
    <row r="425" spans="1:18" x14ac:dyDescent="0.35">
      <c r="A425" s="5">
        <v>419</v>
      </c>
      <c r="B425" t="s">
        <v>182</v>
      </c>
      <c r="C425" t="s">
        <v>838</v>
      </c>
      <c r="D425" t="s">
        <v>1485</v>
      </c>
      <c r="E425" t="s">
        <v>203</v>
      </c>
      <c r="F425" s="1">
        <v>39500</v>
      </c>
      <c r="G425" s="2">
        <v>2008</v>
      </c>
      <c r="H425">
        <v>2021</v>
      </c>
      <c r="I425" s="2">
        <v>13</v>
      </c>
      <c r="J425" s="7">
        <v>104224</v>
      </c>
      <c r="K425" t="s">
        <v>397</v>
      </c>
      <c r="L425">
        <v>5</v>
      </c>
      <c r="M425" t="s">
        <v>91</v>
      </c>
      <c r="N425" t="s">
        <v>40</v>
      </c>
      <c r="O425" t="s">
        <v>41</v>
      </c>
      <c r="P425" t="s">
        <v>1489</v>
      </c>
      <c r="Q425" s="7">
        <f t="shared" si="12"/>
        <v>1250688</v>
      </c>
      <c r="R425" s="7">
        <f t="shared" si="13"/>
        <v>10422.400000000001</v>
      </c>
    </row>
    <row r="426" spans="1:18" x14ac:dyDescent="0.35">
      <c r="A426" s="5">
        <v>420</v>
      </c>
      <c r="B426" t="s">
        <v>426</v>
      </c>
      <c r="C426" t="s">
        <v>839</v>
      </c>
      <c r="D426" t="s">
        <v>1486</v>
      </c>
      <c r="E426" t="s">
        <v>44</v>
      </c>
      <c r="F426" s="1">
        <v>44098</v>
      </c>
      <c r="G426" s="2">
        <v>2007</v>
      </c>
      <c r="H426">
        <v>2021</v>
      </c>
      <c r="I426" s="2">
        <v>14</v>
      </c>
      <c r="J426" s="7">
        <v>95583</v>
      </c>
      <c r="K426" t="s">
        <v>156</v>
      </c>
      <c r="L426">
        <v>2</v>
      </c>
      <c r="M426" t="s">
        <v>16</v>
      </c>
      <c r="N426" t="s">
        <v>17</v>
      </c>
      <c r="O426" t="s">
        <v>29</v>
      </c>
      <c r="P426" t="s">
        <v>1489</v>
      </c>
      <c r="Q426" s="7">
        <f t="shared" si="12"/>
        <v>1146996</v>
      </c>
      <c r="R426" s="7">
        <f t="shared" si="13"/>
        <v>9558.3000000000011</v>
      </c>
    </row>
    <row r="427" spans="1:18" x14ac:dyDescent="0.35">
      <c r="A427" s="5">
        <v>421</v>
      </c>
      <c r="B427" t="s">
        <v>361</v>
      </c>
      <c r="C427" t="s">
        <v>840</v>
      </c>
      <c r="D427" t="s">
        <v>1486</v>
      </c>
      <c r="E427" t="s">
        <v>238</v>
      </c>
      <c r="F427" s="1">
        <v>36896</v>
      </c>
      <c r="G427" s="2">
        <v>2001</v>
      </c>
      <c r="H427">
        <v>2021</v>
      </c>
      <c r="I427" s="2">
        <v>20</v>
      </c>
      <c r="J427" s="7">
        <v>92043</v>
      </c>
      <c r="K427" t="s">
        <v>139</v>
      </c>
      <c r="L427">
        <v>3</v>
      </c>
      <c r="M427" t="s">
        <v>28</v>
      </c>
      <c r="N427" t="s">
        <v>17</v>
      </c>
      <c r="O427" t="s">
        <v>63</v>
      </c>
      <c r="P427" t="s">
        <v>1489</v>
      </c>
      <c r="Q427" s="7">
        <f t="shared" si="12"/>
        <v>1104516</v>
      </c>
      <c r="R427" s="7">
        <f t="shared" si="13"/>
        <v>9204.3000000000011</v>
      </c>
    </row>
    <row r="428" spans="1:18" x14ac:dyDescent="0.35">
      <c r="A428" s="5">
        <v>422</v>
      </c>
      <c r="B428" t="s">
        <v>134</v>
      </c>
      <c r="C428" t="s">
        <v>841</v>
      </c>
      <c r="D428" t="s">
        <v>1486</v>
      </c>
      <c r="E428" t="s">
        <v>14</v>
      </c>
      <c r="F428" s="1">
        <v>44821</v>
      </c>
      <c r="G428" s="2">
        <v>2009</v>
      </c>
      <c r="H428">
        <v>2021</v>
      </c>
      <c r="I428" s="2">
        <v>12</v>
      </c>
      <c r="J428" s="7">
        <v>118307</v>
      </c>
      <c r="K428" t="s">
        <v>842</v>
      </c>
      <c r="L428">
        <v>1</v>
      </c>
      <c r="M428" t="s">
        <v>46</v>
      </c>
      <c r="N428" t="s">
        <v>17</v>
      </c>
      <c r="O428" t="s">
        <v>18</v>
      </c>
      <c r="P428" t="s">
        <v>1489</v>
      </c>
      <c r="Q428" s="7">
        <f t="shared" si="12"/>
        <v>1419684</v>
      </c>
      <c r="R428" s="7">
        <f t="shared" si="13"/>
        <v>11830.7</v>
      </c>
    </row>
    <row r="429" spans="1:18" x14ac:dyDescent="0.35">
      <c r="A429" s="5">
        <v>423</v>
      </c>
      <c r="B429" t="s">
        <v>560</v>
      </c>
      <c r="C429" t="s">
        <v>843</v>
      </c>
      <c r="D429" t="s">
        <v>1486</v>
      </c>
      <c r="E429" t="s">
        <v>32</v>
      </c>
      <c r="F429" s="1">
        <v>45423</v>
      </c>
      <c r="G429" s="2">
        <v>2011</v>
      </c>
      <c r="H429">
        <v>2021</v>
      </c>
      <c r="I429" s="3">
        <v>10</v>
      </c>
      <c r="J429" s="7">
        <v>145281</v>
      </c>
      <c r="K429" t="s">
        <v>196</v>
      </c>
      <c r="L429">
        <v>4</v>
      </c>
      <c r="M429" t="s">
        <v>55</v>
      </c>
      <c r="N429" t="s">
        <v>17</v>
      </c>
      <c r="O429" t="s">
        <v>34</v>
      </c>
      <c r="P429" t="s">
        <v>1489</v>
      </c>
      <c r="Q429" s="7">
        <f t="shared" si="12"/>
        <v>1743372</v>
      </c>
      <c r="R429" s="7">
        <f t="shared" si="13"/>
        <v>14528.1</v>
      </c>
    </row>
    <row r="430" spans="1:18" x14ac:dyDescent="0.35">
      <c r="A430" s="5">
        <v>424</v>
      </c>
      <c r="B430" t="s">
        <v>671</v>
      </c>
      <c r="C430" t="s">
        <v>844</v>
      </c>
      <c r="D430" t="s">
        <v>1486</v>
      </c>
      <c r="E430" t="s">
        <v>89</v>
      </c>
      <c r="F430" s="1">
        <v>46254</v>
      </c>
      <c r="G430" s="2">
        <v>2013</v>
      </c>
      <c r="H430">
        <v>2021</v>
      </c>
      <c r="I430" s="2">
        <v>8</v>
      </c>
      <c r="J430" s="7">
        <v>148640</v>
      </c>
      <c r="K430" t="s">
        <v>510</v>
      </c>
      <c r="L430">
        <v>4</v>
      </c>
      <c r="M430" t="s">
        <v>55</v>
      </c>
      <c r="N430" t="s">
        <v>17</v>
      </c>
      <c r="O430" t="s">
        <v>41</v>
      </c>
      <c r="P430" t="s">
        <v>1489</v>
      </c>
      <c r="Q430" s="7">
        <f t="shared" si="12"/>
        <v>1783680</v>
      </c>
      <c r="R430" s="7">
        <f t="shared" si="13"/>
        <v>14864</v>
      </c>
    </row>
    <row r="431" spans="1:18" x14ac:dyDescent="0.35">
      <c r="A431" s="5">
        <v>425</v>
      </c>
      <c r="B431" t="s">
        <v>845</v>
      </c>
      <c r="C431" t="s">
        <v>846</v>
      </c>
      <c r="D431" t="s">
        <v>1486</v>
      </c>
      <c r="E431" t="s">
        <v>14</v>
      </c>
      <c r="F431" s="1">
        <v>36776</v>
      </c>
      <c r="G431" s="2">
        <v>2000</v>
      </c>
      <c r="H431">
        <v>2021</v>
      </c>
      <c r="I431" s="2">
        <v>21</v>
      </c>
      <c r="J431" s="7">
        <v>125523</v>
      </c>
      <c r="K431" t="s">
        <v>22</v>
      </c>
      <c r="L431">
        <v>7</v>
      </c>
      <c r="M431" t="s">
        <v>39</v>
      </c>
      <c r="N431" t="s">
        <v>40</v>
      </c>
      <c r="O431" t="s">
        <v>18</v>
      </c>
      <c r="P431" t="s">
        <v>1489</v>
      </c>
      <c r="Q431" s="7">
        <f t="shared" si="12"/>
        <v>1506276</v>
      </c>
      <c r="R431" s="7">
        <f t="shared" si="13"/>
        <v>12552.300000000001</v>
      </c>
    </row>
    <row r="432" spans="1:18" x14ac:dyDescent="0.35">
      <c r="A432" s="5">
        <v>426</v>
      </c>
      <c r="B432" t="s">
        <v>512</v>
      </c>
      <c r="C432" t="s">
        <v>847</v>
      </c>
      <c r="D432" t="s">
        <v>1485</v>
      </c>
      <c r="E432" t="s">
        <v>85</v>
      </c>
      <c r="F432" s="1">
        <v>39825</v>
      </c>
      <c r="G432" s="2">
        <v>2009</v>
      </c>
      <c r="H432">
        <v>2021</v>
      </c>
      <c r="I432" s="2">
        <v>12</v>
      </c>
      <c r="J432" s="7">
        <v>49503</v>
      </c>
      <c r="K432" t="s">
        <v>209</v>
      </c>
      <c r="L432">
        <v>5</v>
      </c>
      <c r="M432" t="s">
        <v>91</v>
      </c>
      <c r="N432" t="s">
        <v>40</v>
      </c>
      <c r="O432" t="s">
        <v>41</v>
      </c>
      <c r="P432" t="s">
        <v>1489</v>
      </c>
      <c r="Q432" s="7">
        <f t="shared" si="12"/>
        <v>594036</v>
      </c>
      <c r="R432" s="7">
        <f t="shared" si="13"/>
        <v>4950.3</v>
      </c>
    </row>
    <row r="433" spans="1:18" x14ac:dyDescent="0.35">
      <c r="A433" s="5">
        <v>427</v>
      </c>
      <c r="B433" t="s">
        <v>642</v>
      </c>
      <c r="C433" t="s">
        <v>848</v>
      </c>
      <c r="D433" t="s">
        <v>1486</v>
      </c>
      <c r="E433" t="s">
        <v>21</v>
      </c>
      <c r="F433" s="1">
        <v>36779</v>
      </c>
      <c r="G433" s="2">
        <v>2000</v>
      </c>
      <c r="H433">
        <v>2021</v>
      </c>
      <c r="I433" s="2">
        <v>21</v>
      </c>
      <c r="J433" s="7">
        <v>146611</v>
      </c>
      <c r="K433" t="s">
        <v>374</v>
      </c>
      <c r="L433">
        <v>7</v>
      </c>
      <c r="M433" t="s">
        <v>39</v>
      </c>
      <c r="N433" t="s">
        <v>40</v>
      </c>
      <c r="O433" t="s">
        <v>23</v>
      </c>
      <c r="P433" t="s">
        <v>1489</v>
      </c>
      <c r="Q433" s="7">
        <f t="shared" si="12"/>
        <v>1759332</v>
      </c>
      <c r="R433" s="7">
        <f t="shared" si="13"/>
        <v>14661.1</v>
      </c>
    </row>
    <row r="434" spans="1:18" x14ac:dyDescent="0.35">
      <c r="A434" s="5">
        <v>428</v>
      </c>
      <c r="B434" t="s">
        <v>71</v>
      </c>
      <c r="C434" t="s">
        <v>849</v>
      </c>
      <c r="D434" t="s">
        <v>1486</v>
      </c>
      <c r="E434" t="s">
        <v>21</v>
      </c>
      <c r="F434" s="1">
        <v>45696</v>
      </c>
      <c r="G434" s="2">
        <v>2012</v>
      </c>
      <c r="H434">
        <v>2021</v>
      </c>
      <c r="I434" s="2">
        <v>9</v>
      </c>
      <c r="J434" s="7">
        <v>125465</v>
      </c>
      <c r="K434" t="s">
        <v>527</v>
      </c>
      <c r="L434">
        <v>1</v>
      </c>
      <c r="M434" t="s">
        <v>46</v>
      </c>
      <c r="N434" t="s">
        <v>17</v>
      </c>
      <c r="O434" t="s">
        <v>23</v>
      </c>
      <c r="P434" t="s">
        <v>1489</v>
      </c>
      <c r="Q434" s="7">
        <f t="shared" si="12"/>
        <v>1505580</v>
      </c>
      <c r="R434" s="7">
        <f t="shared" si="13"/>
        <v>12546.5</v>
      </c>
    </row>
    <row r="435" spans="1:18" x14ac:dyDescent="0.35">
      <c r="A435" s="5">
        <v>429</v>
      </c>
      <c r="B435" t="s">
        <v>284</v>
      </c>
      <c r="C435" t="s">
        <v>850</v>
      </c>
      <c r="D435" t="s">
        <v>1486</v>
      </c>
      <c r="E435" t="s">
        <v>69</v>
      </c>
      <c r="F435" s="1">
        <v>37644</v>
      </c>
      <c r="G435" s="2">
        <v>2003</v>
      </c>
      <c r="H435">
        <v>2021</v>
      </c>
      <c r="I435" s="2">
        <v>18</v>
      </c>
      <c r="J435" s="7">
        <v>75024</v>
      </c>
      <c r="K435" t="s">
        <v>490</v>
      </c>
      <c r="L435">
        <v>6</v>
      </c>
      <c r="M435" t="s">
        <v>50</v>
      </c>
      <c r="N435" t="s">
        <v>40</v>
      </c>
      <c r="O435" t="s">
        <v>41</v>
      </c>
      <c r="P435" t="s">
        <v>1489</v>
      </c>
      <c r="Q435" s="7">
        <f t="shared" si="12"/>
        <v>900288</v>
      </c>
      <c r="R435" s="7">
        <f t="shared" si="13"/>
        <v>7502.4000000000005</v>
      </c>
    </row>
    <row r="436" spans="1:18" x14ac:dyDescent="0.35">
      <c r="A436" s="5">
        <v>430</v>
      </c>
      <c r="B436" t="s">
        <v>766</v>
      </c>
      <c r="C436" t="s">
        <v>851</v>
      </c>
      <c r="D436" t="s">
        <v>1485</v>
      </c>
      <c r="E436" t="s">
        <v>21</v>
      </c>
      <c r="F436" s="1">
        <v>40841</v>
      </c>
      <c r="G436" s="2">
        <v>2011</v>
      </c>
      <c r="H436">
        <v>2021</v>
      </c>
      <c r="I436" s="2">
        <v>10</v>
      </c>
      <c r="J436" s="7">
        <v>60793</v>
      </c>
      <c r="K436" t="s">
        <v>204</v>
      </c>
      <c r="L436">
        <v>7</v>
      </c>
      <c r="M436" t="s">
        <v>39</v>
      </c>
      <c r="N436" t="s">
        <v>40</v>
      </c>
      <c r="O436" t="s">
        <v>23</v>
      </c>
      <c r="P436" t="s">
        <v>1489</v>
      </c>
      <c r="Q436" s="7">
        <f t="shared" si="12"/>
        <v>729516</v>
      </c>
      <c r="R436" s="7">
        <f t="shared" si="13"/>
        <v>6079.3</v>
      </c>
    </row>
    <row r="437" spans="1:18" x14ac:dyDescent="0.35">
      <c r="A437" s="5">
        <v>431</v>
      </c>
      <c r="B437" t="s">
        <v>852</v>
      </c>
      <c r="C437" t="s">
        <v>853</v>
      </c>
      <c r="D437" t="s">
        <v>1486</v>
      </c>
      <c r="E437" t="s">
        <v>44</v>
      </c>
      <c r="F437" s="1">
        <v>45083</v>
      </c>
      <c r="G437" s="2">
        <v>2010</v>
      </c>
      <c r="H437">
        <v>2021</v>
      </c>
      <c r="I437" s="2">
        <v>11</v>
      </c>
      <c r="J437" s="7">
        <v>110744</v>
      </c>
      <c r="K437" t="s">
        <v>133</v>
      </c>
      <c r="L437">
        <v>2</v>
      </c>
      <c r="M437" t="s">
        <v>16</v>
      </c>
      <c r="N437" t="s">
        <v>17</v>
      </c>
      <c r="O437" t="s">
        <v>29</v>
      </c>
      <c r="P437" t="s">
        <v>1489</v>
      </c>
      <c r="Q437" s="7">
        <f t="shared" si="12"/>
        <v>1328928</v>
      </c>
      <c r="R437" s="7">
        <f t="shared" si="13"/>
        <v>11074.400000000001</v>
      </c>
    </row>
    <row r="438" spans="1:18" x14ac:dyDescent="0.35">
      <c r="A438" s="5">
        <v>432</v>
      </c>
      <c r="B438" t="s">
        <v>622</v>
      </c>
      <c r="C438" t="s">
        <v>854</v>
      </c>
      <c r="D438" t="s">
        <v>1486</v>
      </c>
      <c r="E438" t="s">
        <v>32</v>
      </c>
      <c r="F438" s="1">
        <v>38950</v>
      </c>
      <c r="G438" s="2">
        <v>2006</v>
      </c>
      <c r="H438">
        <v>2021</v>
      </c>
      <c r="I438" s="3">
        <v>15</v>
      </c>
      <c r="J438" s="7">
        <v>46653</v>
      </c>
      <c r="K438" t="s">
        <v>204</v>
      </c>
      <c r="L438">
        <v>4</v>
      </c>
      <c r="M438" t="s">
        <v>55</v>
      </c>
      <c r="N438" t="s">
        <v>17</v>
      </c>
      <c r="O438" t="s">
        <v>34</v>
      </c>
      <c r="P438" t="s">
        <v>1489</v>
      </c>
      <c r="Q438" s="7">
        <f t="shared" si="12"/>
        <v>559836</v>
      </c>
      <c r="R438" s="7">
        <f t="shared" si="13"/>
        <v>4665.3</v>
      </c>
    </row>
    <row r="439" spans="1:18" x14ac:dyDescent="0.35">
      <c r="A439" s="5">
        <v>433</v>
      </c>
      <c r="B439" t="s">
        <v>816</v>
      </c>
      <c r="C439" t="s">
        <v>855</v>
      </c>
      <c r="D439" t="s">
        <v>1485</v>
      </c>
      <c r="E439" t="s">
        <v>79</v>
      </c>
      <c r="F439" s="1">
        <v>41763</v>
      </c>
      <c r="G439" s="2">
        <v>2014</v>
      </c>
      <c r="H439">
        <v>2021</v>
      </c>
      <c r="I439" s="2">
        <v>7</v>
      </c>
      <c r="J439" s="7">
        <v>114919</v>
      </c>
      <c r="K439" t="s">
        <v>232</v>
      </c>
      <c r="L439">
        <v>7</v>
      </c>
      <c r="M439" t="s">
        <v>39</v>
      </c>
      <c r="N439" t="s">
        <v>40</v>
      </c>
      <c r="O439" t="s">
        <v>41</v>
      </c>
      <c r="P439" t="s">
        <v>1489</v>
      </c>
      <c r="Q439" s="7">
        <f t="shared" si="12"/>
        <v>1379028</v>
      </c>
      <c r="R439" s="7">
        <f t="shared" si="13"/>
        <v>11491.900000000001</v>
      </c>
    </row>
    <row r="440" spans="1:18" x14ac:dyDescent="0.35">
      <c r="A440" s="5">
        <v>434</v>
      </c>
      <c r="B440" t="s">
        <v>856</v>
      </c>
      <c r="C440" t="s">
        <v>857</v>
      </c>
      <c r="D440" t="s">
        <v>1486</v>
      </c>
      <c r="E440" t="s">
        <v>14</v>
      </c>
      <c r="F440" s="1">
        <v>36731</v>
      </c>
      <c r="G440" s="2">
        <v>2000</v>
      </c>
      <c r="H440">
        <v>2021</v>
      </c>
      <c r="I440" s="2">
        <v>21</v>
      </c>
      <c r="J440" s="7">
        <v>98733</v>
      </c>
      <c r="K440" t="s">
        <v>149</v>
      </c>
      <c r="L440">
        <v>4</v>
      </c>
      <c r="M440" t="s">
        <v>55</v>
      </c>
      <c r="N440" t="s">
        <v>17</v>
      </c>
      <c r="O440" t="s">
        <v>18</v>
      </c>
      <c r="P440" t="s">
        <v>1489</v>
      </c>
      <c r="Q440" s="7">
        <f t="shared" si="12"/>
        <v>1184796</v>
      </c>
      <c r="R440" s="7">
        <f t="shared" si="13"/>
        <v>9873.3000000000011</v>
      </c>
    </row>
    <row r="441" spans="1:18" x14ac:dyDescent="0.35">
      <c r="A441" s="5">
        <v>435</v>
      </c>
      <c r="B441" t="s">
        <v>35</v>
      </c>
      <c r="C441" t="s">
        <v>858</v>
      </c>
      <c r="D441" t="s">
        <v>1486</v>
      </c>
      <c r="E441" t="s">
        <v>203</v>
      </c>
      <c r="F441" s="1">
        <v>44431</v>
      </c>
      <c r="G441" s="2">
        <v>2008</v>
      </c>
      <c r="H441">
        <v>2021</v>
      </c>
      <c r="I441" s="2">
        <v>13</v>
      </c>
      <c r="J441" s="7">
        <v>139775</v>
      </c>
      <c r="K441" t="s">
        <v>287</v>
      </c>
      <c r="L441">
        <v>1</v>
      </c>
      <c r="M441" t="s">
        <v>46</v>
      </c>
      <c r="N441" t="s">
        <v>17</v>
      </c>
      <c r="O441" t="s">
        <v>41</v>
      </c>
      <c r="P441" t="s">
        <v>1489</v>
      </c>
      <c r="Q441" s="7">
        <f t="shared" si="12"/>
        <v>1677300</v>
      </c>
      <c r="R441" s="7">
        <f t="shared" si="13"/>
        <v>13977.5</v>
      </c>
    </row>
    <row r="442" spans="1:18" x14ac:dyDescent="0.35">
      <c r="A442" s="5">
        <v>436</v>
      </c>
      <c r="B442" t="s">
        <v>852</v>
      </c>
      <c r="C442" t="s">
        <v>859</v>
      </c>
      <c r="D442" t="s">
        <v>1486</v>
      </c>
      <c r="E442" t="s">
        <v>32</v>
      </c>
      <c r="F442" s="1">
        <v>38482</v>
      </c>
      <c r="G442" s="2">
        <v>2005</v>
      </c>
      <c r="H442">
        <v>2021</v>
      </c>
      <c r="I442" s="3">
        <v>16</v>
      </c>
      <c r="J442" s="7">
        <v>69559</v>
      </c>
      <c r="K442" t="s">
        <v>733</v>
      </c>
      <c r="L442">
        <v>3</v>
      </c>
      <c r="M442" t="s">
        <v>28</v>
      </c>
      <c r="N442" t="s">
        <v>17</v>
      </c>
      <c r="O442" t="s">
        <v>34</v>
      </c>
      <c r="P442" t="s">
        <v>1489</v>
      </c>
      <c r="Q442" s="7">
        <f t="shared" si="12"/>
        <v>834708</v>
      </c>
      <c r="R442" s="7">
        <f t="shared" si="13"/>
        <v>6955.9000000000005</v>
      </c>
    </row>
    <row r="443" spans="1:18" x14ac:dyDescent="0.35">
      <c r="A443" s="5">
        <v>437</v>
      </c>
      <c r="B443" t="s">
        <v>414</v>
      </c>
      <c r="C443" t="s">
        <v>860</v>
      </c>
      <c r="D443" t="s">
        <v>1485</v>
      </c>
      <c r="E443" t="s">
        <v>61</v>
      </c>
      <c r="F443" s="1">
        <v>39273</v>
      </c>
      <c r="G443" s="2">
        <v>2007</v>
      </c>
      <c r="H443">
        <v>2021</v>
      </c>
      <c r="I443" s="2">
        <v>14</v>
      </c>
      <c r="J443" s="7">
        <v>48934</v>
      </c>
      <c r="K443" t="s">
        <v>169</v>
      </c>
      <c r="L443">
        <v>6</v>
      </c>
      <c r="M443" t="s">
        <v>50</v>
      </c>
      <c r="N443" t="s">
        <v>40</v>
      </c>
      <c r="O443" t="s">
        <v>63</v>
      </c>
      <c r="P443" t="s">
        <v>1489</v>
      </c>
      <c r="Q443" s="7">
        <f t="shared" si="12"/>
        <v>587208</v>
      </c>
      <c r="R443" s="7">
        <f t="shared" si="13"/>
        <v>4893.4000000000005</v>
      </c>
    </row>
    <row r="444" spans="1:18" x14ac:dyDescent="0.35">
      <c r="A444" s="5">
        <v>438</v>
      </c>
      <c r="B444" t="s">
        <v>508</v>
      </c>
      <c r="C444" t="s">
        <v>861</v>
      </c>
      <c r="D444" t="s">
        <v>1485</v>
      </c>
      <c r="E444" t="s">
        <v>37</v>
      </c>
      <c r="F444" s="1">
        <v>41754</v>
      </c>
      <c r="G444" s="2">
        <v>2014</v>
      </c>
      <c r="H444">
        <v>2021</v>
      </c>
      <c r="I444" s="2">
        <v>7</v>
      </c>
      <c r="J444" s="7">
        <v>79980</v>
      </c>
      <c r="K444" t="s">
        <v>391</v>
      </c>
      <c r="L444">
        <v>5</v>
      </c>
      <c r="M444" t="s">
        <v>91</v>
      </c>
      <c r="N444" t="s">
        <v>40</v>
      </c>
      <c r="O444" t="s">
        <v>41</v>
      </c>
      <c r="P444" t="s">
        <v>1489</v>
      </c>
      <c r="Q444" s="7">
        <f t="shared" si="12"/>
        <v>959760</v>
      </c>
      <c r="R444" s="7">
        <f t="shared" si="13"/>
        <v>7998</v>
      </c>
    </row>
    <row r="445" spans="1:18" x14ac:dyDescent="0.35">
      <c r="A445" s="5">
        <v>439</v>
      </c>
      <c r="B445" t="s">
        <v>210</v>
      </c>
      <c r="C445" t="s">
        <v>862</v>
      </c>
      <c r="D445" t="s">
        <v>1485</v>
      </c>
      <c r="E445" t="s">
        <v>69</v>
      </c>
      <c r="F445" s="1">
        <v>37347</v>
      </c>
      <c r="G445" s="2">
        <v>2002</v>
      </c>
      <c r="H445">
        <v>2021</v>
      </c>
      <c r="I445" s="2">
        <v>19</v>
      </c>
      <c r="J445" s="7">
        <v>108854</v>
      </c>
      <c r="K445" t="s">
        <v>181</v>
      </c>
      <c r="L445">
        <v>4</v>
      </c>
      <c r="M445" t="s">
        <v>55</v>
      </c>
      <c r="N445" t="s">
        <v>17</v>
      </c>
      <c r="O445" t="s">
        <v>41</v>
      </c>
      <c r="P445" t="s">
        <v>1489</v>
      </c>
      <c r="Q445" s="7">
        <f t="shared" si="12"/>
        <v>1306248</v>
      </c>
      <c r="R445" s="7">
        <f t="shared" si="13"/>
        <v>10885.400000000001</v>
      </c>
    </row>
    <row r="446" spans="1:18" x14ac:dyDescent="0.35">
      <c r="A446" s="5">
        <v>440</v>
      </c>
      <c r="B446" t="s">
        <v>622</v>
      </c>
      <c r="C446" t="s">
        <v>863</v>
      </c>
      <c r="D446" t="s">
        <v>1485</v>
      </c>
      <c r="E446" t="s">
        <v>122</v>
      </c>
      <c r="F446" s="1">
        <v>39105</v>
      </c>
      <c r="G446" s="2">
        <v>2007</v>
      </c>
      <c r="H446">
        <v>2021</v>
      </c>
      <c r="I446" s="2">
        <v>14</v>
      </c>
      <c r="J446" s="7">
        <v>128105</v>
      </c>
      <c r="K446" t="s">
        <v>581</v>
      </c>
      <c r="L446">
        <v>7</v>
      </c>
      <c r="M446" t="s">
        <v>39</v>
      </c>
      <c r="N446" t="s">
        <v>40</v>
      </c>
      <c r="O446" t="s">
        <v>123</v>
      </c>
      <c r="P446" t="s">
        <v>1489</v>
      </c>
      <c r="Q446" s="7">
        <f t="shared" si="12"/>
        <v>1537260</v>
      </c>
      <c r="R446" s="7">
        <f t="shared" si="13"/>
        <v>12810.5</v>
      </c>
    </row>
    <row r="447" spans="1:18" x14ac:dyDescent="0.35">
      <c r="A447" s="5">
        <v>441</v>
      </c>
      <c r="B447" t="s">
        <v>864</v>
      </c>
      <c r="C447" t="s">
        <v>865</v>
      </c>
      <c r="D447" t="s">
        <v>1485</v>
      </c>
      <c r="E447" t="s">
        <v>122</v>
      </c>
      <c r="F447" s="1">
        <v>39609</v>
      </c>
      <c r="G447" s="2">
        <v>2008</v>
      </c>
      <c r="H447">
        <v>2021</v>
      </c>
      <c r="I447" s="2">
        <v>13</v>
      </c>
      <c r="J447" s="7">
        <v>71676</v>
      </c>
      <c r="K447" t="s">
        <v>610</v>
      </c>
      <c r="L447">
        <v>4</v>
      </c>
      <c r="M447" t="s">
        <v>55</v>
      </c>
      <c r="N447" t="s">
        <v>17</v>
      </c>
      <c r="O447" t="s">
        <v>123</v>
      </c>
      <c r="P447" t="s">
        <v>1489</v>
      </c>
      <c r="Q447" s="7">
        <f t="shared" si="12"/>
        <v>860112</v>
      </c>
      <c r="R447" s="7">
        <f t="shared" si="13"/>
        <v>7167.6</v>
      </c>
    </row>
    <row r="448" spans="1:18" x14ac:dyDescent="0.35">
      <c r="A448" s="5">
        <v>442</v>
      </c>
      <c r="B448" t="s">
        <v>98</v>
      </c>
      <c r="C448" t="s">
        <v>866</v>
      </c>
      <c r="D448" t="s">
        <v>1486</v>
      </c>
      <c r="E448" t="s">
        <v>238</v>
      </c>
      <c r="F448" s="1">
        <v>44085</v>
      </c>
      <c r="G448" s="2">
        <v>2007</v>
      </c>
      <c r="H448">
        <v>2021</v>
      </c>
      <c r="I448" s="2">
        <v>14</v>
      </c>
      <c r="J448" s="7">
        <v>139347</v>
      </c>
      <c r="K448" t="s">
        <v>1499</v>
      </c>
      <c r="L448">
        <v>1</v>
      </c>
      <c r="M448" t="s">
        <v>46</v>
      </c>
      <c r="N448" t="s">
        <v>17</v>
      </c>
      <c r="O448" t="s">
        <v>63</v>
      </c>
      <c r="P448" t="s">
        <v>1489</v>
      </c>
      <c r="Q448" s="7">
        <f t="shared" si="12"/>
        <v>1672164</v>
      </c>
      <c r="R448" s="7">
        <f t="shared" si="13"/>
        <v>13934.7</v>
      </c>
    </row>
    <row r="449" spans="1:18" x14ac:dyDescent="0.35">
      <c r="A449" s="5">
        <v>443</v>
      </c>
      <c r="B449" t="s">
        <v>485</v>
      </c>
      <c r="C449" t="s">
        <v>867</v>
      </c>
      <c r="D449" t="s">
        <v>1486</v>
      </c>
      <c r="E449" t="s">
        <v>100</v>
      </c>
      <c r="F449" s="1">
        <v>37315</v>
      </c>
      <c r="G449" s="2">
        <v>2002</v>
      </c>
      <c r="H449">
        <v>2021</v>
      </c>
      <c r="I449" s="2">
        <v>19</v>
      </c>
      <c r="J449" s="7">
        <v>80491</v>
      </c>
      <c r="K449" t="s">
        <v>610</v>
      </c>
      <c r="L449">
        <v>7</v>
      </c>
      <c r="M449" t="s">
        <v>39</v>
      </c>
      <c r="N449" t="s">
        <v>40</v>
      </c>
      <c r="O449" t="s">
        <v>29</v>
      </c>
      <c r="P449" t="s">
        <v>1489</v>
      </c>
      <c r="Q449" s="7">
        <f t="shared" si="12"/>
        <v>965892</v>
      </c>
      <c r="R449" s="7">
        <f t="shared" si="13"/>
        <v>8049.1</v>
      </c>
    </row>
    <row r="450" spans="1:18" x14ac:dyDescent="0.35">
      <c r="A450" s="5">
        <v>444</v>
      </c>
      <c r="B450" t="s">
        <v>163</v>
      </c>
      <c r="C450" t="s">
        <v>868</v>
      </c>
      <c r="D450" t="s">
        <v>1486</v>
      </c>
      <c r="E450" t="s">
        <v>44</v>
      </c>
      <c r="F450" s="1">
        <v>45290</v>
      </c>
      <c r="G450" s="2">
        <v>2010</v>
      </c>
      <c r="H450">
        <v>2021</v>
      </c>
      <c r="I450" s="2">
        <v>11</v>
      </c>
      <c r="J450" s="7">
        <v>119385</v>
      </c>
      <c r="K450" t="s">
        <v>142</v>
      </c>
      <c r="L450">
        <v>4</v>
      </c>
      <c r="M450" t="s">
        <v>55</v>
      </c>
      <c r="N450" t="s">
        <v>17</v>
      </c>
      <c r="O450" t="s">
        <v>29</v>
      </c>
      <c r="P450" t="s">
        <v>1489</v>
      </c>
      <c r="Q450" s="7">
        <f t="shared" si="12"/>
        <v>1432620</v>
      </c>
      <c r="R450" s="7">
        <f t="shared" si="13"/>
        <v>11938.5</v>
      </c>
    </row>
    <row r="451" spans="1:18" x14ac:dyDescent="0.35">
      <c r="A451" s="5">
        <v>445</v>
      </c>
      <c r="B451" t="s">
        <v>137</v>
      </c>
      <c r="C451" t="s">
        <v>869</v>
      </c>
      <c r="D451" t="s">
        <v>1485</v>
      </c>
      <c r="E451" t="s">
        <v>53</v>
      </c>
      <c r="F451" s="1">
        <v>37338</v>
      </c>
      <c r="G451" s="2">
        <v>2002</v>
      </c>
      <c r="H451">
        <v>2021</v>
      </c>
      <c r="I451" s="2">
        <v>19</v>
      </c>
      <c r="J451" s="7">
        <v>149835</v>
      </c>
      <c r="K451" t="s">
        <v>324</v>
      </c>
      <c r="L451">
        <v>1</v>
      </c>
      <c r="M451" t="s">
        <v>46</v>
      </c>
      <c r="N451" t="s">
        <v>17</v>
      </c>
      <c r="O451" t="s">
        <v>23</v>
      </c>
      <c r="P451" t="s">
        <v>1489</v>
      </c>
      <c r="Q451" s="7">
        <f t="shared" si="12"/>
        <v>1798020</v>
      </c>
      <c r="R451" s="7">
        <f t="shared" si="13"/>
        <v>14983.5</v>
      </c>
    </row>
    <row r="452" spans="1:18" x14ac:dyDescent="0.35">
      <c r="A452" s="5">
        <v>446</v>
      </c>
      <c r="B452" t="s">
        <v>154</v>
      </c>
      <c r="C452" t="s">
        <v>870</v>
      </c>
      <c r="D452" t="s">
        <v>1486</v>
      </c>
      <c r="E452" t="s">
        <v>203</v>
      </c>
      <c r="F452" s="1">
        <v>44532</v>
      </c>
      <c r="G452" s="2">
        <v>2008</v>
      </c>
      <c r="H452">
        <v>2021</v>
      </c>
      <c r="I452" s="2">
        <v>13</v>
      </c>
      <c r="J452" s="7">
        <v>80137</v>
      </c>
      <c r="K452" t="s">
        <v>115</v>
      </c>
      <c r="L452">
        <v>2</v>
      </c>
      <c r="M452" t="s">
        <v>16</v>
      </c>
      <c r="N452" t="s">
        <v>17</v>
      </c>
      <c r="O452" t="s">
        <v>41</v>
      </c>
      <c r="P452" t="s">
        <v>1489</v>
      </c>
      <c r="Q452" s="7">
        <f t="shared" si="12"/>
        <v>961644</v>
      </c>
      <c r="R452" s="7">
        <f t="shared" si="13"/>
        <v>8013.7000000000007</v>
      </c>
    </row>
    <row r="453" spans="1:18" x14ac:dyDescent="0.35">
      <c r="A453" s="5">
        <v>447</v>
      </c>
      <c r="B453" t="s">
        <v>830</v>
      </c>
      <c r="C453" t="s">
        <v>871</v>
      </c>
      <c r="D453" t="s">
        <v>1485</v>
      </c>
      <c r="E453" t="s">
        <v>89</v>
      </c>
      <c r="F453" s="1">
        <v>36763</v>
      </c>
      <c r="G453" s="2">
        <v>2000</v>
      </c>
      <c r="H453">
        <v>2021</v>
      </c>
      <c r="I453" s="2">
        <v>21</v>
      </c>
      <c r="J453" s="7">
        <v>79724</v>
      </c>
      <c r="K453" t="s">
        <v>666</v>
      </c>
      <c r="L453">
        <v>7</v>
      </c>
      <c r="M453" t="s">
        <v>39</v>
      </c>
      <c r="N453" t="s">
        <v>40</v>
      </c>
      <c r="O453" t="s">
        <v>41</v>
      </c>
      <c r="P453" t="s">
        <v>1489</v>
      </c>
      <c r="Q453" s="7">
        <f t="shared" si="12"/>
        <v>956688</v>
      </c>
      <c r="R453" s="7">
        <f t="shared" si="13"/>
        <v>7972.4000000000005</v>
      </c>
    </row>
    <row r="454" spans="1:18" x14ac:dyDescent="0.35">
      <c r="A454" s="5">
        <v>448</v>
      </c>
      <c r="B454" t="s">
        <v>830</v>
      </c>
      <c r="C454" t="s">
        <v>872</v>
      </c>
      <c r="D454" t="s">
        <v>1485</v>
      </c>
      <c r="E454" t="s">
        <v>122</v>
      </c>
      <c r="F454" s="1">
        <v>39989</v>
      </c>
      <c r="G454" s="2">
        <v>2009</v>
      </c>
      <c r="H454">
        <v>2021</v>
      </c>
      <c r="I454" s="2">
        <v>12</v>
      </c>
      <c r="J454" s="7">
        <v>102458</v>
      </c>
      <c r="K454" t="s">
        <v>209</v>
      </c>
      <c r="L454">
        <v>1</v>
      </c>
      <c r="M454" t="s">
        <v>46</v>
      </c>
      <c r="N454" t="s">
        <v>17</v>
      </c>
      <c r="O454" t="s">
        <v>123</v>
      </c>
      <c r="P454" t="s">
        <v>1489</v>
      </c>
      <c r="Q454" s="7">
        <f t="shared" si="12"/>
        <v>1229496</v>
      </c>
      <c r="R454" s="7">
        <f t="shared" si="13"/>
        <v>10245.800000000001</v>
      </c>
    </row>
    <row r="455" spans="1:18" x14ac:dyDescent="0.35">
      <c r="A455" s="5">
        <v>449</v>
      </c>
      <c r="B455" t="s">
        <v>873</v>
      </c>
      <c r="C455" t="s">
        <v>874</v>
      </c>
      <c r="D455" t="s">
        <v>1486</v>
      </c>
      <c r="E455" t="s">
        <v>69</v>
      </c>
      <c r="F455" s="1">
        <v>46497</v>
      </c>
      <c r="G455" s="2">
        <v>2014</v>
      </c>
      <c r="H455">
        <v>2021</v>
      </c>
      <c r="I455" s="2">
        <v>7</v>
      </c>
      <c r="J455" s="7">
        <v>134205</v>
      </c>
      <c r="K455" t="s">
        <v>736</v>
      </c>
      <c r="L455">
        <v>4</v>
      </c>
      <c r="M455" t="s">
        <v>55</v>
      </c>
      <c r="N455" t="s">
        <v>17</v>
      </c>
      <c r="O455" t="s">
        <v>41</v>
      </c>
      <c r="P455" t="s">
        <v>1489</v>
      </c>
      <c r="Q455" s="7">
        <f t="shared" ref="Q455:Q518" si="14">J455*12</f>
        <v>1610460</v>
      </c>
      <c r="R455" s="7">
        <f t="shared" ref="R455:R518" si="15">J455*10%</f>
        <v>13420.5</v>
      </c>
    </row>
    <row r="456" spans="1:18" x14ac:dyDescent="0.35">
      <c r="A456" s="5">
        <v>450</v>
      </c>
      <c r="B456" t="s">
        <v>83</v>
      </c>
      <c r="C456" t="s">
        <v>875</v>
      </c>
      <c r="D456" t="s">
        <v>1486</v>
      </c>
      <c r="E456" t="s">
        <v>129</v>
      </c>
      <c r="F456" s="1">
        <v>38128</v>
      </c>
      <c r="G456" s="2">
        <v>2004</v>
      </c>
      <c r="H456">
        <v>2021</v>
      </c>
      <c r="I456" s="2">
        <v>17</v>
      </c>
      <c r="J456" s="7">
        <v>76052</v>
      </c>
      <c r="K456" t="s">
        <v>349</v>
      </c>
      <c r="L456">
        <v>5</v>
      </c>
      <c r="M456" t="s">
        <v>91</v>
      </c>
      <c r="N456" t="s">
        <v>40</v>
      </c>
      <c r="O456" t="s">
        <v>41</v>
      </c>
      <c r="P456" t="s">
        <v>1489</v>
      </c>
      <c r="Q456" s="7">
        <f t="shared" si="14"/>
        <v>912624</v>
      </c>
      <c r="R456" s="7">
        <f t="shared" si="15"/>
        <v>7605.2000000000007</v>
      </c>
    </row>
    <row r="457" spans="1:18" x14ac:dyDescent="0.35">
      <c r="A457" s="5">
        <v>451</v>
      </c>
      <c r="B457" t="s">
        <v>421</v>
      </c>
      <c r="C457" t="s">
        <v>876</v>
      </c>
      <c r="D457" t="s">
        <v>1486</v>
      </c>
      <c r="E457" t="s">
        <v>238</v>
      </c>
      <c r="F457" s="1">
        <v>38308</v>
      </c>
      <c r="G457" s="2">
        <v>2004</v>
      </c>
      <c r="H457">
        <v>2021</v>
      </c>
      <c r="I457" s="2">
        <v>17</v>
      </c>
      <c r="J457" s="7">
        <v>144608</v>
      </c>
      <c r="K457" t="s">
        <v>709</v>
      </c>
      <c r="L457">
        <v>4</v>
      </c>
      <c r="M457" t="s">
        <v>55</v>
      </c>
      <c r="N457" t="s">
        <v>17</v>
      </c>
      <c r="O457" t="s">
        <v>63</v>
      </c>
      <c r="P457" t="s">
        <v>1489</v>
      </c>
      <c r="Q457" s="7">
        <f t="shared" si="14"/>
        <v>1735296</v>
      </c>
      <c r="R457" s="7">
        <f t="shared" si="15"/>
        <v>14460.800000000001</v>
      </c>
    </row>
    <row r="458" spans="1:18" x14ac:dyDescent="0.35">
      <c r="A458" s="5">
        <v>452</v>
      </c>
      <c r="B458" t="s">
        <v>154</v>
      </c>
      <c r="C458" t="s">
        <v>877</v>
      </c>
      <c r="D458" t="s">
        <v>1486</v>
      </c>
      <c r="E458" t="s">
        <v>53</v>
      </c>
      <c r="F458" s="1">
        <v>36656</v>
      </c>
      <c r="G458" s="2">
        <v>2000</v>
      </c>
      <c r="H458">
        <v>2021</v>
      </c>
      <c r="I458" s="2">
        <v>21</v>
      </c>
      <c r="J458" s="7">
        <v>111072</v>
      </c>
      <c r="K458" t="s">
        <v>764</v>
      </c>
      <c r="L458">
        <v>4</v>
      </c>
      <c r="M458" t="s">
        <v>55</v>
      </c>
      <c r="N458" t="s">
        <v>17</v>
      </c>
      <c r="O458" t="s">
        <v>23</v>
      </c>
      <c r="P458" t="s">
        <v>1489</v>
      </c>
      <c r="Q458" s="7">
        <f t="shared" si="14"/>
        <v>1332864</v>
      </c>
      <c r="R458" s="7">
        <f t="shared" si="15"/>
        <v>11107.2</v>
      </c>
    </row>
    <row r="459" spans="1:18" x14ac:dyDescent="0.35">
      <c r="A459" s="5">
        <v>453</v>
      </c>
      <c r="B459" t="s">
        <v>483</v>
      </c>
      <c r="C459" t="s">
        <v>878</v>
      </c>
      <c r="D459" t="s">
        <v>1485</v>
      </c>
      <c r="E459" t="s">
        <v>26</v>
      </c>
      <c r="F459" s="1">
        <v>40202</v>
      </c>
      <c r="G459" s="2">
        <v>2010</v>
      </c>
      <c r="H459">
        <v>2021</v>
      </c>
      <c r="I459" s="2">
        <v>11</v>
      </c>
      <c r="J459" s="7">
        <v>126485</v>
      </c>
      <c r="K459" t="s">
        <v>598</v>
      </c>
      <c r="L459">
        <v>6</v>
      </c>
      <c r="M459" t="s">
        <v>50</v>
      </c>
      <c r="N459" t="s">
        <v>40</v>
      </c>
      <c r="O459" t="s">
        <v>29</v>
      </c>
      <c r="P459" t="s">
        <v>1489</v>
      </c>
      <c r="Q459" s="7">
        <f t="shared" si="14"/>
        <v>1517820</v>
      </c>
      <c r="R459" s="7">
        <f t="shared" si="15"/>
        <v>12648.5</v>
      </c>
    </row>
    <row r="460" spans="1:18" x14ac:dyDescent="0.35">
      <c r="A460" s="5">
        <v>454</v>
      </c>
      <c r="B460" t="s">
        <v>124</v>
      </c>
      <c r="C460" t="s">
        <v>879</v>
      </c>
      <c r="D460" t="s">
        <v>1486</v>
      </c>
      <c r="E460" t="s">
        <v>73</v>
      </c>
      <c r="F460" s="1">
        <v>38982</v>
      </c>
      <c r="G460" s="2">
        <v>2006</v>
      </c>
      <c r="H460">
        <v>2021</v>
      </c>
      <c r="I460" s="2">
        <v>15</v>
      </c>
      <c r="J460" s="7">
        <v>96388</v>
      </c>
      <c r="K460" t="s">
        <v>336</v>
      </c>
      <c r="L460">
        <v>6</v>
      </c>
      <c r="M460" t="s">
        <v>50</v>
      </c>
      <c r="N460" t="s">
        <v>40</v>
      </c>
      <c r="O460" t="s">
        <v>41</v>
      </c>
      <c r="P460" t="s">
        <v>1489</v>
      </c>
      <c r="Q460" s="7">
        <f t="shared" si="14"/>
        <v>1156656</v>
      </c>
      <c r="R460" s="7">
        <f t="shared" si="15"/>
        <v>9638.8000000000011</v>
      </c>
    </row>
    <row r="461" spans="1:18" x14ac:dyDescent="0.35">
      <c r="A461" s="5">
        <v>455</v>
      </c>
      <c r="B461" t="s">
        <v>157</v>
      </c>
      <c r="C461" t="s">
        <v>880</v>
      </c>
      <c r="D461" t="s">
        <v>1486</v>
      </c>
      <c r="E461" t="s">
        <v>26</v>
      </c>
      <c r="F461" s="1">
        <v>37420</v>
      </c>
      <c r="G461" s="2">
        <v>2002</v>
      </c>
      <c r="H461">
        <v>2021</v>
      </c>
      <c r="I461" s="2">
        <v>19</v>
      </c>
      <c r="J461" s="7">
        <v>115506</v>
      </c>
      <c r="K461" t="s">
        <v>223</v>
      </c>
      <c r="L461">
        <v>2</v>
      </c>
      <c r="M461" t="s">
        <v>16</v>
      </c>
      <c r="N461" t="s">
        <v>17</v>
      </c>
      <c r="O461" t="s">
        <v>29</v>
      </c>
      <c r="P461" t="s">
        <v>1489</v>
      </c>
      <c r="Q461" s="7">
        <f t="shared" si="14"/>
        <v>1386072</v>
      </c>
      <c r="R461" s="7">
        <f t="shared" si="15"/>
        <v>11550.6</v>
      </c>
    </row>
    <row r="462" spans="1:18" x14ac:dyDescent="0.35">
      <c r="A462" s="5">
        <v>456</v>
      </c>
      <c r="B462" t="s">
        <v>207</v>
      </c>
      <c r="C462" t="s">
        <v>881</v>
      </c>
      <c r="D462" t="s">
        <v>1486</v>
      </c>
      <c r="E462" t="s">
        <v>100</v>
      </c>
      <c r="F462" s="1">
        <v>45726</v>
      </c>
      <c r="G462" s="2">
        <v>2012</v>
      </c>
      <c r="H462">
        <v>2021</v>
      </c>
      <c r="I462" s="2">
        <v>9</v>
      </c>
      <c r="J462" s="7">
        <v>115679</v>
      </c>
      <c r="K462" t="s">
        <v>179</v>
      </c>
      <c r="L462">
        <v>2</v>
      </c>
      <c r="M462" t="s">
        <v>16</v>
      </c>
      <c r="N462" t="s">
        <v>17</v>
      </c>
      <c r="O462" t="s">
        <v>29</v>
      </c>
      <c r="P462" t="s">
        <v>1489</v>
      </c>
      <c r="Q462" s="7">
        <f t="shared" si="14"/>
        <v>1388148</v>
      </c>
      <c r="R462" s="7">
        <f t="shared" si="15"/>
        <v>11567.900000000001</v>
      </c>
    </row>
    <row r="463" spans="1:18" x14ac:dyDescent="0.35">
      <c r="A463" s="5">
        <v>457</v>
      </c>
      <c r="B463" t="s">
        <v>882</v>
      </c>
      <c r="C463" t="s">
        <v>883</v>
      </c>
      <c r="D463" t="s">
        <v>1486</v>
      </c>
      <c r="E463" t="s">
        <v>32</v>
      </c>
      <c r="F463" s="1">
        <v>37236</v>
      </c>
      <c r="G463" s="2">
        <v>2001</v>
      </c>
      <c r="H463">
        <v>2021</v>
      </c>
      <c r="I463" s="3">
        <v>20</v>
      </c>
      <c r="J463" s="7">
        <v>133040</v>
      </c>
      <c r="K463" t="s">
        <v>709</v>
      </c>
      <c r="L463">
        <v>6</v>
      </c>
      <c r="M463" t="s">
        <v>50</v>
      </c>
      <c r="N463" t="s">
        <v>40</v>
      </c>
      <c r="O463" t="s">
        <v>34</v>
      </c>
      <c r="P463" t="s">
        <v>1489</v>
      </c>
      <c r="Q463" s="7">
        <f t="shared" si="14"/>
        <v>1596480</v>
      </c>
      <c r="R463" s="7">
        <f t="shared" si="15"/>
        <v>13304</v>
      </c>
    </row>
    <row r="464" spans="1:18" x14ac:dyDescent="0.35">
      <c r="A464" s="5">
        <v>458</v>
      </c>
      <c r="B464" t="s">
        <v>257</v>
      </c>
      <c r="C464" t="s">
        <v>884</v>
      </c>
      <c r="D464" t="s">
        <v>1486</v>
      </c>
      <c r="E464" t="s">
        <v>61</v>
      </c>
      <c r="F464" s="1">
        <v>36660</v>
      </c>
      <c r="G464" s="2">
        <v>2000</v>
      </c>
      <c r="H464">
        <v>2021</v>
      </c>
      <c r="I464" s="2">
        <v>21</v>
      </c>
      <c r="J464" s="7">
        <v>91660</v>
      </c>
      <c r="K464" t="s">
        <v>673</v>
      </c>
      <c r="L464">
        <v>5</v>
      </c>
      <c r="M464" t="s">
        <v>91</v>
      </c>
      <c r="N464" t="s">
        <v>40</v>
      </c>
      <c r="O464" t="s">
        <v>63</v>
      </c>
      <c r="P464" t="s">
        <v>1489</v>
      </c>
      <c r="Q464" s="7">
        <f t="shared" si="14"/>
        <v>1099920</v>
      </c>
      <c r="R464" s="7">
        <f t="shared" si="15"/>
        <v>9166</v>
      </c>
    </row>
    <row r="465" spans="1:18" x14ac:dyDescent="0.35">
      <c r="A465" s="5">
        <v>459</v>
      </c>
      <c r="B465" t="s">
        <v>435</v>
      </c>
      <c r="C465" t="s">
        <v>885</v>
      </c>
      <c r="D465" t="s">
        <v>1486</v>
      </c>
      <c r="E465" t="s">
        <v>14</v>
      </c>
      <c r="F465" s="1">
        <v>44824</v>
      </c>
      <c r="G465" s="2">
        <v>2009</v>
      </c>
      <c r="H465">
        <v>2021</v>
      </c>
      <c r="I465" s="2">
        <v>12</v>
      </c>
      <c r="J465" s="7">
        <v>136406</v>
      </c>
      <c r="K465" t="s">
        <v>287</v>
      </c>
      <c r="L465">
        <v>7</v>
      </c>
      <c r="M465" t="s">
        <v>39</v>
      </c>
      <c r="N465" t="s">
        <v>40</v>
      </c>
      <c r="O465" t="s">
        <v>18</v>
      </c>
      <c r="P465" t="s">
        <v>1489</v>
      </c>
      <c r="Q465" s="7">
        <f t="shared" si="14"/>
        <v>1636872</v>
      </c>
      <c r="R465" s="7">
        <f t="shared" si="15"/>
        <v>13640.6</v>
      </c>
    </row>
    <row r="466" spans="1:18" x14ac:dyDescent="0.35">
      <c r="A466" s="5">
        <v>460</v>
      </c>
      <c r="B466" t="s">
        <v>59</v>
      </c>
      <c r="C466" t="s">
        <v>886</v>
      </c>
      <c r="D466" t="s">
        <v>1485</v>
      </c>
      <c r="E466" t="s">
        <v>26</v>
      </c>
      <c r="F466" s="1">
        <v>38470</v>
      </c>
      <c r="G466" s="2">
        <v>2005</v>
      </c>
      <c r="H466">
        <v>2021</v>
      </c>
      <c r="I466" s="2">
        <v>16</v>
      </c>
      <c r="J466" s="7">
        <v>146167</v>
      </c>
      <c r="K466" t="s">
        <v>537</v>
      </c>
      <c r="L466">
        <v>5</v>
      </c>
      <c r="M466" t="s">
        <v>91</v>
      </c>
      <c r="N466" t="s">
        <v>40</v>
      </c>
      <c r="O466" t="s">
        <v>29</v>
      </c>
      <c r="P466" t="s">
        <v>1489</v>
      </c>
      <c r="Q466" s="7">
        <f t="shared" si="14"/>
        <v>1754004</v>
      </c>
      <c r="R466" s="7">
        <f t="shared" si="15"/>
        <v>14616.7</v>
      </c>
    </row>
    <row r="467" spans="1:18" x14ac:dyDescent="0.35">
      <c r="A467" s="5">
        <v>461</v>
      </c>
      <c r="B467" t="s">
        <v>205</v>
      </c>
      <c r="C467" t="s">
        <v>887</v>
      </c>
      <c r="D467" t="s">
        <v>1486</v>
      </c>
      <c r="E467" t="s">
        <v>122</v>
      </c>
      <c r="F467" s="1">
        <v>37715</v>
      </c>
      <c r="G467" s="2">
        <v>2003</v>
      </c>
      <c r="H467">
        <v>2021</v>
      </c>
      <c r="I467" s="2">
        <v>18</v>
      </c>
      <c r="J467" s="7">
        <v>94299</v>
      </c>
      <c r="K467" t="s">
        <v>888</v>
      </c>
      <c r="L467">
        <v>4</v>
      </c>
      <c r="M467" t="s">
        <v>55</v>
      </c>
      <c r="N467" t="s">
        <v>17</v>
      </c>
      <c r="O467" t="s">
        <v>123</v>
      </c>
      <c r="P467" t="s">
        <v>1489</v>
      </c>
      <c r="Q467" s="7">
        <f t="shared" si="14"/>
        <v>1131588</v>
      </c>
      <c r="R467" s="7">
        <f t="shared" si="15"/>
        <v>9429.9</v>
      </c>
    </row>
    <row r="468" spans="1:18" x14ac:dyDescent="0.35">
      <c r="A468" s="5">
        <v>462</v>
      </c>
      <c r="B468" t="s">
        <v>889</v>
      </c>
      <c r="C468" t="s">
        <v>890</v>
      </c>
      <c r="D468" t="s">
        <v>1485</v>
      </c>
      <c r="E468" t="s">
        <v>100</v>
      </c>
      <c r="F468" s="1">
        <v>38199</v>
      </c>
      <c r="G468" s="2">
        <v>2004</v>
      </c>
      <c r="H468">
        <v>2021</v>
      </c>
      <c r="I468" s="2">
        <v>17</v>
      </c>
      <c r="J468" s="7">
        <v>56382</v>
      </c>
      <c r="K468" t="s">
        <v>45</v>
      </c>
      <c r="L468">
        <v>3</v>
      </c>
      <c r="M468" t="s">
        <v>28</v>
      </c>
      <c r="N468" t="s">
        <v>17</v>
      </c>
      <c r="O468" t="s">
        <v>29</v>
      </c>
      <c r="P468" t="s">
        <v>1489</v>
      </c>
      <c r="Q468" s="7">
        <f t="shared" si="14"/>
        <v>676584</v>
      </c>
      <c r="R468" s="7">
        <f t="shared" si="15"/>
        <v>5638.2000000000007</v>
      </c>
    </row>
    <row r="469" spans="1:18" x14ac:dyDescent="0.35">
      <c r="A469" s="5">
        <v>463</v>
      </c>
      <c r="B469" t="s">
        <v>293</v>
      </c>
      <c r="C469" t="s">
        <v>891</v>
      </c>
      <c r="D469" t="s">
        <v>1485</v>
      </c>
      <c r="E469" t="s">
        <v>44</v>
      </c>
      <c r="F469" s="1">
        <v>40533</v>
      </c>
      <c r="G469" s="2">
        <v>2010</v>
      </c>
      <c r="H469">
        <v>2021</v>
      </c>
      <c r="I469" s="2">
        <v>11</v>
      </c>
      <c r="J469" s="7">
        <v>120160</v>
      </c>
      <c r="K469" t="s">
        <v>806</v>
      </c>
      <c r="L469">
        <v>3</v>
      </c>
      <c r="M469" t="s">
        <v>28</v>
      </c>
      <c r="N469" t="s">
        <v>17</v>
      </c>
      <c r="O469" t="s">
        <v>29</v>
      </c>
      <c r="P469" t="s">
        <v>1489</v>
      </c>
      <c r="Q469" s="7">
        <f t="shared" si="14"/>
        <v>1441920</v>
      </c>
      <c r="R469" s="7">
        <f t="shared" si="15"/>
        <v>12016</v>
      </c>
    </row>
    <row r="470" spans="1:18" x14ac:dyDescent="0.35">
      <c r="A470" s="5">
        <v>464</v>
      </c>
      <c r="B470" t="s">
        <v>830</v>
      </c>
      <c r="C470" t="s">
        <v>892</v>
      </c>
      <c r="D470" t="s">
        <v>1486</v>
      </c>
      <c r="E470" t="s">
        <v>312</v>
      </c>
      <c r="F470" s="1">
        <v>44309</v>
      </c>
      <c r="G470" s="2">
        <v>2008</v>
      </c>
      <c r="H470">
        <v>2021</v>
      </c>
      <c r="I470" s="2">
        <v>13</v>
      </c>
      <c r="J470" s="7">
        <v>77060</v>
      </c>
      <c r="K470" t="s">
        <v>583</v>
      </c>
      <c r="L470">
        <v>3</v>
      </c>
      <c r="M470" t="s">
        <v>28</v>
      </c>
      <c r="N470" t="s">
        <v>17</v>
      </c>
      <c r="O470" t="s">
        <v>41</v>
      </c>
      <c r="P470" t="s">
        <v>1489</v>
      </c>
      <c r="Q470" s="7">
        <f t="shared" si="14"/>
        <v>924720</v>
      </c>
      <c r="R470" s="7">
        <f t="shared" si="15"/>
        <v>7706</v>
      </c>
    </row>
    <row r="471" spans="1:18" x14ac:dyDescent="0.35">
      <c r="A471" s="5">
        <v>465</v>
      </c>
      <c r="B471" t="s">
        <v>587</v>
      </c>
      <c r="C471" t="s">
        <v>893</v>
      </c>
      <c r="D471" t="s">
        <v>1485</v>
      </c>
      <c r="E471" t="s">
        <v>14</v>
      </c>
      <c r="F471" s="1">
        <v>39372</v>
      </c>
      <c r="G471" s="2">
        <v>2007</v>
      </c>
      <c r="H471">
        <v>2021</v>
      </c>
      <c r="I471" s="2">
        <v>14</v>
      </c>
      <c r="J471" s="7">
        <v>122540</v>
      </c>
      <c r="K471" t="s">
        <v>441</v>
      </c>
      <c r="L471">
        <v>2</v>
      </c>
      <c r="M471" t="s">
        <v>16</v>
      </c>
      <c r="N471" t="s">
        <v>17</v>
      </c>
      <c r="O471" t="s">
        <v>18</v>
      </c>
      <c r="P471" t="s">
        <v>1489</v>
      </c>
      <c r="Q471" s="7">
        <f t="shared" si="14"/>
        <v>1470480</v>
      </c>
      <c r="R471" s="7">
        <f t="shared" si="15"/>
        <v>12254</v>
      </c>
    </row>
    <row r="472" spans="1:18" x14ac:dyDescent="0.35">
      <c r="A472" s="5">
        <v>466</v>
      </c>
      <c r="B472" t="s">
        <v>416</v>
      </c>
      <c r="C472" t="s">
        <v>894</v>
      </c>
      <c r="D472" t="s">
        <v>1486</v>
      </c>
      <c r="E472" t="s">
        <v>79</v>
      </c>
      <c r="F472" s="1">
        <v>44345</v>
      </c>
      <c r="G472" s="2">
        <v>2008</v>
      </c>
      <c r="H472">
        <v>2021</v>
      </c>
      <c r="I472" s="2">
        <v>13</v>
      </c>
      <c r="J472" s="7">
        <v>128562</v>
      </c>
      <c r="K472" t="s">
        <v>107</v>
      </c>
      <c r="L472">
        <v>7</v>
      </c>
      <c r="M472" t="s">
        <v>39</v>
      </c>
      <c r="N472" t="s">
        <v>40</v>
      </c>
      <c r="O472" t="s">
        <v>41</v>
      </c>
      <c r="P472" t="s">
        <v>1489</v>
      </c>
      <c r="Q472" s="7">
        <f t="shared" si="14"/>
        <v>1542744</v>
      </c>
      <c r="R472" s="7">
        <f t="shared" si="15"/>
        <v>12856.2</v>
      </c>
    </row>
    <row r="473" spans="1:18" x14ac:dyDescent="0.35">
      <c r="A473" s="5">
        <v>467</v>
      </c>
      <c r="B473" t="s">
        <v>555</v>
      </c>
      <c r="C473" t="s">
        <v>895</v>
      </c>
      <c r="D473" t="s">
        <v>1486</v>
      </c>
      <c r="E473" t="s">
        <v>21</v>
      </c>
      <c r="F473" s="1">
        <v>37330</v>
      </c>
      <c r="G473" s="2">
        <v>2002</v>
      </c>
      <c r="H473">
        <v>2021</v>
      </c>
      <c r="I473" s="2">
        <v>19</v>
      </c>
      <c r="J473" s="7">
        <v>60674</v>
      </c>
      <c r="K473" t="s">
        <v>896</v>
      </c>
      <c r="L473">
        <v>3</v>
      </c>
      <c r="M473" t="s">
        <v>28</v>
      </c>
      <c r="N473" t="s">
        <v>17</v>
      </c>
      <c r="O473" t="s">
        <v>23</v>
      </c>
      <c r="P473" t="s">
        <v>1489</v>
      </c>
      <c r="Q473" s="7">
        <f t="shared" si="14"/>
        <v>728088</v>
      </c>
      <c r="R473" s="7">
        <f t="shared" si="15"/>
        <v>6067.4000000000005</v>
      </c>
    </row>
    <row r="474" spans="1:18" x14ac:dyDescent="0.35">
      <c r="A474" s="5">
        <v>468</v>
      </c>
      <c r="B474" t="s">
        <v>192</v>
      </c>
      <c r="C474" t="s">
        <v>897</v>
      </c>
      <c r="D474" t="s">
        <v>1485</v>
      </c>
      <c r="E474" t="s">
        <v>32</v>
      </c>
      <c r="F474" s="1">
        <v>38458</v>
      </c>
      <c r="G474" s="2">
        <v>2005</v>
      </c>
      <c r="H474">
        <v>2021</v>
      </c>
      <c r="I474" s="3">
        <v>16</v>
      </c>
      <c r="J474" s="7">
        <v>93609</v>
      </c>
      <c r="K474" t="s">
        <v>253</v>
      </c>
      <c r="L474">
        <v>6</v>
      </c>
      <c r="M474" t="s">
        <v>50</v>
      </c>
      <c r="N474" t="s">
        <v>40</v>
      </c>
      <c r="O474" t="s">
        <v>34</v>
      </c>
      <c r="P474" t="s">
        <v>1489</v>
      </c>
      <c r="Q474" s="7">
        <f t="shared" si="14"/>
        <v>1123308</v>
      </c>
      <c r="R474" s="7">
        <f t="shared" si="15"/>
        <v>9360.9</v>
      </c>
    </row>
    <row r="475" spans="1:18" x14ac:dyDescent="0.35">
      <c r="A475" s="5">
        <v>469</v>
      </c>
      <c r="B475" t="s">
        <v>377</v>
      </c>
      <c r="C475" t="s">
        <v>898</v>
      </c>
      <c r="D475" t="s">
        <v>1486</v>
      </c>
      <c r="E475" t="s">
        <v>85</v>
      </c>
      <c r="F475" s="1">
        <v>45146</v>
      </c>
      <c r="G475" s="2">
        <v>2010</v>
      </c>
      <c r="H475">
        <v>2021</v>
      </c>
      <c r="I475" s="2">
        <v>11</v>
      </c>
      <c r="J475" s="7">
        <v>97913</v>
      </c>
      <c r="K475" t="s">
        <v>209</v>
      </c>
      <c r="L475">
        <v>3</v>
      </c>
      <c r="M475" t="s">
        <v>28</v>
      </c>
      <c r="N475" t="s">
        <v>17</v>
      </c>
      <c r="O475" t="s">
        <v>41</v>
      </c>
      <c r="P475" t="s">
        <v>1489</v>
      </c>
      <c r="Q475" s="7">
        <f t="shared" si="14"/>
        <v>1174956</v>
      </c>
      <c r="R475" s="7">
        <f t="shared" si="15"/>
        <v>9791.3000000000011</v>
      </c>
    </row>
    <row r="476" spans="1:18" x14ac:dyDescent="0.35">
      <c r="A476" s="5">
        <v>470</v>
      </c>
      <c r="B476" t="s">
        <v>762</v>
      </c>
      <c r="C476" t="s">
        <v>899</v>
      </c>
      <c r="D476" t="s">
        <v>1486</v>
      </c>
      <c r="E476" t="s">
        <v>37</v>
      </c>
      <c r="F476" s="1">
        <v>38577</v>
      </c>
      <c r="G476" s="2">
        <v>2005</v>
      </c>
      <c r="H476">
        <v>2021</v>
      </c>
      <c r="I476" s="2">
        <v>16</v>
      </c>
      <c r="J476" s="7">
        <v>108380</v>
      </c>
      <c r="K476" t="s">
        <v>1499</v>
      </c>
      <c r="L476">
        <v>5</v>
      </c>
      <c r="M476" t="s">
        <v>91</v>
      </c>
      <c r="N476" t="s">
        <v>40</v>
      </c>
      <c r="O476" t="s">
        <v>41</v>
      </c>
      <c r="P476" t="s">
        <v>1489</v>
      </c>
      <c r="Q476" s="7">
        <f t="shared" si="14"/>
        <v>1300560</v>
      </c>
      <c r="R476" s="7">
        <f t="shared" si="15"/>
        <v>10838</v>
      </c>
    </row>
    <row r="477" spans="1:18" x14ac:dyDescent="0.35">
      <c r="A477" s="5">
        <v>471</v>
      </c>
      <c r="B477" t="s">
        <v>614</v>
      </c>
      <c r="C477" t="s">
        <v>900</v>
      </c>
      <c r="D477" t="s">
        <v>1486</v>
      </c>
      <c r="E477" t="s">
        <v>73</v>
      </c>
      <c r="F477" s="1">
        <v>44151</v>
      </c>
      <c r="G477" s="2">
        <v>2007</v>
      </c>
      <c r="H477">
        <v>2021</v>
      </c>
      <c r="I477" s="2">
        <v>14</v>
      </c>
      <c r="J477" s="7">
        <v>50448</v>
      </c>
      <c r="K477" t="s">
        <v>232</v>
      </c>
      <c r="L477">
        <v>4</v>
      </c>
      <c r="M477" t="s">
        <v>55</v>
      </c>
      <c r="N477" t="s">
        <v>17</v>
      </c>
      <c r="O477" t="s">
        <v>41</v>
      </c>
      <c r="P477" t="s">
        <v>1489</v>
      </c>
      <c r="Q477" s="7">
        <f t="shared" si="14"/>
        <v>605376</v>
      </c>
      <c r="R477" s="7">
        <f t="shared" si="15"/>
        <v>5044.8</v>
      </c>
    </row>
    <row r="478" spans="1:18" x14ac:dyDescent="0.35">
      <c r="A478" s="5">
        <v>472</v>
      </c>
      <c r="B478" t="s">
        <v>675</v>
      </c>
      <c r="C478" t="s">
        <v>901</v>
      </c>
      <c r="D478" t="s">
        <v>1486</v>
      </c>
      <c r="E478" t="s">
        <v>122</v>
      </c>
      <c r="F478" s="1">
        <v>45713</v>
      </c>
      <c r="G478" s="2">
        <v>2012</v>
      </c>
      <c r="H478">
        <v>2021</v>
      </c>
      <c r="I478" s="2">
        <v>9</v>
      </c>
      <c r="J478" s="7">
        <v>133781</v>
      </c>
      <c r="K478" t="s">
        <v>902</v>
      </c>
      <c r="L478">
        <v>4</v>
      </c>
      <c r="M478" t="s">
        <v>55</v>
      </c>
      <c r="N478" t="s">
        <v>17</v>
      </c>
      <c r="O478" t="s">
        <v>123</v>
      </c>
      <c r="P478" t="s">
        <v>1489</v>
      </c>
      <c r="Q478" s="7">
        <f t="shared" si="14"/>
        <v>1605372</v>
      </c>
      <c r="R478" s="7">
        <f t="shared" si="15"/>
        <v>13378.1</v>
      </c>
    </row>
    <row r="479" spans="1:18" x14ac:dyDescent="0.35">
      <c r="A479" s="5">
        <v>473</v>
      </c>
      <c r="B479" t="s">
        <v>218</v>
      </c>
      <c r="C479" t="s">
        <v>903</v>
      </c>
      <c r="D479" t="s">
        <v>1486</v>
      </c>
      <c r="E479" t="s">
        <v>122</v>
      </c>
      <c r="F479" s="1">
        <v>44879</v>
      </c>
      <c r="G479" s="2">
        <v>2009</v>
      </c>
      <c r="H479">
        <v>2021</v>
      </c>
      <c r="I479" s="2">
        <v>12</v>
      </c>
      <c r="J479" s="7">
        <v>90409</v>
      </c>
      <c r="K479" t="s">
        <v>904</v>
      </c>
      <c r="L479">
        <v>3</v>
      </c>
      <c r="M479" t="s">
        <v>28</v>
      </c>
      <c r="N479" t="s">
        <v>17</v>
      </c>
      <c r="O479" t="s">
        <v>123</v>
      </c>
      <c r="P479" t="s">
        <v>1489</v>
      </c>
      <c r="Q479" s="7">
        <f t="shared" si="14"/>
        <v>1084908</v>
      </c>
      <c r="R479" s="7">
        <f t="shared" si="15"/>
        <v>9040.9</v>
      </c>
    </row>
    <row r="480" spans="1:18" x14ac:dyDescent="0.35">
      <c r="A480" s="5">
        <v>474</v>
      </c>
      <c r="B480" t="s">
        <v>140</v>
      </c>
      <c r="C480" t="s">
        <v>905</v>
      </c>
      <c r="D480" t="s">
        <v>1485</v>
      </c>
      <c r="E480" t="s">
        <v>110</v>
      </c>
      <c r="F480" s="1">
        <v>37993</v>
      </c>
      <c r="G480" s="2">
        <v>2004</v>
      </c>
      <c r="H480">
        <v>2021</v>
      </c>
      <c r="I480" s="2">
        <v>17</v>
      </c>
      <c r="J480" s="7">
        <v>144953</v>
      </c>
      <c r="K480" t="s">
        <v>204</v>
      </c>
      <c r="L480">
        <v>7</v>
      </c>
      <c r="M480" t="s">
        <v>39</v>
      </c>
      <c r="N480" t="s">
        <v>40</v>
      </c>
      <c r="O480" t="s">
        <v>112</v>
      </c>
      <c r="P480" t="s">
        <v>1489</v>
      </c>
      <c r="Q480" s="7">
        <f t="shared" si="14"/>
        <v>1739436</v>
      </c>
      <c r="R480" s="7">
        <f t="shared" si="15"/>
        <v>14495.300000000001</v>
      </c>
    </row>
    <row r="481" spans="1:18" x14ac:dyDescent="0.35">
      <c r="A481" s="5">
        <v>475</v>
      </c>
      <c r="B481" t="s">
        <v>679</v>
      </c>
      <c r="C481" t="s">
        <v>906</v>
      </c>
      <c r="D481" t="s">
        <v>1485</v>
      </c>
      <c r="E481" t="s">
        <v>148</v>
      </c>
      <c r="F481" s="1">
        <v>37247</v>
      </c>
      <c r="G481" s="2">
        <v>2001</v>
      </c>
      <c r="H481">
        <v>2021</v>
      </c>
      <c r="I481" s="2">
        <v>20</v>
      </c>
      <c r="J481" s="7">
        <v>46072</v>
      </c>
      <c r="K481" t="s">
        <v>153</v>
      </c>
      <c r="L481">
        <v>2</v>
      </c>
      <c r="M481" t="s">
        <v>16</v>
      </c>
      <c r="N481" t="s">
        <v>17</v>
      </c>
      <c r="O481" t="s">
        <v>112</v>
      </c>
      <c r="P481" t="s">
        <v>1489</v>
      </c>
      <c r="Q481" s="7">
        <f t="shared" si="14"/>
        <v>552864</v>
      </c>
      <c r="R481" s="7">
        <f t="shared" si="15"/>
        <v>4607.2</v>
      </c>
    </row>
    <row r="482" spans="1:18" x14ac:dyDescent="0.35">
      <c r="A482" s="5">
        <v>476</v>
      </c>
      <c r="B482" t="s">
        <v>304</v>
      </c>
      <c r="C482" t="s">
        <v>907</v>
      </c>
      <c r="D482" t="s">
        <v>1485</v>
      </c>
      <c r="E482" t="s">
        <v>122</v>
      </c>
      <c r="F482" s="1">
        <v>40940</v>
      </c>
      <c r="G482" s="2">
        <v>2012</v>
      </c>
      <c r="H482">
        <v>2021</v>
      </c>
      <c r="I482" s="2">
        <v>9</v>
      </c>
      <c r="J482" s="7">
        <v>119602</v>
      </c>
      <c r="K482" t="s">
        <v>908</v>
      </c>
      <c r="L482">
        <v>5</v>
      </c>
      <c r="M482" t="s">
        <v>91</v>
      </c>
      <c r="N482" t="s">
        <v>40</v>
      </c>
      <c r="O482" t="s">
        <v>123</v>
      </c>
      <c r="P482" t="s">
        <v>1489</v>
      </c>
      <c r="Q482" s="7">
        <f t="shared" si="14"/>
        <v>1435224</v>
      </c>
      <c r="R482" s="7">
        <f t="shared" si="15"/>
        <v>11960.2</v>
      </c>
    </row>
    <row r="483" spans="1:18" x14ac:dyDescent="0.35">
      <c r="A483" s="5">
        <v>477</v>
      </c>
      <c r="B483" t="s">
        <v>548</v>
      </c>
      <c r="C483" t="s">
        <v>909</v>
      </c>
      <c r="D483" t="s">
        <v>1485</v>
      </c>
      <c r="E483" t="s">
        <v>14</v>
      </c>
      <c r="F483" s="1">
        <v>40468</v>
      </c>
      <c r="G483" s="2">
        <v>2010</v>
      </c>
      <c r="H483">
        <v>2021</v>
      </c>
      <c r="I483" s="2">
        <v>11</v>
      </c>
      <c r="J483" s="7">
        <v>122231</v>
      </c>
      <c r="K483" t="s">
        <v>242</v>
      </c>
      <c r="L483">
        <v>5</v>
      </c>
      <c r="M483" t="s">
        <v>91</v>
      </c>
      <c r="N483" t="s">
        <v>40</v>
      </c>
      <c r="O483" t="s">
        <v>18</v>
      </c>
      <c r="P483" t="s">
        <v>1489</v>
      </c>
      <c r="Q483" s="7">
        <f t="shared" si="14"/>
        <v>1466772</v>
      </c>
      <c r="R483" s="7">
        <f t="shared" si="15"/>
        <v>12223.1</v>
      </c>
    </row>
    <row r="484" spans="1:18" x14ac:dyDescent="0.35">
      <c r="A484" s="5">
        <v>478</v>
      </c>
      <c r="B484" t="s">
        <v>293</v>
      </c>
      <c r="C484" t="s">
        <v>910</v>
      </c>
      <c r="D484" t="s">
        <v>1485</v>
      </c>
      <c r="E484" t="s">
        <v>21</v>
      </c>
      <c r="F484" s="1">
        <v>37727</v>
      </c>
      <c r="G484" s="2">
        <v>2003</v>
      </c>
      <c r="H484">
        <v>2021</v>
      </c>
      <c r="I484" s="2">
        <v>18</v>
      </c>
      <c r="J484" s="7">
        <v>147166</v>
      </c>
      <c r="K484" t="s">
        <v>836</v>
      </c>
      <c r="L484">
        <v>6</v>
      </c>
      <c r="M484" t="s">
        <v>50</v>
      </c>
      <c r="N484" t="s">
        <v>40</v>
      </c>
      <c r="O484" t="s">
        <v>23</v>
      </c>
      <c r="P484" t="s">
        <v>1489</v>
      </c>
      <c r="Q484" s="7">
        <f t="shared" si="14"/>
        <v>1765992</v>
      </c>
      <c r="R484" s="7">
        <f t="shared" si="15"/>
        <v>14716.6</v>
      </c>
    </row>
    <row r="485" spans="1:18" x14ac:dyDescent="0.35">
      <c r="A485" s="5">
        <v>479</v>
      </c>
      <c r="B485" t="s">
        <v>911</v>
      </c>
      <c r="C485" t="s">
        <v>912</v>
      </c>
      <c r="D485" t="s">
        <v>1485</v>
      </c>
      <c r="E485" t="s">
        <v>37</v>
      </c>
      <c r="F485" s="1">
        <v>40064</v>
      </c>
      <c r="G485" s="2">
        <v>2009</v>
      </c>
      <c r="H485">
        <v>2021</v>
      </c>
      <c r="I485" s="2">
        <v>12</v>
      </c>
      <c r="J485" s="7">
        <v>56465</v>
      </c>
      <c r="K485" t="s">
        <v>86</v>
      </c>
      <c r="L485">
        <v>6</v>
      </c>
      <c r="M485" t="s">
        <v>50</v>
      </c>
      <c r="N485" t="s">
        <v>40</v>
      </c>
      <c r="O485" t="s">
        <v>41</v>
      </c>
      <c r="P485" t="s">
        <v>1489</v>
      </c>
      <c r="Q485" s="7">
        <f t="shared" si="14"/>
        <v>677580</v>
      </c>
      <c r="R485" s="7">
        <f t="shared" si="15"/>
        <v>5646.5</v>
      </c>
    </row>
    <row r="486" spans="1:18" x14ac:dyDescent="0.35">
      <c r="A486" s="5">
        <v>480</v>
      </c>
      <c r="B486" t="s">
        <v>589</v>
      </c>
      <c r="C486" t="s">
        <v>913</v>
      </c>
      <c r="D486" t="s">
        <v>1485</v>
      </c>
      <c r="E486" t="s">
        <v>94</v>
      </c>
      <c r="F486" s="1">
        <v>36929</v>
      </c>
      <c r="G486" s="2">
        <v>2001</v>
      </c>
      <c r="H486">
        <v>2021</v>
      </c>
      <c r="I486" s="2">
        <v>20</v>
      </c>
      <c r="J486" s="7">
        <v>78158</v>
      </c>
      <c r="K486" t="s">
        <v>743</v>
      </c>
      <c r="L486">
        <v>5</v>
      </c>
      <c r="M486" t="s">
        <v>91</v>
      </c>
      <c r="N486" t="s">
        <v>40</v>
      </c>
      <c r="O486" t="s">
        <v>18</v>
      </c>
      <c r="P486" t="s">
        <v>1489</v>
      </c>
      <c r="Q486" s="7">
        <f t="shared" si="14"/>
        <v>937896</v>
      </c>
      <c r="R486" s="7">
        <f t="shared" si="15"/>
        <v>7815.8</v>
      </c>
    </row>
    <row r="487" spans="1:18" x14ac:dyDescent="0.35">
      <c r="A487" s="5">
        <v>481</v>
      </c>
      <c r="B487" t="s">
        <v>331</v>
      </c>
      <c r="C487" t="s">
        <v>914</v>
      </c>
      <c r="D487" t="s">
        <v>1485</v>
      </c>
      <c r="E487" t="s">
        <v>32</v>
      </c>
      <c r="F487" s="1">
        <v>41430</v>
      </c>
      <c r="G487" s="2">
        <v>2013</v>
      </c>
      <c r="H487">
        <v>2021</v>
      </c>
      <c r="I487" s="3">
        <v>8</v>
      </c>
      <c r="J487" s="7">
        <v>62815</v>
      </c>
      <c r="K487" t="s">
        <v>74</v>
      </c>
      <c r="L487">
        <v>4</v>
      </c>
      <c r="M487" t="s">
        <v>55</v>
      </c>
      <c r="N487" t="s">
        <v>17</v>
      </c>
      <c r="O487" t="s">
        <v>34</v>
      </c>
      <c r="P487" t="s">
        <v>1489</v>
      </c>
      <c r="Q487" s="7">
        <f t="shared" si="14"/>
        <v>753780</v>
      </c>
      <c r="R487" s="7">
        <f t="shared" si="15"/>
        <v>6281.5</v>
      </c>
    </row>
    <row r="488" spans="1:18" x14ac:dyDescent="0.35">
      <c r="A488" s="5">
        <v>482</v>
      </c>
      <c r="B488" t="s">
        <v>51</v>
      </c>
      <c r="C488" t="s">
        <v>915</v>
      </c>
      <c r="D488" t="s">
        <v>1485</v>
      </c>
      <c r="E488" t="s">
        <v>53</v>
      </c>
      <c r="F488" s="1">
        <v>39243</v>
      </c>
      <c r="G488" s="2">
        <v>2007</v>
      </c>
      <c r="H488">
        <v>2021</v>
      </c>
      <c r="I488" s="2">
        <v>14</v>
      </c>
      <c r="J488" s="7">
        <v>126468</v>
      </c>
      <c r="K488" t="s">
        <v>916</v>
      </c>
      <c r="L488">
        <v>4</v>
      </c>
      <c r="M488" t="s">
        <v>55</v>
      </c>
      <c r="N488" t="s">
        <v>17</v>
      </c>
      <c r="O488" t="s">
        <v>23</v>
      </c>
      <c r="P488" t="s">
        <v>1489</v>
      </c>
      <c r="Q488" s="7">
        <f t="shared" si="14"/>
        <v>1517616</v>
      </c>
      <c r="R488" s="7">
        <f t="shared" si="15"/>
        <v>12646.800000000001</v>
      </c>
    </row>
    <row r="489" spans="1:18" x14ac:dyDescent="0.35">
      <c r="A489" s="5">
        <v>483</v>
      </c>
      <c r="B489" t="s">
        <v>917</v>
      </c>
      <c r="C489" t="s">
        <v>918</v>
      </c>
      <c r="D489" t="s">
        <v>1486</v>
      </c>
      <c r="E489" t="s">
        <v>129</v>
      </c>
      <c r="F489" s="1">
        <v>45787</v>
      </c>
      <c r="G489" s="2">
        <v>2012</v>
      </c>
      <c r="H489">
        <v>2021</v>
      </c>
      <c r="I489" s="2">
        <v>9</v>
      </c>
      <c r="J489" s="7">
        <v>79419</v>
      </c>
      <c r="K489" t="s">
        <v>107</v>
      </c>
      <c r="L489">
        <v>3</v>
      </c>
      <c r="M489" t="s">
        <v>28</v>
      </c>
      <c r="N489" t="s">
        <v>17</v>
      </c>
      <c r="O489" t="s">
        <v>41</v>
      </c>
      <c r="P489" t="s">
        <v>1489</v>
      </c>
      <c r="Q489" s="7">
        <f t="shared" si="14"/>
        <v>953028</v>
      </c>
      <c r="R489" s="7">
        <f t="shared" si="15"/>
        <v>7941.9000000000005</v>
      </c>
    </row>
    <row r="490" spans="1:18" x14ac:dyDescent="0.35">
      <c r="A490" s="5">
        <v>484</v>
      </c>
      <c r="B490" t="s">
        <v>257</v>
      </c>
      <c r="C490" t="s">
        <v>919</v>
      </c>
      <c r="D490" t="s">
        <v>1485</v>
      </c>
      <c r="E490" t="s">
        <v>14</v>
      </c>
      <c r="F490" s="1">
        <v>39895</v>
      </c>
      <c r="G490" s="2">
        <v>2009</v>
      </c>
      <c r="H490">
        <v>2021</v>
      </c>
      <c r="I490" s="2">
        <v>12</v>
      </c>
      <c r="J490" s="7">
        <v>83093</v>
      </c>
      <c r="K490" t="s">
        <v>204</v>
      </c>
      <c r="L490">
        <v>1</v>
      </c>
      <c r="M490" t="s">
        <v>46</v>
      </c>
      <c r="N490" t="s">
        <v>17</v>
      </c>
      <c r="O490" t="s">
        <v>18</v>
      </c>
      <c r="P490" t="s">
        <v>1489</v>
      </c>
      <c r="Q490" s="7">
        <f t="shared" si="14"/>
        <v>997116</v>
      </c>
      <c r="R490" s="7">
        <f t="shared" si="15"/>
        <v>8309.3000000000011</v>
      </c>
    </row>
    <row r="491" spans="1:18" x14ac:dyDescent="0.35">
      <c r="A491" s="5">
        <v>485</v>
      </c>
      <c r="B491" t="s">
        <v>325</v>
      </c>
      <c r="C491" t="s">
        <v>920</v>
      </c>
      <c r="D491" t="s">
        <v>1486</v>
      </c>
      <c r="E491" t="s">
        <v>85</v>
      </c>
      <c r="F491" s="1">
        <v>46694</v>
      </c>
      <c r="G491" s="2">
        <v>2014</v>
      </c>
      <c r="H491">
        <v>2021</v>
      </c>
      <c r="I491" s="2">
        <v>7</v>
      </c>
      <c r="J491" s="7">
        <v>90797</v>
      </c>
      <c r="K491" t="s">
        <v>327</v>
      </c>
      <c r="L491">
        <v>1</v>
      </c>
      <c r="M491" t="s">
        <v>46</v>
      </c>
      <c r="N491" t="s">
        <v>17</v>
      </c>
      <c r="O491" t="s">
        <v>41</v>
      </c>
      <c r="P491" t="s">
        <v>1489</v>
      </c>
      <c r="Q491" s="7">
        <f t="shared" si="14"/>
        <v>1089564</v>
      </c>
      <c r="R491" s="7">
        <f t="shared" si="15"/>
        <v>9079.7000000000007</v>
      </c>
    </row>
    <row r="492" spans="1:18" x14ac:dyDescent="0.35">
      <c r="A492" s="5">
        <v>486</v>
      </c>
      <c r="B492" t="s">
        <v>212</v>
      </c>
      <c r="C492" t="s">
        <v>921</v>
      </c>
      <c r="D492" t="s">
        <v>1486</v>
      </c>
      <c r="E492" t="s">
        <v>85</v>
      </c>
      <c r="F492" s="1">
        <v>44383</v>
      </c>
      <c r="G492" s="2">
        <v>2008</v>
      </c>
      <c r="H492">
        <v>2021</v>
      </c>
      <c r="I492" s="2">
        <v>13</v>
      </c>
      <c r="J492" s="7">
        <v>78755</v>
      </c>
      <c r="K492" t="s">
        <v>33</v>
      </c>
      <c r="L492">
        <v>5</v>
      </c>
      <c r="M492" t="s">
        <v>91</v>
      </c>
      <c r="N492" t="s">
        <v>40</v>
      </c>
      <c r="O492" t="s">
        <v>41</v>
      </c>
      <c r="P492" t="s">
        <v>1489</v>
      </c>
      <c r="Q492" s="7">
        <f t="shared" si="14"/>
        <v>945060</v>
      </c>
      <c r="R492" s="7">
        <f t="shared" si="15"/>
        <v>7875.5</v>
      </c>
    </row>
    <row r="493" spans="1:18" x14ac:dyDescent="0.35">
      <c r="A493" s="5">
        <v>487</v>
      </c>
      <c r="B493" t="s">
        <v>341</v>
      </c>
      <c r="C493" t="s">
        <v>922</v>
      </c>
      <c r="D493" t="s">
        <v>1486</v>
      </c>
      <c r="E493" t="s">
        <v>85</v>
      </c>
      <c r="F493" s="1">
        <v>37729</v>
      </c>
      <c r="G493" s="2">
        <v>2003</v>
      </c>
      <c r="H493">
        <v>2021</v>
      </c>
      <c r="I493" s="2">
        <v>18</v>
      </c>
      <c r="J493" s="7">
        <v>128726</v>
      </c>
      <c r="K493" t="s">
        <v>115</v>
      </c>
      <c r="L493">
        <v>3</v>
      </c>
      <c r="M493" t="s">
        <v>28</v>
      </c>
      <c r="N493" t="s">
        <v>17</v>
      </c>
      <c r="O493" t="s">
        <v>41</v>
      </c>
      <c r="P493" t="s">
        <v>1489</v>
      </c>
      <c r="Q493" s="7">
        <f t="shared" si="14"/>
        <v>1544712</v>
      </c>
      <c r="R493" s="7">
        <f t="shared" si="15"/>
        <v>12872.6</v>
      </c>
    </row>
    <row r="494" spans="1:18" x14ac:dyDescent="0.35">
      <c r="A494" s="5">
        <v>488</v>
      </c>
      <c r="B494" t="s">
        <v>830</v>
      </c>
      <c r="C494" t="s">
        <v>923</v>
      </c>
      <c r="D494" t="s">
        <v>1485</v>
      </c>
      <c r="E494" t="s">
        <v>238</v>
      </c>
      <c r="F494" s="1">
        <v>40892</v>
      </c>
      <c r="G494" s="2">
        <v>2011</v>
      </c>
      <c r="H494">
        <v>2021</v>
      </c>
      <c r="I494" s="2">
        <v>10</v>
      </c>
      <c r="J494" s="7">
        <v>69026</v>
      </c>
      <c r="K494" t="s">
        <v>136</v>
      </c>
      <c r="L494">
        <v>6</v>
      </c>
      <c r="M494" t="s">
        <v>50</v>
      </c>
      <c r="N494" t="s">
        <v>40</v>
      </c>
      <c r="O494" t="s">
        <v>63</v>
      </c>
      <c r="P494" t="s">
        <v>1489</v>
      </c>
      <c r="Q494" s="7">
        <f t="shared" si="14"/>
        <v>828312</v>
      </c>
      <c r="R494" s="7">
        <f t="shared" si="15"/>
        <v>6902.6</v>
      </c>
    </row>
    <row r="495" spans="1:18" x14ac:dyDescent="0.35">
      <c r="A495" s="5">
        <v>489</v>
      </c>
      <c r="B495" t="s">
        <v>816</v>
      </c>
      <c r="C495" t="s">
        <v>924</v>
      </c>
      <c r="D495" t="s">
        <v>1486</v>
      </c>
      <c r="E495" t="s">
        <v>110</v>
      </c>
      <c r="F495" s="1">
        <v>46403</v>
      </c>
      <c r="G495" s="2">
        <v>2014</v>
      </c>
      <c r="H495">
        <v>2021</v>
      </c>
      <c r="I495" s="2">
        <v>7</v>
      </c>
      <c r="J495" s="7">
        <v>78109</v>
      </c>
      <c r="K495" t="s">
        <v>370</v>
      </c>
      <c r="L495">
        <v>5</v>
      </c>
      <c r="M495" t="s">
        <v>91</v>
      </c>
      <c r="N495" t="s">
        <v>40</v>
      </c>
      <c r="O495" t="s">
        <v>112</v>
      </c>
      <c r="P495" t="s">
        <v>1489</v>
      </c>
      <c r="Q495" s="7">
        <f t="shared" si="14"/>
        <v>937308</v>
      </c>
      <c r="R495" s="7">
        <f t="shared" si="15"/>
        <v>7810.9000000000005</v>
      </c>
    </row>
    <row r="496" spans="1:18" x14ac:dyDescent="0.35">
      <c r="A496" s="5">
        <v>490</v>
      </c>
      <c r="B496" t="s">
        <v>352</v>
      </c>
      <c r="C496" t="s">
        <v>925</v>
      </c>
      <c r="D496" t="s">
        <v>1485</v>
      </c>
      <c r="E496" t="s">
        <v>61</v>
      </c>
      <c r="F496" s="1">
        <v>36624</v>
      </c>
      <c r="G496" s="2">
        <v>2000</v>
      </c>
      <c r="H496">
        <v>2021</v>
      </c>
      <c r="I496" s="2">
        <v>21</v>
      </c>
      <c r="J496" s="7">
        <v>116480</v>
      </c>
      <c r="K496" t="s">
        <v>1500</v>
      </c>
      <c r="L496">
        <v>5</v>
      </c>
      <c r="M496" t="s">
        <v>91</v>
      </c>
      <c r="N496" t="s">
        <v>40</v>
      </c>
      <c r="O496" t="s">
        <v>63</v>
      </c>
      <c r="P496" t="s">
        <v>1489</v>
      </c>
      <c r="Q496" s="7">
        <f t="shared" si="14"/>
        <v>1397760</v>
      </c>
      <c r="R496" s="7">
        <f t="shared" si="15"/>
        <v>11648</v>
      </c>
    </row>
    <row r="497" spans="1:18" x14ac:dyDescent="0.35">
      <c r="A497" s="5">
        <v>491</v>
      </c>
      <c r="B497" t="s">
        <v>530</v>
      </c>
      <c r="C497" t="s">
        <v>926</v>
      </c>
      <c r="D497" t="s">
        <v>1486</v>
      </c>
      <c r="E497" t="s">
        <v>53</v>
      </c>
      <c r="F497" s="1">
        <v>38151</v>
      </c>
      <c r="G497" s="2">
        <v>2004</v>
      </c>
      <c r="H497">
        <v>2021</v>
      </c>
      <c r="I497" s="2">
        <v>17</v>
      </c>
      <c r="J497" s="7">
        <v>108444</v>
      </c>
      <c r="K497" t="s">
        <v>194</v>
      </c>
      <c r="L497">
        <v>7</v>
      </c>
      <c r="M497" t="s">
        <v>39</v>
      </c>
      <c r="N497" t="s">
        <v>40</v>
      </c>
      <c r="O497" t="s">
        <v>23</v>
      </c>
      <c r="P497" t="s">
        <v>1489</v>
      </c>
      <c r="Q497" s="7">
        <f t="shared" si="14"/>
        <v>1301328</v>
      </c>
      <c r="R497" s="7">
        <f t="shared" si="15"/>
        <v>10844.400000000001</v>
      </c>
    </row>
    <row r="498" spans="1:18" x14ac:dyDescent="0.35">
      <c r="A498" s="5">
        <v>492</v>
      </c>
      <c r="B498" t="s">
        <v>345</v>
      </c>
      <c r="C498" t="s">
        <v>927</v>
      </c>
      <c r="D498" t="s">
        <v>1485</v>
      </c>
      <c r="E498" t="s">
        <v>14</v>
      </c>
      <c r="F498" s="1">
        <v>40217</v>
      </c>
      <c r="G498" s="2">
        <v>2010</v>
      </c>
      <c r="H498">
        <v>2021</v>
      </c>
      <c r="I498" s="2">
        <v>11</v>
      </c>
      <c r="J498" s="7">
        <v>106535</v>
      </c>
      <c r="K498" t="s">
        <v>669</v>
      </c>
      <c r="L498">
        <v>1</v>
      </c>
      <c r="M498" t="s">
        <v>46</v>
      </c>
      <c r="N498" t="s">
        <v>17</v>
      </c>
      <c r="O498" t="s">
        <v>18</v>
      </c>
      <c r="P498" t="s">
        <v>1489</v>
      </c>
      <c r="Q498" s="7">
        <f t="shared" si="14"/>
        <v>1278420</v>
      </c>
      <c r="R498" s="7">
        <f t="shared" si="15"/>
        <v>10653.5</v>
      </c>
    </row>
    <row r="499" spans="1:18" x14ac:dyDescent="0.35">
      <c r="A499" s="5">
        <v>493</v>
      </c>
      <c r="B499" t="s">
        <v>630</v>
      </c>
      <c r="C499" t="s">
        <v>928</v>
      </c>
      <c r="D499" t="s">
        <v>1485</v>
      </c>
      <c r="E499" t="s">
        <v>14</v>
      </c>
      <c r="F499" s="1">
        <v>39623</v>
      </c>
      <c r="G499" s="2">
        <v>2008</v>
      </c>
      <c r="H499">
        <v>2021</v>
      </c>
      <c r="I499" s="2">
        <v>13</v>
      </c>
      <c r="J499" s="7">
        <v>137025</v>
      </c>
      <c r="K499" t="s">
        <v>370</v>
      </c>
      <c r="L499">
        <v>5</v>
      </c>
      <c r="M499" t="s">
        <v>91</v>
      </c>
      <c r="N499" t="s">
        <v>40</v>
      </c>
      <c r="O499" t="s">
        <v>18</v>
      </c>
      <c r="P499" t="s">
        <v>1489</v>
      </c>
      <c r="Q499" s="7">
        <f t="shared" si="14"/>
        <v>1644300</v>
      </c>
      <c r="R499" s="7">
        <f t="shared" si="15"/>
        <v>13702.5</v>
      </c>
    </row>
    <row r="500" spans="1:18" x14ac:dyDescent="0.35">
      <c r="A500" s="5">
        <v>494</v>
      </c>
      <c r="B500" t="s">
        <v>433</v>
      </c>
      <c r="C500" t="s">
        <v>929</v>
      </c>
      <c r="D500" t="s">
        <v>1485</v>
      </c>
      <c r="E500" t="s">
        <v>100</v>
      </c>
      <c r="F500" s="1">
        <v>38414</v>
      </c>
      <c r="G500" s="2">
        <v>2005</v>
      </c>
      <c r="H500">
        <v>2021</v>
      </c>
      <c r="I500" s="2">
        <v>16</v>
      </c>
      <c r="J500" s="7">
        <v>71663</v>
      </c>
      <c r="K500" t="s">
        <v>430</v>
      </c>
      <c r="L500">
        <v>3</v>
      </c>
      <c r="M500" t="s">
        <v>28</v>
      </c>
      <c r="N500" t="s">
        <v>17</v>
      </c>
      <c r="O500" t="s">
        <v>29</v>
      </c>
      <c r="P500" t="s">
        <v>1489</v>
      </c>
      <c r="Q500" s="7">
        <f t="shared" si="14"/>
        <v>859956</v>
      </c>
      <c r="R500" s="7">
        <f t="shared" si="15"/>
        <v>7166.3</v>
      </c>
    </row>
    <row r="501" spans="1:18" x14ac:dyDescent="0.35">
      <c r="A501" s="5">
        <v>495</v>
      </c>
      <c r="B501" t="s">
        <v>67</v>
      </c>
      <c r="C501" t="s">
        <v>930</v>
      </c>
      <c r="D501" t="s">
        <v>1486</v>
      </c>
      <c r="E501" t="s">
        <v>122</v>
      </c>
      <c r="F501" s="1">
        <v>38268</v>
      </c>
      <c r="G501" s="2">
        <v>2004</v>
      </c>
      <c r="H501">
        <v>2021</v>
      </c>
      <c r="I501" s="2">
        <v>17</v>
      </c>
      <c r="J501" s="7">
        <v>80073</v>
      </c>
      <c r="K501" t="s">
        <v>107</v>
      </c>
      <c r="L501">
        <v>3</v>
      </c>
      <c r="M501" t="s">
        <v>28</v>
      </c>
      <c r="N501" t="s">
        <v>17</v>
      </c>
      <c r="O501" t="s">
        <v>123</v>
      </c>
      <c r="P501" t="s">
        <v>1489</v>
      </c>
      <c r="Q501" s="7">
        <f t="shared" si="14"/>
        <v>960876</v>
      </c>
      <c r="R501" s="7">
        <f t="shared" si="15"/>
        <v>8007.3</v>
      </c>
    </row>
    <row r="502" spans="1:18" x14ac:dyDescent="0.35">
      <c r="A502" s="5">
        <v>496</v>
      </c>
      <c r="B502" t="s">
        <v>505</v>
      </c>
      <c r="C502" t="s">
        <v>931</v>
      </c>
      <c r="D502" t="s">
        <v>1485</v>
      </c>
      <c r="E502" t="s">
        <v>129</v>
      </c>
      <c r="F502" s="1">
        <v>39521</v>
      </c>
      <c r="G502" s="2">
        <v>2008</v>
      </c>
      <c r="H502">
        <v>2021</v>
      </c>
      <c r="I502" s="2">
        <v>13</v>
      </c>
      <c r="J502" s="7">
        <v>40254</v>
      </c>
      <c r="K502" t="s">
        <v>313</v>
      </c>
      <c r="L502">
        <v>5</v>
      </c>
      <c r="M502" t="s">
        <v>91</v>
      </c>
      <c r="N502" t="s">
        <v>40</v>
      </c>
      <c r="O502" t="s">
        <v>41</v>
      </c>
      <c r="P502" t="s">
        <v>1489</v>
      </c>
      <c r="Q502" s="7">
        <f t="shared" si="14"/>
        <v>483048</v>
      </c>
      <c r="R502" s="7">
        <f t="shared" si="15"/>
        <v>4025.4</v>
      </c>
    </row>
    <row r="503" spans="1:18" x14ac:dyDescent="0.35">
      <c r="A503" s="5">
        <v>497</v>
      </c>
      <c r="B503" t="s">
        <v>679</v>
      </c>
      <c r="C503" t="s">
        <v>932</v>
      </c>
      <c r="D503" t="s">
        <v>1486</v>
      </c>
      <c r="E503" t="s">
        <v>37</v>
      </c>
      <c r="F503" s="1">
        <v>45361</v>
      </c>
      <c r="G503" s="2">
        <v>2011</v>
      </c>
      <c r="H503">
        <v>2021</v>
      </c>
      <c r="I503" s="2">
        <v>10</v>
      </c>
      <c r="J503" s="7">
        <v>80027</v>
      </c>
      <c r="K503" t="s">
        <v>95</v>
      </c>
      <c r="L503">
        <v>3</v>
      </c>
      <c r="M503" t="s">
        <v>28</v>
      </c>
      <c r="N503" t="s">
        <v>17</v>
      </c>
      <c r="O503" t="s">
        <v>41</v>
      </c>
      <c r="P503" t="s">
        <v>1489</v>
      </c>
      <c r="Q503" s="7">
        <f t="shared" si="14"/>
        <v>960324</v>
      </c>
      <c r="R503" s="7">
        <f t="shared" si="15"/>
        <v>8002.7000000000007</v>
      </c>
    </row>
    <row r="504" spans="1:18" x14ac:dyDescent="0.35">
      <c r="A504" s="5">
        <v>498</v>
      </c>
      <c r="B504" t="s">
        <v>392</v>
      </c>
      <c r="C504" t="s">
        <v>933</v>
      </c>
      <c r="D504" t="s">
        <v>1486</v>
      </c>
      <c r="E504" t="s">
        <v>110</v>
      </c>
      <c r="F504" s="1">
        <v>37125</v>
      </c>
      <c r="G504" s="2">
        <v>2001</v>
      </c>
      <c r="H504">
        <v>2021</v>
      </c>
      <c r="I504" s="2">
        <v>20</v>
      </c>
      <c r="J504" s="7">
        <v>106994</v>
      </c>
      <c r="K504" t="s">
        <v>349</v>
      </c>
      <c r="L504">
        <v>3</v>
      </c>
      <c r="M504" t="s">
        <v>28</v>
      </c>
      <c r="N504" t="s">
        <v>17</v>
      </c>
      <c r="O504" t="s">
        <v>112</v>
      </c>
      <c r="P504" t="s">
        <v>1489</v>
      </c>
      <c r="Q504" s="7">
        <f t="shared" si="14"/>
        <v>1283928</v>
      </c>
      <c r="R504" s="7">
        <f t="shared" si="15"/>
        <v>10699.400000000001</v>
      </c>
    </row>
    <row r="505" spans="1:18" x14ac:dyDescent="0.35">
      <c r="A505" s="5">
        <v>499</v>
      </c>
      <c r="B505" t="s">
        <v>934</v>
      </c>
      <c r="C505" t="s">
        <v>935</v>
      </c>
      <c r="D505" t="s">
        <v>1485</v>
      </c>
      <c r="E505" t="s">
        <v>53</v>
      </c>
      <c r="F505" s="1">
        <v>37010</v>
      </c>
      <c r="G505" s="2">
        <v>2001</v>
      </c>
      <c r="H505">
        <v>2021</v>
      </c>
      <c r="I505" s="2">
        <v>20</v>
      </c>
      <c r="J505" s="7">
        <v>145559</v>
      </c>
      <c r="K505" t="s">
        <v>796</v>
      </c>
      <c r="L505">
        <v>2</v>
      </c>
      <c r="M505" t="s">
        <v>16</v>
      </c>
      <c r="N505" t="s">
        <v>17</v>
      </c>
      <c r="O505" t="s">
        <v>23</v>
      </c>
      <c r="P505" t="s">
        <v>1489</v>
      </c>
      <c r="Q505" s="7">
        <f t="shared" si="14"/>
        <v>1746708</v>
      </c>
      <c r="R505" s="7">
        <f t="shared" si="15"/>
        <v>14555.900000000001</v>
      </c>
    </row>
    <row r="506" spans="1:18" x14ac:dyDescent="0.35">
      <c r="A506" s="5">
        <v>500</v>
      </c>
      <c r="B506" t="s">
        <v>221</v>
      </c>
      <c r="C506" t="s">
        <v>936</v>
      </c>
      <c r="D506" t="s">
        <v>1485</v>
      </c>
      <c r="E506" t="s">
        <v>100</v>
      </c>
      <c r="F506" s="1">
        <v>36971</v>
      </c>
      <c r="G506" s="2">
        <v>2001</v>
      </c>
      <c r="H506">
        <v>2021</v>
      </c>
      <c r="I506" s="2">
        <v>20</v>
      </c>
      <c r="J506" s="7">
        <v>91994</v>
      </c>
      <c r="K506" t="s">
        <v>908</v>
      </c>
      <c r="L506">
        <v>5</v>
      </c>
      <c r="M506" t="s">
        <v>91</v>
      </c>
      <c r="N506" t="s">
        <v>40</v>
      </c>
      <c r="O506" t="s">
        <v>29</v>
      </c>
      <c r="P506" t="s">
        <v>1489</v>
      </c>
      <c r="Q506" s="7">
        <f t="shared" si="14"/>
        <v>1103928</v>
      </c>
      <c r="R506" s="7">
        <f t="shared" si="15"/>
        <v>9199.4</v>
      </c>
    </row>
    <row r="507" spans="1:18" x14ac:dyDescent="0.35">
      <c r="A507" s="5">
        <v>501</v>
      </c>
      <c r="B507" t="s">
        <v>864</v>
      </c>
      <c r="C507" t="s">
        <v>937</v>
      </c>
      <c r="D507" t="s">
        <v>1485</v>
      </c>
      <c r="E507" t="s">
        <v>238</v>
      </c>
      <c r="F507" s="1">
        <v>37108</v>
      </c>
      <c r="G507" s="2">
        <v>2001</v>
      </c>
      <c r="H507">
        <v>2021</v>
      </c>
      <c r="I507" s="2">
        <v>20</v>
      </c>
      <c r="J507" s="7">
        <v>138540</v>
      </c>
      <c r="K507" t="s">
        <v>938</v>
      </c>
      <c r="L507">
        <v>7</v>
      </c>
      <c r="M507" t="s">
        <v>39</v>
      </c>
      <c r="N507" t="s">
        <v>40</v>
      </c>
      <c r="O507" t="s">
        <v>63</v>
      </c>
      <c r="P507" t="s">
        <v>1489</v>
      </c>
      <c r="Q507" s="7">
        <f t="shared" si="14"/>
        <v>1662480</v>
      </c>
      <c r="R507" s="7">
        <f t="shared" si="15"/>
        <v>13854</v>
      </c>
    </row>
    <row r="508" spans="1:18" x14ac:dyDescent="0.35">
      <c r="A508" s="5">
        <v>502</v>
      </c>
      <c r="B508" t="s">
        <v>630</v>
      </c>
      <c r="C508" t="s">
        <v>939</v>
      </c>
      <c r="D508" t="s">
        <v>1486</v>
      </c>
      <c r="E508" t="s">
        <v>14</v>
      </c>
      <c r="F508" s="1">
        <v>45216</v>
      </c>
      <c r="G508" s="2">
        <v>2010</v>
      </c>
      <c r="H508">
        <v>2021</v>
      </c>
      <c r="I508" s="2">
        <v>11</v>
      </c>
      <c r="J508" s="7">
        <v>136034</v>
      </c>
      <c r="K508" t="s">
        <v>223</v>
      </c>
      <c r="L508">
        <v>4</v>
      </c>
      <c r="M508" t="s">
        <v>55</v>
      </c>
      <c r="N508" t="s">
        <v>17</v>
      </c>
      <c r="O508" t="s">
        <v>18</v>
      </c>
      <c r="P508" t="s">
        <v>1489</v>
      </c>
      <c r="Q508" s="7">
        <f t="shared" si="14"/>
        <v>1632408</v>
      </c>
      <c r="R508" s="7">
        <f t="shared" si="15"/>
        <v>13603.400000000001</v>
      </c>
    </row>
    <row r="509" spans="1:18" x14ac:dyDescent="0.35">
      <c r="A509" s="5">
        <v>503</v>
      </c>
      <c r="B509" t="s">
        <v>379</v>
      </c>
      <c r="C509" t="s">
        <v>940</v>
      </c>
      <c r="D509" t="s">
        <v>1486</v>
      </c>
      <c r="E509" t="s">
        <v>73</v>
      </c>
      <c r="F509" s="1">
        <v>38005</v>
      </c>
      <c r="G509" s="2">
        <v>2004</v>
      </c>
      <c r="H509">
        <v>2021</v>
      </c>
      <c r="I509" s="2">
        <v>17</v>
      </c>
      <c r="J509" s="7">
        <v>127291</v>
      </c>
      <c r="K509" t="s">
        <v>261</v>
      </c>
      <c r="L509">
        <v>7</v>
      </c>
      <c r="M509" t="s">
        <v>39</v>
      </c>
      <c r="N509" t="s">
        <v>40</v>
      </c>
      <c r="O509" t="s">
        <v>41</v>
      </c>
      <c r="P509" t="s">
        <v>1489</v>
      </c>
      <c r="Q509" s="7">
        <f t="shared" si="14"/>
        <v>1527492</v>
      </c>
      <c r="R509" s="7">
        <f t="shared" si="15"/>
        <v>12729.1</v>
      </c>
    </row>
    <row r="510" spans="1:18" x14ac:dyDescent="0.35">
      <c r="A510" s="5">
        <v>504</v>
      </c>
      <c r="B510" t="s">
        <v>127</v>
      </c>
      <c r="C510" t="s">
        <v>941</v>
      </c>
      <c r="D510" t="s">
        <v>1485</v>
      </c>
      <c r="E510" t="s">
        <v>100</v>
      </c>
      <c r="F510" s="1">
        <v>36604</v>
      </c>
      <c r="G510" s="2">
        <v>2000</v>
      </c>
      <c r="H510">
        <v>2021</v>
      </c>
      <c r="I510" s="2">
        <v>21</v>
      </c>
      <c r="J510" s="7">
        <v>131283</v>
      </c>
      <c r="K510" t="s">
        <v>669</v>
      </c>
      <c r="L510">
        <v>4</v>
      </c>
      <c r="M510" t="s">
        <v>55</v>
      </c>
      <c r="N510" t="s">
        <v>17</v>
      </c>
      <c r="O510" t="s">
        <v>29</v>
      </c>
      <c r="P510" t="s">
        <v>1489</v>
      </c>
      <c r="Q510" s="7">
        <f t="shared" si="14"/>
        <v>1575396</v>
      </c>
      <c r="R510" s="7">
        <f t="shared" si="15"/>
        <v>13128.300000000001</v>
      </c>
    </row>
    <row r="511" spans="1:18" x14ac:dyDescent="0.35">
      <c r="A511" s="5">
        <v>505</v>
      </c>
      <c r="B511" t="s">
        <v>560</v>
      </c>
      <c r="C511" t="s">
        <v>942</v>
      </c>
      <c r="D511" t="s">
        <v>1485</v>
      </c>
      <c r="E511" t="s">
        <v>14</v>
      </c>
      <c r="F511" s="1">
        <v>38523</v>
      </c>
      <c r="G511" s="2">
        <v>2005</v>
      </c>
      <c r="H511">
        <v>2021</v>
      </c>
      <c r="I511" s="2">
        <v>16</v>
      </c>
      <c r="J511" s="7">
        <v>122108</v>
      </c>
      <c r="K511" t="s">
        <v>430</v>
      </c>
      <c r="L511">
        <v>7</v>
      </c>
      <c r="M511" t="s">
        <v>39</v>
      </c>
      <c r="N511" t="s">
        <v>40</v>
      </c>
      <c r="O511" t="s">
        <v>18</v>
      </c>
      <c r="P511" t="s">
        <v>1489</v>
      </c>
      <c r="Q511" s="7">
        <f t="shared" si="14"/>
        <v>1465296</v>
      </c>
      <c r="R511" s="7">
        <f t="shared" si="15"/>
        <v>12210.800000000001</v>
      </c>
    </row>
    <row r="512" spans="1:18" x14ac:dyDescent="0.35">
      <c r="A512" s="5">
        <v>506</v>
      </c>
      <c r="B512" t="s">
        <v>943</v>
      </c>
      <c r="C512" t="s">
        <v>944</v>
      </c>
      <c r="D512" t="s">
        <v>1486</v>
      </c>
      <c r="E512" t="s">
        <v>89</v>
      </c>
      <c r="F512" s="1">
        <v>44197</v>
      </c>
      <c r="G512" s="2">
        <v>2008</v>
      </c>
      <c r="H512">
        <v>2021</v>
      </c>
      <c r="I512" s="2">
        <v>13</v>
      </c>
      <c r="J512" s="7">
        <v>49048</v>
      </c>
      <c r="K512" t="s">
        <v>58</v>
      </c>
      <c r="L512">
        <v>1</v>
      </c>
      <c r="M512" t="s">
        <v>46</v>
      </c>
      <c r="N512" t="s">
        <v>17</v>
      </c>
      <c r="O512" t="s">
        <v>41</v>
      </c>
      <c r="P512" t="s">
        <v>1489</v>
      </c>
      <c r="Q512" s="7">
        <f t="shared" si="14"/>
        <v>588576</v>
      </c>
      <c r="R512" s="7">
        <f t="shared" si="15"/>
        <v>4904.8</v>
      </c>
    </row>
    <row r="513" spans="1:18" x14ac:dyDescent="0.35">
      <c r="A513" s="5">
        <v>507</v>
      </c>
      <c r="B513" t="s">
        <v>140</v>
      </c>
      <c r="C513" t="s">
        <v>945</v>
      </c>
      <c r="D513" t="s">
        <v>1486</v>
      </c>
      <c r="E513" t="s">
        <v>73</v>
      </c>
      <c r="F513" s="1">
        <v>45962</v>
      </c>
      <c r="G513" s="2">
        <v>2012</v>
      </c>
      <c r="H513">
        <v>2021</v>
      </c>
      <c r="I513" s="2">
        <v>9</v>
      </c>
      <c r="J513" s="7">
        <v>97427</v>
      </c>
      <c r="K513" t="s">
        <v>209</v>
      </c>
      <c r="L513">
        <v>6</v>
      </c>
      <c r="M513" t="s">
        <v>50</v>
      </c>
      <c r="N513" t="s">
        <v>40</v>
      </c>
      <c r="O513" t="s">
        <v>41</v>
      </c>
      <c r="P513" t="s">
        <v>1489</v>
      </c>
      <c r="Q513" s="7">
        <f t="shared" si="14"/>
        <v>1169124</v>
      </c>
      <c r="R513" s="7">
        <f t="shared" si="15"/>
        <v>9742.7000000000007</v>
      </c>
    </row>
    <row r="514" spans="1:18" x14ac:dyDescent="0.35">
      <c r="A514" s="5">
        <v>508</v>
      </c>
      <c r="B514" t="s">
        <v>596</v>
      </c>
      <c r="C514" t="s">
        <v>946</v>
      </c>
      <c r="D514" t="s">
        <v>1485</v>
      </c>
      <c r="E514" t="s">
        <v>14</v>
      </c>
      <c r="F514" s="1">
        <v>39216</v>
      </c>
      <c r="G514" s="2">
        <v>2007</v>
      </c>
      <c r="H514">
        <v>2021</v>
      </c>
      <c r="I514" s="2">
        <v>14</v>
      </c>
      <c r="J514" s="7">
        <v>90960</v>
      </c>
      <c r="K514" t="s">
        <v>250</v>
      </c>
      <c r="L514">
        <v>7</v>
      </c>
      <c r="M514" t="s">
        <v>39</v>
      </c>
      <c r="N514" t="s">
        <v>40</v>
      </c>
      <c r="O514" t="s">
        <v>18</v>
      </c>
      <c r="P514" t="s">
        <v>1489</v>
      </c>
      <c r="Q514" s="7">
        <f t="shared" si="14"/>
        <v>1091520</v>
      </c>
      <c r="R514" s="7">
        <f t="shared" si="15"/>
        <v>9096</v>
      </c>
    </row>
    <row r="515" spans="1:18" x14ac:dyDescent="0.35">
      <c r="A515" s="5">
        <v>509</v>
      </c>
      <c r="B515" t="s">
        <v>548</v>
      </c>
      <c r="C515" t="s">
        <v>947</v>
      </c>
      <c r="D515" t="s">
        <v>1485</v>
      </c>
      <c r="E515" t="s">
        <v>203</v>
      </c>
      <c r="F515" s="1">
        <v>40907</v>
      </c>
      <c r="G515" s="2">
        <v>2011</v>
      </c>
      <c r="H515">
        <v>2021</v>
      </c>
      <c r="I515" s="2">
        <v>10</v>
      </c>
      <c r="J515" s="7">
        <v>43986</v>
      </c>
      <c r="K515" t="s">
        <v>938</v>
      </c>
      <c r="L515">
        <v>3</v>
      </c>
      <c r="M515" t="s">
        <v>28</v>
      </c>
      <c r="N515" t="s">
        <v>17</v>
      </c>
      <c r="O515" t="s">
        <v>41</v>
      </c>
      <c r="P515" t="s">
        <v>1489</v>
      </c>
      <c r="Q515" s="7">
        <f t="shared" si="14"/>
        <v>527832</v>
      </c>
      <c r="R515" s="7">
        <f t="shared" si="15"/>
        <v>4398.6000000000004</v>
      </c>
    </row>
    <row r="516" spans="1:18" x14ac:dyDescent="0.35">
      <c r="A516" s="5">
        <v>510</v>
      </c>
      <c r="B516" t="s">
        <v>170</v>
      </c>
      <c r="C516" t="s">
        <v>948</v>
      </c>
      <c r="D516" t="s">
        <v>1485</v>
      </c>
      <c r="E516" t="s">
        <v>148</v>
      </c>
      <c r="F516" s="1">
        <v>41964</v>
      </c>
      <c r="G516" s="2">
        <v>2014</v>
      </c>
      <c r="H516">
        <v>2021</v>
      </c>
      <c r="I516" s="2">
        <v>7</v>
      </c>
      <c r="J516" s="7">
        <v>108748</v>
      </c>
      <c r="K516" t="s">
        <v>181</v>
      </c>
      <c r="L516">
        <v>4</v>
      </c>
      <c r="M516" t="s">
        <v>55</v>
      </c>
      <c r="N516" t="s">
        <v>17</v>
      </c>
      <c r="O516" t="s">
        <v>112</v>
      </c>
      <c r="P516" t="s">
        <v>1489</v>
      </c>
      <c r="Q516" s="7">
        <f t="shared" si="14"/>
        <v>1304976</v>
      </c>
      <c r="R516" s="7">
        <f t="shared" si="15"/>
        <v>10874.800000000001</v>
      </c>
    </row>
    <row r="517" spans="1:18" x14ac:dyDescent="0.35">
      <c r="A517" s="5">
        <v>511</v>
      </c>
      <c r="B517" t="s">
        <v>80</v>
      </c>
      <c r="C517" t="s">
        <v>949</v>
      </c>
      <c r="D517" t="s">
        <v>1486</v>
      </c>
      <c r="E517" t="s">
        <v>100</v>
      </c>
      <c r="F517" s="1">
        <v>39054</v>
      </c>
      <c r="G517" s="2">
        <v>2006</v>
      </c>
      <c r="H517">
        <v>2021</v>
      </c>
      <c r="I517" s="2">
        <v>15</v>
      </c>
      <c r="J517" s="7">
        <v>102149</v>
      </c>
      <c r="K517" t="s">
        <v>62</v>
      </c>
      <c r="L517">
        <v>5</v>
      </c>
      <c r="M517" t="s">
        <v>91</v>
      </c>
      <c r="N517" t="s">
        <v>40</v>
      </c>
      <c r="O517" t="s">
        <v>29</v>
      </c>
      <c r="P517" t="s">
        <v>1489</v>
      </c>
      <c r="Q517" s="7">
        <f t="shared" si="14"/>
        <v>1225788</v>
      </c>
      <c r="R517" s="7">
        <f t="shared" si="15"/>
        <v>10214.900000000001</v>
      </c>
    </row>
    <row r="518" spans="1:18" x14ac:dyDescent="0.35">
      <c r="A518" s="5">
        <v>512</v>
      </c>
      <c r="B518" t="s">
        <v>845</v>
      </c>
      <c r="C518" t="s">
        <v>950</v>
      </c>
      <c r="D518" t="s">
        <v>1485</v>
      </c>
      <c r="E518" t="s">
        <v>148</v>
      </c>
      <c r="F518" s="1">
        <v>39612</v>
      </c>
      <c r="G518" s="2">
        <v>2008</v>
      </c>
      <c r="H518">
        <v>2021</v>
      </c>
      <c r="I518" s="2">
        <v>13</v>
      </c>
      <c r="J518" s="7">
        <v>133360</v>
      </c>
      <c r="K518" t="s">
        <v>370</v>
      </c>
      <c r="L518">
        <v>7</v>
      </c>
      <c r="M518" t="s">
        <v>39</v>
      </c>
      <c r="N518" t="s">
        <v>40</v>
      </c>
      <c r="O518" t="s">
        <v>112</v>
      </c>
      <c r="P518" t="s">
        <v>1489</v>
      </c>
      <c r="Q518" s="7">
        <f t="shared" si="14"/>
        <v>1600320</v>
      </c>
      <c r="R518" s="7">
        <f t="shared" si="15"/>
        <v>13336</v>
      </c>
    </row>
    <row r="519" spans="1:18" x14ac:dyDescent="0.35">
      <c r="A519" s="5">
        <v>513</v>
      </c>
      <c r="B519" t="s">
        <v>657</v>
      </c>
      <c r="C519" t="s">
        <v>951</v>
      </c>
      <c r="D519" t="s">
        <v>1486</v>
      </c>
      <c r="E519" t="s">
        <v>110</v>
      </c>
      <c r="F519" s="1">
        <v>38177</v>
      </c>
      <c r="G519" s="2">
        <v>2004</v>
      </c>
      <c r="H519">
        <v>2021</v>
      </c>
      <c r="I519" s="2">
        <v>17</v>
      </c>
      <c r="J519" s="7">
        <v>70814</v>
      </c>
      <c r="K519" t="s">
        <v>952</v>
      </c>
      <c r="L519">
        <v>4</v>
      </c>
      <c r="M519" t="s">
        <v>55</v>
      </c>
      <c r="N519" t="s">
        <v>17</v>
      </c>
      <c r="O519" t="s">
        <v>112</v>
      </c>
      <c r="P519" t="s">
        <v>1489</v>
      </c>
      <c r="Q519" s="7">
        <f t="shared" ref="Q519:Q582" si="16">J519*12</f>
        <v>849768</v>
      </c>
      <c r="R519" s="7">
        <f t="shared" ref="R519:R582" si="17">J519*10%</f>
        <v>7081.4000000000005</v>
      </c>
    </row>
    <row r="520" spans="1:18" x14ac:dyDescent="0.35">
      <c r="A520" s="5">
        <v>514</v>
      </c>
      <c r="B520" t="s">
        <v>698</v>
      </c>
      <c r="C520" t="s">
        <v>953</v>
      </c>
      <c r="D520" t="s">
        <v>1485</v>
      </c>
      <c r="E520" t="s">
        <v>37</v>
      </c>
      <c r="F520" s="1">
        <v>40530</v>
      </c>
      <c r="G520" s="2">
        <v>2010</v>
      </c>
      <c r="H520">
        <v>2021</v>
      </c>
      <c r="I520" s="2">
        <v>11</v>
      </c>
      <c r="J520" s="7">
        <v>132037</v>
      </c>
      <c r="K520" t="s">
        <v>954</v>
      </c>
      <c r="L520">
        <v>6</v>
      </c>
      <c r="M520" t="s">
        <v>50</v>
      </c>
      <c r="N520" t="s">
        <v>40</v>
      </c>
      <c r="O520" t="s">
        <v>41</v>
      </c>
      <c r="P520" t="s">
        <v>1489</v>
      </c>
      <c r="Q520" s="7">
        <f t="shared" si="16"/>
        <v>1584444</v>
      </c>
      <c r="R520" s="7">
        <f t="shared" si="17"/>
        <v>13203.7</v>
      </c>
    </row>
    <row r="521" spans="1:18" x14ac:dyDescent="0.35">
      <c r="A521" s="5">
        <v>515</v>
      </c>
      <c r="B521" t="s">
        <v>275</v>
      </c>
      <c r="C521" t="s">
        <v>955</v>
      </c>
      <c r="D521" t="s">
        <v>1485</v>
      </c>
      <c r="E521" t="s">
        <v>69</v>
      </c>
      <c r="F521" s="1">
        <v>37377</v>
      </c>
      <c r="G521" s="2">
        <v>2002</v>
      </c>
      <c r="H521">
        <v>2021</v>
      </c>
      <c r="I521" s="2">
        <v>19</v>
      </c>
      <c r="J521" s="7">
        <v>55747</v>
      </c>
      <c r="K521" t="s">
        <v>449</v>
      </c>
      <c r="L521">
        <v>1</v>
      </c>
      <c r="M521" t="s">
        <v>46</v>
      </c>
      <c r="N521" t="s">
        <v>17</v>
      </c>
      <c r="O521" t="s">
        <v>41</v>
      </c>
      <c r="P521" t="s">
        <v>1489</v>
      </c>
      <c r="Q521" s="7">
        <f t="shared" si="16"/>
        <v>668964</v>
      </c>
      <c r="R521" s="7">
        <f t="shared" si="17"/>
        <v>5574.7000000000007</v>
      </c>
    </row>
    <row r="522" spans="1:18" x14ac:dyDescent="0.35">
      <c r="A522" s="5">
        <v>516</v>
      </c>
      <c r="B522" t="s">
        <v>494</v>
      </c>
      <c r="C522" t="s">
        <v>956</v>
      </c>
      <c r="D522" t="s">
        <v>1486</v>
      </c>
      <c r="E522" t="s">
        <v>53</v>
      </c>
      <c r="F522" s="1">
        <v>38877</v>
      </c>
      <c r="G522" s="2">
        <v>2006</v>
      </c>
      <c r="H522">
        <v>2021</v>
      </c>
      <c r="I522" s="2">
        <v>15</v>
      </c>
      <c r="J522" s="7">
        <v>89324</v>
      </c>
      <c r="K522" t="s">
        <v>456</v>
      </c>
      <c r="L522">
        <v>3</v>
      </c>
      <c r="M522" t="s">
        <v>28</v>
      </c>
      <c r="N522" t="s">
        <v>17</v>
      </c>
      <c r="O522" t="s">
        <v>23</v>
      </c>
      <c r="P522" t="s">
        <v>1489</v>
      </c>
      <c r="Q522" s="7">
        <f t="shared" si="16"/>
        <v>1071888</v>
      </c>
      <c r="R522" s="7">
        <f t="shared" si="17"/>
        <v>8932.4</v>
      </c>
    </row>
    <row r="523" spans="1:18" x14ac:dyDescent="0.35">
      <c r="A523" s="5">
        <v>517</v>
      </c>
      <c r="B523" t="s">
        <v>845</v>
      </c>
      <c r="C523" t="s">
        <v>957</v>
      </c>
      <c r="D523" t="s">
        <v>1485</v>
      </c>
      <c r="E523" t="s">
        <v>14</v>
      </c>
      <c r="F523" s="1">
        <v>40582</v>
      </c>
      <c r="G523" s="2">
        <v>2011</v>
      </c>
      <c r="H523">
        <v>2021</v>
      </c>
      <c r="I523" s="2">
        <v>10</v>
      </c>
      <c r="J523" s="7">
        <v>124418</v>
      </c>
      <c r="K523" t="s">
        <v>958</v>
      </c>
      <c r="L523">
        <v>7</v>
      </c>
      <c r="M523" t="s">
        <v>39</v>
      </c>
      <c r="N523" t="s">
        <v>40</v>
      </c>
      <c r="O523" t="s">
        <v>18</v>
      </c>
      <c r="P523" t="s">
        <v>1489</v>
      </c>
      <c r="Q523" s="7">
        <f t="shared" si="16"/>
        <v>1493016</v>
      </c>
      <c r="R523" s="7">
        <f t="shared" si="17"/>
        <v>12441.800000000001</v>
      </c>
    </row>
    <row r="524" spans="1:18" x14ac:dyDescent="0.35">
      <c r="A524" s="5">
        <v>518</v>
      </c>
      <c r="B524" t="s">
        <v>698</v>
      </c>
      <c r="C524" t="s">
        <v>959</v>
      </c>
      <c r="D524" t="s">
        <v>1486</v>
      </c>
      <c r="E524" t="s">
        <v>37</v>
      </c>
      <c r="F524" s="1">
        <v>38711</v>
      </c>
      <c r="G524" s="2">
        <v>2005</v>
      </c>
      <c r="H524">
        <v>2021</v>
      </c>
      <c r="I524" s="2">
        <v>16</v>
      </c>
      <c r="J524" s="7">
        <v>138093</v>
      </c>
      <c r="K524" t="s">
        <v>449</v>
      </c>
      <c r="L524">
        <v>3</v>
      </c>
      <c r="M524" t="s">
        <v>28</v>
      </c>
      <c r="N524" t="s">
        <v>17</v>
      </c>
      <c r="O524" t="s">
        <v>41</v>
      </c>
      <c r="P524" t="s">
        <v>1489</v>
      </c>
      <c r="Q524" s="7">
        <f t="shared" si="16"/>
        <v>1657116</v>
      </c>
      <c r="R524" s="7">
        <f t="shared" si="17"/>
        <v>13809.300000000001</v>
      </c>
    </row>
    <row r="525" spans="1:18" x14ac:dyDescent="0.35">
      <c r="A525" s="5">
        <v>519</v>
      </c>
      <c r="B525" t="s">
        <v>273</v>
      </c>
      <c r="C525" t="s">
        <v>960</v>
      </c>
      <c r="D525" t="s">
        <v>1485</v>
      </c>
      <c r="E525" t="s">
        <v>94</v>
      </c>
      <c r="F525" s="1">
        <v>37859</v>
      </c>
      <c r="G525" s="2">
        <v>2003</v>
      </c>
      <c r="H525">
        <v>2021</v>
      </c>
      <c r="I525" s="2">
        <v>18</v>
      </c>
      <c r="J525" s="7">
        <v>141340</v>
      </c>
      <c r="K525" t="s">
        <v>916</v>
      </c>
      <c r="L525">
        <v>4</v>
      </c>
      <c r="M525" t="s">
        <v>55</v>
      </c>
      <c r="N525" t="s">
        <v>17</v>
      </c>
      <c r="O525" t="s">
        <v>18</v>
      </c>
      <c r="P525" t="s">
        <v>1489</v>
      </c>
      <c r="Q525" s="7">
        <f t="shared" si="16"/>
        <v>1696080</v>
      </c>
      <c r="R525" s="7">
        <f t="shared" si="17"/>
        <v>14134</v>
      </c>
    </row>
    <row r="526" spans="1:18" x14ac:dyDescent="0.35">
      <c r="A526" s="5">
        <v>520</v>
      </c>
      <c r="B526" t="s">
        <v>118</v>
      </c>
      <c r="C526" t="s">
        <v>961</v>
      </c>
      <c r="D526" t="s">
        <v>1485</v>
      </c>
      <c r="E526" t="s">
        <v>100</v>
      </c>
      <c r="F526" s="1">
        <v>38870</v>
      </c>
      <c r="G526" s="2">
        <v>2006</v>
      </c>
      <c r="H526">
        <v>2021</v>
      </c>
      <c r="I526" s="2">
        <v>15</v>
      </c>
      <c r="J526" s="7">
        <v>54672</v>
      </c>
      <c r="K526" t="s">
        <v>15</v>
      </c>
      <c r="L526">
        <v>4</v>
      </c>
      <c r="M526" t="s">
        <v>55</v>
      </c>
      <c r="N526" t="s">
        <v>17</v>
      </c>
      <c r="O526" t="s">
        <v>29</v>
      </c>
      <c r="P526" t="s">
        <v>1489</v>
      </c>
      <c r="Q526" s="7">
        <f t="shared" si="16"/>
        <v>656064</v>
      </c>
      <c r="R526" s="7">
        <f t="shared" si="17"/>
        <v>5467.2000000000007</v>
      </c>
    </row>
    <row r="527" spans="1:18" x14ac:dyDescent="0.35">
      <c r="A527" s="5">
        <v>521</v>
      </c>
      <c r="B527" t="s">
        <v>47</v>
      </c>
      <c r="C527" t="s">
        <v>962</v>
      </c>
      <c r="D527" t="s">
        <v>1485</v>
      </c>
      <c r="E527" t="s">
        <v>69</v>
      </c>
      <c r="F527" s="1">
        <v>37900</v>
      </c>
      <c r="G527" s="2">
        <v>2003</v>
      </c>
      <c r="H527">
        <v>2021</v>
      </c>
      <c r="I527" s="2">
        <v>18</v>
      </c>
      <c r="J527" s="7">
        <v>118602</v>
      </c>
      <c r="K527" t="s">
        <v>242</v>
      </c>
      <c r="L527">
        <v>5</v>
      </c>
      <c r="M527" t="s">
        <v>91</v>
      </c>
      <c r="N527" t="s">
        <v>40</v>
      </c>
      <c r="O527" t="s">
        <v>41</v>
      </c>
      <c r="P527" t="s">
        <v>1489</v>
      </c>
      <c r="Q527" s="7">
        <f t="shared" si="16"/>
        <v>1423224</v>
      </c>
      <c r="R527" s="7">
        <f t="shared" si="17"/>
        <v>11860.2</v>
      </c>
    </row>
    <row r="528" spans="1:18" x14ac:dyDescent="0.35">
      <c r="A528" s="5">
        <v>522</v>
      </c>
      <c r="B528" t="s">
        <v>963</v>
      </c>
      <c r="C528" t="s">
        <v>964</v>
      </c>
      <c r="D528" t="s">
        <v>1485</v>
      </c>
      <c r="E528" t="s">
        <v>32</v>
      </c>
      <c r="F528" s="1">
        <v>36560</v>
      </c>
      <c r="G528" s="2">
        <v>2000</v>
      </c>
      <c r="H528">
        <v>2021</v>
      </c>
      <c r="I528" s="3">
        <v>21</v>
      </c>
      <c r="J528" s="7">
        <v>97745</v>
      </c>
      <c r="K528" t="s">
        <v>169</v>
      </c>
      <c r="L528">
        <v>7</v>
      </c>
      <c r="M528" t="s">
        <v>39</v>
      </c>
      <c r="N528" t="s">
        <v>40</v>
      </c>
      <c r="O528" t="s">
        <v>34</v>
      </c>
      <c r="P528" t="s">
        <v>1489</v>
      </c>
      <c r="Q528" s="7">
        <f t="shared" si="16"/>
        <v>1172940</v>
      </c>
      <c r="R528" s="7">
        <f t="shared" si="17"/>
        <v>9774.5</v>
      </c>
    </row>
    <row r="529" spans="1:18" x14ac:dyDescent="0.35">
      <c r="A529" s="5">
        <v>523</v>
      </c>
      <c r="B529" t="s">
        <v>594</v>
      </c>
      <c r="C529" t="s">
        <v>965</v>
      </c>
      <c r="D529" t="s">
        <v>1486</v>
      </c>
      <c r="E529" t="s">
        <v>203</v>
      </c>
      <c r="F529" s="1">
        <v>45818</v>
      </c>
      <c r="G529" s="2">
        <v>2012</v>
      </c>
      <c r="H529">
        <v>2021</v>
      </c>
      <c r="I529" s="2">
        <v>9</v>
      </c>
      <c r="J529" s="7">
        <v>143855</v>
      </c>
      <c r="K529" t="s">
        <v>510</v>
      </c>
      <c r="L529">
        <v>5</v>
      </c>
      <c r="M529" t="s">
        <v>91</v>
      </c>
      <c r="N529" t="s">
        <v>40</v>
      </c>
      <c r="O529" t="s">
        <v>41</v>
      </c>
      <c r="P529" t="s">
        <v>1489</v>
      </c>
      <c r="Q529" s="7">
        <f t="shared" si="16"/>
        <v>1726260</v>
      </c>
      <c r="R529" s="7">
        <f t="shared" si="17"/>
        <v>14385.5</v>
      </c>
    </row>
    <row r="530" spans="1:18" x14ac:dyDescent="0.35">
      <c r="A530" s="5">
        <v>524</v>
      </c>
      <c r="B530" t="s">
        <v>667</v>
      </c>
      <c r="C530" t="s">
        <v>966</v>
      </c>
      <c r="D530" t="s">
        <v>1486</v>
      </c>
      <c r="E530" t="s">
        <v>203</v>
      </c>
      <c r="F530" s="1">
        <v>44727</v>
      </c>
      <c r="G530" s="2">
        <v>2009</v>
      </c>
      <c r="H530">
        <v>2021</v>
      </c>
      <c r="I530" s="2">
        <v>12</v>
      </c>
      <c r="J530" s="7">
        <v>43431</v>
      </c>
      <c r="K530" t="s">
        <v>299</v>
      </c>
      <c r="L530">
        <v>6</v>
      </c>
      <c r="M530" t="s">
        <v>50</v>
      </c>
      <c r="N530" t="s">
        <v>40</v>
      </c>
      <c r="O530" t="s">
        <v>41</v>
      </c>
      <c r="P530" t="s">
        <v>1489</v>
      </c>
      <c r="Q530" s="7">
        <f t="shared" si="16"/>
        <v>521172</v>
      </c>
      <c r="R530" s="7">
        <f t="shared" si="17"/>
        <v>4343.1000000000004</v>
      </c>
    </row>
    <row r="531" spans="1:18" x14ac:dyDescent="0.35">
      <c r="A531" s="5">
        <v>525</v>
      </c>
      <c r="B531" t="s">
        <v>791</v>
      </c>
      <c r="C531" t="s">
        <v>967</v>
      </c>
      <c r="D531" t="s">
        <v>1486</v>
      </c>
      <c r="E531" t="s">
        <v>44</v>
      </c>
      <c r="F531" s="1">
        <v>37316</v>
      </c>
      <c r="G531" s="2">
        <v>2002</v>
      </c>
      <c r="H531">
        <v>2021</v>
      </c>
      <c r="I531" s="2">
        <v>19</v>
      </c>
      <c r="J531" s="7">
        <v>94016</v>
      </c>
      <c r="K531" t="s">
        <v>97</v>
      </c>
      <c r="L531">
        <v>2</v>
      </c>
      <c r="M531" t="s">
        <v>16</v>
      </c>
      <c r="N531" t="s">
        <v>17</v>
      </c>
      <c r="O531" t="s">
        <v>29</v>
      </c>
      <c r="P531" t="s">
        <v>1489</v>
      </c>
      <c r="Q531" s="7">
        <f t="shared" si="16"/>
        <v>1128192</v>
      </c>
      <c r="R531" s="7">
        <f t="shared" si="17"/>
        <v>9401.6</v>
      </c>
    </row>
    <row r="532" spans="1:18" x14ac:dyDescent="0.35">
      <c r="A532" s="5">
        <v>526</v>
      </c>
      <c r="B532" t="s">
        <v>159</v>
      </c>
      <c r="C532" t="s">
        <v>968</v>
      </c>
      <c r="D532" t="s">
        <v>1486</v>
      </c>
      <c r="E532" t="s">
        <v>73</v>
      </c>
      <c r="F532" s="1">
        <v>45544</v>
      </c>
      <c r="G532" s="2">
        <v>2011</v>
      </c>
      <c r="H532">
        <v>2021</v>
      </c>
      <c r="I532" s="2">
        <v>10</v>
      </c>
      <c r="J532" s="7">
        <v>66847</v>
      </c>
      <c r="K532" t="s">
        <v>142</v>
      </c>
      <c r="L532">
        <v>2</v>
      </c>
      <c r="M532" t="s">
        <v>16</v>
      </c>
      <c r="N532" t="s">
        <v>17</v>
      </c>
      <c r="O532" t="s">
        <v>41</v>
      </c>
      <c r="P532" t="s">
        <v>1489</v>
      </c>
      <c r="Q532" s="7">
        <f t="shared" si="16"/>
        <v>802164</v>
      </c>
      <c r="R532" s="7">
        <f t="shared" si="17"/>
        <v>6684.7000000000007</v>
      </c>
    </row>
    <row r="533" spans="1:18" x14ac:dyDescent="0.35">
      <c r="A533" s="5">
        <v>527</v>
      </c>
      <c r="B533" t="s">
        <v>969</v>
      </c>
      <c r="C533" t="s">
        <v>970</v>
      </c>
      <c r="D533" t="s">
        <v>1485</v>
      </c>
      <c r="E533" t="s">
        <v>69</v>
      </c>
      <c r="F533" s="1">
        <v>38462</v>
      </c>
      <c r="G533" s="2">
        <v>2005</v>
      </c>
      <c r="H533">
        <v>2021</v>
      </c>
      <c r="I533" s="2">
        <v>16</v>
      </c>
      <c r="J533" s="7">
        <v>69705</v>
      </c>
      <c r="K533" t="s">
        <v>107</v>
      </c>
      <c r="L533">
        <v>3</v>
      </c>
      <c r="M533" t="s">
        <v>28</v>
      </c>
      <c r="N533" t="s">
        <v>17</v>
      </c>
      <c r="O533" t="s">
        <v>41</v>
      </c>
      <c r="P533" t="s">
        <v>1489</v>
      </c>
      <c r="Q533" s="7">
        <f t="shared" si="16"/>
        <v>836460</v>
      </c>
      <c r="R533" s="7">
        <f t="shared" si="17"/>
        <v>6970.5</v>
      </c>
    </row>
    <row r="534" spans="1:18" x14ac:dyDescent="0.35">
      <c r="A534" s="5">
        <v>528</v>
      </c>
      <c r="B534" t="s">
        <v>882</v>
      </c>
      <c r="C534" t="s">
        <v>971</v>
      </c>
      <c r="D534" t="s">
        <v>1485</v>
      </c>
      <c r="E534" t="s">
        <v>21</v>
      </c>
      <c r="F534" s="1">
        <v>40947</v>
      </c>
      <c r="G534" s="2">
        <v>2012</v>
      </c>
      <c r="H534">
        <v>2021</v>
      </c>
      <c r="I534" s="2">
        <v>9</v>
      </c>
      <c r="J534" s="7">
        <v>96739</v>
      </c>
      <c r="K534" t="s">
        <v>223</v>
      </c>
      <c r="L534">
        <v>2</v>
      </c>
      <c r="M534" t="s">
        <v>16</v>
      </c>
      <c r="N534" t="s">
        <v>17</v>
      </c>
      <c r="O534" t="s">
        <v>23</v>
      </c>
      <c r="P534" t="s">
        <v>1489</v>
      </c>
      <c r="Q534" s="7">
        <f t="shared" si="16"/>
        <v>1160868</v>
      </c>
      <c r="R534" s="7">
        <f t="shared" si="17"/>
        <v>9673.9</v>
      </c>
    </row>
    <row r="535" spans="1:18" x14ac:dyDescent="0.35">
      <c r="A535" s="5">
        <v>529</v>
      </c>
      <c r="B535" t="s">
        <v>407</v>
      </c>
      <c r="C535" t="s">
        <v>972</v>
      </c>
      <c r="D535" t="s">
        <v>1486</v>
      </c>
      <c r="E535" t="s">
        <v>110</v>
      </c>
      <c r="F535" s="1">
        <v>38961</v>
      </c>
      <c r="G535" s="2">
        <v>2006</v>
      </c>
      <c r="H535">
        <v>2021</v>
      </c>
      <c r="I535" s="2">
        <v>15</v>
      </c>
      <c r="J535" s="7">
        <v>52956</v>
      </c>
      <c r="K535" t="s">
        <v>107</v>
      </c>
      <c r="L535">
        <v>3</v>
      </c>
      <c r="M535" t="s">
        <v>28</v>
      </c>
      <c r="N535" t="s">
        <v>17</v>
      </c>
      <c r="O535" t="s">
        <v>112</v>
      </c>
      <c r="P535" t="s">
        <v>1489</v>
      </c>
      <c r="Q535" s="7">
        <f t="shared" si="16"/>
        <v>635472</v>
      </c>
      <c r="R535" s="7">
        <f t="shared" si="17"/>
        <v>5295.6</v>
      </c>
    </row>
    <row r="536" spans="1:18" x14ac:dyDescent="0.35">
      <c r="A536" s="5">
        <v>530</v>
      </c>
      <c r="B536" t="s">
        <v>973</v>
      </c>
      <c r="C536" t="s">
        <v>974</v>
      </c>
      <c r="D536" t="s">
        <v>1486</v>
      </c>
      <c r="E536" t="s">
        <v>14</v>
      </c>
      <c r="F536" s="1">
        <v>46005</v>
      </c>
      <c r="G536" s="2">
        <v>2012</v>
      </c>
      <c r="H536">
        <v>2021</v>
      </c>
      <c r="I536" s="2">
        <v>9</v>
      </c>
      <c r="J536" s="7">
        <v>71559</v>
      </c>
      <c r="K536" t="s">
        <v>145</v>
      </c>
      <c r="L536">
        <v>1</v>
      </c>
      <c r="M536" t="s">
        <v>46</v>
      </c>
      <c r="N536" t="s">
        <v>17</v>
      </c>
      <c r="O536" t="s">
        <v>18</v>
      </c>
      <c r="P536" t="s">
        <v>1489</v>
      </c>
      <c r="Q536" s="7">
        <f t="shared" si="16"/>
        <v>858708</v>
      </c>
      <c r="R536" s="7">
        <f t="shared" si="17"/>
        <v>7155.9000000000005</v>
      </c>
    </row>
    <row r="537" spans="1:18" x14ac:dyDescent="0.35">
      <c r="A537" s="5">
        <v>531</v>
      </c>
      <c r="B537" t="s">
        <v>720</v>
      </c>
      <c r="C537" t="s">
        <v>975</v>
      </c>
      <c r="D537" t="s">
        <v>1485</v>
      </c>
      <c r="E537" t="s">
        <v>89</v>
      </c>
      <c r="F537" s="1">
        <v>40499</v>
      </c>
      <c r="G537" s="2">
        <v>2010</v>
      </c>
      <c r="H537">
        <v>2021</v>
      </c>
      <c r="I537" s="2">
        <v>11</v>
      </c>
      <c r="J537" s="7">
        <v>143226</v>
      </c>
      <c r="K537" t="s">
        <v>613</v>
      </c>
      <c r="L537">
        <v>7</v>
      </c>
      <c r="M537" t="s">
        <v>39</v>
      </c>
      <c r="N537" t="s">
        <v>40</v>
      </c>
      <c r="O537" t="s">
        <v>41</v>
      </c>
      <c r="P537" t="s">
        <v>1489</v>
      </c>
      <c r="Q537" s="7">
        <f t="shared" si="16"/>
        <v>1718712</v>
      </c>
      <c r="R537" s="7">
        <f t="shared" si="17"/>
        <v>14322.6</v>
      </c>
    </row>
    <row r="538" spans="1:18" x14ac:dyDescent="0.35">
      <c r="A538" s="5">
        <v>532</v>
      </c>
      <c r="B538" t="s">
        <v>762</v>
      </c>
      <c r="C538" t="s">
        <v>976</v>
      </c>
      <c r="D538" t="s">
        <v>1485</v>
      </c>
      <c r="E538" t="s">
        <v>122</v>
      </c>
      <c r="F538" s="1">
        <v>40588</v>
      </c>
      <c r="G538" s="2">
        <v>2011</v>
      </c>
      <c r="H538">
        <v>2021</v>
      </c>
      <c r="I538" s="2">
        <v>10</v>
      </c>
      <c r="J538" s="7">
        <v>145747</v>
      </c>
      <c r="K538" t="s">
        <v>22</v>
      </c>
      <c r="L538">
        <v>3</v>
      </c>
      <c r="M538" t="s">
        <v>28</v>
      </c>
      <c r="N538" t="s">
        <v>17</v>
      </c>
      <c r="O538" t="s">
        <v>123</v>
      </c>
      <c r="P538" t="s">
        <v>1489</v>
      </c>
      <c r="Q538" s="7">
        <f t="shared" si="16"/>
        <v>1748964</v>
      </c>
      <c r="R538" s="7">
        <f t="shared" si="17"/>
        <v>14574.7</v>
      </c>
    </row>
    <row r="539" spans="1:18" x14ac:dyDescent="0.35">
      <c r="A539" s="5">
        <v>533</v>
      </c>
      <c r="B539" t="s">
        <v>316</v>
      </c>
      <c r="C539" t="s">
        <v>977</v>
      </c>
      <c r="D539" t="s">
        <v>1486</v>
      </c>
      <c r="E539" t="s">
        <v>100</v>
      </c>
      <c r="F539" s="1">
        <v>46310</v>
      </c>
      <c r="G539" s="2">
        <v>2013</v>
      </c>
      <c r="H539">
        <v>2021</v>
      </c>
      <c r="I539" s="2">
        <v>8</v>
      </c>
      <c r="J539" s="7">
        <v>72001</v>
      </c>
      <c r="K539" t="s">
        <v>978</v>
      </c>
      <c r="L539">
        <v>2</v>
      </c>
      <c r="M539" t="s">
        <v>16</v>
      </c>
      <c r="N539" t="s">
        <v>17</v>
      </c>
      <c r="O539" t="s">
        <v>29</v>
      </c>
      <c r="P539" t="s">
        <v>1489</v>
      </c>
      <c r="Q539" s="7">
        <f t="shared" si="16"/>
        <v>864012</v>
      </c>
      <c r="R539" s="7">
        <f t="shared" si="17"/>
        <v>7200.1</v>
      </c>
    </row>
    <row r="540" spans="1:18" x14ac:dyDescent="0.35">
      <c r="A540" s="5">
        <v>534</v>
      </c>
      <c r="B540" t="s">
        <v>474</v>
      </c>
      <c r="C540" t="s">
        <v>979</v>
      </c>
      <c r="D540" t="s">
        <v>1486</v>
      </c>
      <c r="E540" t="s">
        <v>238</v>
      </c>
      <c r="F540" s="1">
        <v>36789</v>
      </c>
      <c r="G540" s="2">
        <v>2000</v>
      </c>
      <c r="H540">
        <v>2021</v>
      </c>
      <c r="I540" s="2">
        <v>21</v>
      </c>
      <c r="J540" s="7">
        <v>50308</v>
      </c>
      <c r="K540" t="s">
        <v>74</v>
      </c>
      <c r="L540">
        <v>6</v>
      </c>
      <c r="M540" t="s">
        <v>50</v>
      </c>
      <c r="N540" t="s">
        <v>40</v>
      </c>
      <c r="O540" t="s">
        <v>63</v>
      </c>
      <c r="P540" t="s">
        <v>1489</v>
      </c>
      <c r="Q540" s="7">
        <f t="shared" si="16"/>
        <v>603696</v>
      </c>
      <c r="R540" s="7">
        <f t="shared" si="17"/>
        <v>5030.8</v>
      </c>
    </row>
    <row r="541" spans="1:18" x14ac:dyDescent="0.35">
      <c r="A541" s="5">
        <v>535</v>
      </c>
      <c r="B541" t="s">
        <v>328</v>
      </c>
      <c r="C541" t="s">
        <v>980</v>
      </c>
      <c r="D541" t="s">
        <v>1486</v>
      </c>
      <c r="E541" t="s">
        <v>89</v>
      </c>
      <c r="F541" s="1">
        <v>44037</v>
      </c>
      <c r="G541" s="2">
        <v>2007</v>
      </c>
      <c r="H541">
        <v>2021</v>
      </c>
      <c r="I541" s="2">
        <v>14</v>
      </c>
      <c r="J541" s="7">
        <v>131662</v>
      </c>
      <c r="K541" t="s">
        <v>327</v>
      </c>
      <c r="L541">
        <v>3</v>
      </c>
      <c r="M541" t="s">
        <v>28</v>
      </c>
      <c r="N541" t="s">
        <v>17</v>
      </c>
      <c r="O541" t="s">
        <v>41</v>
      </c>
      <c r="P541" t="s">
        <v>1489</v>
      </c>
      <c r="Q541" s="7">
        <f t="shared" si="16"/>
        <v>1579944</v>
      </c>
      <c r="R541" s="7">
        <f t="shared" si="17"/>
        <v>13166.2</v>
      </c>
    </row>
    <row r="542" spans="1:18" x14ac:dyDescent="0.35">
      <c r="A542" s="5">
        <v>536</v>
      </c>
      <c r="B542" t="s">
        <v>316</v>
      </c>
      <c r="C542" t="s">
        <v>981</v>
      </c>
      <c r="D542" t="s">
        <v>1486</v>
      </c>
      <c r="E542" t="s">
        <v>85</v>
      </c>
      <c r="F542" s="1">
        <v>45431</v>
      </c>
      <c r="G542" s="2">
        <v>2011</v>
      </c>
      <c r="H542">
        <v>2021</v>
      </c>
      <c r="I542" s="2">
        <v>10</v>
      </c>
      <c r="J542" s="7">
        <v>55730</v>
      </c>
      <c r="K542" t="s">
        <v>344</v>
      </c>
      <c r="L542">
        <v>7</v>
      </c>
      <c r="M542" t="s">
        <v>39</v>
      </c>
      <c r="N542" t="s">
        <v>40</v>
      </c>
      <c r="O542" t="s">
        <v>41</v>
      </c>
      <c r="P542" t="s">
        <v>1489</v>
      </c>
      <c r="Q542" s="7">
        <f t="shared" si="16"/>
        <v>668760</v>
      </c>
      <c r="R542" s="7">
        <f t="shared" si="17"/>
        <v>5573</v>
      </c>
    </row>
    <row r="543" spans="1:18" x14ac:dyDescent="0.35">
      <c r="A543" s="5">
        <v>537</v>
      </c>
      <c r="B543" t="s">
        <v>75</v>
      </c>
      <c r="C543" t="s">
        <v>982</v>
      </c>
      <c r="D543" t="s">
        <v>1486</v>
      </c>
      <c r="E543" t="s">
        <v>79</v>
      </c>
      <c r="F543" s="1">
        <v>38395</v>
      </c>
      <c r="G543" s="2">
        <v>2005</v>
      </c>
      <c r="H543">
        <v>2021</v>
      </c>
      <c r="I543" s="2">
        <v>16</v>
      </c>
      <c r="J543" s="7">
        <v>63836</v>
      </c>
      <c r="K543" t="s">
        <v>209</v>
      </c>
      <c r="L543">
        <v>1</v>
      </c>
      <c r="M543" t="s">
        <v>46</v>
      </c>
      <c r="N543" t="s">
        <v>17</v>
      </c>
      <c r="O543" t="s">
        <v>41</v>
      </c>
      <c r="P543" t="s">
        <v>1489</v>
      </c>
      <c r="Q543" s="7">
        <f t="shared" si="16"/>
        <v>766032</v>
      </c>
      <c r="R543" s="7">
        <f t="shared" si="17"/>
        <v>6383.6</v>
      </c>
    </row>
    <row r="544" spans="1:18" x14ac:dyDescent="0.35">
      <c r="A544" s="5">
        <v>538</v>
      </c>
      <c r="B544" t="s">
        <v>296</v>
      </c>
      <c r="C544" t="s">
        <v>983</v>
      </c>
      <c r="D544" t="s">
        <v>1485</v>
      </c>
      <c r="E544" t="s">
        <v>312</v>
      </c>
      <c r="F544" s="1">
        <v>38649</v>
      </c>
      <c r="G544" s="2">
        <v>2005</v>
      </c>
      <c r="H544">
        <v>2021</v>
      </c>
      <c r="I544" s="2">
        <v>16</v>
      </c>
      <c r="J544" s="7">
        <v>121296</v>
      </c>
      <c r="K544" t="s">
        <v>156</v>
      </c>
      <c r="L544">
        <v>2</v>
      </c>
      <c r="M544" t="s">
        <v>16</v>
      </c>
      <c r="N544" t="s">
        <v>17</v>
      </c>
      <c r="O544" t="s">
        <v>41</v>
      </c>
      <c r="P544" t="s">
        <v>1489</v>
      </c>
      <c r="Q544" s="7">
        <f t="shared" si="16"/>
        <v>1455552</v>
      </c>
      <c r="R544" s="7">
        <f t="shared" si="17"/>
        <v>12129.6</v>
      </c>
    </row>
    <row r="545" spans="1:18" x14ac:dyDescent="0.35">
      <c r="A545" s="5">
        <v>539</v>
      </c>
      <c r="B545" t="s">
        <v>12</v>
      </c>
      <c r="C545" t="s">
        <v>984</v>
      </c>
      <c r="D545" t="s">
        <v>1485</v>
      </c>
      <c r="E545" t="s">
        <v>61</v>
      </c>
      <c r="F545" s="1">
        <v>40988</v>
      </c>
      <c r="G545" s="2">
        <v>2012</v>
      </c>
      <c r="H545">
        <v>2021</v>
      </c>
      <c r="I545" s="2">
        <v>9</v>
      </c>
      <c r="J545" s="7">
        <v>110660</v>
      </c>
      <c r="K545" t="s">
        <v>247</v>
      </c>
      <c r="L545">
        <v>4</v>
      </c>
      <c r="M545" t="s">
        <v>55</v>
      </c>
      <c r="N545" t="s">
        <v>17</v>
      </c>
      <c r="O545" t="s">
        <v>63</v>
      </c>
      <c r="P545" t="s">
        <v>1489</v>
      </c>
      <c r="Q545" s="7">
        <f t="shared" si="16"/>
        <v>1327920</v>
      </c>
      <c r="R545" s="7">
        <f t="shared" si="17"/>
        <v>11066</v>
      </c>
    </row>
    <row r="546" spans="1:18" x14ac:dyDescent="0.35">
      <c r="A546" s="5">
        <v>540</v>
      </c>
      <c r="B546" t="s">
        <v>304</v>
      </c>
      <c r="C546" t="s">
        <v>985</v>
      </c>
      <c r="D546" t="s">
        <v>1485</v>
      </c>
      <c r="E546" t="s">
        <v>79</v>
      </c>
      <c r="F546" s="1">
        <v>37244</v>
      </c>
      <c r="G546" s="2">
        <v>2001</v>
      </c>
      <c r="H546">
        <v>2021</v>
      </c>
      <c r="I546" s="2">
        <v>20</v>
      </c>
      <c r="J546" s="7">
        <v>89114</v>
      </c>
      <c r="K546" t="s">
        <v>610</v>
      </c>
      <c r="L546">
        <v>5</v>
      </c>
      <c r="M546" t="s">
        <v>91</v>
      </c>
      <c r="N546" t="s">
        <v>40</v>
      </c>
      <c r="O546" t="s">
        <v>41</v>
      </c>
      <c r="P546" t="s">
        <v>1489</v>
      </c>
      <c r="Q546" s="7">
        <f t="shared" si="16"/>
        <v>1069368</v>
      </c>
      <c r="R546" s="7">
        <f t="shared" si="17"/>
        <v>8911.4</v>
      </c>
    </row>
    <row r="547" spans="1:18" x14ac:dyDescent="0.35">
      <c r="A547" s="5">
        <v>541</v>
      </c>
      <c r="B547" t="s">
        <v>986</v>
      </c>
      <c r="C547" t="s">
        <v>987</v>
      </c>
      <c r="D547" t="s">
        <v>1486</v>
      </c>
      <c r="E547" t="s">
        <v>238</v>
      </c>
      <c r="F547" s="1">
        <v>44071</v>
      </c>
      <c r="G547" s="2">
        <v>2007</v>
      </c>
      <c r="H547">
        <v>2021</v>
      </c>
      <c r="I547" s="2">
        <v>14</v>
      </c>
      <c r="J547" s="7">
        <v>48769</v>
      </c>
      <c r="K547" t="s">
        <v>153</v>
      </c>
      <c r="L547">
        <v>5</v>
      </c>
      <c r="M547" t="s">
        <v>91</v>
      </c>
      <c r="N547" t="s">
        <v>40</v>
      </c>
      <c r="O547" t="s">
        <v>63</v>
      </c>
      <c r="P547" t="s">
        <v>1489</v>
      </c>
      <c r="Q547" s="7">
        <f t="shared" si="16"/>
        <v>585228</v>
      </c>
      <c r="R547" s="7">
        <f t="shared" si="17"/>
        <v>4876.9000000000005</v>
      </c>
    </row>
    <row r="548" spans="1:18" x14ac:dyDescent="0.35">
      <c r="A548" s="5">
        <v>542</v>
      </c>
      <c r="B548" t="s">
        <v>762</v>
      </c>
      <c r="C548" t="s">
        <v>988</v>
      </c>
      <c r="D548" t="s">
        <v>1485</v>
      </c>
      <c r="E548" t="s">
        <v>238</v>
      </c>
      <c r="F548" s="1">
        <v>39479</v>
      </c>
      <c r="G548" s="2">
        <v>2008</v>
      </c>
      <c r="H548">
        <v>2021</v>
      </c>
      <c r="I548" s="2">
        <v>13</v>
      </c>
      <c r="J548" s="7">
        <v>90069</v>
      </c>
      <c r="K548" t="s">
        <v>537</v>
      </c>
      <c r="L548">
        <v>5</v>
      </c>
      <c r="M548" t="s">
        <v>91</v>
      </c>
      <c r="N548" t="s">
        <v>40</v>
      </c>
      <c r="O548" t="s">
        <v>63</v>
      </c>
      <c r="P548" t="s">
        <v>1489</v>
      </c>
      <c r="Q548" s="7">
        <f t="shared" si="16"/>
        <v>1080828</v>
      </c>
      <c r="R548" s="7">
        <f t="shared" si="17"/>
        <v>9006.9</v>
      </c>
    </row>
    <row r="549" spans="1:18" x14ac:dyDescent="0.35">
      <c r="A549" s="5">
        <v>543</v>
      </c>
      <c r="B549" t="s">
        <v>560</v>
      </c>
      <c r="C549" t="s">
        <v>989</v>
      </c>
      <c r="D549" t="s">
        <v>1486</v>
      </c>
      <c r="E549" t="s">
        <v>89</v>
      </c>
      <c r="F549" s="1">
        <v>46272</v>
      </c>
      <c r="G549" s="2">
        <v>2013</v>
      </c>
      <c r="H549">
        <v>2021</v>
      </c>
      <c r="I549" s="2">
        <v>8</v>
      </c>
      <c r="J549" s="7">
        <v>120085</v>
      </c>
      <c r="K549" t="s">
        <v>664</v>
      </c>
      <c r="L549">
        <v>6</v>
      </c>
      <c r="M549" t="s">
        <v>50</v>
      </c>
      <c r="N549" t="s">
        <v>40</v>
      </c>
      <c r="O549" t="s">
        <v>41</v>
      </c>
      <c r="P549" t="s">
        <v>1489</v>
      </c>
      <c r="Q549" s="7">
        <f t="shared" si="16"/>
        <v>1441020</v>
      </c>
      <c r="R549" s="7">
        <f t="shared" si="17"/>
        <v>12008.5</v>
      </c>
    </row>
    <row r="550" spans="1:18" x14ac:dyDescent="0.35">
      <c r="A550" s="5">
        <v>544</v>
      </c>
      <c r="B550" t="s">
        <v>331</v>
      </c>
      <c r="C550" t="s">
        <v>990</v>
      </c>
      <c r="D550" t="s">
        <v>1486</v>
      </c>
      <c r="E550" t="s">
        <v>94</v>
      </c>
      <c r="F550" s="1">
        <v>44150</v>
      </c>
      <c r="G550" s="2">
        <v>2007</v>
      </c>
      <c r="H550">
        <v>2021</v>
      </c>
      <c r="I550" s="2">
        <v>14</v>
      </c>
      <c r="J550" s="7">
        <v>41697</v>
      </c>
      <c r="K550" t="s">
        <v>189</v>
      </c>
      <c r="L550">
        <v>7</v>
      </c>
      <c r="M550" t="s">
        <v>39</v>
      </c>
      <c r="N550" t="s">
        <v>40</v>
      </c>
      <c r="O550" t="s">
        <v>18</v>
      </c>
      <c r="P550" t="s">
        <v>1489</v>
      </c>
      <c r="Q550" s="7">
        <f t="shared" si="16"/>
        <v>500364</v>
      </c>
      <c r="R550" s="7">
        <f t="shared" si="17"/>
        <v>4169.7</v>
      </c>
    </row>
    <row r="551" spans="1:18" x14ac:dyDescent="0.35">
      <c r="A551" s="5">
        <v>545</v>
      </c>
      <c r="B551" t="s">
        <v>600</v>
      </c>
      <c r="C551" t="s">
        <v>991</v>
      </c>
      <c r="D551" t="s">
        <v>1485</v>
      </c>
      <c r="E551" t="s">
        <v>85</v>
      </c>
      <c r="F551" s="1">
        <v>39937</v>
      </c>
      <c r="G551" s="2">
        <v>2009</v>
      </c>
      <c r="H551">
        <v>2021</v>
      </c>
      <c r="I551" s="2">
        <v>12</v>
      </c>
      <c r="J551" s="7">
        <v>44093</v>
      </c>
      <c r="K551" t="s">
        <v>992</v>
      </c>
      <c r="L551">
        <v>5</v>
      </c>
      <c r="M551" t="s">
        <v>91</v>
      </c>
      <c r="N551" t="s">
        <v>40</v>
      </c>
      <c r="O551" t="s">
        <v>41</v>
      </c>
      <c r="P551" t="s">
        <v>1489</v>
      </c>
      <c r="Q551" s="7">
        <f t="shared" si="16"/>
        <v>529116</v>
      </c>
      <c r="R551" s="7">
        <f t="shared" si="17"/>
        <v>4409.3</v>
      </c>
    </row>
    <row r="552" spans="1:18" x14ac:dyDescent="0.35">
      <c r="A552" s="5">
        <v>546</v>
      </c>
      <c r="B552" t="s">
        <v>341</v>
      </c>
      <c r="C552" t="s">
        <v>993</v>
      </c>
      <c r="D552" t="s">
        <v>1486</v>
      </c>
      <c r="E552" t="s">
        <v>32</v>
      </c>
      <c r="F552" s="1">
        <v>39022</v>
      </c>
      <c r="G552" s="2">
        <v>2006</v>
      </c>
      <c r="H552">
        <v>2021</v>
      </c>
      <c r="I552" s="3">
        <v>15</v>
      </c>
      <c r="J552" s="7">
        <v>59294</v>
      </c>
      <c r="K552" t="s">
        <v>181</v>
      </c>
      <c r="L552">
        <v>6</v>
      </c>
      <c r="M552" t="s">
        <v>50</v>
      </c>
      <c r="N552" t="s">
        <v>40</v>
      </c>
      <c r="O552" t="s">
        <v>34</v>
      </c>
      <c r="P552" t="s">
        <v>1489</v>
      </c>
      <c r="Q552" s="7">
        <f t="shared" si="16"/>
        <v>711528</v>
      </c>
      <c r="R552" s="7">
        <f t="shared" si="17"/>
        <v>5929.4000000000005</v>
      </c>
    </row>
    <row r="553" spans="1:18" x14ac:dyDescent="0.35">
      <c r="A553" s="5">
        <v>547</v>
      </c>
      <c r="B553" t="s">
        <v>508</v>
      </c>
      <c r="C553" t="s">
        <v>994</v>
      </c>
      <c r="D553" t="s">
        <v>1485</v>
      </c>
      <c r="E553" t="s">
        <v>100</v>
      </c>
      <c r="F553" s="1">
        <v>41507</v>
      </c>
      <c r="G553" s="2">
        <v>2013</v>
      </c>
      <c r="H553">
        <v>2021</v>
      </c>
      <c r="I553" s="2">
        <v>8</v>
      </c>
      <c r="J553" s="7">
        <v>140858</v>
      </c>
      <c r="K553" t="s">
        <v>691</v>
      </c>
      <c r="L553">
        <v>7</v>
      </c>
      <c r="M553" t="s">
        <v>39</v>
      </c>
      <c r="N553" t="s">
        <v>40</v>
      </c>
      <c r="O553" t="s">
        <v>29</v>
      </c>
      <c r="P553" t="s">
        <v>1489</v>
      </c>
      <c r="Q553" s="7">
        <f t="shared" si="16"/>
        <v>1690296</v>
      </c>
      <c r="R553" s="7">
        <f t="shared" si="17"/>
        <v>14085.800000000001</v>
      </c>
    </row>
    <row r="554" spans="1:18" x14ac:dyDescent="0.35">
      <c r="A554" s="5">
        <v>548</v>
      </c>
      <c r="B554" t="s">
        <v>995</v>
      </c>
      <c r="C554" t="s">
        <v>996</v>
      </c>
      <c r="D554" t="s">
        <v>1486</v>
      </c>
      <c r="E554" t="s">
        <v>53</v>
      </c>
      <c r="F554" s="1">
        <v>44571</v>
      </c>
      <c r="G554" s="2">
        <v>2009</v>
      </c>
      <c r="H554">
        <v>2021</v>
      </c>
      <c r="I554" s="2">
        <v>12</v>
      </c>
      <c r="J554" s="7">
        <v>46444</v>
      </c>
      <c r="K554" t="s">
        <v>33</v>
      </c>
      <c r="L554">
        <v>6</v>
      </c>
      <c r="M554" t="s">
        <v>50</v>
      </c>
      <c r="N554" t="s">
        <v>40</v>
      </c>
      <c r="O554" t="s">
        <v>23</v>
      </c>
      <c r="P554" t="s">
        <v>1489</v>
      </c>
      <c r="Q554" s="7">
        <f t="shared" si="16"/>
        <v>557328</v>
      </c>
      <c r="R554" s="7">
        <f t="shared" si="17"/>
        <v>4644.4000000000005</v>
      </c>
    </row>
    <row r="555" spans="1:18" x14ac:dyDescent="0.35">
      <c r="A555" s="5">
        <v>549</v>
      </c>
      <c r="B555" t="s">
        <v>457</v>
      </c>
      <c r="C555" t="s">
        <v>997</v>
      </c>
      <c r="D555" t="s">
        <v>1486</v>
      </c>
      <c r="E555" t="s">
        <v>122</v>
      </c>
      <c r="F555" s="1">
        <v>45926</v>
      </c>
      <c r="G555" s="2">
        <v>2012</v>
      </c>
      <c r="H555">
        <v>2021</v>
      </c>
      <c r="I555" s="2">
        <v>9</v>
      </c>
      <c r="J555" s="7">
        <v>85855</v>
      </c>
      <c r="K555" t="s">
        <v>22</v>
      </c>
      <c r="L555">
        <v>4</v>
      </c>
      <c r="M555" t="s">
        <v>55</v>
      </c>
      <c r="N555" t="s">
        <v>17</v>
      </c>
      <c r="O555" t="s">
        <v>123</v>
      </c>
      <c r="P555" t="s">
        <v>1489</v>
      </c>
      <c r="Q555" s="7">
        <f t="shared" si="16"/>
        <v>1030260</v>
      </c>
      <c r="R555" s="7">
        <f t="shared" si="17"/>
        <v>8585.5</v>
      </c>
    </row>
    <row r="556" spans="1:18" x14ac:dyDescent="0.35">
      <c r="A556" s="5">
        <v>550</v>
      </c>
      <c r="B556" t="s">
        <v>207</v>
      </c>
      <c r="C556" t="s">
        <v>998</v>
      </c>
      <c r="D556" t="s">
        <v>1485</v>
      </c>
      <c r="E556" t="s">
        <v>312</v>
      </c>
      <c r="F556" s="1">
        <v>36647</v>
      </c>
      <c r="G556" s="2">
        <v>2000</v>
      </c>
      <c r="H556">
        <v>2021</v>
      </c>
      <c r="I556" s="2">
        <v>21</v>
      </c>
      <c r="J556" s="7">
        <v>72334</v>
      </c>
      <c r="K556" t="s">
        <v>666</v>
      </c>
      <c r="L556">
        <v>3</v>
      </c>
      <c r="M556" t="s">
        <v>28</v>
      </c>
      <c r="N556" t="s">
        <v>17</v>
      </c>
      <c r="O556" t="s">
        <v>41</v>
      </c>
      <c r="P556" t="s">
        <v>1489</v>
      </c>
      <c r="Q556" s="7">
        <f t="shared" si="16"/>
        <v>868008</v>
      </c>
      <c r="R556" s="7">
        <f t="shared" si="17"/>
        <v>7233.4000000000005</v>
      </c>
    </row>
    <row r="557" spans="1:18" x14ac:dyDescent="0.35">
      <c r="A557" s="5">
        <v>551</v>
      </c>
      <c r="B557" t="s">
        <v>150</v>
      </c>
      <c r="C557" t="s">
        <v>999</v>
      </c>
      <c r="D557" t="s">
        <v>1485</v>
      </c>
      <c r="E557" t="s">
        <v>238</v>
      </c>
      <c r="F557" s="1">
        <v>40820</v>
      </c>
      <c r="G557" s="2">
        <v>2011</v>
      </c>
      <c r="H557">
        <v>2021</v>
      </c>
      <c r="I557" s="2">
        <v>10</v>
      </c>
      <c r="J557" s="7">
        <v>69246</v>
      </c>
      <c r="K557" t="s">
        <v>82</v>
      </c>
      <c r="L557">
        <v>6</v>
      </c>
      <c r="M557" t="s">
        <v>50</v>
      </c>
      <c r="N557" t="s">
        <v>40</v>
      </c>
      <c r="O557" t="s">
        <v>63</v>
      </c>
      <c r="P557" t="s">
        <v>1489</v>
      </c>
      <c r="Q557" s="7">
        <f t="shared" si="16"/>
        <v>830952</v>
      </c>
      <c r="R557" s="7">
        <f t="shared" si="17"/>
        <v>6924.6</v>
      </c>
    </row>
    <row r="558" spans="1:18" x14ac:dyDescent="0.35">
      <c r="A558" s="5">
        <v>552</v>
      </c>
      <c r="B558" t="s">
        <v>275</v>
      </c>
      <c r="C558" t="s">
        <v>1000</v>
      </c>
      <c r="D558" t="s">
        <v>1485</v>
      </c>
      <c r="E558" t="s">
        <v>129</v>
      </c>
      <c r="F558" s="1">
        <v>40620</v>
      </c>
      <c r="G558" s="2">
        <v>2011</v>
      </c>
      <c r="H558">
        <v>2021</v>
      </c>
      <c r="I558" s="2">
        <v>10</v>
      </c>
      <c r="J558" s="7">
        <v>107389</v>
      </c>
      <c r="K558" t="s">
        <v>66</v>
      </c>
      <c r="L558">
        <v>2</v>
      </c>
      <c r="M558" t="s">
        <v>16</v>
      </c>
      <c r="N558" t="s">
        <v>17</v>
      </c>
      <c r="O558" t="s">
        <v>41</v>
      </c>
      <c r="P558" t="s">
        <v>1489</v>
      </c>
      <c r="Q558" s="7">
        <f t="shared" si="16"/>
        <v>1288668</v>
      </c>
      <c r="R558" s="7">
        <f t="shared" si="17"/>
        <v>10738.900000000001</v>
      </c>
    </row>
    <row r="559" spans="1:18" x14ac:dyDescent="0.35">
      <c r="A559" s="5">
        <v>553</v>
      </c>
      <c r="B559" t="s">
        <v>264</v>
      </c>
      <c r="C559" t="s">
        <v>1001</v>
      </c>
      <c r="D559" t="s">
        <v>1485</v>
      </c>
      <c r="E559" t="s">
        <v>26</v>
      </c>
      <c r="F559" s="1">
        <v>40163</v>
      </c>
      <c r="G559" s="2">
        <v>2009</v>
      </c>
      <c r="H559">
        <v>2021</v>
      </c>
      <c r="I559" s="2">
        <v>12</v>
      </c>
      <c r="J559" s="7">
        <v>141505</v>
      </c>
      <c r="K559" t="s">
        <v>360</v>
      </c>
      <c r="L559">
        <v>6</v>
      </c>
      <c r="M559" t="s">
        <v>50</v>
      </c>
      <c r="N559" t="s">
        <v>40</v>
      </c>
      <c r="O559" t="s">
        <v>29</v>
      </c>
      <c r="P559" t="s">
        <v>1489</v>
      </c>
      <c r="Q559" s="7">
        <f t="shared" si="16"/>
        <v>1698060</v>
      </c>
      <c r="R559" s="7">
        <f t="shared" si="17"/>
        <v>14150.5</v>
      </c>
    </row>
    <row r="560" spans="1:18" x14ac:dyDescent="0.35">
      <c r="A560" s="5">
        <v>554</v>
      </c>
      <c r="B560" t="s">
        <v>745</v>
      </c>
      <c r="C560" t="s">
        <v>1002</v>
      </c>
      <c r="D560" t="s">
        <v>1485</v>
      </c>
      <c r="E560" t="s">
        <v>53</v>
      </c>
      <c r="F560" s="1">
        <v>39453</v>
      </c>
      <c r="G560" s="2">
        <v>2008</v>
      </c>
      <c r="H560">
        <v>2021</v>
      </c>
      <c r="I560" s="2">
        <v>13</v>
      </c>
      <c r="J560" s="7">
        <v>60318</v>
      </c>
      <c r="K560" t="s">
        <v>636</v>
      </c>
      <c r="L560">
        <v>5</v>
      </c>
      <c r="M560" t="s">
        <v>91</v>
      </c>
      <c r="N560" t="s">
        <v>40</v>
      </c>
      <c r="O560" t="s">
        <v>23</v>
      </c>
      <c r="P560" t="s">
        <v>1489</v>
      </c>
      <c r="Q560" s="7">
        <f t="shared" si="16"/>
        <v>723816</v>
      </c>
      <c r="R560" s="7">
        <f t="shared" si="17"/>
        <v>6031.8</v>
      </c>
    </row>
    <row r="561" spans="1:18" x14ac:dyDescent="0.35">
      <c r="A561" s="5">
        <v>555</v>
      </c>
      <c r="B561" t="s">
        <v>98</v>
      </c>
      <c r="C561" t="s">
        <v>1003</v>
      </c>
      <c r="D561" t="s">
        <v>1486</v>
      </c>
      <c r="E561" t="s">
        <v>148</v>
      </c>
      <c r="F561" s="1">
        <v>46550</v>
      </c>
      <c r="G561" s="2">
        <v>2014</v>
      </c>
      <c r="H561">
        <v>2021</v>
      </c>
      <c r="I561" s="2">
        <v>7</v>
      </c>
      <c r="J561" s="7">
        <v>148260</v>
      </c>
      <c r="K561" t="s">
        <v>45</v>
      </c>
      <c r="L561">
        <v>7</v>
      </c>
      <c r="M561" t="s">
        <v>39</v>
      </c>
      <c r="N561" t="s">
        <v>40</v>
      </c>
      <c r="O561" t="s">
        <v>112</v>
      </c>
      <c r="P561" t="s">
        <v>1489</v>
      </c>
      <c r="Q561" s="7">
        <f t="shared" si="16"/>
        <v>1779120</v>
      </c>
      <c r="R561" s="7">
        <f t="shared" si="17"/>
        <v>14826</v>
      </c>
    </row>
    <row r="562" spans="1:18" x14ac:dyDescent="0.35">
      <c r="A562" s="5">
        <v>556</v>
      </c>
      <c r="B562" t="s">
        <v>163</v>
      </c>
      <c r="C562" t="s">
        <v>1004</v>
      </c>
      <c r="D562" t="s">
        <v>1486</v>
      </c>
      <c r="E562" t="s">
        <v>94</v>
      </c>
      <c r="F562" s="1">
        <v>39071</v>
      </c>
      <c r="G562" s="2">
        <v>2006</v>
      </c>
      <c r="H562">
        <v>2021</v>
      </c>
      <c r="I562" s="2">
        <v>15</v>
      </c>
      <c r="J562" s="7">
        <v>73199</v>
      </c>
      <c r="K562" t="s">
        <v>149</v>
      </c>
      <c r="L562">
        <v>2</v>
      </c>
      <c r="M562" t="s">
        <v>16</v>
      </c>
      <c r="N562" t="s">
        <v>17</v>
      </c>
      <c r="O562" t="s">
        <v>18</v>
      </c>
      <c r="P562" t="s">
        <v>1489</v>
      </c>
      <c r="Q562" s="7">
        <f t="shared" si="16"/>
        <v>878388</v>
      </c>
      <c r="R562" s="7">
        <f t="shared" si="17"/>
        <v>7319.9000000000005</v>
      </c>
    </row>
    <row r="563" spans="1:18" x14ac:dyDescent="0.35">
      <c r="A563" s="5">
        <v>557</v>
      </c>
      <c r="B563" t="s">
        <v>745</v>
      </c>
      <c r="C563" t="s">
        <v>1005</v>
      </c>
      <c r="D563" t="s">
        <v>1485</v>
      </c>
      <c r="E563" t="s">
        <v>85</v>
      </c>
      <c r="F563" s="1">
        <v>37494</v>
      </c>
      <c r="G563" s="2">
        <v>2002</v>
      </c>
      <c r="H563">
        <v>2021</v>
      </c>
      <c r="I563" s="2">
        <v>19</v>
      </c>
      <c r="J563" s="7">
        <v>111244</v>
      </c>
      <c r="K563" t="s">
        <v>253</v>
      </c>
      <c r="L563">
        <v>6</v>
      </c>
      <c r="M563" t="s">
        <v>50</v>
      </c>
      <c r="N563" t="s">
        <v>40</v>
      </c>
      <c r="O563" t="s">
        <v>41</v>
      </c>
      <c r="P563" t="s">
        <v>1489</v>
      </c>
      <c r="Q563" s="7">
        <f t="shared" si="16"/>
        <v>1334928</v>
      </c>
      <c r="R563" s="7">
        <f t="shared" si="17"/>
        <v>11124.400000000001</v>
      </c>
    </row>
    <row r="564" spans="1:18" x14ac:dyDescent="0.35">
      <c r="A564" s="5">
        <v>558</v>
      </c>
      <c r="B564" t="s">
        <v>720</v>
      </c>
      <c r="C564" t="s">
        <v>1006</v>
      </c>
      <c r="D564" t="s">
        <v>1485</v>
      </c>
      <c r="E564" t="s">
        <v>73</v>
      </c>
      <c r="F564" s="1">
        <v>40989</v>
      </c>
      <c r="G564" s="2">
        <v>2012</v>
      </c>
      <c r="H564">
        <v>2021</v>
      </c>
      <c r="I564" s="2">
        <v>9</v>
      </c>
      <c r="J564" s="7">
        <v>103845</v>
      </c>
      <c r="K564" t="s">
        <v>1500</v>
      </c>
      <c r="L564">
        <v>1</v>
      </c>
      <c r="M564" t="s">
        <v>46</v>
      </c>
      <c r="N564" t="s">
        <v>17</v>
      </c>
      <c r="O564" t="s">
        <v>41</v>
      </c>
      <c r="P564" t="s">
        <v>1489</v>
      </c>
      <c r="Q564" s="7">
        <f t="shared" si="16"/>
        <v>1246140</v>
      </c>
      <c r="R564" s="7">
        <f t="shared" si="17"/>
        <v>10384.5</v>
      </c>
    </row>
    <row r="565" spans="1:18" x14ac:dyDescent="0.35">
      <c r="A565" s="5">
        <v>559</v>
      </c>
      <c r="B565" t="s">
        <v>622</v>
      </c>
      <c r="C565" t="s">
        <v>1007</v>
      </c>
      <c r="D565" t="s">
        <v>1486</v>
      </c>
      <c r="E565" t="s">
        <v>14</v>
      </c>
      <c r="F565" s="1">
        <v>44488</v>
      </c>
      <c r="G565" s="2">
        <v>2008</v>
      </c>
      <c r="H565">
        <v>2021</v>
      </c>
      <c r="I565" s="2">
        <v>13</v>
      </c>
      <c r="J565" s="7">
        <v>88666</v>
      </c>
      <c r="K565" t="s">
        <v>181</v>
      </c>
      <c r="L565">
        <v>7</v>
      </c>
      <c r="M565" t="s">
        <v>39</v>
      </c>
      <c r="N565" t="s">
        <v>40</v>
      </c>
      <c r="O565" t="s">
        <v>18</v>
      </c>
      <c r="P565" t="s">
        <v>1489</v>
      </c>
      <c r="Q565" s="7">
        <f t="shared" si="16"/>
        <v>1063992</v>
      </c>
      <c r="R565" s="7">
        <f t="shared" si="17"/>
        <v>8866.6</v>
      </c>
    </row>
    <row r="566" spans="1:18" x14ac:dyDescent="0.35">
      <c r="A566" s="5">
        <v>560</v>
      </c>
      <c r="B566" t="s">
        <v>1008</v>
      </c>
      <c r="C566" t="s">
        <v>1009</v>
      </c>
      <c r="D566" t="s">
        <v>1485</v>
      </c>
      <c r="E566" t="s">
        <v>69</v>
      </c>
      <c r="F566" s="1">
        <v>41661</v>
      </c>
      <c r="G566" s="2">
        <v>2014</v>
      </c>
      <c r="H566">
        <v>2021</v>
      </c>
      <c r="I566" s="2">
        <v>7</v>
      </c>
      <c r="J566" s="7">
        <v>67845</v>
      </c>
      <c r="K566" t="s">
        <v>441</v>
      </c>
      <c r="L566">
        <v>7</v>
      </c>
      <c r="M566" t="s">
        <v>39</v>
      </c>
      <c r="N566" t="s">
        <v>40</v>
      </c>
      <c r="O566" t="s">
        <v>41</v>
      </c>
      <c r="P566" t="s">
        <v>1489</v>
      </c>
      <c r="Q566" s="7">
        <f t="shared" si="16"/>
        <v>814140</v>
      </c>
      <c r="R566" s="7">
        <f t="shared" si="17"/>
        <v>6784.5</v>
      </c>
    </row>
    <row r="567" spans="1:18" x14ac:dyDescent="0.35">
      <c r="A567" s="5">
        <v>561</v>
      </c>
      <c r="B567" t="s">
        <v>221</v>
      </c>
      <c r="C567" t="s">
        <v>1010</v>
      </c>
      <c r="D567" t="s">
        <v>1485</v>
      </c>
      <c r="E567" t="s">
        <v>21</v>
      </c>
      <c r="F567" s="1">
        <v>38085</v>
      </c>
      <c r="G567" s="2">
        <v>2004</v>
      </c>
      <c r="H567">
        <v>2021</v>
      </c>
      <c r="I567" s="2">
        <v>17</v>
      </c>
      <c r="J567" s="7">
        <v>62527</v>
      </c>
      <c r="K567" t="s">
        <v>391</v>
      </c>
      <c r="L567">
        <v>1</v>
      </c>
      <c r="M567" t="s">
        <v>46</v>
      </c>
      <c r="N567" t="s">
        <v>17</v>
      </c>
      <c r="O567" t="s">
        <v>23</v>
      </c>
      <c r="P567" t="s">
        <v>1489</v>
      </c>
      <c r="Q567" s="7">
        <f t="shared" si="16"/>
        <v>750324</v>
      </c>
      <c r="R567" s="7">
        <f t="shared" si="17"/>
        <v>6252.7000000000007</v>
      </c>
    </row>
    <row r="568" spans="1:18" x14ac:dyDescent="0.35">
      <c r="A568" s="5">
        <v>562</v>
      </c>
      <c r="B568" t="s">
        <v>741</v>
      </c>
      <c r="C568" t="s">
        <v>1011</v>
      </c>
      <c r="D568" t="s">
        <v>1485</v>
      </c>
      <c r="E568" t="s">
        <v>44</v>
      </c>
      <c r="F568" s="1">
        <v>37758</v>
      </c>
      <c r="G568" s="2">
        <v>2003</v>
      </c>
      <c r="H568">
        <v>2021</v>
      </c>
      <c r="I568" s="2">
        <v>18</v>
      </c>
      <c r="J568" s="7">
        <v>73412</v>
      </c>
      <c r="K568" t="s">
        <v>145</v>
      </c>
      <c r="L568">
        <v>5</v>
      </c>
      <c r="M568" t="s">
        <v>91</v>
      </c>
      <c r="N568" t="s">
        <v>40</v>
      </c>
      <c r="O568" t="s">
        <v>29</v>
      </c>
      <c r="P568" t="s">
        <v>1489</v>
      </c>
      <c r="Q568" s="7">
        <f t="shared" si="16"/>
        <v>880944</v>
      </c>
      <c r="R568" s="7">
        <f t="shared" si="17"/>
        <v>7341.2000000000007</v>
      </c>
    </row>
    <row r="569" spans="1:18" x14ac:dyDescent="0.35">
      <c r="A569" s="5">
        <v>563</v>
      </c>
      <c r="B569" t="s">
        <v>512</v>
      </c>
      <c r="C569" t="s">
        <v>1012</v>
      </c>
      <c r="D569" t="s">
        <v>1485</v>
      </c>
      <c r="E569" t="s">
        <v>129</v>
      </c>
      <c r="F569" s="1">
        <v>40654</v>
      </c>
      <c r="G569" s="2">
        <v>2011</v>
      </c>
      <c r="H569">
        <v>2021</v>
      </c>
      <c r="I569" s="2">
        <v>10</v>
      </c>
      <c r="J569" s="7">
        <v>123391</v>
      </c>
      <c r="K569" t="s">
        <v>22</v>
      </c>
      <c r="L569">
        <v>7</v>
      </c>
      <c r="M569" t="s">
        <v>39</v>
      </c>
      <c r="N569" t="s">
        <v>40</v>
      </c>
      <c r="O569" t="s">
        <v>41</v>
      </c>
      <c r="P569" t="s">
        <v>1489</v>
      </c>
      <c r="Q569" s="7">
        <f t="shared" si="16"/>
        <v>1480692</v>
      </c>
      <c r="R569" s="7">
        <f t="shared" si="17"/>
        <v>12339.1</v>
      </c>
    </row>
    <row r="570" spans="1:18" x14ac:dyDescent="0.35">
      <c r="A570" s="5">
        <v>564</v>
      </c>
      <c r="B570" t="s">
        <v>270</v>
      </c>
      <c r="C570" t="s">
        <v>1013</v>
      </c>
      <c r="D570" t="s">
        <v>1486</v>
      </c>
      <c r="E570" t="s">
        <v>203</v>
      </c>
      <c r="F570" s="1">
        <v>38406</v>
      </c>
      <c r="G570" s="2">
        <v>2005</v>
      </c>
      <c r="H570">
        <v>2021</v>
      </c>
      <c r="I570" s="2">
        <v>16</v>
      </c>
      <c r="J570" s="7">
        <v>99508</v>
      </c>
      <c r="K570" t="s">
        <v>97</v>
      </c>
      <c r="L570">
        <v>5</v>
      </c>
      <c r="M570" t="s">
        <v>91</v>
      </c>
      <c r="N570" t="s">
        <v>40</v>
      </c>
      <c r="O570" t="s">
        <v>41</v>
      </c>
      <c r="P570" t="s">
        <v>1489</v>
      </c>
      <c r="Q570" s="7">
        <f t="shared" si="16"/>
        <v>1194096</v>
      </c>
      <c r="R570" s="7">
        <f t="shared" si="17"/>
        <v>9950.8000000000011</v>
      </c>
    </row>
    <row r="571" spans="1:18" x14ac:dyDescent="0.35">
      <c r="A571" s="5">
        <v>565</v>
      </c>
      <c r="B571" t="s">
        <v>1014</v>
      </c>
      <c r="C571" t="s">
        <v>1015</v>
      </c>
      <c r="D571" t="s">
        <v>1486</v>
      </c>
      <c r="E571" t="s">
        <v>32</v>
      </c>
      <c r="F571" s="1">
        <v>46494</v>
      </c>
      <c r="G571" s="2">
        <v>2014</v>
      </c>
      <c r="H571">
        <v>2021</v>
      </c>
      <c r="I571" s="3">
        <v>7</v>
      </c>
      <c r="J571" s="7">
        <v>55726</v>
      </c>
      <c r="K571" t="s">
        <v>324</v>
      </c>
      <c r="L571">
        <v>7</v>
      </c>
      <c r="M571" t="s">
        <v>39</v>
      </c>
      <c r="N571" t="s">
        <v>40</v>
      </c>
      <c r="O571" t="s">
        <v>34</v>
      </c>
      <c r="P571" t="s">
        <v>1489</v>
      </c>
      <c r="Q571" s="7">
        <f t="shared" si="16"/>
        <v>668712</v>
      </c>
      <c r="R571" s="7">
        <f t="shared" si="17"/>
        <v>5572.6</v>
      </c>
    </row>
    <row r="572" spans="1:18" x14ac:dyDescent="0.35">
      <c r="A572" s="5">
        <v>566</v>
      </c>
      <c r="B572" t="s">
        <v>600</v>
      </c>
      <c r="C572" t="s">
        <v>1016</v>
      </c>
      <c r="D572" t="s">
        <v>1485</v>
      </c>
      <c r="E572" t="s">
        <v>94</v>
      </c>
      <c r="F572" s="1">
        <v>40887</v>
      </c>
      <c r="G572" s="2">
        <v>2011</v>
      </c>
      <c r="H572">
        <v>2021</v>
      </c>
      <c r="I572" s="2">
        <v>10</v>
      </c>
      <c r="J572" s="7">
        <v>67140</v>
      </c>
      <c r="K572" t="s">
        <v>374</v>
      </c>
      <c r="L572">
        <v>3</v>
      </c>
      <c r="M572" t="s">
        <v>28</v>
      </c>
      <c r="N572" t="s">
        <v>17</v>
      </c>
      <c r="O572" t="s">
        <v>18</v>
      </c>
      <c r="P572" t="s">
        <v>1489</v>
      </c>
      <c r="Q572" s="7">
        <f t="shared" si="16"/>
        <v>805680</v>
      </c>
      <c r="R572" s="7">
        <f t="shared" si="17"/>
        <v>6714</v>
      </c>
    </row>
    <row r="573" spans="1:18" x14ac:dyDescent="0.35">
      <c r="A573" s="5">
        <v>567</v>
      </c>
      <c r="B573" t="s">
        <v>677</v>
      </c>
      <c r="C573" t="s">
        <v>1017</v>
      </c>
      <c r="D573" t="s">
        <v>1486</v>
      </c>
      <c r="E573" t="s">
        <v>89</v>
      </c>
      <c r="F573" s="1">
        <v>45073</v>
      </c>
      <c r="G573" s="2">
        <v>2010</v>
      </c>
      <c r="H573">
        <v>2021</v>
      </c>
      <c r="I573" s="2">
        <v>11</v>
      </c>
      <c r="J573" s="7">
        <v>139060</v>
      </c>
      <c r="K573" t="s">
        <v>537</v>
      </c>
      <c r="L573">
        <v>7</v>
      </c>
      <c r="M573" t="s">
        <v>39</v>
      </c>
      <c r="N573" t="s">
        <v>40</v>
      </c>
      <c r="O573" t="s">
        <v>41</v>
      </c>
      <c r="P573" t="s">
        <v>1489</v>
      </c>
      <c r="Q573" s="7">
        <f t="shared" si="16"/>
        <v>1668720</v>
      </c>
      <c r="R573" s="7">
        <f t="shared" si="17"/>
        <v>13906</v>
      </c>
    </row>
    <row r="574" spans="1:18" x14ac:dyDescent="0.35">
      <c r="A574" s="5">
        <v>568</v>
      </c>
      <c r="B574" t="s">
        <v>92</v>
      </c>
      <c r="C574" t="s">
        <v>1018</v>
      </c>
      <c r="D574" t="s">
        <v>1485</v>
      </c>
      <c r="E574" t="s">
        <v>89</v>
      </c>
      <c r="F574" s="1">
        <v>38188</v>
      </c>
      <c r="G574" s="2">
        <v>2004</v>
      </c>
      <c r="H574">
        <v>2021</v>
      </c>
      <c r="I574" s="2">
        <v>17</v>
      </c>
      <c r="J574" s="7">
        <v>135993</v>
      </c>
      <c r="K574" t="s">
        <v>938</v>
      </c>
      <c r="L574">
        <v>4</v>
      </c>
      <c r="M574" t="s">
        <v>55</v>
      </c>
      <c r="N574" t="s">
        <v>17</v>
      </c>
      <c r="O574" t="s">
        <v>41</v>
      </c>
      <c r="P574" t="s">
        <v>1489</v>
      </c>
      <c r="Q574" s="7">
        <f t="shared" si="16"/>
        <v>1631916</v>
      </c>
      <c r="R574" s="7">
        <f t="shared" si="17"/>
        <v>13599.300000000001</v>
      </c>
    </row>
    <row r="575" spans="1:18" x14ac:dyDescent="0.35">
      <c r="A575" s="5">
        <v>569</v>
      </c>
      <c r="B575" t="s">
        <v>257</v>
      </c>
      <c r="C575" t="s">
        <v>1019</v>
      </c>
      <c r="D575" t="s">
        <v>1486</v>
      </c>
      <c r="E575" t="s">
        <v>122</v>
      </c>
      <c r="F575" s="1">
        <v>45242</v>
      </c>
      <c r="G575" s="2">
        <v>2010</v>
      </c>
      <c r="H575">
        <v>2021</v>
      </c>
      <c r="I575" s="2">
        <v>11</v>
      </c>
      <c r="J575" s="7">
        <v>80788</v>
      </c>
      <c r="K575" t="s">
        <v>750</v>
      </c>
      <c r="L575">
        <v>4</v>
      </c>
      <c r="M575" t="s">
        <v>55</v>
      </c>
      <c r="N575" t="s">
        <v>17</v>
      </c>
      <c r="O575" t="s">
        <v>123</v>
      </c>
      <c r="P575" t="s">
        <v>1489</v>
      </c>
      <c r="Q575" s="7">
        <f t="shared" si="16"/>
        <v>969456</v>
      </c>
      <c r="R575" s="7">
        <f t="shared" si="17"/>
        <v>8078.8</v>
      </c>
    </row>
    <row r="576" spans="1:18" x14ac:dyDescent="0.35">
      <c r="A576" s="5">
        <v>570</v>
      </c>
      <c r="B576" t="s">
        <v>56</v>
      </c>
      <c r="C576" t="s">
        <v>1020</v>
      </c>
      <c r="D576" t="s">
        <v>1486</v>
      </c>
      <c r="E576" t="s">
        <v>69</v>
      </c>
      <c r="F576" s="1">
        <v>36971</v>
      </c>
      <c r="G576" s="2">
        <v>2001</v>
      </c>
      <c r="H576">
        <v>2021</v>
      </c>
      <c r="I576" s="2">
        <v>20</v>
      </c>
      <c r="J576" s="7">
        <v>136377</v>
      </c>
      <c r="K576" t="s">
        <v>896</v>
      </c>
      <c r="L576">
        <v>7</v>
      </c>
      <c r="M576" t="s">
        <v>39</v>
      </c>
      <c r="N576" t="s">
        <v>40</v>
      </c>
      <c r="O576" t="s">
        <v>41</v>
      </c>
      <c r="P576" t="s">
        <v>1489</v>
      </c>
      <c r="Q576" s="7">
        <f t="shared" si="16"/>
        <v>1636524</v>
      </c>
      <c r="R576" s="7">
        <f t="shared" si="17"/>
        <v>13637.7</v>
      </c>
    </row>
    <row r="577" spans="1:18" x14ac:dyDescent="0.35">
      <c r="A577" s="5">
        <v>571</v>
      </c>
      <c r="B577" t="s">
        <v>284</v>
      </c>
      <c r="C577" t="s">
        <v>1021</v>
      </c>
      <c r="D577" t="s">
        <v>1486</v>
      </c>
      <c r="E577" t="s">
        <v>94</v>
      </c>
      <c r="F577" s="1">
        <v>44731</v>
      </c>
      <c r="G577" s="2">
        <v>2009</v>
      </c>
      <c r="H577">
        <v>2021</v>
      </c>
      <c r="I577" s="2">
        <v>12</v>
      </c>
      <c r="J577" s="7">
        <v>46247</v>
      </c>
      <c r="K577" t="s">
        <v>196</v>
      </c>
      <c r="L577">
        <v>3</v>
      </c>
      <c r="M577" t="s">
        <v>28</v>
      </c>
      <c r="N577" t="s">
        <v>17</v>
      </c>
      <c r="O577" t="s">
        <v>18</v>
      </c>
      <c r="P577" t="s">
        <v>1489</v>
      </c>
      <c r="Q577" s="7">
        <f t="shared" si="16"/>
        <v>554964</v>
      </c>
      <c r="R577" s="7">
        <f t="shared" si="17"/>
        <v>4624.7</v>
      </c>
    </row>
    <row r="578" spans="1:18" x14ac:dyDescent="0.35">
      <c r="A578" s="5">
        <v>572</v>
      </c>
      <c r="B578" t="s">
        <v>592</v>
      </c>
      <c r="C578" t="s">
        <v>1022</v>
      </c>
      <c r="D578" t="s">
        <v>1485</v>
      </c>
      <c r="E578" t="s">
        <v>26</v>
      </c>
      <c r="F578" s="1">
        <v>41715</v>
      </c>
      <c r="G578" s="2">
        <v>2014</v>
      </c>
      <c r="H578">
        <v>2021</v>
      </c>
      <c r="I578" s="2">
        <v>7</v>
      </c>
      <c r="J578" s="7">
        <v>45774</v>
      </c>
      <c r="K578" t="s">
        <v>169</v>
      </c>
      <c r="L578">
        <v>2</v>
      </c>
      <c r="M578" t="s">
        <v>16</v>
      </c>
      <c r="N578" t="s">
        <v>17</v>
      </c>
      <c r="O578" t="s">
        <v>29</v>
      </c>
      <c r="P578" t="s">
        <v>1489</v>
      </c>
      <c r="Q578" s="7">
        <f t="shared" si="16"/>
        <v>549288</v>
      </c>
      <c r="R578" s="7">
        <f t="shared" si="17"/>
        <v>4577.4000000000005</v>
      </c>
    </row>
    <row r="579" spans="1:18" x14ac:dyDescent="0.35">
      <c r="A579" s="5">
        <v>573</v>
      </c>
      <c r="B579" t="s">
        <v>154</v>
      </c>
      <c r="C579" t="s">
        <v>1023</v>
      </c>
      <c r="D579" t="s">
        <v>1486</v>
      </c>
      <c r="E579" t="s">
        <v>21</v>
      </c>
      <c r="F579" s="1">
        <v>45039</v>
      </c>
      <c r="G579" s="2">
        <v>2010</v>
      </c>
      <c r="H579">
        <v>2021</v>
      </c>
      <c r="I579" s="2">
        <v>11</v>
      </c>
      <c r="J579" s="7">
        <v>100741</v>
      </c>
      <c r="K579" t="s">
        <v>290</v>
      </c>
      <c r="L579">
        <v>1</v>
      </c>
      <c r="M579" t="s">
        <v>46</v>
      </c>
      <c r="N579" t="s">
        <v>17</v>
      </c>
      <c r="O579" t="s">
        <v>23</v>
      </c>
      <c r="P579" t="s">
        <v>1489</v>
      </c>
      <c r="Q579" s="7">
        <f t="shared" si="16"/>
        <v>1208892</v>
      </c>
      <c r="R579" s="7">
        <f t="shared" si="17"/>
        <v>10074.1</v>
      </c>
    </row>
    <row r="580" spans="1:18" x14ac:dyDescent="0.35">
      <c r="A580" s="5">
        <v>574</v>
      </c>
      <c r="B580" t="s">
        <v>1014</v>
      </c>
      <c r="C580" t="s">
        <v>1024</v>
      </c>
      <c r="D580" t="s">
        <v>1485</v>
      </c>
      <c r="E580" t="s">
        <v>37</v>
      </c>
      <c r="F580" s="1">
        <v>38615</v>
      </c>
      <c r="G580" s="2">
        <v>2005</v>
      </c>
      <c r="H580">
        <v>2021</v>
      </c>
      <c r="I580" s="2">
        <v>16</v>
      </c>
      <c r="J580" s="7">
        <v>45534</v>
      </c>
      <c r="K580" t="s">
        <v>226</v>
      </c>
      <c r="L580">
        <v>1</v>
      </c>
      <c r="M580" t="s">
        <v>46</v>
      </c>
      <c r="N580" t="s">
        <v>17</v>
      </c>
      <c r="O580" t="s">
        <v>41</v>
      </c>
      <c r="P580" t="s">
        <v>1489</v>
      </c>
      <c r="Q580" s="7">
        <f t="shared" si="16"/>
        <v>546408</v>
      </c>
      <c r="R580" s="7">
        <f t="shared" si="17"/>
        <v>4553.4000000000005</v>
      </c>
    </row>
    <row r="581" spans="1:18" x14ac:dyDescent="0.35">
      <c r="A581" s="5">
        <v>575</v>
      </c>
      <c r="B581" t="s">
        <v>624</v>
      </c>
      <c r="C581" t="s">
        <v>1025</v>
      </c>
      <c r="D581" t="s">
        <v>1485</v>
      </c>
      <c r="E581" t="s">
        <v>79</v>
      </c>
      <c r="F581" s="1">
        <v>37372</v>
      </c>
      <c r="G581" s="2">
        <v>2002</v>
      </c>
      <c r="H581">
        <v>2021</v>
      </c>
      <c r="I581" s="2">
        <v>19</v>
      </c>
      <c r="J581" s="7">
        <v>75399</v>
      </c>
      <c r="K581" t="s">
        <v>97</v>
      </c>
      <c r="L581">
        <v>7</v>
      </c>
      <c r="M581" t="s">
        <v>39</v>
      </c>
      <c r="N581" t="s">
        <v>40</v>
      </c>
      <c r="O581" t="s">
        <v>41</v>
      </c>
      <c r="P581" t="s">
        <v>1489</v>
      </c>
      <c r="Q581" s="7">
        <f t="shared" si="16"/>
        <v>904788</v>
      </c>
      <c r="R581" s="7">
        <f t="shared" si="17"/>
        <v>7539.9000000000005</v>
      </c>
    </row>
    <row r="582" spans="1:18" x14ac:dyDescent="0.35">
      <c r="A582" s="5">
        <v>576</v>
      </c>
      <c r="B582" t="s">
        <v>1026</v>
      </c>
      <c r="C582" t="s">
        <v>1027</v>
      </c>
      <c r="D582" t="s">
        <v>1485</v>
      </c>
      <c r="E582" t="s">
        <v>69</v>
      </c>
      <c r="F582" s="1">
        <v>38911</v>
      </c>
      <c r="G582" s="2">
        <v>2006</v>
      </c>
      <c r="H582">
        <v>2021</v>
      </c>
      <c r="I582" s="2">
        <v>15</v>
      </c>
      <c r="J582" s="7">
        <v>50235</v>
      </c>
      <c r="K582" t="s">
        <v>142</v>
      </c>
      <c r="L582">
        <v>1</v>
      </c>
      <c r="M582" t="s">
        <v>46</v>
      </c>
      <c r="N582" t="s">
        <v>17</v>
      </c>
      <c r="O582" t="s">
        <v>41</v>
      </c>
      <c r="P582" t="s">
        <v>1489</v>
      </c>
      <c r="Q582" s="7">
        <f t="shared" si="16"/>
        <v>602820</v>
      </c>
      <c r="R582" s="7">
        <f t="shared" si="17"/>
        <v>5023.5</v>
      </c>
    </row>
    <row r="583" spans="1:18" x14ac:dyDescent="0.35">
      <c r="A583" s="5">
        <v>577</v>
      </c>
      <c r="B583" t="s">
        <v>1028</v>
      </c>
      <c r="C583" t="s">
        <v>1029</v>
      </c>
      <c r="D583" t="s">
        <v>1485</v>
      </c>
      <c r="E583" t="s">
        <v>73</v>
      </c>
      <c r="F583" s="1">
        <v>40570</v>
      </c>
      <c r="G583" s="2">
        <v>2011</v>
      </c>
      <c r="H583">
        <v>2021</v>
      </c>
      <c r="I583" s="2">
        <v>10</v>
      </c>
      <c r="J583" s="7">
        <v>128048</v>
      </c>
      <c r="K583" t="s">
        <v>245</v>
      </c>
      <c r="L583">
        <v>5</v>
      </c>
      <c r="M583" t="s">
        <v>91</v>
      </c>
      <c r="N583" t="s">
        <v>40</v>
      </c>
      <c r="O583" t="s">
        <v>41</v>
      </c>
      <c r="P583" t="s">
        <v>1489</v>
      </c>
      <c r="Q583" s="7">
        <f t="shared" ref="Q583:Q646" si="18">J583*12</f>
        <v>1536576</v>
      </c>
      <c r="R583" s="7">
        <f t="shared" ref="R583:R646" si="19">J583*10%</f>
        <v>12804.800000000001</v>
      </c>
    </row>
    <row r="584" spans="1:18" x14ac:dyDescent="0.35">
      <c r="A584" s="5">
        <v>578</v>
      </c>
      <c r="B584" t="s">
        <v>600</v>
      </c>
      <c r="C584" t="s">
        <v>1030</v>
      </c>
      <c r="D584" t="s">
        <v>1485</v>
      </c>
      <c r="E584" t="s">
        <v>69</v>
      </c>
      <c r="F584" s="1">
        <v>38839</v>
      </c>
      <c r="G584" s="2">
        <v>2006</v>
      </c>
      <c r="H584">
        <v>2021</v>
      </c>
      <c r="I584" s="2">
        <v>15</v>
      </c>
      <c r="J584" s="7">
        <v>111318</v>
      </c>
      <c r="K584" t="s">
        <v>349</v>
      </c>
      <c r="L584">
        <v>3</v>
      </c>
      <c r="M584" t="s">
        <v>28</v>
      </c>
      <c r="N584" t="s">
        <v>17</v>
      </c>
      <c r="O584" t="s">
        <v>41</v>
      </c>
      <c r="P584" t="s">
        <v>1489</v>
      </c>
      <c r="Q584" s="7">
        <f t="shared" si="18"/>
        <v>1335816</v>
      </c>
      <c r="R584" s="7">
        <f t="shared" si="19"/>
        <v>11131.800000000001</v>
      </c>
    </row>
    <row r="585" spans="1:18" x14ac:dyDescent="0.35">
      <c r="A585" s="5">
        <v>579</v>
      </c>
      <c r="B585" t="s">
        <v>395</v>
      </c>
      <c r="C585" t="s">
        <v>1031</v>
      </c>
      <c r="D585" t="s">
        <v>1486</v>
      </c>
      <c r="E585" t="s">
        <v>110</v>
      </c>
      <c r="F585" s="1">
        <v>36883</v>
      </c>
      <c r="G585" s="2">
        <v>2000</v>
      </c>
      <c r="H585">
        <v>2021</v>
      </c>
      <c r="I585" s="2">
        <v>21</v>
      </c>
      <c r="J585" s="7">
        <v>100763</v>
      </c>
      <c r="K585" t="s">
        <v>394</v>
      </c>
      <c r="L585">
        <v>7</v>
      </c>
      <c r="M585" t="s">
        <v>39</v>
      </c>
      <c r="N585" t="s">
        <v>40</v>
      </c>
      <c r="O585" t="s">
        <v>112</v>
      </c>
      <c r="P585" t="s">
        <v>1489</v>
      </c>
      <c r="Q585" s="7">
        <f t="shared" si="18"/>
        <v>1209156</v>
      </c>
      <c r="R585" s="7">
        <f t="shared" si="19"/>
        <v>10076.300000000001</v>
      </c>
    </row>
    <row r="586" spans="1:18" x14ac:dyDescent="0.35">
      <c r="A586" s="5">
        <v>580</v>
      </c>
      <c r="B586" t="s">
        <v>127</v>
      </c>
      <c r="C586" t="s">
        <v>1032</v>
      </c>
      <c r="D586" t="s">
        <v>1485</v>
      </c>
      <c r="E586" t="s">
        <v>14</v>
      </c>
      <c r="F586" s="1">
        <v>41052</v>
      </c>
      <c r="G586" s="2">
        <v>2012</v>
      </c>
      <c r="H586">
        <v>2021</v>
      </c>
      <c r="I586" s="2">
        <v>9</v>
      </c>
      <c r="J586" s="7">
        <v>54231</v>
      </c>
      <c r="K586" t="s">
        <v>1033</v>
      </c>
      <c r="L586">
        <v>3</v>
      </c>
      <c r="M586" t="s">
        <v>28</v>
      </c>
      <c r="N586" t="s">
        <v>17</v>
      </c>
      <c r="O586" t="s">
        <v>18</v>
      </c>
      <c r="P586" t="s">
        <v>1489</v>
      </c>
      <c r="Q586" s="7">
        <f t="shared" si="18"/>
        <v>650772</v>
      </c>
      <c r="R586" s="7">
        <f t="shared" si="19"/>
        <v>5423.1</v>
      </c>
    </row>
    <row r="587" spans="1:18" x14ac:dyDescent="0.35">
      <c r="A587" s="5">
        <v>581</v>
      </c>
      <c r="B587" t="s">
        <v>255</v>
      </c>
      <c r="C587" t="s">
        <v>1034</v>
      </c>
      <c r="D587" t="s">
        <v>1486</v>
      </c>
      <c r="E587" t="s">
        <v>21</v>
      </c>
      <c r="F587" s="1">
        <v>45010</v>
      </c>
      <c r="G587" s="2">
        <v>2010</v>
      </c>
      <c r="H587">
        <v>2021</v>
      </c>
      <c r="I587" s="2">
        <v>11</v>
      </c>
      <c r="J587" s="7">
        <v>92334</v>
      </c>
      <c r="K587" t="s">
        <v>610</v>
      </c>
      <c r="L587">
        <v>3</v>
      </c>
      <c r="M587" t="s">
        <v>28</v>
      </c>
      <c r="N587" t="s">
        <v>17</v>
      </c>
      <c r="O587" t="s">
        <v>23</v>
      </c>
      <c r="P587" t="s">
        <v>1489</v>
      </c>
      <c r="Q587" s="7">
        <f t="shared" si="18"/>
        <v>1108008</v>
      </c>
      <c r="R587" s="7">
        <f t="shared" si="19"/>
        <v>9233.4</v>
      </c>
    </row>
    <row r="588" spans="1:18" x14ac:dyDescent="0.35">
      <c r="A588" s="5">
        <v>582</v>
      </c>
      <c r="B588" t="s">
        <v>1035</v>
      </c>
      <c r="C588" t="s">
        <v>1036</v>
      </c>
      <c r="D588" t="s">
        <v>1485</v>
      </c>
      <c r="E588" t="s">
        <v>32</v>
      </c>
      <c r="F588" s="1">
        <v>38427</v>
      </c>
      <c r="G588" s="2">
        <v>2005</v>
      </c>
      <c r="H588">
        <v>2021</v>
      </c>
      <c r="I588" s="3">
        <v>16</v>
      </c>
      <c r="J588" s="7">
        <v>58111</v>
      </c>
      <c r="K588" t="s">
        <v>709</v>
      </c>
      <c r="L588">
        <v>5</v>
      </c>
      <c r="M588" t="s">
        <v>91</v>
      </c>
      <c r="N588" t="s">
        <v>40</v>
      </c>
      <c r="O588" t="s">
        <v>34</v>
      </c>
      <c r="P588" t="s">
        <v>1489</v>
      </c>
      <c r="Q588" s="7">
        <f t="shared" si="18"/>
        <v>697332</v>
      </c>
      <c r="R588" s="7">
        <f t="shared" si="19"/>
        <v>5811.1</v>
      </c>
    </row>
    <row r="589" spans="1:18" x14ac:dyDescent="0.35">
      <c r="A589" s="5">
        <v>583</v>
      </c>
      <c r="B589" t="s">
        <v>650</v>
      </c>
      <c r="C589" t="s">
        <v>1037</v>
      </c>
      <c r="D589" t="s">
        <v>1486</v>
      </c>
      <c r="E589" t="s">
        <v>312</v>
      </c>
      <c r="F589" s="1">
        <v>36872</v>
      </c>
      <c r="G589" s="2">
        <v>2000</v>
      </c>
      <c r="H589">
        <v>2021</v>
      </c>
      <c r="I589" s="2">
        <v>21</v>
      </c>
      <c r="J589" s="7">
        <v>112048</v>
      </c>
      <c r="K589" t="s">
        <v>1038</v>
      </c>
      <c r="L589">
        <v>5</v>
      </c>
      <c r="M589" t="s">
        <v>91</v>
      </c>
      <c r="N589" t="s">
        <v>40</v>
      </c>
      <c r="O589" t="s">
        <v>41</v>
      </c>
      <c r="P589" t="s">
        <v>1489</v>
      </c>
      <c r="Q589" s="7">
        <f t="shared" si="18"/>
        <v>1344576</v>
      </c>
      <c r="R589" s="7">
        <f t="shared" si="19"/>
        <v>11204.800000000001</v>
      </c>
    </row>
    <row r="590" spans="1:18" x14ac:dyDescent="0.35">
      <c r="A590" s="5">
        <v>584</v>
      </c>
      <c r="B590" t="s">
        <v>1039</v>
      </c>
      <c r="C590" t="s">
        <v>1040</v>
      </c>
      <c r="D590" t="s">
        <v>1486</v>
      </c>
      <c r="E590" t="s">
        <v>238</v>
      </c>
      <c r="F590" s="1">
        <v>44329</v>
      </c>
      <c r="G590" s="2">
        <v>2008</v>
      </c>
      <c r="H590">
        <v>2021</v>
      </c>
      <c r="I590" s="2">
        <v>13</v>
      </c>
      <c r="J590" s="7">
        <v>109404</v>
      </c>
      <c r="K590" t="s">
        <v>958</v>
      </c>
      <c r="L590">
        <v>6</v>
      </c>
      <c r="M590" t="s">
        <v>50</v>
      </c>
      <c r="N590" t="s">
        <v>40</v>
      </c>
      <c r="O590" t="s">
        <v>63</v>
      </c>
      <c r="P590" t="s">
        <v>1489</v>
      </c>
      <c r="Q590" s="7">
        <f t="shared" si="18"/>
        <v>1312848</v>
      </c>
      <c r="R590" s="7">
        <f t="shared" si="19"/>
        <v>10940.400000000001</v>
      </c>
    </row>
    <row r="591" spans="1:18" x14ac:dyDescent="0.35">
      <c r="A591" s="5">
        <v>585</v>
      </c>
      <c r="B591" t="s">
        <v>443</v>
      </c>
      <c r="C591" t="s">
        <v>1041</v>
      </c>
      <c r="D591" t="s">
        <v>1485</v>
      </c>
      <c r="E591" t="s">
        <v>110</v>
      </c>
      <c r="F591" s="1">
        <v>39282</v>
      </c>
      <c r="G591" s="2">
        <v>2007</v>
      </c>
      <c r="H591">
        <v>2021</v>
      </c>
      <c r="I591" s="2">
        <v>14</v>
      </c>
      <c r="J591" s="7">
        <v>138776</v>
      </c>
      <c r="K591" t="s">
        <v>181</v>
      </c>
      <c r="L591">
        <v>2</v>
      </c>
      <c r="M591" t="s">
        <v>16</v>
      </c>
      <c r="N591" t="s">
        <v>17</v>
      </c>
      <c r="O591" t="s">
        <v>112</v>
      </c>
      <c r="P591" t="s">
        <v>1489</v>
      </c>
      <c r="Q591" s="7">
        <f t="shared" si="18"/>
        <v>1665312</v>
      </c>
      <c r="R591" s="7">
        <f t="shared" si="19"/>
        <v>13877.6</v>
      </c>
    </row>
    <row r="592" spans="1:18" x14ac:dyDescent="0.35">
      <c r="A592" s="5">
        <v>586</v>
      </c>
      <c r="B592" t="s">
        <v>801</v>
      </c>
      <c r="C592" t="s">
        <v>1042</v>
      </c>
      <c r="D592" t="s">
        <v>1486</v>
      </c>
      <c r="E592" t="s">
        <v>89</v>
      </c>
      <c r="F592" s="1">
        <v>37803</v>
      </c>
      <c r="G592" s="2">
        <v>2003</v>
      </c>
      <c r="H592">
        <v>2021</v>
      </c>
      <c r="I592" s="2">
        <v>18</v>
      </c>
      <c r="J592" s="7">
        <v>110411</v>
      </c>
      <c r="K592" t="s">
        <v>74</v>
      </c>
      <c r="L592">
        <v>3</v>
      </c>
      <c r="M592" t="s">
        <v>28</v>
      </c>
      <c r="N592" t="s">
        <v>17</v>
      </c>
      <c r="O592" t="s">
        <v>41</v>
      </c>
      <c r="P592" t="s">
        <v>1489</v>
      </c>
      <c r="Q592" s="7">
        <f t="shared" si="18"/>
        <v>1324932</v>
      </c>
      <c r="R592" s="7">
        <f t="shared" si="19"/>
        <v>11041.1</v>
      </c>
    </row>
    <row r="593" spans="1:18" x14ac:dyDescent="0.35">
      <c r="A593" s="5">
        <v>587</v>
      </c>
      <c r="B593" t="s">
        <v>339</v>
      </c>
      <c r="C593" t="s">
        <v>1043</v>
      </c>
      <c r="D593" t="s">
        <v>1486</v>
      </c>
      <c r="E593" t="s">
        <v>53</v>
      </c>
      <c r="F593" s="1">
        <v>37506</v>
      </c>
      <c r="G593" s="2">
        <v>2002</v>
      </c>
      <c r="H593">
        <v>2021</v>
      </c>
      <c r="I593" s="2">
        <v>19</v>
      </c>
      <c r="J593" s="7">
        <v>74973</v>
      </c>
      <c r="K593" t="s">
        <v>321</v>
      </c>
      <c r="L593">
        <v>7</v>
      </c>
      <c r="M593" t="s">
        <v>39</v>
      </c>
      <c r="N593" t="s">
        <v>40</v>
      </c>
      <c r="O593" t="s">
        <v>23</v>
      </c>
      <c r="P593" t="s">
        <v>1489</v>
      </c>
      <c r="Q593" s="7">
        <f t="shared" si="18"/>
        <v>899676</v>
      </c>
      <c r="R593" s="7">
        <f t="shared" si="19"/>
        <v>7497.3</v>
      </c>
    </row>
    <row r="594" spans="1:18" x14ac:dyDescent="0.35">
      <c r="A594" s="5">
        <v>588</v>
      </c>
      <c r="B594" t="s">
        <v>92</v>
      </c>
      <c r="C594" t="s">
        <v>1044</v>
      </c>
      <c r="D594" t="s">
        <v>1486</v>
      </c>
      <c r="E594" t="s">
        <v>44</v>
      </c>
      <c r="F594" s="1">
        <v>37544</v>
      </c>
      <c r="G594" s="2">
        <v>2002</v>
      </c>
      <c r="H594">
        <v>2021</v>
      </c>
      <c r="I594" s="2">
        <v>19</v>
      </c>
      <c r="J594" s="7">
        <v>129890</v>
      </c>
      <c r="K594" t="s">
        <v>101</v>
      </c>
      <c r="L594">
        <v>4</v>
      </c>
      <c r="M594" t="s">
        <v>55</v>
      </c>
      <c r="N594" t="s">
        <v>17</v>
      </c>
      <c r="O594" t="s">
        <v>29</v>
      </c>
      <c r="P594" t="s">
        <v>1489</v>
      </c>
      <c r="Q594" s="7">
        <f t="shared" si="18"/>
        <v>1558680</v>
      </c>
      <c r="R594" s="7">
        <f t="shared" si="19"/>
        <v>12989</v>
      </c>
    </row>
    <row r="595" spans="1:18" x14ac:dyDescent="0.35">
      <c r="A595" s="5">
        <v>589</v>
      </c>
      <c r="B595" t="s">
        <v>675</v>
      </c>
      <c r="C595" t="s">
        <v>1045</v>
      </c>
      <c r="D595" t="s">
        <v>1485</v>
      </c>
      <c r="E595" t="s">
        <v>61</v>
      </c>
      <c r="F595" s="1">
        <v>38379</v>
      </c>
      <c r="G595" s="2">
        <v>2005</v>
      </c>
      <c r="H595">
        <v>2021</v>
      </c>
      <c r="I595" s="2">
        <v>16</v>
      </c>
      <c r="J595" s="7">
        <v>135786</v>
      </c>
      <c r="K595" t="s">
        <v>952</v>
      </c>
      <c r="L595">
        <v>7</v>
      </c>
      <c r="M595" t="s">
        <v>39</v>
      </c>
      <c r="N595" t="s">
        <v>40</v>
      </c>
      <c r="O595" t="s">
        <v>63</v>
      </c>
      <c r="P595" t="s">
        <v>1489</v>
      </c>
      <c r="Q595" s="7">
        <f t="shared" si="18"/>
        <v>1629432</v>
      </c>
      <c r="R595" s="7">
        <f t="shared" si="19"/>
        <v>13578.6</v>
      </c>
    </row>
    <row r="596" spans="1:18" x14ac:dyDescent="0.35">
      <c r="A596" s="5">
        <v>590</v>
      </c>
      <c r="B596" t="s">
        <v>159</v>
      </c>
      <c r="C596" t="s">
        <v>1046</v>
      </c>
      <c r="D596" t="s">
        <v>1486</v>
      </c>
      <c r="E596" t="s">
        <v>37</v>
      </c>
      <c r="F596" s="1">
        <v>43997</v>
      </c>
      <c r="G596" s="2">
        <v>2007</v>
      </c>
      <c r="H596">
        <v>2021</v>
      </c>
      <c r="I596" s="2">
        <v>14</v>
      </c>
      <c r="J596" s="7">
        <v>132998</v>
      </c>
      <c r="K596" t="s">
        <v>115</v>
      </c>
      <c r="L596">
        <v>3</v>
      </c>
      <c r="M596" t="s">
        <v>28</v>
      </c>
      <c r="N596" t="s">
        <v>17</v>
      </c>
      <c r="O596" t="s">
        <v>41</v>
      </c>
      <c r="P596" t="s">
        <v>1489</v>
      </c>
      <c r="Q596" s="7">
        <f t="shared" si="18"/>
        <v>1595976</v>
      </c>
      <c r="R596" s="7">
        <f t="shared" si="19"/>
        <v>13299.800000000001</v>
      </c>
    </row>
    <row r="597" spans="1:18" x14ac:dyDescent="0.35">
      <c r="A597" s="5">
        <v>591</v>
      </c>
      <c r="B597" t="s">
        <v>333</v>
      </c>
      <c r="C597" t="s">
        <v>1047</v>
      </c>
      <c r="D597" t="s">
        <v>1486</v>
      </c>
      <c r="E597" t="s">
        <v>73</v>
      </c>
      <c r="F597" s="1">
        <v>46446</v>
      </c>
      <c r="G597" s="2">
        <v>2014</v>
      </c>
      <c r="H597">
        <v>2021</v>
      </c>
      <c r="I597" s="2">
        <v>7</v>
      </c>
      <c r="J597" s="7">
        <v>84318</v>
      </c>
      <c r="K597" t="s">
        <v>437</v>
      </c>
      <c r="L597">
        <v>2</v>
      </c>
      <c r="M597" t="s">
        <v>16</v>
      </c>
      <c r="N597" t="s">
        <v>17</v>
      </c>
      <c r="O597" t="s">
        <v>41</v>
      </c>
      <c r="P597" t="s">
        <v>1489</v>
      </c>
      <c r="Q597" s="7">
        <f t="shared" si="18"/>
        <v>1011816</v>
      </c>
      <c r="R597" s="7">
        <f t="shared" si="19"/>
        <v>8431.8000000000011</v>
      </c>
    </row>
    <row r="598" spans="1:18" x14ac:dyDescent="0.35">
      <c r="A598" s="5">
        <v>592</v>
      </c>
      <c r="B598" t="s">
        <v>592</v>
      </c>
      <c r="C598" t="s">
        <v>1048</v>
      </c>
      <c r="D598" t="s">
        <v>1485</v>
      </c>
      <c r="E598" t="s">
        <v>312</v>
      </c>
      <c r="F598" s="1">
        <v>38088</v>
      </c>
      <c r="G598" s="2">
        <v>2004</v>
      </c>
      <c r="H598">
        <v>2021</v>
      </c>
      <c r="I598" s="2">
        <v>17</v>
      </c>
      <c r="J598" s="7">
        <v>110407</v>
      </c>
      <c r="K598" t="s">
        <v>58</v>
      </c>
      <c r="L598">
        <v>5</v>
      </c>
      <c r="M598" t="s">
        <v>91</v>
      </c>
      <c r="N598" t="s">
        <v>40</v>
      </c>
      <c r="O598" t="s">
        <v>41</v>
      </c>
      <c r="P598" t="s">
        <v>1489</v>
      </c>
      <c r="Q598" s="7">
        <f t="shared" si="18"/>
        <v>1324884</v>
      </c>
      <c r="R598" s="7">
        <f t="shared" si="19"/>
        <v>11040.7</v>
      </c>
    </row>
    <row r="599" spans="1:18" x14ac:dyDescent="0.35">
      <c r="A599" s="5">
        <v>593</v>
      </c>
      <c r="B599" t="s">
        <v>345</v>
      </c>
      <c r="C599" t="s">
        <v>1049</v>
      </c>
      <c r="D599" t="s">
        <v>1486</v>
      </c>
      <c r="E599" t="s">
        <v>89</v>
      </c>
      <c r="F599" s="1">
        <v>36692</v>
      </c>
      <c r="G599" s="2">
        <v>2000</v>
      </c>
      <c r="H599">
        <v>2021</v>
      </c>
      <c r="I599" s="2">
        <v>21</v>
      </c>
      <c r="J599" s="7">
        <v>94980</v>
      </c>
      <c r="K599" t="s">
        <v>22</v>
      </c>
      <c r="L599">
        <v>4</v>
      </c>
      <c r="M599" t="s">
        <v>55</v>
      </c>
      <c r="N599" t="s">
        <v>17</v>
      </c>
      <c r="O599" t="s">
        <v>41</v>
      </c>
      <c r="P599" t="s">
        <v>1489</v>
      </c>
      <c r="Q599" s="7">
        <f t="shared" si="18"/>
        <v>1139760</v>
      </c>
      <c r="R599" s="7">
        <f t="shared" si="19"/>
        <v>9498</v>
      </c>
    </row>
    <row r="600" spans="1:18" x14ac:dyDescent="0.35">
      <c r="A600" s="5">
        <v>594</v>
      </c>
      <c r="B600" t="s">
        <v>105</v>
      </c>
      <c r="C600" t="s">
        <v>1050</v>
      </c>
      <c r="D600" t="s">
        <v>1486</v>
      </c>
      <c r="E600" t="s">
        <v>100</v>
      </c>
      <c r="F600" s="1">
        <v>38053</v>
      </c>
      <c r="G600" s="2">
        <v>2004</v>
      </c>
      <c r="H600">
        <v>2021</v>
      </c>
      <c r="I600" s="2">
        <v>17</v>
      </c>
      <c r="J600" s="7">
        <v>125843</v>
      </c>
      <c r="K600" t="s">
        <v>803</v>
      </c>
      <c r="L600">
        <v>4</v>
      </c>
      <c r="M600" t="s">
        <v>55</v>
      </c>
      <c r="N600" t="s">
        <v>17</v>
      </c>
      <c r="O600" t="s">
        <v>29</v>
      </c>
      <c r="P600" t="s">
        <v>1489</v>
      </c>
      <c r="Q600" s="7">
        <f t="shared" si="18"/>
        <v>1510116</v>
      </c>
      <c r="R600" s="7">
        <f t="shared" si="19"/>
        <v>12584.300000000001</v>
      </c>
    </row>
    <row r="601" spans="1:18" x14ac:dyDescent="0.35">
      <c r="A601" s="5">
        <v>595</v>
      </c>
      <c r="B601" t="s">
        <v>124</v>
      </c>
      <c r="C601" t="s">
        <v>1051</v>
      </c>
      <c r="D601" t="s">
        <v>1486</v>
      </c>
      <c r="E601" t="s">
        <v>37</v>
      </c>
      <c r="F601" s="1">
        <v>36552</v>
      </c>
      <c r="G601" s="2">
        <v>2000</v>
      </c>
      <c r="H601">
        <v>2021</v>
      </c>
      <c r="I601" s="2">
        <v>21</v>
      </c>
      <c r="J601" s="7">
        <v>66180</v>
      </c>
      <c r="K601" t="s">
        <v>669</v>
      </c>
      <c r="L601">
        <v>5</v>
      </c>
      <c r="M601" t="s">
        <v>91</v>
      </c>
      <c r="N601" t="s">
        <v>40</v>
      </c>
      <c r="O601" t="s">
        <v>41</v>
      </c>
      <c r="P601" t="s">
        <v>1489</v>
      </c>
      <c r="Q601" s="7">
        <f t="shared" si="18"/>
        <v>794160</v>
      </c>
      <c r="R601" s="7">
        <f t="shared" si="19"/>
        <v>6618</v>
      </c>
    </row>
    <row r="602" spans="1:18" x14ac:dyDescent="0.35">
      <c r="A602" s="5">
        <v>596</v>
      </c>
      <c r="B602" t="s">
        <v>555</v>
      </c>
      <c r="C602" t="s">
        <v>1052</v>
      </c>
      <c r="D602" t="s">
        <v>1486</v>
      </c>
      <c r="E602" t="s">
        <v>32</v>
      </c>
      <c r="F602" s="1">
        <v>46718</v>
      </c>
      <c r="G602" s="2">
        <v>2014</v>
      </c>
      <c r="H602">
        <v>2021</v>
      </c>
      <c r="I602" s="3">
        <v>7</v>
      </c>
      <c r="J602" s="7">
        <v>88854</v>
      </c>
      <c r="K602" t="s">
        <v>952</v>
      </c>
      <c r="L602">
        <v>4</v>
      </c>
      <c r="M602" t="s">
        <v>55</v>
      </c>
      <c r="N602" t="s">
        <v>17</v>
      </c>
      <c r="O602" t="s">
        <v>34</v>
      </c>
      <c r="P602" t="s">
        <v>1489</v>
      </c>
      <c r="Q602" s="7">
        <f t="shared" si="18"/>
        <v>1066248</v>
      </c>
      <c r="R602" s="7">
        <f t="shared" si="19"/>
        <v>8885.4</v>
      </c>
    </row>
    <row r="603" spans="1:18" x14ac:dyDescent="0.35">
      <c r="A603" s="5">
        <v>597</v>
      </c>
      <c r="B603" t="s">
        <v>600</v>
      </c>
      <c r="C603" t="s">
        <v>1053</v>
      </c>
      <c r="D603" t="s">
        <v>1486</v>
      </c>
      <c r="E603" t="s">
        <v>129</v>
      </c>
      <c r="F603" s="1">
        <v>38027</v>
      </c>
      <c r="G603" s="2">
        <v>2004</v>
      </c>
      <c r="H603">
        <v>2021</v>
      </c>
      <c r="I603" s="2">
        <v>17</v>
      </c>
      <c r="J603" s="7">
        <v>71448</v>
      </c>
      <c r="K603" t="s">
        <v>169</v>
      </c>
      <c r="L603">
        <v>1</v>
      </c>
      <c r="M603" t="s">
        <v>46</v>
      </c>
      <c r="N603" t="s">
        <v>17</v>
      </c>
      <c r="O603" t="s">
        <v>41</v>
      </c>
      <c r="P603" t="s">
        <v>1489</v>
      </c>
      <c r="Q603" s="7">
        <f t="shared" si="18"/>
        <v>857376</v>
      </c>
      <c r="R603" s="7">
        <f t="shared" si="19"/>
        <v>7144.8</v>
      </c>
    </row>
    <row r="604" spans="1:18" x14ac:dyDescent="0.35">
      <c r="A604" s="5">
        <v>598</v>
      </c>
      <c r="B604" t="s">
        <v>410</v>
      </c>
      <c r="C604" t="s">
        <v>1054</v>
      </c>
      <c r="D604" t="s">
        <v>1486</v>
      </c>
      <c r="E604" t="s">
        <v>21</v>
      </c>
      <c r="F604" s="1">
        <v>37562</v>
      </c>
      <c r="G604" s="2">
        <v>2002</v>
      </c>
      <c r="H604">
        <v>2021</v>
      </c>
      <c r="I604" s="2">
        <v>19</v>
      </c>
      <c r="J604" s="7">
        <v>60547</v>
      </c>
      <c r="K604" t="s">
        <v>66</v>
      </c>
      <c r="L604">
        <v>2</v>
      </c>
      <c r="M604" t="s">
        <v>16</v>
      </c>
      <c r="N604" t="s">
        <v>17</v>
      </c>
      <c r="O604" t="s">
        <v>23</v>
      </c>
      <c r="P604" t="s">
        <v>1489</v>
      </c>
      <c r="Q604" s="7">
        <f t="shared" si="18"/>
        <v>726564</v>
      </c>
      <c r="R604" s="7">
        <f t="shared" si="19"/>
        <v>6054.7000000000007</v>
      </c>
    </row>
    <row r="605" spans="1:18" x14ac:dyDescent="0.35">
      <c r="A605" s="5">
        <v>599</v>
      </c>
      <c r="B605" t="s">
        <v>161</v>
      </c>
      <c r="C605" t="s">
        <v>1055</v>
      </c>
      <c r="D605" t="s">
        <v>1486</v>
      </c>
      <c r="E605" t="s">
        <v>148</v>
      </c>
      <c r="F605" s="1">
        <v>45251</v>
      </c>
      <c r="G605" s="2">
        <v>2010</v>
      </c>
      <c r="H605">
        <v>2021</v>
      </c>
      <c r="I605" s="2">
        <v>11</v>
      </c>
      <c r="J605" s="7">
        <v>128805</v>
      </c>
      <c r="K605" t="s">
        <v>209</v>
      </c>
      <c r="L605">
        <v>5</v>
      </c>
      <c r="M605" t="s">
        <v>91</v>
      </c>
      <c r="N605" t="s">
        <v>40</v>
      </c>
      <c r="O605" t="s">
        <v>112</v>
      </c>
      <c r="P605" t="s">
        <v>1489</v>
      </c>
      <c r="Q605" s="7">
        <f t="shared" si="18"/>
        <v>1545660</v>
      </c>
      <c r="R605" s="7">
        <f t="shared" si="19"/>
        <v>12880.5</v>
      </c>
    </row>
    <row r="606" spans="1:18" x14ac:dyDescent="0.35">
      <c r="A606" s="5">
        <v>600</v>
      </c>
      <c r="B606" t="s">
        <v>553</v>
      </c>
      <c r="C606" t="s">
        <v>1056</v>
      </c>
      <c r="D606" t="s">
        <v>1486</v>
      </c>
      <c r="E606" t="s">
        <v>148</v>
      </c>
      <c r="F606" s="1">
        <v>38848</v>
      </c>
      <c r="G606" s="2">
        <v>2006</v>
      </c>
      <c r="H606">
        <v>2021</v>
      </c>
      <c r="I606" s="2">
        <v>15</v>
      </c>
      <c r="J606" s="7">
        <v>96782</v>
      </c>
      <c r="K606" t="s">
        <v>806</v>
      </c>
      <c r="L606">
        <v>5</v>
      </c>
      <c r="M606" t="s">
        <v>91</v>
      </c>
      <c r="N606" t="s">
        <v>40</v>
      </c>
      <c r="O606" t="s">
        <v>112</v>
      </c>
      <c r="P606" t="s">
        <v>1489</v>
      </c>
      <c r="Q606" s="7">
        <f t="shared" si="18"/>
        <v>1161384</v>
      </c>
      <c r="R606" s="7">
        <f t="shared" si="19"/>
        <v>9678.2000000000007</v>
      </c>
    </row>
    <row r="607" spans="1:18" x14ac:dyDescent="0.35">
      <c r="A607" s="5">
        <v>601</v>
      </c>
      <c r="B607" t="s">
        <v>443</v>
      </c>
      <c r="C607" t="s">
        <v>1057</v>
      </c>
      <c r="D607" t="s">
        <v>1485</v>
      </c>
      <c r="E607" t="s">
        <v>203</v>
      </c>
      <c r="F607" s="1">
        <v>36962</v>
      </c>
      <c r="G607" s="2">
        <v>2001</v>
      </c>
      <c r="H607">
        <v>2021</v>
      </c>
      <c r="I607" s="2">
        <v>20</v>
      </c>
      <c r="J607" s="7">
        <v>125944</v>
      </c>
      <c r="K607" t="s">
        <v>724</v>
      </c>
      <c r="L607">
        <v>2</v>
      </c>
      <c r="M607" t="s">
        <v>16</v>
      </c>
      <c r="N607" t="s">
        <v>17</v>
      </c>
      <c r="O607" t="s">
        <v>41</v>
      </c>
      <c r="P607" t="s">
        <v>1489</v>
      </c>
      <c r="Q607" s="7">
        <f t="shared" si="18"/>
        <v>1511328</v>
      </c>
      <c r="R607" s="7">
        <f t="shared" si="19"/>
        <v>12594.400000000001</v>
      </c>
    </row>
    <row r="608" spans="1:18" x14ac:dyDescent="0.35">
      <c r="A608" s="5">
        <v>602</v>
      </c>
      <c r="B608" t="s">
        <v>1058</v>
      </c>
      <c r="C608" t="s">
        <v>1059</v>
      </c>
      <c r="D608" t="s">
        <v>1485</v>
      </c>
      <c r="E608" t="s">
        <v>44</v>
      </c>
      <c r="F608" s="1">
        <v>40803</v>
      </c>
      <c r="G608" s="2">
        <v>2011</v>
      </c>
      <c r="H608">
        <v>2021</v>
      </c>
      <c r="I608" s="2">
        <v>10</v>
      </c>
      <c r="J608" s="7">
        <v>101937</v>
      </c>
      <c r="K608" t="s">
        <v>527</v>
      </c>
      <c r="L608">
        <v>7</v>
      </c>
      <c r="M608" t="s">
        <v>39</v>
      </c>
      <c r="N608" t="s">
        <v>40</v>
      </c>
      <c r="O608" t="s">
        <v>29</v>
      </c>
      <c r="P608" t="s">
        <v>1489</v>
      </c>
      <c r="Q608" s="7">
        <f t="shared" si="18"/>
        <v>1223244</v>
      </c>
      <c r="R608" s="7">
        <f t="shared" si="19"/>
        <v>10193.700000000001</v>
      </c>
    </row>
    <row r="609" spans="1:18" x14ac:dyDescent="0.35">
      <c r="A609" s="5">
        <v>603</v>
      </c>
      <c r="B609" t="s">
        <v>75</v>
      </c>
      <c r="C609" t="s">
        <v>1060</v>
      </c>
      <c r="D609" t="s">
        <v>1485</v>
      </c>
      <c r="E609" t="s">
        <v>32</v>
      </c>
      <c r="F609" s="1">
        <v>36866</v>
      </c>
      <c r="G609" s="2">
        <v>2000</v>
      </c>
      <c r="H609">
        <v>2021</v>
      </c>
      <c r="I609" s="3">
        <v>21</v>
      </c>
      <c r="J609" s="7">
        <v>127569</v>
      </c>
      <c r="K609" t="s">
        <v>425</v>
      </c>
      <c r="L609">
        <v>7</v>
      </c>
      <c r="M609" t="s">
        <v>39</v>
      </c>
      <c r="N609" t="s">
        <v>40</v>
      </c>
      <c r="O609" t="s">
        <v>34</v>
      </c>
      <c r="P609" t="s">
        <v>1489</v>
      </c>
      <c r="Q609" s="7">
        <f t="shared" si="18"/>
        <v>1530828</v>
      </c>
      <c r="R609" s="7">
        <f t="shared" si="19"/>
        <v>12756.900000000001</v>
      </c>
    </row>
    <row r="610" spans="1:18" x14ac:dyDescent="0.35">
      <c r="A610" s="5">
        <v>604</v>
      </c>
      <c r="B610" t="s">
        <v>137</v>
      </c>
      <c r="C610" t="s">
        <v>1061</v>
      </c>
      <c r="D610" t="s">
        <v>1485</v>
      </c>
      <c r="E610" t="s">
        <v>69</v>
      </c>
      <c r="F610" s="1">
        <v>38168</v>
      </c>
      <c r="G610" s="2">
        <v>2004</v>
      </c>
      <c r="H610">
        <v>2021</v>
      </c>
      <c r="I610" s="2">
        <v>17</v>
      </c>
      <c r="J610" s="7">
        <v>104517</v>
      </c>
      <c r="K610" t="s">
        <v>1062</v>
      </c>
      <c r="L610">
        <v>2</v>
      </c>
      <c r="M610" t="s">
        <v>16</v>
      </c>
      <c r="N610" t="s">
        <v>17</v>
      </c>
      <c r="O610" t="s">
        <v>41</v>
      </c>
      <c r="P610" t="s">
        <v>1489</v>
      </c>
      <c r="Q610" s="7">
        <f t="shared" si="18"/>
        <v>1254204</v>
      </c>
      <c r="R610" s="7">
        <f t="shared" si="19"/>
        <v>10451.700000000001</v>
      </c>
    </row>
    <row r="611" spans="1:18" x14ac:dyDescent="0.35">
      <c r="A611" s="5">
        <v>605</v>
      </c>
      <c r="B611" t="s">
        <v>113</v>
      </c>
      <c r="C611" t="s">
        <v>1063</v>
      </c>
      <c r="D611" t="s">
        <v>1486</v>
      </c>
      <c r="E611" t="s">
        <v>37</v>
      </c>
      <c r="F611" s="1">
        <v>45271</v>
      </c>
      <c r="G611" s="2">
        <v>2010</v>
      </c>
      <c r="H611">
        <v>2021</v>
      </c>
      <c r="I611" s="2">
        <v>11</v>
      </c>
      <c r="J611" s="7">
        <v>110366</v>
      </c>
      <c r="K611" t="s">
        <v>370</v>
      </c>
      <c r="L611">
        <v>6</v>
      </c>
      <c r="M611" t="s">
        <v>50</v>
      </c>
      <c r="N611" t="s">
        <v>40</v>
      </c>
      <c r="O611" t="s">
        <v>41</v>
      </c>
      <c r="P611" t="s">
        <v>1489</v>
      </c>
      <c r="Q611" s="7">
        <f t="shared" si="18"/>
        <v>1324392</v>
      </c>
      <c r="R611" s="7">
        <f t="shared" si="19"/>
        <v>11036.6</v>
      </c>
    </row>
    <row r="612" spans="1:18" x14ac:dyDescent="0.35">
      <c r="A612" s="5">
        <v>606</v>
      </c>
      <c r="B612" t="s">
        <v>816</v>
      </c>
      <c r="C612" t="s">
        <v>1064</v>
      </c>
      <c r="D612" t="s">
        <v>1486</v>
      </c>
      <c r="E612" t="s">
        <v>100</v>
      </c>
      <c r="F612" s="1">
        <v>37660</v>
      </c>
      <c r="G612" s="2">
        <v>2003</v>
      </c>
      <c r="H612">
        <v>2021</v>
      </c>
      <c r="I612" s="2">
        <v>18</v>
      </c>
      <c r="J612" s="7">
        <v>136917</v>
      </c>
      <c r="K612" t="s">
        <v>537</v>
      </c>
      <c r="L612">
        <v>4</v>
      </c>
      <c r="M612" t="s">
        <v>55</v>
      </c>
      <c r="N612" t="s">
        <v>17</v>
      </c>
      <c r="O612" t="s">
        <v>29</v>
      </c>
      <c r="P612" t="s">
        <v>1489</v>
      </c>
      <c r="Q612" s="7">
        <f t="shared" si="18"/>
        <v>1643004</v>
      </c>
      <c r="R612" s="7">
        <f t="shared" si="19"/>
        <v>13691.7</v>
      </c>
    </row>
    <row r="613" spans="1:18" x14ac:dyDescent="0.35">
      <c r="A613" s="5">
        <v>607</v>
      </c>
      <c r="B613" t="s">
        <v>973</v>
      </c>
      <c r="C613" t="s">
        <v>1065</v>
      </c>
      <c r="D613" t="s">
        <v>1485</v>
      </c>
      <c r="E613" t="s">
        <v>21</v>
      </c>
      <c r="F613" s="1">
        <v>39284</v>
      </c>
      <c r="G613" s="2">
        <v>2007</v>
      </c>
      <c r="H613">
        <v>2021</v>
      </c>
      <c r="I613" s="2">
        <v>14</v>
      </c>
      <c r="J613" s="7">
        <v>130563</v>
      </c>
      <c r="K613" t="s">
        <v>136</v>
      </c>
      <c r="L613">
        <v>7</v>
      </c>
      <c r="M613" t="s">
        <v>39</v>
      </c>
      <c r="N613" t="s">
        <v>40</v>
      </c>
      <c r="O613" t="s">
        <v>23</v>
      </c>
      <c r="P613" t="s">
        <v>1489</v>
      </c>
      <c r="Q613" s="7">
        <f t="shared" si="18"/>
        <v>1566756</v>
      </c>
      <c r="R613" s="7">
        <f t="shared" si="19"/>
        <v>13056.300000000001</v>
      </c>
    </row>
    <row r="614" spans="1:18" x14ac:dyDescent="0.35">
      <c r="A614" s="5">
        <v>608</v>
      </c>
      <c r="B614" t="s">
        <v>722</v>
      </c>
      <c r="C614" t="s">
        <v>1066</v>
      </c>
      <c r="D614" t="s">
        <v>1485</v>
      </c>
      <c r="E614" t="s">
        <v>203</v>
      </c>
      <c r="F614" s="1">
        <v>38304</v>
      </c>
      <c r="G614" s="2">
        <v>2004</v>
      </c>
      <c r="H614">
        <v>2021</v>
      </c>
      <c r="I614" s="2">
        <v>17</v>
      </c>
      <c r="J614" s="7">
        <v>73553</v>
      </c>
      <c r="K614" t="s">
        <v>381</v>
      </c>
      <c r="L614">
        <v>6</v>
      </c>
      <c r="M614" t="s">
        <v>50</v>
      </c>
      <c r="N614" t="s">
        <v>40</v>
      </c>
      <c r="O614" t="s">
        <v>41</v>
      </c>
      <c r="P614" t="s">
        <v>1489</v>
      </c>
      <c r="Q614" s="7">
        <f t="shared" si="18"/>
        <v>882636</v>
      </c>
      <c r="R614" s="7">
        <f t="shared" si="19"/>
        <v>7355.3</v>
      </c>
    </row>
    <row r="615" spans="1:18" x14ac:dyDescent="0.35">
      <c r="A615" s="5">
        <v>609</v>
      </c>
      <c r="B615" t="s">
        <v>462</v>
      </c>
      <c r="C615" t="s">
        <v>1067</v>
      </c>
      <c r="D615" t="s">
        <v>1485</v>
      </c>
      <c r="E615" t="s">
        <v>94</v>
      </c>
      <c r="F615" s="1">
        <v>39103</v>
      </c>
      <c r="G615" s="2">
        <v>2007</v>
      </c>
      <c r="H615">
        <v>2021</v>
      </c>
      <c r="I615" s="2">
        <v>14</v>
      </c>
      <c r="J615" s="7">
        <v>93995</v>
      </c>
      <c r="K615" t="s">
        <v>527</v>
      </c>
      <c r="L615">
        <v>2</v>
      </c>
      <c r="M615" t="s">
        <v>16</v>
      </c>
      <c r="N615" t="s">
        <v>17</v>
      </c>
      <c r="O615" t="s">
        <v>18</v>
      </c>
      <c r="P615" t="s">
        <v>1489</v>
      </c>
      <c r="Q615" s="7">
        <f t="shared" si="18"/>
        <v>1127940</v>
      </c>
      <c r="R615" s="7">
        <f t="shared" si="19"/>
        <v>9399.5</v>
      </c>
    </row>
    <row r="616" spans="1:18" x14ac:dyDescent="0.35">
      <c r="A616" s="5">
        <v>610</v>
      </c>
      <c r="B616" t="s">
        <v>377</v>
      </c>
      <c r="C616" t="s">
        <v>1068</v>
      </c>
      <c r="D616" t="s">
        <v>1485</v>
      </c>
      <c r="E616" t="s">
        <v>203</v>
      </c>
      <c r="F616" s="1">
        <v>40048</v>
      </c>
      <c r="G616" s="2">
        <v>2009</v>
      </c>
      <c r="H616">
        <v>2021</v>
      </c>
      <c r="I616" s="2">
        <v>12</v>
      </c>
      <c r="J616" s="7">
        <v>45270</v>
      </c>
      <c r="K616" t="s">
        <v>191</v>
      </c>
      <c r="L616">
        <v>7</v>
      </c>
      <c r="M616" t="s">
        <v>39</v>
      </c>
      <c r="N616" t="s">
        <v>40</v>
      </c>
      <c r="O616" t="s">
        <v>41</v>
      </c>
      <c r="P616" t="s">
        <v>1489</v>
      </c>
      <c r="Q616" s="7">
        <f t="shared" si="18"/>
        <v>543240</v>
      </c>
      <c r="R616" s="7">
        <f t="shared" si="19"/>
        <v>4527</v>
      </c>
    </row>
    <row r="617" spans="1:18" x14ac:dyDescent="0.35">
      <c r="A617" s="5">
        <v>611</v>
      </c>
      <c r="B617" t="s">
        <v>555</v>
      </c>
      <c r="C617" t="s">
        <v>1069</v>
      </c>
      <c r="D617" t="s">
        <v>1486</v>
      </c>
      <c r="E617" t="s">
        <v>312</v>
      </c>
      <c r="F617" s="1">
        <v>44863</v>
      </c>
      <c r="G617" s="2">
        <v>2009</v>
      </c>
      <c r="H617">
        <v>2021</v>
      </c>
      <c r="I617" s="2">
        <v>12</v>
      </c>
      <c r="J617" s="7">
        <v>147739</v>
      </c>
      <c r="K617" t="s">
        <v>54</v>
      </c>
      <c r="L617">
        <v>5</v>
      </c>
      <c r="M617" t="s">
        <v>91</v>
      </c>
      <c r="N617" t="s">
        <v>40</v>
      </c>
      <c r="O617" t="s">
        <v>41</v>
      </c>
      <c r="P617" t="s">
        <v>1489</v>
      </c>
      <c r="Q617" s="7">
        <f t="shared" si="18"/>
        <v>1772868</v>
      </c>
      <c r="R617" s="7">
        <f t="shared" si="19"/>
        <v>14773.900000000001</v>
      </c>
    </row>
    <row r="618" spans="1:18" x14ac:dyDescent="0.35">
      <c r="A618" s="5">
        <v>612</v>
      </c>
      <c r="B618" t="s">
        <v>523</v>
      </c>
      <c r="C618" t="s">
        <v>1070</v>
      </c>
      <c r="D618" t="s">
        <v>1486</v>
      </c>
      <c r="E618" t="s">
        <v>203</v>
      </c>
      <c r="F618" s="1">
        <v>37874</v>
      </c>
      <c r="G618" s="2">
        <v>2003</v>
      </c>
      <c r="H618">
        <v>2021</v>
      </c>
      <c r="I618" s="2">
        <v>18</v>
      </c>
      <c r="J618" s="7">
        <v>142211</v>
      </c>
      <c r="K618" t="s">
        <v>1071</v>
      </c>
      <c r="L618">
        <v>4</v>
      </c>
      <c r="M618" t="s">
        <v>55</v>
      </c>
      <c r="N618" t="s">
        <v>17</v>
      </c>
      <c r="O618" t="s">
        <v>41</v>
      </c>
      <c r="P618" t="s">
        <v>1489</v>
      </c>
      <c r="Q618" s="7">
        <f t="shared" si="18"/>
        <v>1706532</v>
      </c>
      <c r="R618" s="7">
        <f t="shared" si="19"/>
        <v>14221.1</v>
      </c>
    </row>
    <row r="619" spans="1:18" x14ac:dyDescent="0.35">
      <c r="A619" s="5">
        <v>613</v>
      </c>
      <c r="B619" t="s">
        <v>187</v>
      </c>
      <c r="C619" t="s">
        <v>1072</v>
      </c>
      <c r="D619" t="s">
        <v>1486</v>
      </c>
      <c r="E619" t="s">
        <v>129</v>
      </c>
      <c r="F619" s="1">
        <v>38986</v>
      </c>
      <c r="G619" s="2">
        <v>2006</v>
      </c>
      <c r="H619">
        <v>2021</v>
      </c>
      <c r="I619" s="2">
        <v>15</v>
      </c>
      <c r="J619" s="7">
        <v>48791</v>
      </c>
      <c r="K619" t="s">
        <v>527</v>
      </c>
      <c r="L619">
        <v>1</v>
      </c>
      <c r="M619" t="s">
        <v>46</v>
      </c>
      <c r="N619" t="s">
        <v>17</v>
      </c>
      <c r="O619" t="s">
        <v>41</v>
      </c>
      <c r="P619" t="s">
        <v>1489</v>
      </c>
      <c r="Q619" s="7">
        <f t="shared" si="18"/>
        <v>585492</v>
      </c>
      <c r="R619" s="7">
        <f t="shared" si="19"/>
        <v>4879.1000000000004</v>
      </c>
    </row>
    <row r="620" spans="1:18" x14ac:dyDescent="0.35">
      <c r="A620" s="5">
        <v>614</v>
      </c>
      <c r="B620" t="s">
        <v>1035</v>
      </c>
      <c r="C620" t="s">
        <v>1073</v>
      </c>
      <c r="D620" t="s">
        <v>1486</v>
      </c>
      <c r="E620" t="s">
        <v>94</v>
      </c>
      <c r="F620" s="1">
        <v>44502</v>
      </c>
      <c r="G620" s="2">
        <v>2008</v>
      </c>
      <c r="H620">
        <v>2021</v>
      </c>
      <c r="I620" s="2">
        <v>13</v>
      </c>
      <c r="J620" s="7">
        <v>112929</v>
      </c>
      <c r="K620" t="s">
        <v>617</v>
      </c>
      <c r="L620">
        <v>5</v>
      </c>
      <c r="M620" t="s">
        <v>91</v>
      </c>
      <c r="N620" t="s">
        <v>40</v>
      </c>
      <c r="O620" t="s">
        <v>18</v>
      </c>
      <c r="P620" t="s">
        <v>1489</v>
      </c>
      <c r="Q620" s="7">
        <f t="shared" si="18"/>
        <v>1355148</v>
      </c>
      <c r="R620" s="7">
        <f t="shared" si="19"/>
        <v>11292.900000000001</v>
      </c>
    </row>
    <row r="621" spans="1:18" x14ac:dyDescent="0.35">
      <c r="A621" s="5">
        <v>615</v>
      </c>
      <c r="B621" t="s">
        <v>102</v>
      </c>
      <c r="C621" t="s">
        <v>1074</v>
      </c>
      <c r="D621" t="s">
        <v>1486</v>
      </c>
      <c r="E621" t="s">
        <v>69</v>
      </c>
      <c r="F621" s="1">
        <v>44920</v>
      </c>
      <c r="G621" s="2">
        <v>2009</v>
      </c>
      <c r="H621">
        <v>2021</v>
      </c>
      <c r="I621" s="2">
        <v>12</v>
      </c>
      <c r="J621" s="7">
        <v>72854</v>
      </c>
      <c r="K621" t="s">
        <v>104</v>
      </c>
      <c r="L621">
        <v>7</v>
      </c>
      <c r="M621" t="s">
        <v>39</v>
      </c>
      <c r="N621" t="s">
        <v>40</v>
      </c>
      <c r="O621" t="s">
        <v>41</v>
      </c>
      <c r="P621" t="s">
        <v>1489</v>
      </c>
      <c r="Q621" s="7">
        <f t="shared" si="18"/>
        <v>874248</v>
      </c>
      <c r="R621" s="7">
        <f t="shared" si="19"/>
        <v>7285.4000000000005</v>
      </c>
    </row>
    <row r="622" spans="1:18" x14ac:dyDescent="0.35">
      <c r="A622" s="5">
        <v>616</v>
      </c>
      <c r="B622" t="s">
        <v>596</v>
      </c>
      <c r="C622" t="s">
        <v>1075</v>
      </c>
      <c r="D622" t="s">
        <v>1486</v>
      </c>
      <c r="E622" t="s">
        <v>26</v>
      </c>
      <c r="F622" s="1">
        <v>39000</v>
      </c>
      <c r="G622" s="2">
        <v>2006</v>
      </c>
      <c r="H622">
        <v>2021</v>
      </c>
      <c r="I622" s="2">
        <v>15</v>
      </c>
      <c r="J622" s="7">
        <v>47281</v>
      </c>
      <c r="K622" t="s">
        <v>95</v>
      </c>
      <c r="L622">
        <v>6</v>
      </c>
      <c r="M622" t="s">
        <v>50</v>
      </c>
      <c r="N622" t="s">
        <v>40</v>
      </c>
      <c r="O622" t="s">
        <v>29</v>
      </c>
      <c r="P622" t="s">
        <v>1489</v>
      </c>
      <c r="Q622" s="7">
        <f t="shared" si="18"/>
        <v>567372</v>
      </c>
      <c r="R622" s="7">
        <f t="shared" si="19"/>
        <v>4728.1000000000004</v>
      </c>
    </row>
    <row r="623" spans="1:18" x14ac:dyDescent="0.35">
      <c r="A623" s="5">
        <v>617</v>
      </c>
      <c r="B623" t="s">
        <v>224</v>
      </c>
      <c r="C623" t="s">
        <v>1076</v>
      </c>
      <c r="D623" t="s">
        <v>1486</v>
      </c>
      <c r="E623" t="s">
        <v>203</v>
      </c>
      <c r="F623" s="1">
        <v>46185</v>
      </c>
      <c r="G623" s="2">
        <v>2013</v>
      </c>
      <c r="H623">
        <v>2021</v>
      </c>
      <c r="I623" s="2">
        <v>8</v>
      </c>
      <c r="J623" s="7">
        <v>49410</v>
      </c>
      <c r="K623" t="s">
        <v>1077</v>
      </c>
      <c r="L623">
        <v>1</v>
      </c>
      <c r="M623" t="s">
        <v>46</v>
      </c>
      <c r="N623" t="s">
        <v>17</v>
      </c>
      <c r="O623" t="s">
        <v>41</v>
      </c>
      <c r="P623" t="s">
        <v>1489</v>
      </c>
      <c r="Q623" s="7">
        <f t="shared" si="18"/>
        <v>592920</v>
      </c>
      <c r="R623" s="7">
        <f t="shared" si="19"/>
        <v>4941</v>
      </c>
    </row>
    <row r="624" spans="1:18" x14ac:dyDescent="0.35">
      <c r="A624" s="5">
        <v>618</v>
      </c>
      <c r="B624" t="s">
        <v>42</v>
      </c>
      <c r="C624" t="s">
        <v>1078</v>
      </c>
      <c r="D624" t="s">
        <v>1485</v>
      </c>
      <c r="E624" t="s">
        <v>69</v>
      </c>
      <c r="F624" s="1">
        <v>37049</v>
      </c>
      <c r="G624" s="2">
        <v>2001</v>
      </c>
      <c r="H624">
        <v>2021</v>
      </c>
      <c r="I624" s="2">
        <v>20</v>
      </c>
      <c r="J624" s="7">
        <v>128205</v>
      </c>
      <c r="K624" t="s">
        <v>62</v>
      </c>
      <c r="L624">
        <v>6</v>
      </c>
      <c r="M624" t="s">
        <v>50</v>
      </c>
      <c r="N624" t="s">
        <v>40</v>
      </c>
      <c r="O624" t="s">
        <v>41</v>
      </c>
      <c r="P624" t="s">
        <v>1489</v>
      </c>
      <c r="Q624" s="7">
        <f t="shared" si="18"/>
        <v>1538460</v>
      </c>
      <c r="R624" s="7">
        <f t="shared" si="19"/>
        <v>12820.5</v>
      </c>
    </row>
    <row r="625" spans="1:18" x14ac:dyDescent="0.35">
      <c r="A625" s="5">
        <v>619</v>
      </c>
      <c r="B625" t="s">
        <v>882</v>
      </c>
      <c r="C625" t="s">
        <v>1079</v>
      </c>
      <c r="D625" t="s">
        <v>1485</v>
      </c>
      <c r="E625" t="s">
        <v>44</v>
      </c>
      <c r="F625" s="1">
        <v>41792</v>
      </c>
      <c r="G625" s="2">
        <v>2014</v>
      </c>
      <c r="H625">
        <v>2021</v>
      </c>
      <c r="I625" s="2">
        <v>7</v>
      </c>
      <c r="J625" s="7">
        <v>133190</v>
      </c>
      <c r="K625" t="s">
        <v>370</v>
      </c>
      <c r="L625">
        <v>7</v>
      </c>
      <c r="M625" t="s">
        <v>39</v>
      </c>
      <c r="N625" t="s">
        <v>40</v>
      </c>
      <c r="O625" t="s">
        <v>29</v>
      </c>
      <c r="P625" t="s">
        <v>1489</v>
      </c>
      <c r="Q625" s="7">
        <f t="shared" si="18"/>
        <v>1598280</v>
      </c>
      <c r="R625" s="7">
        <f t="shared" si="19"/>
        <v>13319</v>
      </c>
    </row>
    <row r="626" spans="1:18" x14ac:dyDescent="0.35">
      <c r="A626" s="5">
        <v>620</v>
      </c>
      <c r="B626" t="s">
        <v>801</v>
      </c>
      <c r="C626" t="s">
        <v>1080</v>
      </c>
      <c r="D626" t="s">
        <v>1486</v>
      </c>
      <c r="E626" t="s">
        <v>122</v>
      </c>
      <c r="F626" s="1">
        <v>44787</v>
      </c>
      <c r="G626" s="2">
        <v>2009</v>
      </c>
      <c r="H626">
        <v>2021</v>
      </c>
      <c r="I626" s="2">
        <v>12</v>
      </c>
      <c r="J626" s="7">
        <v>59644</v>
      </c>
      <c r="K626" t="s">
        <v>374</v>
      </c>
      <c r="L626">
        <v>1</v>
      </c>
      <c r="M626" t="s">
        <v>46</v>
      </c>
      <c r="N626" t="s">
        <v>17</v>
      </c>
      <c r="O626" t="s">
        <v>123</v>
      </c>
      <c r="P626" t="s">
        <v>1489</v>
      </c>
      <c r="Q626" s="7">
        <f t="shared" si="18"/>
        <v>715728</v>
      </c>
      <c r="R626" s="7">
        <f t="shared" si="19"/>
        <v>5964.4000000000005</v>
      </c>
    </row>
    <row r="627" spans="1:18" x14ac:dyDescent="0.35">
      <c r="A627" s="5">
        <v>621</v>
      </c>
      <c r="B627" t="s">
        <v>457</v>
      </c>
      <c r="C627" t="s">
        <v>1081</v>
      </c>
      <c r="D627" t="s">
        <v>1485</v>
      </c>
      <c r="E627" t="s">
        <v>85</v>
      </c>
      <c r="F627" s="1">
        <v>38291</v>
      </c>
      <c r="G627" s="2">
        <v>2004</v>
      </c>
      <c r="H627">
        <v>2021</v>
      </c>
      <c r="I627" s="2">
        <v>17</v>
      </c>
      <c r="J627" s="7">
        <v>111427</v>
      </c>
      <c r="K627" t="s">
        <v>750</v>
      </c>
      <c r="L627">
        <v>4</v>
      </c>
      <c r="M627" t="s">
        <v>55</v>
      </c>
      <c r="N627" t="s">
        <v>17</v>
      </c>
      <c r="O627" t="s">
        <v>41</v>
      </c>
      <c r="P627" t="s">
        <v>1489</v>
      </c>
      <c r="Q627" s="7">
        <f t="shared" si="18"/>
        <v>1337124</v>
      </c>
      <c r="R627" s="7">
        <f t="shared" si="19"/>
        <v>11142.7</v>
      </c>
    </row>
    <row r="628" spans="1:18" x14ac:dyDescent="0.35">
      <c r="A628" s="5">
        <v>622</v>
      </c>
      <c r="B628" t="s">
        <v>710</v>
      </c>
      <c r="C628" t="s">
        <v>1082</v>
      </c>
      <c r="D628" t="s">
        <v>1485</v>
      </c>
      <c r="E628" t="s">
        <v>94</v>
      </c>
      <c r="F628" s="1">
        <v>37330</v>
      </c>
      <c r="G628" s="2">
        <v>2002</v>
      </c>
      <c r="H628">
        <v>2021</v>
      </c>
      <c r="I628" s="2">
        <v>19</v>
      </c>
      <c r="J628" s="7">
        <v>98339</v>
      </c>
      <c r="K628" t="s">
        <v>139</v>
      </c>
      <c r="L628">
        <v>3</v>
      </c>
      <c r="M628" t="s">
        <v>28</v>
      </c>
      <c r="N628" t="s">
        <v>17</v>
      </c>
      <c r="O628" t="s">
        <v>18</v>
      </c>
      <c r="P628" t="s">
        <v>1489</v>
      </c>
      <c r="Q628" s="7">
        <f t="shared" si="18"/>
        <v>1180068</v>
      </c>
      <c r="R628" s="7">
        <f t="shared" si="19"/>
        <v>9833.9000000000015</v>
      </c>
    </row>
    <row r="629" spans="1:18" x14ac:dyDescent="0.35">
      <c r="A629" s="5">
        <v>623</v>
      </c>
      <c r="B629" t="s">
        <v>555</v>
      </c>
      <c r="C629" t="s">
        <v>1083</v>
      </c>
      <c r="D629" t="s">
        <v>1485</v>
      </c>
      <c r="E629" t="s">
        <v>129</v>
      </c>
      <c r="F629" s="1">
        <v>38775</v>
      </c>
      <c r="G629" s="2">
        <v>2006</v>
      </c>
      <c r="H629">
        <v>2021</v>
      </c>
      <c r="I629" s="2">
        <v>15</v>
      </c>
      <c r="J629" s="7">
        <v>72948</v>
      </c>
      <c r="K629" t="s">
        <v>527</v>
      </c>
      <c r="L629">
        <v>6</v>
      </c>
      <c r="M629" t="s">
        <v>50</v>
      </c>
      <c r="N629" t="s">
        <v>40</v>
      </c>
      <c r="O629" t="s">
        <v>41</v>
      </c>
      <c r="P629" t="s">
        <v>1489</v>
      </c>
      <c r="Q629" s="7">
        <f t="shared" si="18"/>
        <v>875376</v>
      </c>
      <c r="R629" s="7">
        <f t="shared" si="19"/>
        <v>7294.8</v>
      </c>
    </row>
    <row r="630" spans="1:18" x14ac:dyDescent="0.35">
      <c r="A630" s="5">
        <v>624</v>
      </c>
      <c r="B630" t="s">
        <v>722</v>
      </c>
      <c r="C630" t="s">
        <v>1084</v>
      </c>
      <c r="D630" t="s">
        <v>1485</v>
      </c>
      <c r="E630" t="s">
        <v>122</v>
      </c>
      <c r="F630" s="1">
        <v>39778</v>
      </c>
      <c r="G630" s="2">
        <v>2008</v>
      </c>
      <c r="H630">
        <v>2021</v>
      </c>
      <c r="I630" s="2">
        <v>13</v>
      </c>
      <c r="J630" s="7">
        <v>60203</v>
      </c>
      <c r="K630" t="s">
        <v>223</v>
      </c>
      <c r="L630">
        <v>2</v>
      </c>
      <c r="M630" t="s">
        <v>16</v>
      </c>
      <c r="N630" t="s">
        <v>17</v>
      </c>
      <c r="O630" t="s">
        <v>123</v>
      </c>
      <c r="P630" t="s">
        <v>1489</v>
      </c>
      <c r="Q630" s="7">
        <f t="shared" si="18"/>
        <v>722436</v>
      </c>
      <c r="R630" s="7">
        <f t="shared" si="19"/>
        <v>6020.3</v>
      </c>
    </row>
    <row r="631" spans="1:18" x14ac:dyDescent="0.35">
      <c r="A631" s="5">
        <v>625</v>
      </c>
      <c r="B631" t="s">
        <v>505</v>
      </c>
      <c r="C631" t="s">
        <v>1085</v>
      </c>
      <c r="D631" t="s">
        <v>1486</v>
      </c>
      <c r="E631" t="s">
        <v>148</v>
      </c>
      <c r="F631" s="1">
        <v>44167</v>
      </c>
      <c r="G631" s="2">
        <v>2007</v>
      </c>
      <c r="H631">
        <v>2021</v>
      </c>
      <c r="I631" s="2">
        <v>14</v>
      </c>
      <c r="J631" s="7">
        <v>147003</v>
      </c>
      <c r="K631" t="s">
        <v>287</v>
      </c>
      <c r="L631">
        <v>1</v>
      </c>
      <c r="M631" t="s">
        <v>46</v>
      </c>
      <c r="N631" t="s">
        <v>17</v>
      </c>
      <c r="O631" t="s">
        <v>112</v>
      </c>
      <c r="P631" t="s">
        <v>1489</v>
      </c>
      <c r="Q631" s="7">
        <f t="shared" si="18"/>
        <v>1764036</v>
      </c>
      <c r="R631" s="7">
        <f t="shared" si="19"/>
        <v>14700.300000000001</v>
      </c>
    </row>
    <row r="632" spans="1:18" x14ac:dyDescent="0.35">
      <c r="A632" s="5">
        <v>626</v>
      </c>
      <c r="B632" t="s">
        <v>553</v>
      </c>
      <c r="C632" t="s">
        <v>1086</v>
      </c>
      <c r="D632" t="s">
        <v>1486</v>
      </c>
      <c r="E632" t="s">
        <v>110</v>
      </c>
      <c r="F632" s="1">
        <v>44573</v>
      </c>
      <c r="G632" s="2">
        <v>2009</v>
      </c>
      <c r="H632">
        <v>2021</v>
      </c>
      <c r="I632" s="2">
        <v>12</v>
      </c>
      <c r="J632" s="7">
        <v>83706</v>
      </c>
      <c r="K632" t="s">
        <v>142</v>
      </c>
      <c r="L632">
        <v>2</v>
      </c>
      <c r="M632" t="s">
        <v>16</v>
      </c>
      <c r="N632" t="s">
        <v>17</v>
      </c>
      <c r="O632" t="s">
        <v>112</v>
      </c>
      <c r="P632" t="s">
        <v>1489</v>
      </c>
      <c r="Q632" s="7">
        <f t="shared" si="18"/>
        <v>1004472</v>
      </c>
      <c r="R632" s="7">
        <f t="shared" si="19"/>
        <v>8370.6</v>
      </c>
    </row>
    <row r="633" spans="1:18" x14ac:dyDescent="0.35">
      <c r="A633" s="5">
        <v>627</v>
      </c>
      <c r="B633" t="s">
        <v>161</v>
      </c>
      <c r="C633" t="s">
        <v>1087</v>
      </c>
      <c r="D633" t="s">
        <v>1486</v>
      </c>
      <c r="E633" t="s">
        <v>37</v>
      </c>
      <c r="F633" s="1">
        <v>36546</v>
      </c>
      <c r="G633" s="2">
        <v>2000</v>
      </c>
      <c r="H633">
        <v>2021</v>
      </c>
      <c r="I633" s="2">
        <v>21</v>
      </c>
      <c r="J633" s="7">
        <v>80245</v>
      </c>
      <c r="K633" t="s">
        <v>459</v>
      </c>
      <c r="L633">
        <v>6</v>
      </c>
      <c r="M633" t="s">
        <v>50</v>
      </c>
      <c r="N633" t="s">
        <v>40</v>
      </c>
      <c r="O633" t="s">
        <v>41</v>
      </c>
      <c r="P633" t="s">
        <v>1489</v>
      </c>
      <c r="Q633" s="7">
        <f t="shared" si="18"/>
        <v>962940</v>
      </c>
      <c r="R633" s="7">
        <f t="shared" si="19"/>
        <v>8024.5</v>
      </c>
    </row>
    <row r="634" spans="1:18" x14ac:dyDescent="0.35">
      <c r="A634" s="5">
        <v>628</v>
      </c>
      <c r="B634" t="s">
        <v>410</v>
      </c>
      <c r="C634" t="s">
        <v>1088</v>
      </c>
      <c r="D634" t="s">
        <v>1485</v>
      </c>
      <c r="E634" t="s">
        <v>32</v>
      </c>
      <c r="F634" s="1">
        <v>39671</v>
      </c>
      <c r="G634" s="2">
        <v>2008</v>
      </c>
      <c r="H634">
        <v>2021</v>
      </c>
      <c r="I634" s="3">
        <v>13</v>
      </c>
      <c r="J634" s="7">
        <v>65110</v>
      </c>
      <c r="K634" t="s">
        <v>74</v>
      </c>
      <c r="L634">
        <v>5</v>
      </c>
      <c r="M634" t="s">
        <v>91</v>
      </c>
      <c r="N634" t="s">
        <v>40</v>
      </c>
      <c r="O634" t="s">
        <v>34</v>
      </c>
      <c r="P634" t="s">
        <v>1489</v>
      </c>
      <c r="Q634" s="7">
        <f t="shared" si="18"/>
        <v>781320</v>
      </c>
      <c r="R634" s="7">
        <f t="shared" si="19"/>
        <v>6511</v>
      </c>
    </row>
    <row r="635" spans="1:18" x14ac:dyDescent="0.35">
      <c r="A635" s="5">
        <v>629</v>
      </c>
      <c r="B635" t="s">
        <v>161</v>
      </c>
      <c r="C635" t="s">
        <v>1089</v>
      </c>
      <c r="D635" t="s">
        <v>1485</v>
      </c>
      <c r="E635" t="s">
        <v>32</v>
      </c>
      <c r="F635" s="1">
        <v>40753</v>
      </c>
      <c r="G635" s="2">
        <v>2011</v>
      </c>
      <c r="H635">
        <v>2021</v>
      </c>
      <c r="I635" s="3">
        <v>10</v>
      </c>
      <c r="J635" s="7">
        <v>128617</v>
      </c>
      <c r="K635" t="s">
        <v>181</v>
      </c>
      <c r="L635">
        <v>4</v>
      </c>
      <c r="M635" t="s">
        <v>55</v>
      </c>
      <c r="N635" t="s">
        <v>17</v>
      </c>
      <c r="O635" t="s">
        <v>34</v>
      </c>
      <c r="P635" t="s">
        <v>1489</v>
      </c>
      <c r="Q635" s="7">
        <f t="shared" si="18"/>
        <v>1543404</v>
      </c>
      <c r="R635" s="7">
        <f t="shared" si="19"/>
        <v>12861.7</v>
      </c>
    </row>
    <row r="636" spans="1:18" x14ac:dyDescent="0.35">
      <c r="A636" s="5">
        <v>630</v>
      </c>
      <c r="B636" t="s">
        <v>1014</v>
      </c>
      <c r="C636" t="s">
        <v>1090</v>
      </c>
      <c r="D636" t="s">
        <v>1485</v>
      </c>
      <c r="E636" t="s">
        <v>148</v>
      </c>
      <c r="F636" s="1">
        <v>37296</v>
      </c>
      <c r="G636" s="2">
        <v>2002</v>
      </c>
      <c r="H636">
        <v>2021</v>
      </c>
      <c r="I636" s="2">
        <v>19</v>
      </c>
      <c r="J636" s="7">
        <v>96107</v>
      </c>
      <c r="K636" t="s">
        <v>908</v>
      </c>
      <c r="L636">
        <v>5</v>
      </c>
      <c r="M636" t="s">
        <v>91</v>
      </c>
      <c r="N636" t="s">
        <v>40</v>
      </c>
      <c r="O636" t="s">
        <v>112</v>
      </c>
      <c r="P636" t="s">
        <v>1489</v>
      </c>
      <c r="Q636" s="7">
        <f t="shared" si="18"/>
        <v>1153284</v>
      </c>
      <c r="R636" s="7">
        <f t="shared" si="19"/>
        <v>9610.7000000000007</v>
      </c>
    </row>
    <row r="637" spans="1:18" x14ac:dyDescent="0.35">
      <c r="A637" s="5">
        <v>631</v>
      </c>
      <c r="B637" t="s">
        <v>741</v>
      </c>
      <c r="C637" t="s">
        <v>1091</v>
      </c>
      <c r="D637" t="s">
        <v>1486</v>
      </c>
      <c r="E637" t="s">
        <v>44</v>
      </c>
      <c r="F637" s="1">
        <v>46552</v>
      </c>
      <c r="G637" s="2">
        <v>2014</v>
      </c>
      <c r="H637">
        <v>2021</v>
      </c>
      <c r="I637" s="2">
        <v>7</v>
      </c>
      <c r="J637" s="7">
        <v>44788</v>
      </c>
      <c r="K637" t="s">
        <v>454</v>
      </c>
      <c r="L637">
        <v>2</v>
      </c>
      <c r="M637" t="s">
        <v>16</v>
      </c>
      <c r="N637" t="s">
        <v>17</v>
      </c>
      <c r="O637" t="s">
        <v>29</v>
      </c>
      <c r="P637" t="s">
        <v>1489</v>
      </c>
      <c r="Q637" s="7">
        <f t="shared" si="18"/>
        <v>537456</v>
      </c>
      <c r="R637" s="7">
        <f t="shared" si="19"/>
        <v>4478.8</v>
      </c>
    </row>
    <row r="638" spans="1:18" x14ac:dyDescent="0.35">
      <c r="A638" s="5">
        <v>632</v>
      </c>
      <c r="B638" t="s">
        <v>443</v>
      </c>
      <c r="C638" t="s">
        <v>1092</v>
      </c>
      <c r="D638" t="s">
        <v>1486</v>
      </c>
      <c r="E638" t="s">
        <v>110</v>
      </c>
      <c r="F638" s="1">
        <v>37987</v>
      </c>
      <c r="G638" s="2">
        <v>2004</v>
      </c>
      <c r="H638">
        <v>2021</v>
      </c>
      <c r="I638" s="2">
        <v>17</v>
      </c>
      <c r="J638" s="7">
        <v>86207</v>
      </c>
      <c r="K638" t="s">
        <v>562</v>
      </c>
      <c r="L638">
        <v>4</v>
      </c>
      <c r="M638" t="s">
        <v>55</v>
      </c>
      <c r="N638" t="s">
        <v>17</v>
      </c>
      <c r="O638" t="s">
        <v>112</v>
      </c>
      <c r="P638" t="s">
        <v>1489</v>
      </c>
      <c r="Q638" s="7">
        <f t="shared" si="18"/>
        <v>1034484</v>
      </c>
      <c r="R638" s="7">
        <f t="shared" si="19"/>
        <v>8620.7000000000007</v>
      </c>
    </row>
    <row r="639" spans="1:18" x14ac:dyDescent="0.35">
      <c r="A639" s="5">
        <v>633</v>
      </c>
      <c r="B639" t="s">
        <v>296</v>
      </c>
      <c r="C639" t="s">
        <v>1093</v>
      </c>
      <c r="D639" t="s">
        <v>1485</v>
      </c>
      <c r="E639" t="s">
        <v>312</v>
      </c>
      <c r="F639" s="1">
        <v>36824</v>
      </c>
      <c r="G639" s="2">
        <v>2000</v>
      </c>
      <c r="H639">
        <v>2021</v>
      </c>
      <c r="I639" s="2">
        <v>21</v>
      </c>
      <c r="J639" s="7">
        <v>79845</v>
      </c>
      <c r="K639" t="s">
        <v>527</v>
      </c>
      <c r="L639">
        <v>1</v>
      </c>
      <c r="M639" t="s">
        <v>46</v>
      </c>
      <c r="N639" t="s">
        <v>17</v>
      </c>
      <c r="O639" t="s">
        <v>41</v>
      </c>
      <c r="P639" t="s">
        <v>1489</v>
      </c>
      <c r="Q639" s="7">
        <f t="shared" si="18"/>
        <v>958140</v>
      </c>
      <c r="R639" s="7">
        <f t="shared" si="19"/>
        <v>7984.5</v>
      </c>
    </row>
    <row r="640" spans="1:18" x14ac:dyDescent="0.35">
      <c r="A640" s="5">
        <v>634</v>
      </c>
      <c r="B640" t="s">
        <v>523</v>
      </c>
      <c r="C640" t="s">
        <v>1094</v>
      </c>
      <c r="D640" t="s">
        <v>1486</v>
      </c>
      <c r="E640" t="s">
        <v>148</v>
      </c>
      <c r="F640" s="1">
        <v>45388</v>
      </c>
      <c r="G640" s="2">
        <v>2011</v>
      </c>
      <c r="H640">
        <v>2021</v>
      </c>
      <c r="I640" s="2">
        <v>10</v>
      </c>
      <c r="J640" s="7">
        <v>104264</v>
      </c>
      <c r="K640" t="s">
        <v>669</v>
      </c>
      <c r="L640">
        <v>6</v>
      </c>
      <c r="M640" t="s">
        <v>50</v>
      </c>
      <c r="N640" t="s">
        <v>40</v>
      </c>
      <c r="O640" t="s">
        <v>112</v>
      </c>
      <c r="P640" t="s">
        <v>1489</v>
      </c>
      <c r="Q640" s="7">
        <f t="shared" si="18"/>
        <v>1251168</v>
      </c>
      <c r="R640" s="7">
        <f t="shared" si="19"/>
        <v>10426.400000000001</v>
      </c>
    </row>
    <row r="641" spans="1:18" x14ac:dyDescent="0.35">
      <c r="A641" s="5">
        <v>635</v>
      </c>
      <c r="B641" t="s">
        <v>221</v>
      </c>
      <c r="C641" t="s">
        <v>1095</v>
      </c>
      <c r="D641" t="s">
        <v>1486</v>
      </c>
      <c r="E641" t="s">
        <v>44</v>
      </c>
      <c r="F641" s="1">
        <v>45287</v>
      </c>
      <c r="G641" s="2">
        <v>2010</v>
      </c>
      <c r="H641">
        <v>2021</v>
      </c>
      <c r="I641" s="2">
        <v>11</v>
      </c>
      <c r="J641" s="7">
        <v>77005</v>
      </c>
      <c r="K641" t="s">
        <v>456</v>
      </c>
      <c r="L641">
        <v>1</v>
      </c>
      <c r="M641" t="s">
        <v>46</v>
      </c>
      <c r="N641" t="s">
        <v>17</v>
      </c>
      <c r="O641" t="s">
        <v>29</v>
      </c>
      <c r="P641" t="s">
        <v>1489</v>
      </c>
      <c r="Q641" s="7">
        <f t="shared" si="18"/>
        <v>924060</v>
      </c>
      <c r="R641" s="7">
        <f t="shared" si="19"/>
        <v>7700.5</v>
      </c>
    </row>
    <row r="642" spans="1:18" x14ac:dyDescent="0.35">
      <c r="A642" s="5">
        <v>636</v>
      </c>
      <c r="B642" t="s">
        <v>387</v>
      </c>
      <c r="C642" t="s">
        <v>1096</v>
      </c>
      <c r="D642" t="s">
        <v>1486</v>
      </c>
      <c r="E642" t="s">
        <v>100</v>
      </c>
      <c r="F642" s="1">
        <v>45560</v>
      </c>
      <c r="G642" s="2">
        <v>2011</v>
      </c>
      <c r="H642">
        <v>2021</v>
      </c>
      <c r="I642" s="2">
        <v>10</v>
      </c>
      <c r="J642" s="7">
        <v>69564</v>
      </c>
      <c r="K642" t="s">
        <v>181</v>
      </c>
      <c r="L642">
        <v>6</v>
      </c>
      <c r="M642" t="s">
        <v>50</v>
      </c>
      <c r="N642" t="s">
        <v>40</v>
      </c>
      <c r="O642" t="s">
        <v>29</v>
      </c>
      <c r="P642" t="s">
        <v>1489</v>
      </c>
      <c r="Q642" s="7">
        <f t="shared" si="18"/>
        <v>834768</v>
      </c>
      <c r="R642" s="7">
        <f t="shared" si="19"/>
        <v>6956.4000000000005</v>
      </c>
    </row>
    <row r="643" spans="1:18" x14ac:dyDescent="0.35">
      <c r="A643" s="5">
        <v>637</v>
      </c>
      <c r="B643" t="s">
        <v>236</v>
      </c>
      <c r="C643" t="s">
        <v>1097</v>
      </c>
      <c r="D643" t="s">
        <v>1486</v>
      </c>
      <c r="E643" t="s">
        <v>312</v>
      </c>
      <c r="F643" s="1">
        <v>44037</v>
      </c>
      <c r="G643" s="2">
        <v>2007</v>
      </c>
      <c r="H643">
        <v>2021</v>
      </c>
      <c r="I643" s="2">
        <v>14</v>
      </c>
      <c r="J643" s="7">
        <v>84549</v>
      </c>
      <c r="K643" t="s">
        <v>290</v>
      </c>
      <c r="L643">
        <v>5</v>
      </c>
      <c r="M643" t="s">
        <v>91</v>
      </c>
      <c r="N643" t="s">
        <v>40</v>
      </c>
      <c r="O643" t="s">
        <v>41</v>
      </c>
      <c r="P643" t="s">
        <v>1489</v>
      </c>
      <c r="Q643" s="7">
        <f t="shared" si="18"/>
        <v>1014588</v>
      </c>
      <c r="R643" s="7">
        <f t="shared" si="19"/>
        <v>8454.9</v>
      </c>
    </row>
    <row r="644" spans="1:18" x14ac:dyDescent="0.35">
      <c r="A644" s="5">
        <v>638</v>
      </c>
      <c r="B644" t="s">
        <v>560</v>
      </c>
      <c r="C644" t="s">
        <v>1098</v>
      </c>
      <c r="D644" t="s">
        <v>1485</v>
      </c>
      <c r="E644" t="s">
        <v>79</v>
      </c>
      <c r="F644" s="1">
        <v>38877</v>
      </c>
      <c r="G644" s="2">
        <v>2006</v>
      </c>
      <c r="H644">
        <v>2021</v>
      </c>
      <c r="I644" s="2">
        <v>15</v>
      </c>
      <c r="J644" s="7">
        <v>134488</v>
      </c>
      <c r="K644" t="s">
        <v>101</v>
      </c>
      <c r="L644">
        <v>1</v>
      </c>
      <c r="M644" t="s">
        <v>46</v>
      </c>
      <c r="N644" t="s">
        <v>17</v>
      </c>
      <c r="O644" t="s">
        <v>41</v>
      </c>
      <c r="P644" t="s">
        <v>1489</v>
      </c>
      <c r="Q644" s="7">
        <f t="shared" si="18"/>
        <v>1613856</v>
      </c>
      <c r="R644" s="7">
        <f t="shared" si="19"/>
        <v>13448.800000000001</v>
      </c>
    </row>
    <row r="645" spans="1:18" x14ac:dyDescent="0.35">
      <c r="A645" s="5">
        <v>639</v>
      </c>
      <c r="B645" t="s">
        <v>116</v>
      </c>
      <c r="C645" t="s">
        <v>1099</v>
      </c>
      <c r="D645" t="s">
        <v>1485</v>
      </c>
      <c r="E645" t="s">
        <v>312</v>
      </c>
      <c r="F645" s="1">
        <v>39126</v>
      </c>
      <c r="G645" s="2">
        <v>2007</v>
      </c>
      <c r="H645">
        <v>2021</v>
      </c>
      <c r="I645" s="2">
        <v>14</v>
      </c>
      <c r="J645" s="7">
        <v>140243</v>
      </c>
      <c r="K645" t="s">
        <v>22</v>
      </c>
      <c r="L645">
        <v>5</v>
      </c>
      <c r="M645" t="s">
        <v>91</v>
      </c>
      <c r="N645" t="s">
        <v>40</v>
      </c>
      <c r="O645" t="s">
        <v>41</v>
      </c>
      <c r="P645" t="s">
        <v>1489</v>
      </c>
      <c r="Q645" s="7">
        <f t="shared" si="18"/>
        <v>1682916</v>
      </c>
      <c r="R645" s="7">
        <f t="shared" si="19"/>
        <v>14024.300000000001</v>
      </c>
    </row>
    <row r="646" spans="1:18" x14ac:dyDescent="0.35">
      <c r="A646" s="5">
        <v>640</v>
      </c>
      <c r="B646" t="s">
        <v>243</v>
      </c>
      <c r="C646" t="s">
        <v>1100</v>
      </c>
      <c r="D646" t="s">
        <v>1485</v>
      </c>
      <c r="E646" t="s">
        <v>32</v>
      </c>
      <c r="F646" s="1">
        <v>37674</v>
      </c>
      <c r="G646" s="2">
        <v>2003</v>
      </c>
      <c r="H646">
        <v>2021</v>
      </c>
      <c r="I646" s="3">
        <v>18</v>
      </c>
      <c r="J646" s="7">
        <v>44096</v>
      </c>
      <c r="K646" t="s">
        <v>938</v>
      </c>
      <c r="L646">
        <v>4</v>
      </c>
      <c r="M646" t="s">
        <v>55</v>
      </c>
      <c r="N646" t="s">
        <v>17</v>
      </c>
      <c r="O646" t="s">
        <v>34</v>
      </c>
      <c r="P646" t="s">
        <v>1489</v>
      </c>
      <c r="Q646" s="7">
        <f t="shared" si="18"/>
        <v>529152</v>
      </c>
      <c r="R646" s="7">
        <f t="shared" si="19"/>
        <v>4409.6000000000004</v>
      </c>
    </row>
    <row r="647" spans="1:18" x14ac:dyDescent="0.35">
      <c r="A647" s="5">
        <v>641</v>
      </c>
      <c r="B647" t="s">
        <v>423</v>
      </c>
      <c r="C647" t="s">
        <v>1101</v>
      </c>
      <c r="D647" t="s">
        <v>1486</v>
      </c>
      <c r="E647" t="s">
        <v>203</v>
      </c>
      <c r="F647" s="1">
        <v>45023</v>
      </c>
      <c r="G647" s="2">
        <v>2010</v>
      </c>
      <c r="H647">
        <v>2021</v>
      </c>
      <c r="I647" s="2">
        <v>11</v>
      </c>
      <c r="J647" s="7">
        <v>69454</v>
      </c>
      <c r="K647" t="s">
        <v>803</v>
      </c>
      <c r="L647">
        <v>1</v>
      </c>
      <c r="M647" t="s">
        <v>46</v>
      </c>
      <c r="N647" t="s">
        <v>17</v>
      </c>
      <c r="O647" t="s">
        <v>41</v>
      </c>
      <c r="P647" t="s">
        <v>1489</v>
      </c>
      <c r="Q647" s="7">
        <f t="shared" ref="Q647:Q710" si="20">J647*12</f>
        <v>833448</v>
      </c>
      <c r="R647" s="7">
        <f t="shared" ref="R647:R710" si="21">J647*10%</f>
        <v>6945.4000000000005</v>
      </c>
    </row>
    <row r="648" spans="1:18" x14ac:dyDescent="0.35">
      <c r="A648" s="5">
        <v>642</v>
      </c>
      <c r="B648" t="s">
        <v>1102</v>
      </c>
      <c r="C648" t="s">
        <v>1103</v>
      </c>
      <c r="D648" t="s">
        <v>1486</v>
      </c>
      <c r="E648" t="s">
        <v>61</v>
      </c>
      <c r="F648" s="1">
        <v>44696</v>
      </c>
      <c r="G648" s="2">
        <v>2009</v>
      </c>
      <c r="H648">
        <v>2021</v>
      </c>
      <c r="I648" s="2">
        <v>12</v>
      </c>
      <c r="J648" s="7">
        <v>126201</v>
      </c>
      <c r="K648" t="s">
        <v>169</v>
      </c>
      <c r="L648">
        <v>2</v>
      </c>
      <c r="M648" t="s">
        <v>16</v>
      </c>
      <c r="N648" t="s">
        <v>17</v>
      </c>
      <c r="O648" t="s">
        <v>63</v>
      </c>
      <c r="P648" t="s">
        <v>1489</v>
      </c>
      <c r="Q648" s="7">
        <f t="shared" si="20"/>
        <v>1514412</v>
      </c>
      <c r="R648" s="7">
        <f t="shared" si="21"/>
        <v>12620.1</v>
      </c>
    </row>
    <row r="649" spans="1:18" x14ac:dyDescent="0.35">
      <c r="A649" s="5">
        <v>643</v>
      </c>
      <c r="B649" t="s">
        <v>594</v>
      </c>
      <c r="C649" t="s">
        <v>1104</v>
      </c>
      <c r="D649" t="s">
        <v>1485</v>
      </c>
      <c r="E649" t="s">
        <v>32</v>
      </c>
      <c r="F649" s="1">
        <v>41719</v>
      </c>
      <c r="G649" s="2">
        <v>2014</v>
      </c>
      <c r="H649">
        <v>2021</v>
      </c>
      <c r="I649" s="3">
        <v>7</v>
      </c>
      <c r="J649" s="7">
        <v>123820</v>
      </c>
      <c r="K649" t="s">
        <v>1105</v>
      </c>
      <c r="L649">
        <v>4</v>
      </c>
      <c r="M649" t="s">
        <v>55</v>
      </c>
      <c r="N649" t="s">
        <v>17</v>
      </c>
      <c r="O649" t="s">
        <v>34</v>
      </c>
      <c r="P649" t="s">
        <v>1489</v>
      </c>
      <c r="Q649" s="7">
        <f t="shared" si="20"/>
        <v>1485840</v>
      </c>
      <c r="R649" s="7">
        <f t="shared" si="21"/>
        <v>12382</v>
      </c>
    </row>
    <row r="650" spans="1:18" x14ac:dyDescent="0.35">
      <c r="A650" s="5">
        <v>644</v>
      </c>
      <c r="B650" t="s">
        <v>416</v>
      </c>
      <c r="C650" t="s">
        <v>1106</v>
      </c>
      <c r="D650" t="s">
        <v>1485</v>
      </c>
      <c r="E650" t="s">
        <v>37</v>
      </c>
      <c r="F650" s="1">
        <v>37352</v>
      </c>
      <c r="G650" s="2">
        <v>2002</v>
      </c>
      <c r="H650">
        <v>2021</v>
      </c>
      <c r="I650" s="2">
        <v>19</v>
      </c>
      <c r="J650" s="7">
        <v>52956</v>
      </c>
      <c r="K650" t="s">
        <v>74</v>
      </c>
      <c r="L650">
        <v>7</v>
      </c>
      <c r="M650" t="s">
        <v>39</v>
      </c>
      <c r="N650" t="s">
        <v>40</v>
      </c>
      <c r="O650" t="s">
        <v>41</v>
      </c>
      <c r="P650" t="s">
        <v>1489</v>
      </c>
      <c r="Q650" s="7">
        <f t="shared" si="20"/>
        <v>635472</v>
      </c>
      <c r="R650" s="7">
        <f t="shared" si="21"/>
        <v>5295.6</v>
      </c>
    </row>
    <row r="651" spans="1:18" x14ac:dyDescent="0.35">
      <c r="A651" s="5">
        <v>645</v>
      </c>
      <c r="B651" t="s">
        <v>75</v>
      </c>
      <c r="C651" t="s">
        <v>1107</v>
      </c>
      <c r="D651" t="s">
        <v>1485</v>
      </c>
      <c r="E651" t="s">
        <v>44</v>
      </c>
      <c r="F651" s="1">
        <v>39234</v>
      </c>
      <c r="G651" s="2">
        <v>2007</v>
      </c>
      <c r="H651">
        <v>2021</v>
      </c>
      <c r="I651" s="2">
        <v>14</v>
      </c>
      <c r="J651" s="7">
        <v>143595</v>
      </c>
      <c r="K651" t="s">
        <v>500</v>
      </c>
      <c r="L651">
        <v>6</v>
      </c>
      <c r="M651" t="s">
        <v>50</v>
      </c>
      <c r="N651" t="s">
        <v>40</v>
      </c>
      <c r="O651" t="s">
        <v>29</v>
      </c>
      <c r="P651" t="s">
        <v>1489</v>
      </c>
      <c r="Q651" s="7">
        <f t="shared" si="20"/>
        <v>1723140</v>
      </c>
      <c r="R651" s="7">
        <f t="shared" si="21"/>
        <v>14359.5</v>
      </c>
    </row>
    <row r="652" spans="1:18" x14ac:dyDescent="0.35">
      <c r="A652" s="5">
        <v>646</v>
      </c>
      <c r="B652" t="s">
        <v>375</v>
      </c>
      <c r="C652" t="s">
        <v>1108</v>
      </c>
      <c r="D652" t="s">
        <v>1485</v>
      </c>
      <c r="E652" t="s">
        <v>129</v>
      </c>
      <c r="F652" s="1">
        <v>41865</v>
      </c>
      <c r="G652" s="2">
        <v>2014</v>
      </c>
      <c r="H652">
        <v>2021</v>
      </c>
      <c r="I652" s="2">
        <v>7</v>
      </c>
      <c r="J652" s="7">
        <v>124707</v>
      </c>
      <c r="K652" t="s">
        <v>204</v>
      </c>
      <c r="L652">
        <v>6</v>
      </c>
      <c r="M652" t="s">
        <v>50</v>
      </c>
      <c r="N652" t="s">
        <v>40</v>
      </c>
      <c r="O652" t="s">
        <v>41</v>
      </c>
      <c r="P652" t="s">
        <v>1489</v>
      </c>
      <c r="Q652" s="7">
        <f t="shared" si="20"/>
        <v>1496484</v>
      </c>
      <c r="R652" s="7">
        <f t="shared" si="21"/>
        <v>12470.7</v>
      </c>
    </row>
    <row r="653" spans="1:18" x14ac:dyDescent="0.35">
      <c r="A653" s="5">
        <v>647</v>
      </c>
      <c r="B653" t="s">
        <v>243</v>
      </c>
      <c r="C653" t="s">
        <v>1109</v>
      </c>
      <c r="D653" t="s">
        <v>1485</v>
      </c>
      <c r="E653" t="s">
        <v>94</v>
      </c>
      <c r="F653" s="1">
        <v>40101</v>
      </c>
      <c r="G653" s="2">
        <v>2009</v>
      </c>
      <c r="H653">
        <v>2021</v>
      </c>
      <c r="I653" s="2">
        <v>12</v>
      </c>
      <c r="J653" s="7">
        <v>57092</v>
      </c>
      <c r="K653" t="s">
        <v>510</v>
      </c>
      <c r="L653">
        <v>2</v>
      </c>
      <c r="M653" t="s">
        <v>16</v>
      </c>
      <c r="N653" t="s">
        <v>17</v>
      </c>
      <c r="O653" t="s">
        <v>18</v>
      </c>
      <c r="P653" t="s">
        <v>1489</v>
      </c>
      <c r="Q653" s="7">
        <f t="shared" si="20"/>
        <v>685104</v>
      </c>
      <c r="R653" s="7">
        <f t="shared" si="21"/>
        <v>5709.2000000000007</v>
      </c>
    </row>
    <row r="654" spans="1:18" x14ac:dyDescent="0.35">
      <c r="A654" s="5">
        <v>648</v>
      </c>
      <c r="B654" t="s">
        <v>652</v>
      </c>
      <c r="C654" t="s">
        <v>1110</v>
      </c>
      <c r="D654" t="s">
        <v>1485</v>
      </c>
      <c r="E654" t="s">
        <v>129</v>
      </c>
      <c r="F654" s="1">
        <v>39125</v>
      </c>
      <c r="G654" s="2">
        <v>2007</v>
      </c>
      <c r="H654">
        <v>2021</v>
      </c>
      <c r="I654" s="2">
        <v>14</v>
      </c>
      <c r="J654" s="7">
        <v>149099</v>
      </c>
      <c r="K654" t="s">
        <v>45</v>
      </c>
      <c r="L654">
        <v>3</v>
      </c>
      <c r="M654" t="s">
        <v>28</v>
      </c>
      <c r="N654" t="s">
        <v>17</v>
      </c>
      <c r="O654" t="s">
        <v>41</v>
      </c>
      <c r="P654" t="s">
        <v>1489</v>
      </c>
      <c r="Q654" s="7">
        <f t="shared" si="20"/>
        <v>1789188</v>
      </c>
      <c r="R654" s="7">
        <f t="shared" si="21"/>
        <v>14909.900000000001</v>
      </c>
    </row>
    <row r="655" spans="1:18" x14ac:dyDescent="0.35">
      <c r="A655" s="5">
        <v>649</v>
      </c>
      <c r="B655" t="s">
        <v>419</v>
      </c>
      <c r="C655" t="s">
        <v>1111</v>
      </c>
      <c r="D655" t="s">
        <v>1485</v>
      </c>
      <c r="E655" t="s">
        <v>312</v>
      </c>
      <c r="F655" s="1">
        <v>39404</v>
      </c>
      <c r="G655" s="2">
        <v>2007</v>
      </c>
      <c r="H655">
        <v>2021</v>
      </c>
      <c r="I655" s="2">
        <v>14</v>
      </c>
      <c r="J655" s="7">
        <v>99352</v>
      </c>
      <c r="K655" t="s">
        <v>27</v>
      </c>
      <c r="L655">
        <v>1</v>
      </c>
      <c r="M655" t="s">
        <v>46</v>
      </c>
      <c r="N655" t="s">
        <v>17</v>
      </c>
      <c r="O655" t="s">
        <v>41</v>
      </c>
      <c r="P655" t="s">
        <v>1489</v>
      </c>
      <c r="Q655" s="7">
        <f t="shared" si="20"/>
        <v>1192224</v>
      </c>
      <c r="R655" s="7">
        <f t="shared" si="21"/>
        <v>9935.2000000000007</v>
      </c>
    </row>
    <row r="656" spans="1:18" x14ac:dyDescent="0.35">
      <c r="A656" s="5">
        <v>650</v>
      </c>
      <c r="B656" t="s">
        <v>745</v>
      </c>
      <c r="C656" t="s">
        <v>1112</v>
      </c>
      <c r="D656" t="s">
        <v>1485</v>
      </c>
      <c r="E656" t="s">
        <v>37</v>
      </c>
      <c r="F656" s="1">
        <v>41296</v>
      </c>
      <c r="G656" s="2">
        <v>2013</v>
      </c>
      <c r="H656">
        <v>2021</v>
      </c>
      <c r="I656" s="2">
        <v>8</v>
      </c>
      <c r="J656" s="7">
        <v>44919</v>
      </c>
      <c r="K656" t="s">
        <v>126</v>
      </c>
      <c r="L656">
        <v>7</v>
      </c>
      <c r="M656" t="s">
        <v>39</v>
      </c>
      <c r="N656" t="s">
        <v>40</v>
      </c>
      <c r="O656" t="s">
        <v>41</v>
      </c>
      <c r="P656" t="s">
        <v>1489</v>
      </c>
      <c r="Q656" s="7">
        <f t="shared" si="20"/>
        <v>539028</v>
      </c>
      <c r="R656" s="7">
        <f t="shared" si="21"/>
        <v>4491.9000000000005</v>
      </c>
    </row>
    <row r="657" spans="1:18" x14ac:dyDescent="0.35">
      <c r="A657" s="5">
        <v>651</v>
      </c>
      <c r="B657" t="s">
        <v>296</v>
      </c>
      <c r="C657" t="s">
        <v>1113</v>
      </c>
      <c r="D657" t="s">
        <v>1486</v>
      </c>
      <c r="E657" t="s">
        <v>203</v>
      </c>
      <c r="F657" s="1">
        <v>38957</v>
      </c>
      <c r="G657" s="2">
        <v>2006</v>
      </c>
      <c r="H657">
        <v>2021</v>
      </c>
      <c r="I657" s="2">
        <v>15</v>
      </c>
      <c r="J657" s="7">
        <v>55034</v>
      </c>
      <c r="K657" t="s">
        <v>441</v>
      </c>
      <c r="L657">
        <v>4</v>
      </c>
      <c r="M657" t="s">
        <v>55</v>
      </c>
      <c r="N657" t="s">
        <v>17</v>
      </c>
      <c r="O657" t="s">
        <v>41</v>
      </c>
      <c r="P657" t="s">
        <v>1489</v>
      </c>
      <c r="Q657" s="7">
        <f t="shared" si="20"/>
        <v>660408</v>
      </c>
      <c r="R657" s="7">
        <f t="shared" si="21"/>
        <v>5503.4000000000005</v>
      </c>
    </row>
    <row r="658" spans="1:18" x14ac:dyDescent="0.35">
      <c r="A658" s="5">
        <v>652</v>
      </c>
      <c r="B658" t="s">
        <v>302</v>
      </c>
      <c r="C658" t="s">
        <v>1114</v>
      </c>
      <c r="D658" t="s">
        <v>1485</v>
      </c>
      <c r="E658" t="s">
        <v>32</v>
      </c>
      <c r="F658" s="1">
        <v>38884</v>
      </c>
      <c r="G658" s="2">
        <v>2006</v>
      </c>
      <c r="H658">
        <v>2021</v>
      </c>
      <c r="I658" s="3">
        <v>15</v>
      </c>
      <c r="J658" s="7">
        <v>60396</v>
      </c>
      <c r="K658" t="s">
        <v>764</v>
      </c>
      <c r="L658">
        <v>7</v>
      </c>
      <c r="M658" t="s">
        <v>39</v>
      </c>
      <c r="N658" t="s">
        <v>40</v>
      </c>
      <c r="O658" t="s">
        <v>34</v>
      </c>
      <c r="P658" t="s">
        <v>1489</v>
      </c>
      <c r="Q658" s="7">
        <f t="shared" si="20"/>
        <v>724752</v>
      </c>
      <c r="R658" s="7">
        <f t="shared" si="21"/>
        <v>6039.6</v>
      </c>
    </row>
    <row r="659" spans="1:18" x14ac:dyDescent="0.35">
      <c r="A659" s="5">
        <v>653</v>
      </c>
      <c r="B659" t="s">
        <v>1035</v>
      </c>
      <c r="C659" t="s">
        <v>1115</v>
      </c>
      <c r="D659" t="s">
        <v>1485</v>
      </c>
      <c r="E659" t="s">
        <v>53</v>
      </c>
      <c r="F659" s="1">
        <v>41461</v>
      </c>
      <c r="G659" s="2">
        <v>2013</v>
      </c>
      <c r="H659">
        <v>2021</v>
      </c>
      <c r="I659" s="2">
        <v>8</v>
      </c>
      <c r="J659" s="7">
        <v>147862</v>
      </c>
      <c r="K659" t="s">
        <v>287</v>
      </c>
      <c r="L659">
        <v>5</v>
      </c>
      <c r="M659" t="s">
        <v>91</v>
      </c>
      <c r="N659" t="s">
        <v>40</v>
      </c>
      <c r="O659" t="s">
        <v>23</v>
      </c>
      <c r="P659" t="s">
        <v>1489</v>
      </c>
      <c r="Q659" s="7">
        <f t="shared" si="20"/>
        <v>1774344</v>
      </c>
      <c r="R659" s="7">
        <f t="shared" si="21"/>
        <v>14786.2</v>
      </c>
    </row>
    <row r="660" spans="1:18" x14ac:dyDescent="0.35">
      <c r="A660" s="5">
        <v>654</v>
      </c>
      <c r="B660" t="s">
        <v>781</v>
      </c>
      <c r="C660" t="s">
        <v>1116</v>
      </c>
      <c r="D660" t="s">
        <v>1485</v>
      </c>
      <c r="E660" t="s">
        <v>26</v>
      </c>
      <c r="F660" s="1">
        <v>37563</v>
      </c>
      <c r="G660" s="2">
        <v>2002</v>
      </c>
      <c r="H660">
        <v>2021</v>
      </c>
      <c r="I660" s="2">
        <v>19</v>
      </c>
      <c r="J660" s="7">
        <v>69594</v>
      </c>
      <c r="K660" t="s">
        <v>27</v>
      </c>
      <c r="L660">
        <v>3</v>
      </c>
      <c r="M660" t="s">
        <v>28</v>
      </c>
      <c r="N660" t="s">
        <v>17</v>
      </c>
      <c r="O660" t="s">
        <v>29</v>
      </c>
      <c r="P660" t="s">
        <v>1489</v>
      </c>
      <c r="Q660" s="7">
        <f t="shared" si="20"/>
        <v>835128</v>
      </c>
      <c r="R660" s="7">
        <f t="shared" si="21"/>
        <v>6959.4000000000005</v>
      </c>
    </row>
    <row r="661" spans="1:18" x14ac:dyDescent="0.35">
      <c r="A661" s="5">
        <v>655</v>
      </c>
      <c r="B661" t="s">
        <v>407</v>
      </c>
      <c r="C661" t="s">
        <v>1117</v>
      </c>
      <c r="D661" t="s">
        <v>1486</v>
      </c>
      <c r="E661" t="s">
        <v>21</v>
      </c>
      <c r="F661" s="1">
        <v>46546</v>
      </c>
      <c r="G661" s="2">
        <v>2014</v>
      </c>
      <c r="H661">
        <v>2021</v>
      </c>
      <c r="I661" s="2">
        <v>7</v>
      </c>
      <c r="J661" s="7">
        <v>145363</v>
      </c>
      <c r="K661" t="s">
        <v>610</v>
      </c>
      <c r="L661">
        <v>3</v>
      </c>
      <c r="M661" t="s">
        <v>28</v>
      </c>
      <c r="N661" t="s">
        <v>17</v>
      </c>
      <c r="O661" t="s">
        <v>23</v>
      </c>
      <c r="P661" t="s">
        <v>1489</v>
      </c>
      <c r="Q661" s="7">
        <f t="shared" si="20"/>
        <v>1744356</v>
      </c>
      <c r="R661" s="7">
        <f t="shared" si="21"/>
        <v>14536.300000000001</v>
      </c>
    </row>
    <row r="662" spans="1:18" x14ac:dyDescent="0.35">
      <c r="A662" s="5">
        <v>656</v>
      </c>
      <c r="B662" t="s">
        <v>728</v>
      </c>
      <c r="C662" t="s">
        <v>1118</v>
      </c>
      <c r="D662" t="s">
        <v>1485</v>
      </c>
      <c r="E662" t="s">
        <v>122</v>
      </c>
      <c r="F662" s="1">
        <v>39541</v>
      </c>
      <c r="G662" s="2">
        <v>2008</v>
      </c>
      <c r="H662">
        <v>2021</v>
      </c>
      <c r="I662" s="2">
        <v>13</v>
      </c>
      <c r="J662" s="7">
        <v>70804</v>
      </c>
      <c r="K662" t="s">
        <v>126</v>
      </c>
      <c r="L662">
        <v>2</v>
      </c>
      <c r="M662" t="s">
        <v>16</v>
      </c>
      <c r="N662" t="s">
        <v>17</v>
      </c>
      <c r="O662" t="s">
        <v>123</v>
      </c>
      <c r="P662" t="s">
        <v>1489</v>
      </c>
      <c r="Q662" s="7">
        <f t="shared" si="20"/>
        <v>849648</v>
      </c>
      <c r="R662" s="7">
        <f t="shared" si="21"/>
        <v>7080.4000000000005</v>
      </c>
    </row>
    <row r="663" spans="1:18" x14ac:dyDescent="0.35">
      <c r="A663" s="5">
        <v>657</v>
      </c>
      <c r="B663" t="s">
        <v>1119</v>
      </c>
      <c r="C663" t="s">
        <v>1120</v>
      </c>
      <c r="D663" t="s">
        <v>1486</v>
      </c>
      <c r="E663" t="s">
        <v>69</v>
      </c>
      <c r="F663" s="1">
        <v>46202</v>
      </c>
      <c r="G663" s="2">
        <v>2013</v>
      </c>
      <c r="H663">
        <v>2021</v>
      </c>
      <c r="I663" s="2">
        <v>8</v>
      </c>
      <c r="J663" s="7">
        <v>65154</v>
      </c>
      <c r="K663" t="s">
        <v>62</v>
      </c>
      <c r="L663">
        <v>5</v>
      </c>
      <c r="M663" t="s">
        <v>91</v>
      </c>
      <c r="N663" t="s">
        <v>40</v>
      </c>
      <c r="O663" t="s">
        <v>41</v>
      </c>
      <c r="P663" t="s">
        <v>1489</v>
      </c>
      <c r="Q663" s="7">
        <f t="shared" si="20"/>
        <v>781848</v>
      </c>
      <c r="R663" s="7">
        <f t="shared" si="21"/>
        <v>6515.4000000000005</v>
      </c>
    </row>
    <row r="664" spans="1:18" x14ac:dyDescent="0.35">
      <c r="A664" s="5">
        <v>658</v>
      </c>
      <c r="B664" t="s">
        <v>262</v>
      </c>
      <c r="C664" t="s">
        <v>1121</v>
      </c>
      <c r="D664" t="s">
        <v>1485</v>
      </c>
      <c r="E664" t="s">
        <v>94</v>
      </c>
      <c r="F664" s="1">
        <v>41555</v>
      </c>
      <c r="G664" s="2">
        <v>2013</v>
      </c>
      <c r="H664">
        <v>2021</v>
      </c>
      <c r="I664" s="2">
        <v>8</v>
      </c>
      <c r="J664" s="7">
        <v>61332</v>
      </c>
      <c r="K664" t="s">
        <v>104</v>
      </c>
      <c r="L664">
        <v>3</v>
      </c>
      <c r="M664" t="s">
        <v>28</v>
      </c>
      <c r="N664" t="s">
        <v>17</v>
      </c>
      <c r="O664" t="s">
        <v>18</v>
      </c>
      <c r="P664" t="s">
        <v>1489</v>
      </c>
      <c r="Q664" s="7">
        <f t="shared" si="20"/>
        <v>735984</v>
      </c>
      <c r="R664" s="7">
        <f t="shared" si="21"/>
        <v>6133.2000000000007</v>
      </c>
    </row>
    <row r="665" spans="1:18" x14ac:dyDescent="0.35">
      <c r="A665" s="5">
        <v>659</v>
      </c>
      <c r="B665" t="s">
        <v>772</v>
      </c>
      <c r="C665" t="s">
        <v>1122</v>
      </c>
      <c r="D665" t="s">
        <v>1486</v>
      </c>
      <c r="E665" t="s">
        <v>148</v>
      </c>
      <c r="F665" s="1">
        <v>37871</v>
      </c>
      <c r="G665" s="2">
        <v>2003</v>
      </c>
      <c r="H665">
        <v>2021</v>
      </c>
      <c r="I665" s="2">
        <v>18</v>
      </c>
      <c r="J665" s="7">
        <v>72319</v>
      </c>
      <c r="K665" t="s">
        <v>313</v>
      </c>
      <c r="L665">
        <v>1</v>
      </c>
      <c r="M665" t="s">
        <v>46</v>
      </c>
      <c r="N665" t="s">
        <v>17</v>
      </c>
      <c r="O665" t="s">
        <v>112</v>
      </c>
      <c r="P665" t="s">
        <v>1489</v>
      </c>
      <c r="Q665" s="7">
        <f t="shared" si="20"/>
        <v>867828</v>
      </c>
      <c r="R665" s="7">
        <f t="shared" si="21"/>
        <v>7231.9000000000005</v>
      </c>
    </row>
    <row r="666" spans="1:18" x14ac:dyDescent="0.35">
      <c r="A666" s="5">
        <v>660</v>
      </c>
      <c r="B666" t="s">
        <v>911</v>
      </c>
      <c r="C666" t="s">
        <v>1123</v>
      </c>
      <c r="D666" t="s">
        <v>1485</v>
      </c>
      <c r="E666" t="s">
        <v>312</v>
      </c>
      <c r="F666" s="1">
        <v>37233</v>
      </c>
      <c r="G666" s="2">
        <v>2001</v>
      </c>
      <c r="H666">
        <v>2021</v>
      </c>
      <c r="I666" s="2">
        <v>20</v>
      </c>
      <c r="J666" s="7">
        <v>139564</v>
      </c>
      <c r="K666" t="s">
        <v>386</v>
      </c>
      <c r="L666">
        <v>7</v>
      </c>
      <c r="M666" t="s">
        <v>39</v>
      </c>
      <c r="N666" t="s">
        <v>40</v>
      </c>
      <c r="O666" t="s">
        <v>41</v>
      </c>
      <c r="P666" t="s">
        <v>1489</v>
      </c>
      <c r="Q666" s="7">
        <f t="shared" si="20"/>
        <v>1674768</v>
      </c>
      <c r="R666" s="7">
        <f t="shared" si="21"/>
        <v>13956.400000000001</v>
      </c>
    </row>
    <row r="667" spans="1:18" x14ac:dyDescent="0.35">
      <c r="A667" s="5">
        <v>661</v>
      </c>
      <c r="B667" t="s">
        <v>521</v>
      </c>
      <c r="C667" t="s">
        <v>1124</v>
      </c>
      <c r="D667" t="s">
        <v>1486</v>
      </c>
      <c r="E667" t="s">
        <v>26</v>
      </c>
      <c r="F667" s="1">
        <v>38251</v>
      </c>
      <c r="G667" s="2">
        <v>2004</v>
      </c>
      <c r="H667">
        <v>2021</v>
      </c>
      <c r="I667" s="2">
        <v>17</v>
      </c>
      <c r="J667" s="7">
        <v>63364</v>
      </c>
      <c r="K667" t="s">
        <v>66</v>
      </c>
      <c r="L667">
        <v>4</v>
      </c>
      <c r="M667" t="s">
        <v>55</v>
      </c>
      <c r="N667" t="s">
        <v>17</v>
      </c>
      <c r="O667" t="s">
        <v>29</v>
      </c>
      <c r="P667" t="s">
        <v>1489</v>
      </c>
      <c r="Q667" s="7">
        <f t="shared" si="20"/>
        <v>760368</v>
      </c>
      <c r="R667" s="7">
        <f t="shared" si="21"/>
        <v>6336.4000000000005</v>
      </c>
    </row>
    <row r="668" spans="1:18" x14ac:dyDescent="0.35">
      <c r="A668" s="5">
        <v>662</v>
      </c>
      <c r="B668" t="s">
        <v>120</v>
      </c>
      <c r="C668" t="s">
        <v>1125</v>
      </c>
      <c r="D668" t="s">
        <v>1485</v>
      </c>
      <c r="E668" t="s">
        <v>73</v>
      </c>
      <c r="F668" s="1">
        <v>36543</v>
      </c>
      <c r="G668" s="2">
        <v>2000</v>
      </c>
      <c r="H668">
        <v>2021</v>
      </c>
      <c r="I668" s="2">
        <v>21</v>
      </c>
      <c r="J668" s="7">
        <v>86497</v>
      </c>
      <c r="K668" t="s">
        <v>441</v>
      </c>
      <c r="L668">
        <v>6</v>
      </c>
      <c r="M668" t="s">
        <v>50</v>
      </c>
      <c r="N668" t="s">
        <v>40</v>
      </c>
      <c r="O668" t="s">
        <v>41</v>
      </c>
      <c r="P668" t="s">
        <v>1489</v>
      </c>
      <c r="Q668" s="7">
        <f t="shared" si="20"/>
        <v>1037964</v>
      </c>
      <c r="R668" s="7">
        <f t="shared" si="21"/>
        <v>8649.7000000000007</v>
      </c>
    </row>
    <row r="669" spans="1:18" x14ac:dyDescent="0.35">
      <c r="A669" s="5">
        <v>663</v>
      </c>
      <c r="B669" t="s">
        <v>600</v>
      </c>
      <c r="C669" t="s">
        <v>1126</v>
      </c>
      <c r="D669" t="s">
        <v>1486</v>
      </c>
      <c r="E669" t="s">
        <v>148</v>
      </c>
      <c r="F669" s="1">
        <v>37646</v>
      </c>
      <c r="G669" s="2">
        <v>2003</v>
      </c>
      <c r="H669">
        <v>2021</v>
      </c>
      <c r="I669" s="2">
        <v>18</v>
      </c>
      <c r="J669" s="7">
        <v>117248</v>
      </c>
      <c r="K669" t="s">
        <v>406</v>
      </c>
      <c r="L669">
        <v>1</v>
      </c>
      <c r="M669" t="s">
        <v>46</v>
      </c>
      <c r="N669" t="s">
        <v>17</v>
      </c>
      <c r="O669" t="s">
        <v>112</v>
      </c>
      <c r="P669" t="s">
        <v>1489</v>
      </c>
      <c r="Q669" s="7">
        <f t="shared" si="20"/>
        <v>1406976</v>
      </c>
      <c r="R669" s="7">
        <f t="shared" si="21"/>
        <v>11724.800000000001</v>
      </c>
    </row>
    <row r="670" spans="1:18" x14ac:dyDescent="0.35">
      <c r="A670" s="5">
        <v>664</v>
      </c>
      <c r="B670" t="s">
        <v>161</v>
      </c>
      <c r="C670" t="s">
        <v>1127</v>
      </c>
      <c r="D670" t="s">
        <v>1486</v>
      </c>
      <c r="E670" t="s">
        <v>21</v>
      </c>
      <c r="F670" s="1">
        <v>46062</v>
      </c>
      <c r="G670" s="2">
        <v>2013</v>
      </c>
      <c r="H670">
        <v>2021</v>
      </c>
      <c r="I670" s="2">
        <v>8</v>
      </c>
      <c r="J670" s="7">
        <v>133507</v>
      </c>
      <c r="K670" t="s">
        <v>568</v>
      </c>
      <c r="L670">
        <v>1</v>
      </c>
      <c r="M670" t="s">
        <v>46</v>
      </c>
      <c r="N670" t="s">
        <v>17</v>
      </c>
      <c r="O670" t="s">
        <v>23</v>
      </c>
      <c r="P670" t="s">
        <v>1489</v>
      </c>
      <c r="Q670" s="7">
        <f t="shared" si="20"/>
        <v>1602084</v>
      </c>
      <c r="R670" s="7">
        <f t="shared" si="21"/>
        <v>13350.7</v>
      </c>
    </row>
    <row r="671" spans="1:18" x14ac:dyDescent="0.35">
      <c r="A671" s="5">
        <v>665</v>
      </c>
      <c r="B671" t="s">
        <v>201</v>
      </c>
      <c r="C671" t="s">
        <v>1128</v>
      </c>
      <c r="D671" t="s">
        <v>1486</v>
      </c>
      <c r="E671" t="s">
        <v>203</v>
      </c>
      <c r="F671" s="1">
        <v>44504</v>
      </c>
      <c r="G671" s="2">
        <v>2008</v>
      </c>
      <c r="H671">
        <v>2021</v>
      </c>
      <c r="I671" s="2">
        <v>13</v>
      </c>
      <c r="J671" s="7">
        <v>135132</v>
      </c>
      <c r="K671" t="s">
        <v>1062</v>
      </c>
      <c r="L671">
        <v>7</v>
      </c>
      <c r="M671" t="s">
        <v>39</v>
      </c>
      <c r="N671" t="s">
        <v>40</v>
      </c>
      <c r="O671" t="s">
        <v>41</v>
      </c>
      <c r="P671" t="s">
        <v>1489</v>
      </c>
      <c r="Q671" s="7">
        <f t="shared" si="20"/>
        <v>1621584</v>
      </c>
      <c r="R671" s="7">
        <f t="shared" si="21"/>
        <v>13513.2</v>
      </c>
    </row>
    <row r="672" spans="1:18" x14ac:dyDescent="0.35">
      <c r="A672" s="5">
        <v>666</v>
      </c>
      <c r="B672" t="s">
        <v>675</v>
      </c>
      <c r="C672" t="s">
        <v>1129</v>
      </c>
      <c r="D672" t="s">
        <v>1486</v>
      </c>
      <c r="E672" t="s">
        <v>312</v>
      </c>
      <c r="F672" s="1">
        <v>46134</v>
      </c>
      <c r="G672" s="2">
        <v>2013</v>
      </c>
      <c r="H672">
        <v>2021</v>
      </c>
      <c r="I672" s="2">
        <v>8</v>
      </c>
      <c r="J672" s="7">
        <v>52041</v>
      </c>
      <c r="K672" t="s">
        <v>394</v>
      </c>
      <c r="L672">
        <v>2</v>
      </c>
      <c r="M672" t="s">
        <v>16</v>
      </c>
      <c r="N672" t="s">
        <v>17</v>
      </c>
      <c r="O672" t="s">
        <v>41</v>
      </c>
      <c r="P672" t="s">
        <v>1489</v>
      </c>
      <c r="Q672" s="7">
        <f t="shared" si="20"/>
        <v>624492</v>
      </c>
      <c r="R672" s="7">
        <f t="shared" si="21"/>
        <v>5204.1000000000004</v>
      </c>
    </row>
    <row r="673" spans="1:18" x14ac:dyDescent="0.35">
      <c r="A673" s="5">
        <v>667</v>
      </c>
      <c r="B673" t="s">
        <v>131</v>
      </c>
      <c r="C673" t="s">
        <v>1130</v>
      </c>
      <c r="D673" t="s">
        <v>1486</v>
      </c>
      <c r="E673" t="s">
        <v>238</v>
      </c>
      <c r="F673" s="1">
        <v>45728</v>
      </c>
      <c r="G673" s="2">
        <v>2012</v>
      </c>
      <c r="H673">
        <v>2021</v>
      </c>
      <c r="I673" s="2">
        <v>9</v>
      </c>
      <c r="J673" s="7">
        <v>73425</v>
      </c>
      <c r="K673" t="s">
        <v>1131</v>
      </c>
      <c r="L673">
        <v>3</v>
      </c>
      <c r="M673" t="s">
        <v>28</v>
      </c>
      <c r="N673" t="s">
        <v>17</v>
      </c>
      <c r="O673" t="s">
        <v>63</v>
      </c>
      <c r="P673" t="s">
        <v>1489</v>
      </c>
      <c r="Q673" s="7">
        <f t="shared" si="20"/>
        <v>881100</v>
      </c>
      <c r="R673" s="7">
        <f t="shared" si="21"/>
        <v>7342.5</v>
      </c>
    </row>
    <row r="674" spans="1:18" x14ac:dyDescent="0.35">
      <c r="A674" s="5">
        <v>668</v>
      </c>
      <c r="B674" t="s">
        <v>358</v>
      </c>
      <c r="C674" t="s">
        <v>1132</v>
      </c>
      <c r="D674" t="s">
        <v>1486</v>
      </c>
      <c r="E674" t="s">
        <v>14</v>
      </c>
      <c r="F674" s="1">
        <v>36967</v>
      </c>
      <c r="G674" s="2">
        <v>2001</v>
      </c>
      <c r="H674">
        <v>2021</v>
      </c>
      <c r="I674" s="2">
        <v>20</v>
      </c>
      <c r="J674" s="7">
        <v>46960</v>
      </c>
      <c r="K674" t="s">
        <v>22</v>
      </c>
      <c r="L674">
        <v>4</v>
      </c>
      <c r="M674" t="s">
        <v>55</v>
      </c>
      <c r="N674" t="s">
        <v>17</v>
      </c>
      <c r="O674" t="s">
        <v>18</v>
      </c>
      <c r="P674" t="s">
        <v>1489</v>
      </c>
      <c r="Q674" s="7">
        <f t="shared" si="20"/>
        <v>563520</v>
      </c>
      <c r="R674" s="7">
        <f t="shared" si="21"/>
        <v>4696</v>
      </c>
    </row>
    <row r="675" spans="1:18" x14ac:dyDescent="0.35">
      <c r="A675" s="5">
        <v>669</v>
      </c>
      <c r="B675" t="s">
        <v>118</v>
      </c>
      <c r="C675" t="s">
        <v>1133</v>
      </c>
      <c r="D675" t="s">
        <v>1485</v>
      </c>
      <c r="E675" t="s">
        <v>53</v>
      </c>
      <c r="F675" s="1">
        <v>37017</v>
      </c>
      <c r="G675" s="2">
        <v>2001</v>
      </c>
      <c r="H675">
        <v>2021</v>
      </c>
      <c r="I675" s="2">
        <v>20</v>
      </c>
      <c r="J675" s="7">
        <v>104373</v>
      </c>
      <c r="K675" t="s">
        <v>336</v>
      </c>
      <c r="L675">
        <v>6</v>
      </c>
      <c r="M675" t="s">
        <v>50</v>
      </c>
      <c r="N675" t="s">
        <v>40</v>
      </c>
      <c r="O675" t="s">
        <v>23</v>
      </c>
      <c r="P675" t="s">
        <v>1489</v>
      </c>
      <c r="Q675" s="7">
        <f t="shared" si="20"/>
        <v>1252476</v>
      </c>
      <c r="R675" s="7">
        <f t="shared" si="21"/>
        <v>10437.300000000001</v>
      </c>
    </row>
    <row r="676" spans="1:18" x14ac:dyDescent="0.35">
      <c r="A676" s="5">
        <v>670</v>
      </c>
      <c r="B676" t="s">
        <v>508</v>
      </c>
      <c r="C676" t="s">
        <v>1134</v>
      </c>
      <c r="D676" t="s">
        <v>1486</v>
      </c>
      <c r="E676" t="s">
        <v>312</v>
      </c>
      <c r="F676" s="1">
        <v>46647</v>
      </c>
      <c r="G676" s="2">
        <v>2014</v>
      </c>
      <c r="H676">
        <v>2021</v>
      </c>
      <c r="I676" s="2">
        <v>7</v>
      </c>
      <c r="J676" s="7">
        <v>102493</v>
      </c>
      <c r="K676" t="s">
        <v>764</v>
      </c>
      <c r="L676">
        <v>5</v>
      </c>
      <c r="M676" t="s">
        <v>91</v>
      </c>
      <c r="N676" t="s">
        <v>40</v>
      </c>
      <c r="O676" t="s">
        <v>41</v>
      </c>
      <c r="P676" t="s">
        <v>1489</v>
      </c>
      <c r="Q676" s="7">
        <f t="shared" si="20"/>
        <v>1229916</v>
      </c>
      <c r="R676" s="7">
        <f t="shared" si="21"/>
        <v>10249.300000000001</v>
      </c>
    </row>
    <row r="677" spans="1:18" x14ac:dyDescent="0.35">
      <c r="A677" s="5">
        <v>671</v>
      </c>
      <c r="B677" t="s">
        <v>608</v>
      </c>
      <c r="C677" t="s">
        <v>1135</v>
      </c>
      <c r="D677" t="s">
        <v>1485</v>
      </c>
      <c r="E677" t="s">
        <v>312</v>
      </c>
      <c r="F677" s="1">
        <v>39427</v>
      </c>
      <c r="G677" s="2">
        <v>2007</v>
      </c>
      <c r="H677">
        <v>2021</v>
      </c>
      <c r="I677" s="2">
        <v>14</v>
      </c>
      <c r="J677" s="7">
        <v>55568</v>
      </c>
      <c r="K677" t="s">
        <v>290</v>
      </c>
      <c r="L677">
        <v>7</v>
      </c>
      <c r="M677" t="s">
        <v>39</v>
      </c>
      <c r="N677" t="s">
        <v>40</v>
      </c>
      <c r="O677" t="s">
        <v>41</v>
      </c>
      <c r="P677" t="s">
        <v>1489</v>
      </c>
      <c r="Q677" s="7">
        <f t="shared" si="20"/>
        <v>666816</v>
      </c>
      <c r="R677" s="7">
        <f t="shared" si="21"/>
        <v>5556.8</v>
      </c>
    </row>
    <row r="678" spans="1:18" x14ac:dyDescent="0.35">
      <c r="A678" s="5">
        <v>672</v>
      </c>
      <c r="B678" t="s">
        <v>523</v>
      </c>
      <c r="C678" t="s">
        <v>1136</v>
      </c>
      <c r="D678" t="s">
        <v>1485</v>
      </c>
      <c r="E678" t="s">
        <v>21</v>
      </c>
      <c r="F678" s="1">
        <v>38842</v>
      </c>
      <c r="G678" s="2">
        <v>2006</v>
      </c>
      <c r="H678">
        <v>2021</v>
      </c>
      <c r="I678" s="2">
        <v>15</v>
      </c>
      <c r="J678" s="7">
        <v>75159</v>
      </c>
      <c r="K678" t="s">
        <v>626</v>
      </c>
      <c r="L678">
        <v>2</v>
      </c>
      <c r="M678" t="s">
        <v>16</v>
      </c>
      <c r="N678" t="s">
        <v>17</v>
      </c>
      <c r="O678" t="s">
        <v>23</v>
      </c>
      <c r="P678" t="s">
        <v>1489</v>
      </c>
      <c r="Q678" s="7">
        <f t="shared" si="20"/>
        <v>901908</v>
      </c>
      <c r="R678" s="7">
        <f t="shared" si="21"/>
        <v>7515.9000000000005</v>
      </c>
    </row>
    <row r="679" spans="1:18" x14ac:dyDescent="0.35">
      <c r="A679" s="5">
        <v>673</v>
      </c>
      <c r="B679" t="s">
        <v>279</v>
      </c>
      <c r="C679" t="s">
        <v>1137</v>
      </c>
      <c r="D679" t="s">
        <v>1485</v>
      </c>
      <c r="E679" t="s">
        <v>203</v>
      </c>
      <c r="F679" s="1">
        <v>41939</v>
      </c>
      <c r="G679" s="2">
        <v>2014</v>
      </c>
      <c r="H679">
        <v>2021</v>
      </c>
      <c r="I679" s="2">
        <v>7</v>
      </c>
      <c r="J679" s="7">
        <v>51782</v>
      </c>
      <c r="K679" t="s">
        <v>235</v>
      </c>
      <c r="L679">
        <v>6</v>
      </c>
      <c r="M679" t="s">
        <v>50</v>
      </c>
      <c r="N679" t="s">
        <v>40</v>
      </c>
      <c r="O679" t="s">
        <v>41</v>
      </c>
      <c r="P679" t="s">
        <v>1489</v>
      </c>
      <c r="Q679" s="7">
        <f t="shared" si="20"/>
        <v>621384</v>
      </c>
      <c r="R679" s="7">
        <f t="shared" si="21"/>
        <v>5178.2000000000007</v>
      </c>
    </row>
    <row r="680" spans="1:18" x14ac:dyDescent="0.35">
      <c r="A680" s="5">
        <v>674</v>
      </c>
      <c r="B680" t="s">
        <v>308</v>
      </c>
      <c r="C680" t="s">
        <v>1138</v>
      </c>
      <c r="D680" t="s">
        <v>1485</v>
      </c>
      <c r="E680" t="s">
        <v>53</v>
      </c>
      <c r="F680" s="1">
        <v>40053</v>
      </c>
      <c r="G680" s="2">
        <v>2009</v>
      </c>
      <c r="H680">
        <v>2021</v>
      </c>
      <c r="I680" s="2">
        <v>12</v>
      </c>
      <c r="J680" s="7">
        <v>41855</v>
      </c>
      <c r="K680" t="s">
        <v>149</v>
      </c>
      <c r="L680">
        <v>7</v>
      </c>
      <c r="M680" t="s">
        <v>39</v>
      </c>
      <c r="N680" t="s">
        <v>40</v>
      </c>
      <c r="O680" t="s">
        <v>23</v>
      </c>
      <c r="P680" t="s">
        <v>1489</v>
      </c>
      <c r="Q680" s="7">
        <f t="shared" si="20"/>
        <v>502260</v>
      </c>
      <c r="R680" s="7">
        <f t="shared" si="21"/>
        <v>4185.5</v>
      </c>
    </row>
    <row r="681" spans="1:18" x14ac:dyDescent="0.35">
      <c r="A681" s="5">
        <v>675</v>
      </c>
      <c r="B681" t="s">
        <v>184</v>
      </c>
      <c r="C681" t="s">
        <v>1139</v>
      </c>
      <c r="D681" t="s">
        <v>1485</v>
      </c>
      <c r="E681" t="s">
        <v>79</v>
      </c>
      <c r="F681" s="1">
        <v>38525</v>
      </c>
      <c r="G681" s="2">
        <v>2005</v>
      </c>
      <c r="H681">
        <v>2021</v>
      </c>
      <c r="I681" s="2">
        <v>16</v>
      </c>
      <c r="J681" s="7">
        <v>143846</v>
      </c>
      <c r="K681" t="s">
        <v>82</v>
      </c>
      <c r="L681">
        <v>3</v>
      </c>
      <c r="M681" t="s">
        <v>28</v>
      </c>
      <c r="N681" t="s">
        <v>17</v>
      </c>
      <c r="O681" t="s">
        <v>41</v>
      </c>
      <c r="P681" t="s">
        <v>1489</v>
      </c>
      <c r="Q681" s="7">
        <f t="shared" si="20"/>
        <v>1726152</v>
      </c>
      <c r="R681" s="7">
        <f t="shared" si="21"/>
        <v>14384.6</v>
      </c>
    </row>
    <row r="682" spans="1:18" x14ac:dyDescent="0.35">
      <c r="A682" s="5">
        <v>676</v>
      </c>
      <c r="B682" t="s">
        <v>433</v>
      </c>
      <c r="C682" t="s">
        <v>1140</v>
      </c>
      <c r="D682" t="s">
        <v>1485</v>
      </c>
      <c r="E682" t="s">
        <v>238</v>
      </c>
      <c r="F682" s="1">
        <v>41546</v>
      </c>
      <c r="G682" s="2">
        <v>2013</v>
      </c>
      <c r="H682">
        <v>2021</v>
      </c>
      <c r="I682" s="2">
        <v>8</v>
      </c>
      <c r="J682" s="7">
        <v>101756</v>
      </c>
      <c r="K682" t="s">
        <v>86</v>
      </c>
      <c r="L682">
        <v>5</v>
      </c>
      <c r="M682" t="s">
        <v>91</v>
      </c>
      <c r="N682" t="s">
        <v>40</v>
      </c>
      <c r="O682" t="s">
        <v>63</v>
      </c>
      <c r="P682" t="s">
        <v>1489</v>
      </c>
      <c r="Q682" s="7">
        <f t="shared" si="20"/>
        <v>1221072</v>
      </c>
      <c r="R682" s="7">
        <f t="shared" si="21"/>
        <v>10175.6</v>
      </c>
    </row>
    <row r="683" spans="1:18" x14ac:dyDescent="0.35">
      <c r="A683" s="5">
        <v>677</v>
      </c>
      <c r="B683" t="s">
        <v>435</v>
      </c>
      <c r="C683" t="s">
        <v>1141</v>
      </c>
      <c r="D683" t="s">
        <v>1485</v>
      </c>
      <c r="E683" t="s">
        <v>14</v>
      </c>
      <c r="F683" s="1">
        <v>41855</v>
      </c>
      <c r="G683" s="2">
        <v>2014</v>
      </c>
      <c r="H683">
        <v>2021</v>
      </c>
      <c r="I683" s="2">
        <v>7</v>
      </c>
      <c r="J683" s="7">
        <v>136492</v>
      </c>
      <c r="K683" t="s">
        <v>74</v>
      </c>
      <c r="L683">
        <v>4</v>
      </c>
      <c r="M683" t="s">
        <v>55</v>
      </c>
      <c r="N683" t="s">
        <v>17</v>
      </c>
      <c r="O683" t="s">
        <v>18</v>
      </c>
      <c r="P683" t="s">
        <v>1489</v>
      </c>
      <c r="Q683" s="7">
        <f t="shared" si="20"/>
        <v>1637904</v>
      </c>
      <c r="R683" s="7">
        <f t="shared" si="21"/>
        <v>13649.2</v>
      </c>
    </row>
    <row r="684" spans="1:18" x14ac:dyDescent="0.35">
      <c r="A684" s="5">
        <v>678</v>
      </c>
      <c r="B684" t="s">
        <v>224</v>
      </c>
      <c r="C684" t="s">
        <v>1142</v>
      </c>
      <c r="D684" t="s">
        <v>1485</v>
      </c>
      <c r="E684" t="s">
        <v>238</v>
      </c>
      <c r="F684" s="1">
        <v>40650</v>
      </c>
      <c r="G684" s="2">
        <v>2011</v>
      </c>
      <c r="H684">
        <v>2021</v>
      </c>
      <c r="I684" s="2">
        <v>10</v>
      </c>
      <c r="J684" s="7">
        <v>82979</v>
      </c>
      <c r="K684" t="s">
        <v>764</v>
      </c>
      <c r="L684">
        <v>6</v>
      </c>
      <c r="M684" t="s">
        <v>50</v>
      </c>
      <c r="N684" t="s">
        <v>40</v>
      </c>
      <c r="O684" t="s">
        <v>63</v>
      </c>
      <c r="P684" t="s">
        <v>1489</v>
      </c>
      <c r="Q684" s="7">
        <f t="shared" si="20"/>
        <v>995748</v>
      </c>
      <c r="R684" s="7">
        <f t="shared" si="21"/>
        <v>8297.9</v>
      </c>
    </row>
    <row r="685" spans="1:18" x14ac:dyDescent="0.35">
      <c r="A685" s="5">
        <v>679</v>
      </c>
      <c r="B685" t="s">
        <v>602</v>
      </c>
      <c r="C685" t="s">
        <v>1143</v>
      </c>
      <c r="D685" t="s">
        <v>1485</v>
      </c>
      <c r="E685" t="s">
        <v>94</v>
      </c>
      <c r="F685" s="1">
        <v>41774</v>
      </c>
      <c r="G685" s="2">
        <v>2014</v>
      </c>
      <c r="H685">
        <v>2021</v>
      </c>
      <c r="I685" s="2">
        <v>7</v>
      </c>
      <c r="J685" s="7">
        <v>40218</v>
      </c>
      <c r="K685" t="s">
        <v>539</v>
      </c>
      <c r="L685">
        <v>2</v>
      </c>
      <c r="M685" t="s">
        <v>16</v>
      </c>
      <c r="N685" t="s">
        <v>17</v>
      </c>
      <c r="O685" t="s">
        <v>18</v>
      </c>
      <c r="P685" t="s">
        <v>1489</v>
      </c>
      <c r="Q685" s="7">
        <f t="shared" si="20"/>
        <v>482616</v>
      </c>
      <c r="R685" s="7">
        <f t="shared" si="21"/>
        <v>4021.8</v>
      </c>
    </row>
    <row r="686" spans="1:18" x14ac:dyDescent="0.35">
      <c r="A686" s="5">
        <v>680</v>
      </c>
      <c r="B686" t="s">
        <v>165</v>
      </c>
      <c r="C686" t="s">
        <v>1144</v>
      </c>
      <c r="D686" t="s">
        <v>1486</v>
      </c>
      <c r="E686" t="s">
        <v>79</v>
      </c>
      <c r="F686" s="1">
        <v>37234</v>
      </c>
      <c r="G686" s="2">
        <v>2001</v>
      </c>
      <c r="H686">
        <v>2021</v>
      </c>
      <c r="I686" s="2">
        <v>20</v>
      </c>
      <c r="J686" s="7">
        <v>60695</v>
      </c>
      <c r="K686" t="s">
        <v>287</v>
      </c>
      <c r="L686">
        <v>2</v>
      </c>
      <c r="M686" t="s">
        <v>16</v>
      </c>
      <c r="N686" t="s">
        <v>17</v>
      </c>
      <c r="O686" t="s">
        <v>41</v>
      </c>
      <c r="P686" t="s">
        <v>1489</v>
      </c>
      <c r="Q686" s="7">
        <f t="shared" si="20"/>
        <v>728340</v>
      </c>
      <c r="R686" s="7">
        <f t="shared" si="21"/>
        <v>6069.5</v>
      </c>
    </row>
    <row r="687" spans="1:18" x14ac:dyDescent="0.35">
      <c r="A687" s="5">
        <v>681</v>
      </c>
      <c r="B687" t="s">
        <v>465</v>
      </c>
      <c r="C687" t="s">
        <v>1145</v>
      </c>
      <c r="D687" t="s">
        <v>1485</v>
      </c>
      <c r="E687" t="s">
        <v>89</v>
      </c>
      <c r="F687" s="1">
        <v>39782</v>
      </c>
      <c r="G687" s="2">
        <v>2008</v>
      </c>
      <c r="H687">
        <v>2021</v>
      </c>
      <c r="I687" s="2">
        <v>13</v>
      </c>
      <c r="J687" s="7">
        <v>47994</v>
      </c>
      <c r="K687" t="s">
        <v>764</v>
      </c>
      <c r="L687">
        <v>4</v>
      </c>
      <c r="M687" t="s">
        <v>55</v>
      </c>
      <c r="N687" t="s">
        <v>17</v>
      </c>
      <c r="O687" t="s">
        <v>41</v>
      </c>
      <c r="P687" t="s">
        <v>1489</v>
      </c>
      <c r="Q687" s="7">
        <f t="shared" si="20"/>
        <v>575928</v>
      </c>
      <c r="R687" s="7">
        <f t="shared" si="21"/>
        <v>4799.4000000000005</v>
      </c>
    </row>
    <row r="688" spans="1:18" x14ac:dyDescent="0.35">
      <c r="A688" s="5">
        <v>682</v>
      </c>
      <c r="B688" t="s">
        <v>120</v>
      </c>
      <c r="C688" t="s">
        <v>1146</v>
      </c>
      <c r="D688" t="s">
        <v>1485</v>
      </c>
      <c r="E688" t="s">
        <v>110</v>
      </c>
      <c r="F688" s="1">
        <v>38233</v>
      </c>
      <c r="G688" s="2">
        <v>2004</v>
      </c>
      <c r="H688">
        <v>2021</v>
      </c>
      <c r="I688" s="2">
        <v>17</v>
      </c>
      <c r="J688" s="7">
        <v>50057</v>
      </c>
      <c r="K688" t="s">
        <v>401</v>
      </c>
      <c r="L688">
        <v>2</v>
      </c>
      <c r="M688" t="s">
        <v>16</v>
      </c>
      <c r="N688" t="s">
        <v>17</v>
      </c>
      <c r="O688" t="s">
        <v>112</v>
      </c>
      <c r="P688" t="s">
        <v>1489</v>
      </c>
      <c r="Q688" s="7">
        <f t="shared" si="20"/>
        <v>600684</v>
      </c>
      <c r="R688" s="7">
        <f t="shared" si="21"/>
        <v>5005.7000000000007</v>
      </c>
    </row>
    <row r="689" spans="1:18" x14ac:dyDescent="0.35">
      <c r="A689" s="5">
        <v>683</v>
      </c>
      <c r="B689" t="s">
        <v>134</v>
      </c>
      <c r="C689" t="s">
        <v>1147</v>
      </c>
      <c r="D689" t="s">
        <v>1486</v>
      </c>
      <c r="E689" t="s">
        <v>79</v>
      </c>
      <c r="F689" s="1">
        <v>38787</v>
      </c>
      <c r="G689" s="2">
        <v>2006</v>
      </c>
      <c r="H689">
        <v>2021</v>
      </c>
      <c r="I689" s="2">
        <v>15</v>
      </c>
      <c r="J689" s="7">
        <v>135886</v>
      </c>
      <c r="K689" t="s">
        <v>142</v>
      </c>
      <c r="L689">
        <v>3</v>
      </c>
      <c r="M689" t="s">
        <v>28</v>
      </c>
      <c r="N689" t="s">
        <v>17</v>
      </c>
      <c r="O689" t="s">
        <v>41</v>
      </c>
      <c r="P689" t="s">
        <v>1489</v>
      </c>
      <c r="Q689" s="7">
        <f t="shared" si="20"/>
        <v>1630632</v>
      </c>
      <c r="R689" s="7">
        <f t="shared" si="21"/>
        <v>13588.6</v>
      </c>
    </row>
    <row r="690" spans="1:18" x14ac:dyDescent="0.35">
      <c r="A690" s="5">
        <v>684</v>
      </c>
      <c r="B690" t="s">
        <v>766</v>
      </c>
      <c r="C690" t="s">
        <v>1148</v>
      </c>
      <c r="D690" t="s">
        <v>1485</v>
      </c>
      <c r="E690" t="s">
        <v>32</v>
      </c>
      <c r="F690" s="1">
        <v>40009</v>
      </c>
      <c r="G690" s="2">
        <v>2009</v>
      </c>
      <c r="H690">
        <v>2021</v>
      </c>
      <c r="I690" s="3">
        <v>12</v>
      </c>
      <c r="J690" s="7">
        <v>77924</v>
      </c>
      <c r="K690" t="s">
        <v>226</v>
      </c>
      <c r="L690">
        <v>7</v>
      </c>
      <c r="M690" t="s">
        <v>39</v>
      </c>
      <c r="N690" t="s">
        <v>40</v>
      </c>
      <c r="O690" t="s">
        <v>34</v>
      </c>
      <c r="P690" t="s">
        <v>1489</v>
      </c>
      <c r="Q690" s="7">
        <f t="shared" si="20"/>
        <v>935088</v>
      </c>
      <c r="R690" s="7">
        <f t="shared" si="21"/>
        <v>7792.4000000000005</v>
      </c>
    </row>
    <row r="691" spans="1:18" x14ac:dyDescent="0.35">
      <c r="A691" s="5">
        <v>685</v>
      </c>
      <c r="B691" t="s">
        <v>587</v>
      </c>
      <c r="C691" t="s">
        <v>1149</v>
      </c>
      <c r="D691" t="s">
        <v>1486</v>
      </c>
      <c r="E691" t="s">
        <v>129</v>
      </c>
      <c r="F691" s="1">
        <v>44537</v>
      </c>
      <c r="G691" s="2">
        <v>2008</v>
      </c>
      <c r="H691">
        <v>2021</v>
      </c>
      <c r="I691" s="2">
        <v>13</v>
      </c>
      <c r="J691" s="7">
        <v>136356</v>
      </c>
      <c r="K691" t="s">
        <v>217</v>
      </c>
      <c r="L691">
        <v>1</v>
      </c>
      <c r="M691" t="s">
        <v>46</v>
      </c>
      <c r="N691" t="s">
        <v>17</v>
      </c>
      <c r="O691" t="s">
        <v>41</v>
      </c>
      <c r="P691" t="s">
        <v>1489</v>
      </c>
      <c r="Q691" s="7">
        <f t="shared" si="20"/>
        <v>1636272</v>
      </c>
      <c r="R691" s="7">
        <f t="shared" si="21"/>
        <v>13635.6</v>
      </c>
    </row>
    <row r="692" spans="1:18" x14ac:dyDescent="0.35">
      <c r="A692" s="5">
        <v>686</v>
      </c>
      <c r="B692" t="s">
        <v>161</v>
      </c>
      <c r="C692" t="s">
        <v>1150</v>
      </c>
      <c r="D692" t="s">
        <v>1485</v>
      </c>
      <c r="E692" t="s">
        <v>53</v>
      </c>
      <c r="F692" s="1">
        <v>38070</v>
      </c>
      <c r="G692" s="2">
        <v>2004</v>
      </c>
      <c r="H692">
        <v>2021</v>
      </c>
      <c r="I692" s="2">
        <v>17</v>
      </c>
      <c r="J692" s="7">
        <v>104444</v>
      </c>
      <c r="K692" t="s">
        <v>115</v>
      </c>
      <c r="L692">
        <v>2</v>
      </c>
      <c r="M692" t="s">
        <v>16</v>
      </c>
      <c r="N692" t="s">
        <v>17</v>
      </c>
      <c r="O692" t="s">
        <v>23</v>
      </c>
      <c r="P692" t="s">
        <v>1489</v>
      </c>
      <c r="Q692" s="7">
        <f t="shared" si="20"/>
        <v>1253328</v>
      </c>
      <c r="R692" s="7">
        <f t="shared" si="21"/>
        <v>10444.400000000001</v>
      </c>
    </row>
    <row r="693" spans="1:18" x14ac:dyDescent="0.35">
      <c r="A693" s="5">
        <v>687</v>
      </c>
      <c r="B693" t="s">
        <v>314</v>
      </c>
      <c r="C693" t="s">
        <v>1151</v>
      </c>
      <c r="D693" t="s">
        <v>1486</v>
      </c>
      <c r="E693" t="s">
        <v>14</v>
      </c>
      <c r="F693" s="1">
        <v>36863</v>
      </c>
      <c r="G693" s="2">
        <v>2000</v>
      </c>
      <c r="H693">
        <v>2021</v>
      </c>
      <c r="I693" s="2">
        <v>21</v>
      </c>
      <c r="J693" s="7">
        <v>49693</v>
      </c>
      <c r="K693" t="s">
        <v>287</v>
      </c>
      <c r="L693">
        <v>2</v>
      </c>
      <c r="M693" t="s">
        <v>16</v>
      </c>
      <c r="N693" t="s">
        <v>17</v>
      </c>
      <c r="O693" t="s">
        <v>18</v>
      </c>
      <c r="P693" t="s">
        <v>1489</v>
      </c>
      <c r="Q693" s="7">
        <f t="shared" si="20"/>
        <v>596316</v>
      </c>
      <c r="R693" s="7">
        <f t="shared" si="21"/>
        <v>4969.3</v>
      </c>
    </row>
    <row r="694" spans="1:18" x14ac:dyDescent="0.35">
      <c r="A694" s="5">
        <v>688</v>
      </c>
      <c r="B694" t="s">
        <v>150</v>
      </c>
      <c r="C694" t="s">
        <v>1152</v>
      </c>
      <c r="D694" t="s">
        <v>1485</v>
      </c>
      <c r="E694" t="s">
        <v>89</v>
      </c>
      <c r="F694" s="1">
        <v>41089</v>
      </c>
      <c r="G694" s="2">
        <v>2012</v>
      </c>
      <c r="H694">
        <v>2021</v>
      </c>
      <c r="I694" s="2">
        <v>9</v>
      </c>
      <c r="J694" s="7">
        <v>90829</v>
      </c>
      <c r="K694" t="s">
        <v>391</v>
      </c>
      <c r="L694">
        <v>6</v>
      </c>
      <c r="M694" t="s">
        <v>50</v>
      </c>
      <c r="N694" t="s">
        <v>40</v>
      </c>
      <c r="O694" t="s">
        <v>41</v>
      </c>
      <c r="P694" t="s">
        <v>1489</v>
      </c>
      <c r="Q694" s="7">
        <f t="shared" si="20"/>
        <v>1089948</v>
      </c>
      <c r="R694" s="7">
        <f t="shared" si="21"/>
        <v>9082.9</v>
      </c>
    </row>
    <row r="695" spans="1:18" x14ac:dyDescent="0.35">
      <c r="A695" s="5">
        <v>689</v>
      </c>
      <c r="B695" t="s">
        <v>325</v>
      </c>
      <c r="C695" t="s">
        <v>1153</v>
      </c>
      <c r="D695" t="s">
        <v>1486</v>
      </c>
      <c r="E695" t="s">
        <v>94</v>
      </c>
      <c r="F695" s="1">
        <v>44135</v>
      </c>
      <c r="G695" s="2">
        <v>2007</v>
      </c>
      <c r="H695">
        <v>2021</v>
      </c>
      <c r="I695" s="2">
        <v>14</v>
      </c>
      <c r="J695" s="7">
        <v>62293</v>
      </c>
      <c r="K695" t="s">
        <v>441</v>
      </c>
      <c r="L695">
        <v>4</v>
      </c>
      <c r="M695" t="s">
        <v>55</v>
      </c>
      <c r="N695" t="s">
        <v>17</v>
      </c>
      <c r="O695" t="s">
        <v>18</v>
      </c>
      <c r="P695" t="s">
        <v>1489</v>
      </c>
      <c r="Q695" s="7">
        <f t="shared" si="20"/>
        <v>747516</v>
      </c>
      <c r="R695" s="7">
        <f t="shared" si="21"/>
        <v>6229.3</v>
      </c>
    </row>
    <row r="696" spans="1:18" x14ac:dyDescent="0.35">
      <c r="A696" s="5">
        <v>690</v>
      </c>
      <c r="B696" t="s">
        <v>318</v>
      </c>
      <c r="C696" t="s">
        <v>1154</v>
      </c>
      <c r="D696" t="s">
        <v>1485</v>
      </c>
      <c r="E696" t="s">
        <v>238</v>
      </c>
      <c r="F696" s="1">
        <v>36655</v>
      </c>
      <c r="G696" s="2">
        <v>2000</v>
      </c>
      <c r="H696">
        <v>2021</v>
      </c>
      <c r="I696" s="2">
        <v>21</v>
      </c>
      <c r="J696" s="7">
        <v>57988</v>
      </c>
      <c r="K696" t="s">
        <v>228</v>
      </c>
      <c r="L696">
        <v>4</v>
      </c>
      <c r="M696" t="s">
        <v>55</v>
      </c>
      <c r="N696" t="s">
        <v>17</v>
      </c>
      <c r="O696" t="s">
        <v>63</v>
      </c>
      <c r="P696" t="s">
        <v>1489</v>
      </c>
      <c r="Q696" s="7">
        <f t="shared" si="20"/>
        <v>695856</v>
      </c>
      <c r="R696" s="7">
        <f t="shared" si="21"/>
        <v>5798.8</v>
      </c>
    </row>
    <row r="697" spans="1:18" x14ac:dyDescent="0.35">
      <c r="A697" s="5">
        <v>691</v>
      </c>
      <c r="B697" t="s">
        <v>934</v>
      </c>
      <c r="C697" t="s">
        <v>1155</v>
      </c>
      <c r="D697" t="s">
        <v>1486</v>
      </c>
      <c r="E697" t="s">
        <v>129</v>
      </c>
      <c r="F697" s="1">
        <v>44961</v>
      </c>
      <c r="G697" s="2">
        <v>2010</v>
      </c>
      <c r="H697">
        <v>2021</v>
      </c>
      <c r="I697" s="2">
        <v>11</v>
      </c>
      <c r="J697" s="7">
        <v>113893</v>
      </c>
      <c r="K697" t="s">
        <v>397</v>
      </c>
      <c r="L697">
        <v>7</v>
      </c>
      <c r="M697" t="s">
        <v>39</v>
      </c>
      <c r="N697" t="s">
        <v>40</v>
      </c>
      <c r="O697" t="s">
        <v>41</v>
      </c>
      <c r="P697" t="s">
        <v>1489</v>
      </c>
      <c r="Q697" s="7">
        <f t="shared" si="20"/>
        <v>1366716</v>
      </c>
      <c r="R697" s="7">
        <f t="shared" si="21"/>
        <v>11389.300000000001</v>
      </c>
    </row>
    <row r="698" spans="1:18" x14ac:dyDescent="0.35">
      <c r="A698" s="5">
        <v>692</v>
      </c>
      <c r="B698" t="s">
        <v>118</v>
      </c>
      <c r="C698" t="s">
        <v>1156</v>
      </c>
      <c r="D698" t="s">
        <v>1485</v>
      </c>
      <c r="E698" t="s">
        <v>312</v>
      </c>
      <c r="F698" s="1">
        <v>41344</v>
      </c>
      <c r="G698" s="2">
        <v>2013</v>
      </c>
      <c r="H698">
        <v>2021</v>
      </c>
      <c r="I698" s="2">
        <v>8</v>
      </c>
      <c r="J698" s="7">
        <v>58265</v>
      </c>
      <c r="K698" t="s">
        <v>1500</v>
      </c>
      <c r="L698">
        <v>3</v>
      </c>
      <c r="M698" t="s">
        <v>28</v>
      </c>
      <c r="N698" t="s">
        <v>17</v>
      </c>
      <c r="O698" t="s">
        <v>41</v>
      </c>
      <c r="P698" t="s">
        <v>1489</v>
      </c>
      <c r="Q698" s="7">
        <f t="shared" si="20"/>
        <v>699180</v>
      </c>
      <c r="R698" s="7">
        <f t="shared" si="21"/>
        <v>5826.5</v>
      </c>
    </row>
    <row r="699" spans="1:18" x14ac:dyDescent="0.35">
      <c r="A699" s="5">
        <v>693</v>
      </c>
      <c r="B699" t="s">
        <v>24</v>
      </c>
      <c r="C699" t="s">
        <v>1157</v>
      </c>
      <c r="D699" t="s">
        <v>1485</v>
      </c>
      <c r="E699" t="s">
        <v>110</v>
      </c>
      <c r="F699" s="1">
        <v>38369</v>
      </c>
      <c r="G699" s="2">
        <v>2005</v>
      </c>
      <c r="H699">
        <v>2021</v>
      </c>
      <c r="I699" s="2">
        <v>16</v>
      </c>
      <c r="J699" s="7">
        <v>143570</v>
      </c>
      <c r="K699" t="s">
        <v>908</v>
      </c>
      <c r="L699">
        <v>4</v>
      </c>
      <c r="M699" t="s">
        <v>55</v>
      </c>
      <c r="N699" t="s">
        <v>17</v>
      </c>
      <c r="O699" t="s">
        <v>112</v>
      </c>
      <c r="P699" t="s">
        <v>1489</v>
      </c>
      <c r="Q699" s="7">
        <f t="shared" si="20"/>
        <v>1722840</v>
      </c>
      <c r="R699" s="7">
        <f t="shared" si="21"/>
        <v>14357</v>
      </c>
    </row>
    <row r="700" spans="1:18" x14ac:dyDescent="0.35">
      <c r="A700" s="5">
        <v>694</v>
      </c>
      <c r="B700" t="s">
        <v>354</v>
      </c>
      <c r="C700" t="s">
        <v>1158</v>
      </c>
      <c r="D700" t="s">
        <v>1486</v>
      </c>
      <c r="E700" t="s">
        <v>37</v>
      </c>
      <c r="F700" s="1">
        <v>43940</v>
      </c>
      <c r="G700" s="2">
        <v>2007</v>
      </c>
      <c r="H700">
        <v>2021</v>
      </c>
      <c r="I700" s="2">
        <v>14</v>
      </c>
      <c r="J700" s="7">
        <v>116894</v>
      </c>
      <c r="K700" t="s">
        <v>958</v>
      </c>
      <c r="L700">
        <v>6</v>
      </c>
      <c r="M700" t="s">
        <v>50</v>
      </c>
      <c r="N700" t="s">
        <v>40</v>
      </c>
      <c r="O700" t="s">
        <v>41</v>
      </c>
      <c r="P700" t="s">
        <v>1489</v>
      </c>
      <c r="Q700" s="7">
        <f t="shared" si="20"/>
        <v>1402728</v>
      </c>
      <c r="R700" s="7">
        <f t="shared" si="21"/>
        <v>11689.400000000001</v>
      </c>
    </row>
    <row r="701" spans="1:18" x14ac:dyDescent="0.35">
      <c r="A701" s="5">
        <v>695</v>
      </c>
      <c r="B701" t="s">
        <v>491</v>
      </c>
      <c r="C701" t="s">
        <v>1159</v>
      </c>
      <c r="D701" t="s">
        <v>1486</v>
      </c>
      <c r="E701" t="s">
        <v>26</v>
      </c>
      <c r="F701" s="1">
        <v>38741</v>
      </c>
      <c r="G701" s="2">
        <v>2006</v>
      </c>
      <c r="H701">
        <v>2021</v>
      </c>
      <c r="I701" s="2">
        <v>15</v>
      </c>
      <c r="J701" s="7">
        <v>82244</v>
      </c>
      <c r="K701" t="s">
        <v>717</v>
      </c>
      <c r="L701">
        <v>2</v>
      </c>
      <c r="M701" t="s">
        <v>16</v>
      </c>
      <c r="N701" t="s">
        <v>17</v>
      </c>
      <c r="O701" t="s">
        <v>29</v>
      </c>
      <c r="P701" t="s">
        <v>1489</v>
      </c>
      <c r="Q701" s="7">
        <f t="shared" si="20"/>
        <v>986928</v>
      </c>
      <c r="R701" s="7">
        <f t="shared" si="21"/>
        <v>8224.4</v>
      </c>
    </row>
    <row r="702" spans="1:18" x14ac:dyDescent="0.35">
      <c r="A702" s="5">
        <v>696</v>
      </c>
      <c r="B702" t="s">
        <v>483</v>
      </c>
      <c r="C702" t="s">
        <v>1160</v>
      </c>
      <c r="D702" t="s">
        <v>1485</v>
      </c>
      <c r="E702" t="s">
        <v>79</v>
      </c>
      <c r="F702" s="1">
        <v>41189</v>
      </c>
      <c r="G702" s="2">
        <v>2012</v>
      </c>
      <c r="H702">
        <v>2021</v>
      </c>
      <c r="I702" s="2">
        <v>9</v>
      </c>
      <c r="J702" s="7">
        <v>92640</v>
      </c>
      <c r="K702" t="s">
        <v>45</v>
      </c>
      <c r="L702">
        <v>7</v>
      </c>
      <c r="M702" t="s">
        <v>39</v>
      </c>
      <c r="N702" t="s">
        <v>40</v>
      </c>
      <c r="O702" t="s">
        <v>41</v>
      </c>
      <c r="P702" t="s">
        <v>1489</v>
      </c>
      <c r="Q702" s="7">
        <f t="shared" si="20"/>
        <v>1111680</v>
      </c>
      <c r="R702" s="7">
        <f t="shared" si="21"/>
        <v>9264</v>
      </c>
    </row>
    <row r="703" spans="1:18" x14ac:dyDescent="0.35">
      <c r="A703" s="5">
        <v>697</v>
      </c>
      <c r="B703" t="s">
        <v>488</v>
      </c>
      <c r="C703" t="s">
        <v>1161</v>
      </c>
      <c r="D703" t="s">
        <v>1485</v>
      </c>
      <c r="E703" t="s">
        <v>129</v>
      </c>
      <c r="F703" s="1">
        <v>36700</v>
      </c>
      <c r="G703" s="2">
        <v>2000</v>
      </c>
      <c r="H703">
        <v>2021</v>
      </c>
      <c r="I703" s="2">
        <v>21</v>
      </c>
      <c r="J703" s="7">
        <v>123995</v>
      </c>
      <c r="K703" t="s">
        <v>142</v>
      </c>
      <c r="L703">
        <v>5</v>
      </c>
      <c r="M703" t="s">
        <v>91</v>
      </c>
      <c r="N703" t="s">
        <v>40</v>
      </c>
      <c r="O703" t="s">
        <v>41</v>
      </c>
      <c r="P703" t="s">
        <v>1489</v>
      </c>
      <c r="Q703" s="7">
        <f t="shared" si="20"/>
        <v>1487940</v>
      </c>
      <c r="R703" s="7">
        <f t="shared" si="21"/>
        <v>12399.5</v>
      </c>
    </row>
    <row r="704" spans="1:18" x14ac:dyDescent="0.35">
      <c r="A704" s="5">
        <v>698</v>
      </c>
      <c r="B704" t="s">
        <v>1039</v>
      </c>
      <c r="C704" t="s">
        <v>1162</v>
      </c>
      <c r="D704" t="s">
        <v>1485</v>
      </c>
      <c r="E704" t="s">
        <v>110</v>
      </c>
      <c r="F704" s="1">
        <v>38698</v>
      </c>
      <c r="G704" s="2">
        <v>2005</v>
      </c>
      <c r="H704">
        <v>2021</v>
      </c>
      <c r="I704" s="2">
        <v>16</v>
      </c>
      <c r="J704" s="7">
        <v>97351</v>
      </c>
      <c r="K704" t="s">
        <v>632</v>
      </c>
      <c r="L704">
        <v>4</v>
      </c>
      <c r="M704" t="s">
        <v>55</v>
      </c>
      <c r="N704" t="s">
        <v>17</v>
      </c>
      <c r="O704" t="s">
        <v>112</v>
      </c>
      <c r="P704" t="s">
        <v>1489</v>
      </c>
      <c r="Q704" s="7">
        <f t="shared" si="20"/>
        <v>1168212</v>
      </c>
      <c r="R704" s="7">
        <f t="shared" si="21"/>
        <v>9735.1</v>
      </c>
    </row>
    <row r="705" spans="1:18" x14ac:dyDescent="0.35">
      <c r="A705" s="5">
        <v>699</v>
      </c>
      <c r="B705" t="s">
        <v>124</v>
      </c>
      <c r="C705" t="s">
        <v>1163</v>
      </c>
      <c r="D705" t="s">
        <v>1486</v>
      </c>
      <c r="E705" t="s">
        <v>69</v>
      </c>
      <c r="F705" s="1">
        <v>37646</v>
      </c>
      <c r="G705" s="2">
        <v>2003</v>
      </c>
      <c r="H705">
        <v>2021</v>
      </c>
      <c r="I705" s="2">
        <v>18</v>
      </c>
      <c r="J705" s="7">
        <v>133091</v>
      </c>
      <c r="K705" t="s">
        <v>196</v>
      </c>
      <c r="L705">
        <v>7</v>
      </c>
      <c r="M705" t="s">
        <v>39</v>
      </c>
      <c r="N705" t="s">
        <v>40</v>
      </c>
      <c r="O705" t="s">
        <v>41</v>
      </c>
      <c r="P705" t="s">
        <v>1489</v>
      </c>
      <c r="Q705" s="7">
        <f t="shared" si="20"/>
        <v>1597092</v>
      </c>
      <c r="R705" s="7">
        <f t="shared" si="21"/>
        <v>13309.1</v>
      </c>
    </row>
    <row r="706" spans="1:18" x14ac:dyDescent="0.35">
      <c r="A706" s="5">
        <v>700</v>
      </c>
      <c r="B706" t="s">
        <v>602</v>
      </c>
      <c r="C706" t="s">
        <v>1164</v>
      </c>
      <c r="D706" t="s">
        <v>1485</v>
      </c>
      <c r="E706" t="s">
        <v>110</v>
      </c>
      <c r="F706" s="1">
        <v>38183</v>
      </c>
      <c r="G706" s="2">
        <v>2004</v>
      </c>
      <c r="H706">
        <v>2021</v>
      </c>
      <c r="I706" s="2">
        <v>17</v>
      </c>
      <c r="J706" s="7">
        <v>100746</v>
      </c>
      <c r="K706" t="s">
        <v>97</v>
      </c>
      <c r="L706">
        <v>6</v>
      </c>
      <c r="M706" t="s">
        <v>50</v>
      </c>
      <c r="N706" t="s">
        <v>40</v>
      </c>
      <c r="O706" t="s">
        <v>112</v>
      </c>
      <c r="P706" t="s">
        <v>1489</v>
      </c>
      <c r="Q706" s="7">
        <f t="shared" si="20"/>
        <v>1208952</v>
      </c>
      <c r="R706" s="7">
        <f t="shared" si="21"/>
        <v>10074.6</v>
      </c>
    </row>
    <row r="707" spans="1:18" x14ac:dyDescent="0.35">
      <c r="A707" s="5">
        <v>701</v>
      </c>
      <c r="B707" t="s">
        <v>268</v>
      </c>
      <c r="C707" t="s">
        <v>1165</v>
      </c>
      <c r="D707" t="s">
        <v>1485</v>
      </c>
      <c r="E707" t="s">
        <v>32</v>
      </c>
      <c r="F707" s="1">
        <v>37542</v>
      </c>
      <c r="G707" s="2">
        <v>2002</v>
      </c>
      <c r="H707">
        <v>2021</v>
      </c>
      <c r="I707" s="3">
        <v>19</v>
      </c>
      <c r="J707" s="7">
        <v>101599</v>
      </c>
      <c r="K707" t="s">
        <v>1166</v>
      </c>
      <c r="L707">
        <v>7</v>
      </c>
      <c r="M707" t="s">
        <v>39</v>
      </c>
      <c r="N707" t="s">
        <v>40</v>
      </c>
      <c r="O707" t="s">
        <v>34</v>
      </c>
      <c r="P707" t="s">
        <v>1489</v>
      </c>
      <c r="Q707" s="7">
        <f t="shared" si="20"/>
        <v>1219188</v>
      </c>
      <c r="R707" s="7">
        <f t="shared" si="21"/>
        <v>10159.900000000001</v>
      </c>
    </row>
    <row r="708" spans="1:18" x14ac:dyDescent="0.35">
      <c r="A708" s="5">
        <v>702</v>
      </c>
      <c r="B708" t="s">
        <v>337</v>
      </c>
      <c r="C708" t="s">
        <v>1167</v>
      </c>
      <c r="D708" t="s">
        <v>1485</v>
      </c>
      <c r="E708" t="s">
        <v>21</v>
      </c>
      <c r="F708" s="1">
        <v>41792</v>
      </c>
      <c r="G708" s="2">
        <v>2014</v>
      </c>
      <c r="H708">
        <v>2021</v>
      </c>
      <c r="I708" s="2">
        <v>7</v>
      </c>
      <c r="J708" s="7">
        <v>77293</v>
      </c>
      <c r="K708" t="s">
        <v>490</v>
      </c>
      <c r="L708">
        <v>5</v>
      </c>
      <c r="M708" t="s">
        <v>91</v>
      </c>
      <c r="N708" t="s">
        <v>40</v>
      </c>
      <c r="O708" t="s">
        <v>23</v>
      </c>
      <c r="P708" t="s">
        <v>1489</v>
      </c>
      <c r="Q708" s="7">
        <f t="shared" si="20"/>
        <v>927516</v>
      </c>
      <c r="R708" s="7">
        <f t="shared" si="21"/>
        <v>7729.3</v>
      </c>
    </row>
    <row r="709" spans="1:18" x14ac:dyDescent="0.35">
      <c r="A709" s="5">
        <v>703</v>
      </c>
      <c r="B709" t="s">
        <v>402</v>
      </c>
      <c r="C709" t="s">
        <v>1168</v>
      </c>
      <c r="D709" t="s">
        <v>1486</v>
      </c>
      <c r="E709" t="s">
        <v>79</v>
      </c>
      <c r="F709" s="1">
        <v>46450</v>
      </c>
      <c r="G709" s="2">
        <v>2014</v>
      </c>
      <c r="H709">
        <v>2021</v>
      </c>
      <c r="I709" s="2">
        <v>7</v>
      </c>
      <c r="J709" s="7">
        <v>119787</v>
      </c>
      <c r="K709" t="s">
        <v>344</v>
      </c>
      <c r="L709">
        <v>1</v>
      </c>
      <c r="M709" t="s">
        <v>46</v>
      </c>
      <c r="N709" t="s">
        <v>17</v>
      </c>
      <c r="O709" t="s">
        <v>41</v>
      </c>
      <c r="P709" t="s">
        <v>1489</v>
      </c>
      <c r="Q709" s="7">
        <f t="shared" si="20"/>
        <v>1437444</v>
      </c>
      <c r="R709" s="7">
        <f t="shared" si="21"/>
        <v>11978.7</v>
      </c>
    </row>
    <row r="710" spans="1:18" x14ac:dyDescent="0.35">
      <c r="A710" s="5">
        <v>704</v>
      </c>
      <c r="B710" t="s">
        <v>620</v>
      </c>
      <c r="C710" t="s">
        <v>1169</v>
      </c>
      <c r="D710" t="s">
        <v>1485</v>
      </c>
      <c r="E710" t="s">
        <v>14</v>
      </c>
      <c r="F710" s="1">
        <v>41437</v>
      </c>
      <c r="G710" s="2">
        <v>2013</v>
      </c>
      <c r="H710">
        <v>2021</v>
      </c>
      <c r="I710" s="2">
        <v>8</v>
      </c>
      <c r="J710" s="7">
        <v>114690</v>
      </c>
      <c r="K710" t="s">
        <v>669</v>
      </c>
      <c r="L710">
        <v>2</v>
      </c>
      <c r="M710" t="s">
        <v>16</v>
      </c>
      <c r="N710" t="s">
        <v>17</v>
      </c>
      <c r="O710" t="s">
        <v>18</v>
      </c>
      <c r="P710" t="s">
        <v>1489</v>
      </c>
      <c r="Q710" s="7">
        <f t="shared" si="20"/>
        <v>1376280</v>
      </c>
      <c r="R710" s="7">
        <f t="shared" si="21"/>
        <v>11469</v>
      </c>
    </row>
    <row r="711" spans="1:18" x14ac:dyDescent="0.35">
      <c r="A711" s="5">
        <v>705</v>
      </c>
      <c r="B711" t="s">
        <v>642</v>
      </c>
      <c r="C711" t="s">
        <v>1170</v>
      </c>
      <c r="D711" t="s">
        <v>1485</v>
      </c>
      <c r="E711" t="s">
        <v>61</v>
      </c>
      <c r="F711" s="1">
        <v>40111</v>
      </c>
      <c r="G711" s="2">
        <v>2009</v>
      </c>
      <c r="H711">
        <v>2021</v>
      </c>
      <c r="I711" s="2">
        <v>12</v>
      </c>
      <c r="J711" s="7">
        <v>97150</v>
      </c>
      <c r="K711" t="s">
        <v>196</v>
      </c>
      <c r="L711">
        <v>6</v>
      </c>
      <c r="M711" t="s">
        <v>50</v>
      </c>
      <c r="N711" t="s">
        <v>40</v>
      </c>
      <c r="O711" t="s">
        <v>63</v>
      </c>
      <c r="P711" t="s">
        <v>1489</v>
      </c>
      <c r="Q711" s="7">
        <f t="shared" ref="Q711:Q774" si="22">J711*12</f>
        <v>1165800</v>
      </c>
      <c r="R711" s="7">
        <f t="shared" ref="R711:R774" si="23">J711*10%</f>
        <v>9715</v>
      </c>
    </row>
    <row r="712" spans="1:18" x14ac:dyDescent="0.35">
      <c r="A712" s="5">
        <v>706</v>
      </c>
      <c r="B712" t="s">
        <v>986</v>
      </c>
      <c r="C712" t="s">
        <v>1171</v>
      </c>
      <c r="D712" t="s">
        <v>1486</v>
      </c>
      <c r="E712" t="s">
        <v>89</v>
      </c>
      <c r="F712" s="1">
        <v>45631</v>
      </c>
      <c r="G712" s="2">
        <v>2011</v>
      </c>
      <c r="H712">
        <v>2021</v>
      </c>
      <c r="I712" s="2">
        <v>10</v>
      </c>
      <c r="J712" s="7">
        <v>91655</v>
      </c>
      <c r="K712" t="s">
        <v>691</v>
      </c>
      <c r="L712">
        <v>5</v>
      </c>
      <c r="M712" t="s">
        <v>91</v>
      </c>
      <c r="N712" t="s">
        <v>40</v>
      </c>
      <c r="O712" t="s">
        <v>41</v>
      </c>
      <c r="P712" t="s">
        <v>1489</v>
      </c>
      <c r="Q712" s="7">
        <f t="shared" si="22"/>
        <v>1099860</v>
      </c>
      <c r="R712" s="7">
        <f t="shared" si="23"/>
        <v>9165.5</v>
      </c>
    </row>
    <row r="713" spans="1:18" x14ac:dyDescent="0.35">
      <c r="A713" s="5">
        <v>707</v>
      </c>
      <c r="B713" t="s">
        <v>889</v>
      </c>
      <c r="C713" t="s">
        <v>1172</v>
      </c>
      <c r="D713" t="s">
        <v>1485</v>
      </c>
      <c r="E713" t="s">
        <v>100</v>
      </c>
      <c r="F713" s="1">
        <v>39029</v>
      </c>
      <c r="G713" s="2">
        <v>2006</v>
      </c>
      <c r="H713">
        <v>2021</v>
      </c>
      <c r="I713" s="2">
        <v>15</v>
      </c>
      <c r="J713" s="7">
        <v>124296</v>
      </c>
      <c r="K713" t="s">
        <v>167</v>
      </c>
      <c r="L713">
        <v>1</v>
      </c>
      <c r="M713" t="s">
        <v>46</v>
      </c>
      <c r="N713" t="s">
        <v>17</v>
      </c>
      <c r="O713" t="s">
        <v>29</v>
      </c>
      <c r="P713" t="s">
        <v>1489</v>
      </c>
      <c r="Q713" s="7">
        <f t="shared" si="22"/>
        <v>1491552</v>
      </c>
      <c r="R713" s="7">
        <f t="shared" si="23"/>
        <v>12429.6</v>
      </c>
    </row>
    <row r="714" spans="1:18" x14ac:dyDescent="0.35">
      <c r="A714" s="5">
        <v>708</v>
      </c>
      <c r="B714" t="s">
        <v>379</v>
      </c>
      <c r="C714" t="s">
        <v>1173</v>
      </c>
      <c r="D714" t="s">
        <v>1486</v>
      </c>
      <c r="E714" t="s">
        <v>26</v>
      </c>
      <c r="F714" s="1">
        <v>45650</v>
      </c>
      <c r="G714" s="2">
        <v>2011</v>
      </c>
      <c r="H714">
        <v>2021</v>
      </c>
      <c r="I714" s="2">
        <v>10</v>
      </c>
      <c r="J714" s="7">
        <v>66063</v>
      </c>
      <c r="K714" t="s">
        <v>437</v>
      </c>
      <c r="L714">
        <v>7</v>
      </c>
      <c r="M714" t="s">
        <v>39</v>
      </c>
      <c r="N714" t="s">
        <v>40</v>
      </c>
      <c r="O714" t="s">
        <v>29</v>
      </c>
      <c r="P714" t="s">
        <v>1489</v>
      </c>
      <c r="Q714" s="7">
        <f t="shared" si="22"/>
        <v>792756</v>
      </c>
      <c r="R714" s="7">
        <f t="shared" si="23"/>
        <v>6606.3</v>
      </c>
    </row>
    <row r="715" spans="1:18" x14ac:dyDescent="0.35">
      <c r="A715" s="5">
        <v>709</v>
      </c>
      <c r="B715" t="s">
        <v>791</v>
      </c>
      <c r="C715" t="s">
        <v>1174</v>
      </c>
      <c r="D715" t="s">
        <v>1486</v>
      </c>
      <c r="E715" t="s">
        <v>122</v>
      </c>
      <c r="F715" s="1">
        <v>43842</v>
      </c>
      <c r="G715" s="2">
        <v>2007</v>
      </c>
      <c r="H715">
        <v>2021</v>
      </c>
      <c r="I715" s="2">
        <v>14</v>
      </c>
      <c r="J715" s="7">
        <v>138137</v>
      </c>
      <c r="K715" t="s">
        <v>666</v>
      </c>
      <c r="L715">
        <v>2</v>
      </c>
      <c r="M715" t="s">
        <v>16</v>
      </c>
      <c r="N715" t="s">
        <v>17</v>
      </c>
      <c r="O715" t="s">
        <v>123</v>
      </c>
      <c r="P715" t="s">
        <v>1489</v>
      </c>
      <c r="Q715" s="7">
        <f t="shared" si="22"/>
        <v>1657644</v>
      </c>
      <c r="R715" s="7">
        <f t="shared" si="23"/>
        <v>13813.7</v>
      </c>
    </row>
    <row r="716" spans="1:18" x14ac:dyDescent="0.35">
      <c r="A716" s="5">
        <v>710</v>
      </c>
      <c r="B716" t="s">
        <v>224</v>
      </c>
      <c r="C716" t="s">
        <v>1175</v>
      </c>
      <c r="D716" t="s">
        <v>1486</v>
      </c>
      <c r="E716" t="s">
        <v>238</v>
      </c>
      <c r="F716" s="1">
        <v>38374</v>
      </c>
      <c r="G716" s="2">
        <v>2005</v>
      </c>
      <c r="H716">
        <v>2021</v>
      </c>
      <c r="I716" s="2">
        <v>16</v>
      </c>
      <c r="J716" s="7">
        <v>49326</v>
      </c>
      <c r="K716" t="s">
        <v>287</v>
      </c>
      <c r="L716">
        <v>7</v>
      </c>
      <c r="M716" t="s">
        <v>39</v>
      </c>
      <c r="N716" t="s">
        <v>40</v>
      </c>
      <c r="O716" t="s">
        <v>63</v>
      </c>
      <c r="P716" t="s">
        <v>1489</v>
      </c>
      <c r="Q716" s="7">
        <f t="shared" si="22"/>
        <v>591912</v>
      </c>
      <c r="R716" s="7">
        <f t="shared" si="23"/>
        <v>4932.6000000000004</v>
      </c>
    </row>
    <row r="717" spans="1:18" x14ac:dyDescent="0.35">
      <c r="A717" s="5">
        <v>711</v>
      </c>
      <c r="B717" t="s">
        <v>414</v>
      </c>
      <c r="C717" t="s">
        <v>1176</v>
      </c>
      <c r="D717" t="s">
        <v>1485</v>
      </c>
      <c r="E717" t="s">
        <v>69</v>
      </c>
      <c r="F717" s="1">
        <v>40046</v>
      </c>
      <c r="G717" s="2">
        <v>2009</v>
      </c>
      <c r="H717">
        <v>2021</v>
      </c>
      <c r="I717" s="2">
        <v>12</v>
      </c>
      <c r="J717" s="7">
        <v>80743</v>
      </c>
      <c r="K717" t="s">
        <v>500</v>
      </c>
      <c r="L717">
        <v>4</v>
      </c>
      <c r="M717" t="s">
        <v>55</v>
      </c>
      <c r="N717" t="s">
        <v>17</v>
      </c>
      <c r="O717" t="s">
        <v>41</v>
      </c>
      <c r="P717" t="s">
        <v>1489</v>
      </c>
      <c r="Q717" s="7">
        <f t="shared" si="22"/>
        <v>968916</v>
      </c>
      <c r="R717" s="7">
        <f t="shared" si="23"/>
        <v>8074.3</v>
      </c>
    </row>
    <row r="718" spans="1:18" x14ac:dyDescent="0.35">
      <c r="A718" s="5">
        <v>712</v>
      </c>
      <c r="B718" t="s">
        <v>134</v>
      </c>
      <c r="C718" t="s">
        <v>1177</v>
      </c>
      <c r="D718" t="s">
        <v>1485</v>
      </c>
      <c r="E718" t="s">
        <v>32</v>
      </c>
      <c r="F718" s="1">
        <v>39439</v>
      </c>
      <c r="G718" s="2">
        <v>2007</v>
      </c>
      <c r="H718">
        <v>2021</v>
      </c>
      <c r="I718" s="3">
        <v>14</v>
      </c>
      <c r="J718" s="7">
        <v>105686</v>
      </c>
      <c r="K718" t="s">
        <v>107</v>
      </c>
      <c r="L718">
        <v>6</v>
      </c>
      <c r="M718" t="s">
        <v>50</v>
      </c>
      <c r="N718" t="s">
        <v>40</v>
      </c>
      <c r="O718" t="s">
        <v>34</v>
      </c>
      <c r="P718" t="s">
        <v>1489</v>
      </c>
      <c r="Q718" s="7">
        <f t="shared" si="22"/>
        <v>1268232</v>
      </c>
      <c r="R718" s="7">
        <f t="shared" si="23"/>
        <v>10568.6</v>
      </c>
    </row>
    <row r="719" spans="1:18" x14ac:dyDescent="0.35">
      <c r="A719" s="5">
        <v>713</v>
      </c>
      <c r="B719" t="s">
        <v>377</v>
      </c>
      <c r="C719" t="s">
        <v>1178</v>
      </c>
      <c r="D719" t="s">
        <v>1486</v>
      </c>
      <c r="E719" t="s">
        <v>21</v>
      </c>
      <c r="F719" s="1">
        <v>46379</v>
      </c>
      <c r="G719" s="2">
        <v>2013</v>
      </c>
      <c r="H719">
        <v>2021</v>
      </c>
      <c r="I719" s="2">
        <v>8</v>
      </c>
      <c r="J719" s="7">
        <v>65650</v>
      </c>
      <c r="K719" t="s">
        <v>454</v>
      </c>
      <c r="L719">
        <v>1</v>
      </c>
      <c r="M719" t="s">
        <v>46</v>
      </c>
      <c r="N719" t="s">
        <v>17</v>
      </c>
      <c r="O719" t="s">
        <v>23</v>
      </c>
      <c r="P719" t="s">
        <v>1489</v>
      </c>
      <c r="Q719" s="7">
        <f t="shared" si="22"/>
        <v>787800</v>
      </c>
      <c r="R719" s="7">
        <f t="shared" si="23"/>
        <v>6565</v>
      </c>
    </row>
    <row r="720" spans="1:18" x14ac:dyDescent="0.35">
      <c r="A720" s="5">
        <v>714</v>
      </c>
      <c r="B720" t="s">
        <v>215</v>
      </c>
      <c r="C720" t="s">
        <v>1179</v>
      </c>
      <c r="D720" t="s">
        <v>1485</v>
      </c>
      <c r="E720" t="s">
        <v>79</v>
      </c>
      <c r="F720" s="1">
        <v>37890</v>
      </c>
      <c r="G720" s="2">
        <v>2003</v>
      </c>
      <c r="H720">
        <v>2021</v>
      </c>
      <c r="I720" s="2">
        <v>18</v>
      </c>
      <c r="J720" s="7">
        <v>86446</v>
      </c>
      <c r="K720" t="s">
        <v>517</v>
      </c>
      <c r="L720">
        <v>4</v>
      </c>
      <c r="M720" t="s">
        <v>55</v>
      </c>
      <c r="N720" t="s">
        <v>17</v>
      </c>
      <c r="O720" t="s">
        <v>41</v>
      </c>
      <c r="P720" t="s">
        <v>1489</v>
      </c>
      <c r="Q720" s="7">
        <f t="shared" si="22"/>
        <v>1037352</v>
      </c>
      <c r="R720" s="7">
        <f t="shared" si="23"/>
        <v>8644.6</v>
      </c>
    </row>
    <row r="721" spans="1:18" x14ac:dyDescent="0.35">
      <c r="A721" s="5">
        <v>715</v>
      </c>
      <c r="B721" t="s">
        <v>426</v>
      </c>
      <c r="C721" t="s">
        <v>1180</v>
      </c>
      <c r="D721" t="s">
        <v>1486</v>
      </c>
      <c r="E721" t="s">
        <v>79</v>
      </c>
      <c r="F721" s="1">
        <v>45103</v>
      </c>
      <c r="G721" s="2">
        <v>2010</v>
      </c>
      <c r="H721">
        <v>2021</v>
      </c>
      <c r="I721" s="2">
        <v>11</v>
      </c>
      <c r="J721" s="7">
        <v>132421</v>
      </c>
      <c r="K721" t="s">
        <v>1131</v>
      </c>
      <c r="L721">
        <v>1</v>
      </c>
      <c r="M721" t="s">
        <v>46</v>
      </c>
      <c r="N721" t="s">
        <v>17</v>
      </c>
      <c r="O721" t="s">
        <v>41</v>
      </c>
      <c r="P721" t="s">
        <v>1489</v>
      </c>
      <c r="Q721" s="7">
        <f t="shared" si="22"/>
        <v>1589052</v>
      </c>
      <c r="R721" s="7">
        <f t="shared" si="23"/>
        <v>13242.1</v>
      </c>
    </row>
    <row r="722" spans="1:18" x14ac:dyDescent="0.35">
      <c r="A722" s="5">
        <v>716</v>
      </c>
      <c r="B722" t="s">
        <v>64</v>
      </c>
      <c r="C722" t="s">
        <v>1181</v>
      </c>
      <c r="D722" t="s">
        <v>1485</v>
      </c>
      <c r="E722" t="s">
        <v>94</v>
      </c>
      <c r="F722" s="1">
        <v>38156</v>
      </c>
      <c r="G722" s="2">
        <v>2004</v>
      </c>
      <c r="H722">
        <v>2021</v>
      </c>
      <c r="I722" s="2">
        <v>17</v>
      </c>
      <c r="J722" s="7">
        <v>69855</v>
      </c>
      <c r="K722" t="s">
        <v>149</v>
      </c>
      <c r="L722">
        <v>4</v>
      </c>
      <c r="M722" t="s">
        <v>55</v>
      </c>
      <c r="N722" t="s">
        <v>17</v>
      </c>
      <c r="O722" t="s">
        <v>18</v>
      </c>
      <c r="P722" t="s">
        <v>1489</v>
      </c>
      <c r="Q722" s="7">
        <f t="shared" si="22"/>
        <v>838260</v>
      </c>
      <c r="R722" s="7">
        <f t="shared" si="23"/>
        <v>6985.5</v>
      </c>
    </row>
    <row r="723" spans="1:18" x14ac:dyDescent="0.35">
      <c r="A723" s="5">
        <v>717</v>
      </c>
      <c r="B723" t="s">
        <v>137</v>
      </c>
      <c r="C723" t="s">
        <v>1182</v>
      </c>
      <c r="D723" t="s">
        <v>1486</v>
      </c>
      <c r="E723" t="s">
        <v>148</v>
      </c>
      <c r="F723" s="1">
        <v>44020</v>
      </c>
      <c r="G723" s="2">
        <v>2007</v>
      </c>
      <c r="H723">
        <v>2021</v>
      </c>
      <c r="I723" s="2">
        <v>14</v>
      </c>
      <c r="J723" s="7">
        <v>80999</v>
      </c>
      <c r="K723" t="s">
        <v>842</v>
      </c>
      <c r="L723">
        <v>6</v>
      </c>
      <c r="M723" t="s">
        <v>50</v>
      </c>
      <c r="N723" t="s">
        <v>40</v>
      </c>
      <c r="O723" t="s">
        <v>112</v>
      </c>
      <c r="P723" t="s">
        <v>1489</v>
      </c>
      <c r="Q723" s="7">
        <f t="shared" si="22"/>
        <v>971988</v>
      </c>
      <c r="R723" s="7">
        <f t="shared" si="23"/>
        <v>8099.9000000000005</v>
      </c>
    </row>
    <row r="724" spans="1:18" x14ac:dyDescent="0.35">
      <c r="A724" s="5">
        <v>718</v>
      </c>
      <c r="B724" t="s">
        <v>19</v>
      </c>
      <c r="C724" t="s">
        <v>1183</v>
      </c>
      <c r="D724" t="s">
        <v>1485</v>
      </c>
      <c r="E724" t="s">
        <v>203</v>
      </c>
      <c r="F724" s="1">
        <v>37624</v>
      </c>
      <c r="G724" s="2">
        <v>2003</v>
      </c>
      <c r="H724">
        <v>2021</v>
      </c>
      <c r="I724" s="2">
        <v>18</v>
      </c>
      <c r="J724" s="7">
        <v>66447</v>
      </c>
      <c r="K724" t="s">
        <v>617</v>
      </c>
      <c r="L724">
        <v>2</v>
      </c>
      <c r="M724" t="s">
        <v>16</v>
      </c>
      <c r="N724" t="s">
        <v>17</v>
      </c>
      <c r="O724" t="s">
        <v>41</v>
      </c>
      <c r="P724" t="s">
        <v>1489</v>
      </c>
      <c r="Q724" s="7">
        <f t="shared" si="22"/>
        <v>797364</v>
      </c>
      <c r="R724" s="7">
        <f t="shared" si="23"/>
        <v>6644.7000000000007</v>
      </c>
    </row>
    <row r="725" spans="1:18" x14ac:dyDescent="0.35">
      <c r="A725" s="5">
        <v>719</v>
      </c>
      <c r="B725" t="s">
        <v>350</v>
      </c>
      <c r="C725" t="s">
        <v>1184</v>
      </c>
      <c r="D725" t="s">
        <v>1485</v>
      </c>
      <c r="E725" t="s">
        <v>129</v>
      </c>
      <c r="F725" s="1">
        <v>41278</v>
      </c>
      <c r="G725" s="2">
        <v>2013</v>
      </c>
      <c r="H725">
        <v>2021</v>
      </c>
      <c r="I725" s="2">
        <v>8</v>
      </c>
      <c r="J725" s="7">
        <v>135445</v>
      </c>
      <c r="K725" t="s">
        <v>235</v>
      </c>
      <c r="L725">
        <v>2</v>
      </c>
      <c r="M725" t="s">
        <v>16</v>
      </c>
      <c r="N725" t="s">
        <v>17</v>
      </c>
      <c r="O725" t="s">
        <v>41</v>
      </c>
      <c r="P725" t="s">
        <v>1489</v>
      </c>
      <c r="Q725" s="7">
        <f t="shared" si="22"/>
        <v>1625340</v>
      </c>
      <c r="R725" s="7">
        <f t="shared" si="23"/>
        <v>13544.5</v>
      </c>
    </row>
    <row r="726" spans="1:18" x14ac:dyDescent="0.35">
      <c r="A726" s="5">
        <v>720</v>
      </c>
      <c r="B726" t="s">
        <v>762</v>
      </c>
      <c r="C726" t="s">
        <v>1185</v>
      </c>
      <c r="D726" t="s">
        <v>1486</v>
      </c>
      <c r="E726" t="s">
        <v>32</v>
      </c>
      <c r="F726" s="1">
        <v>45238</v>
      </c>
      <c r="G726" s="2">
        <v>2010</v>
      </c>
      <c r="H726">
        <v>2021</v>
      </c>
      <c r="I726" s="3">
        <v>11</v>
      </c>
      <c r="J726" s="7">
        <v>57781</v>
      </c>
      <c r="K726" t="s">
        <v>49</v>
      </c>
      <c r="L726">
        <v>4</v>
      </c>
      <c r="M726" t="s">
        <v>55</v>
      </c>
      <c r="N726" t="s">
        <v>17</v>
      </c>
      <c r="O726" t="s">
        <v>34</v>
      </c>
      <c r="P726" t="s">
        <v>1489</v>
      </c>
      <c r="Q726" s="7">
        <f t="shared" si="22"/>
        <v>693372</v>
      </c>
      <c r="R726" s="7">
        <f t="shared" si="23"/>
        <v>5778.1</v>
      </c>
    </row>
    <row r="727" spans="1:18" x14ac:dyDescent="0.35">
      <c r="A727" s="5">
        <v>721</v>
      </c>
      <c r="B727" t="s">
        <v>143</v>
      </c>
      <c r="C727" t="s">
        <v>1186</v>
      </c>
      <c r="D727" t="s">
        <v>1486</v>
      </c>
      <c r="E727" t="s">
        <v>203</v>
      </c>
      <c r="F727" s="1">
        <v>38616</v>
      </c>
      <c r="G727" s="2">
        <v>2005</v>
      </c>
      <c r="H727">
        <v>2021</v>
      </c>
      <c r="I727" s="2">
        <v>16</v>
      </c>
      <c r="J727" s="7">
        <v>83802</v>
      </c>
      <c r="K727" t="s">
        <v>904</v>
      </c>
      <c r="L727">
        <v>7</v>
      </c>
      <c r="M727" t="s">
        <v>39</v>
      </c>
      <c r="N727" t="s">
        <v>40</v>
      </c>
      <c r="O727" t="s">
        <v>41</v>
      </c>
      <c r="P727" t="s">
        <v>1489</v>
      </c>
      <c r="Q727" s="7">
        <f t="shared" si="22"/>
        <v>1005624</v>
      </c>
      <c r="R727" s="7">
        <f t="shared" si="23"/>
        <v>8380.2000000000007</v>
      </c>
    </row>
    <row r="728" spans="1:18" x14ac:dyDescent="0.35">
      <c r="A728" s="5">
        <v>722</v>
      </c>
      <c r="B728" t="s">
        <v>1187</v>
      </c>
      <c r="C728" t="s">
        <v>1188</v>
      </c>
      <c r="D728" t="s">
        <v>1486</v>
      </c>
      <c r="E728" t="s">
        <v>69</v>
      </c>
      <c r="F728" s="1">
        <v>37499</v>
      </c>
      <c r="G728" s="2">
        <v>2002</v>
      </c>
      <c r="H728">
        <v>2021</v>
      </c>
      <c r="I728" s="2">
        <v>19</v>
      </c>
      <c r="J728" s="7">
        <v>73262</v>
      </c>
      <c r="K728" t="s">
        <v>200</v>
      </c>
      <c r="L728">
        <v>5</v>
      </c>
      <c r="M728" t="s">
        <v>91</v>
      </c>
      <c r="N728" t="s">
        <v>40</v>
      </c>
      <c r="O728" t="s">
        <v>41</v>
      </c>
      <c r="P728" t="s">
        <v>1489</v>
      </c>
      <c r="Q728" s="7">
        <f t="shared" si="22"/>
        <v>879144</v>
      </c>
      <c r="R728" s="7">
        <f t="shared" si="23"/>
        <v>7326.2000000000007</v>
      </c>
    </row>
    <row r="729" spans="1:18" x14ac:dyDescent="0.35">
      <c r="A729" s="5">
        <v>723</v>
      </c>
      <c r="B729" t="s">
        <v>532</v>
      </c>
      <c r="C729" t="s">
        <v>1189</v>
      </c>
      <c r="D729" t="s">
        <v>1486</v>
      </c>
      <c r="E729" t="s">
        <v>73</v>
      </c>
      <c r="F729" s="1">
        <v>37318</v>
      </c>
      <c r="G729" s="2">
        <v>2002</v>
      </c>
      <c r="H729">
        <v>2021</v>
      </c>
      <c r="I729" s="2">
        <v>19</v>
      </c>
      <c r="J729" s="7">
        <v>89035</v>
      </c>
      <c r="K729" t="s">
        <v>181</v>
      </c>
      <c r="L729">
        <v>5</v>
      </c>
      <c r="M729" t="s">
        <v>91</v>
      </c>
      <c r="N729" t="s">
        <v>40</v>
      </c>
      <c r="O729" t="s">
        <v>41</v>
      </c>
      <c r="P729" t="s">
        <v>1489</v>
      </c>
      <c r="Q729" s="7">
        <f t="shared" si="22"/>
        <v>1068420</v>
      </c>
      <c r="R729" s="7">
        <f t="shared" si="23"/>
        <v>8903.5</v>
      </c>
    </row>
    <row r="730" spans="1:18" x14ac:dyDescent="0.35">
      <c r="A730" s="5">
        <v>724</v>
      </c>
      <c r="B730" t="s">
        <v>347</v>
      </c>
      <c r="C730" t="s">
        <v>1190</v>
      </c>
      <c r="D730" t="s">
        <v>1485</v>
      </c>
      <c r="E730" t="s">
        <v>100</v>
      </c>
      <c r="F730" s="1">
        <v>37031</v>
      </c>
      <c r="G730" s="2">
        <v>2001</v>
      </c>
      <c r="H730">
        <v>2021</v>
      </c>
      <c r="I730" s="2">
        <v>20</v>
      </c>
      <c r="J730" s="7">
        <v>125115</v>
      </c>
      <c r="K730" t="s">
        <v>764</v>
      </c>
      <c r="L730">
        <v>3</v>
      </c>
      <c r="M730" t="s">
        <v>28</v>
      </c>
      <c r="N730" t="s">
        <v>17</v>
      </c>
      <c r="O730" t="s">
        <v>29</v>
      </c>
      <c r="P730" t="s">
        <v>1489</v>
      </c>
      <c r="Q730" s="7">
        <f t="shared" si="22"/>
        <v>1501380</v>
      </c>
      <c r="R730" s="7">
        <f t="shared" si="23"/>
        <v>12511.5</v>
      </c>
    </row>
    <row r="731" spans="1:18" x14ac:dyDescent="0.35">
      <c r="A731" s="5">
        <v>725</v>
      </c>
      <c r="B731" t="s">
        <v>969</v>
      </c>
      <c r="C731" t="s">
        <v>1191</v>
      </c>
      <c r="D731" t="s">
        <v>1485</v>
      </c>
      <c r="E731" t="s">
        <v>73</v>
      </c>
      <c r="F731" s="1">
        <v>37896</v>
      </c>
      <c r="G731" s="2">
        <v>2003</v>
      </c>
      <c r="H731">
        <v>2021</v>
      </c>
      <c r="I731" s="2">
        <v>18</v>
      </c>
      <c r="J731" s="7">
        <v>80939</v>
      </c>
      <c r="K731" t="s">
        <v>425</v>
      </c>
      <c r="L731">
        <v>1</v>
      </c>
      <c r="M731" t="s">
        <v>46</v>
      </c>
      <c r="N731" t="s">
        <v>17</v>
      </c>
      <c r="O731" t="s">
        <v>41</v>
      </c>
      <c r="P731" t="s">
        <v>1489</v>
      </c>
      <c r="Q731" s="7">
        <f t="shared" si="22"/>
        <v>971268</v>
      </c>
      <c r="R731" s="7">
        <f t="shared" si="23"/>
        <v>8093.9000000000005</v>
      </c>
    </row>
    <row r="732" spans="1:18" x14ac:dyDescent="0.35">
      <c r="A732" s="5">
        <v>726</v>
      </c>
      <c r="B732" t="s">
        <v>259</v>
      </c>
      <c r="C732" t="s">
        <v>1192</v>
      </c>
      <c r="D732" t="s">
        <v>1485</v>
      </c>
      <c r="E732" t="s">
        <v>89</v>
      </c>
      <c r="F732" s="1">
        <v>39702</v>
      </c>
      <c r="G732" s="2">
        <v>2008</v>
      </c>
      <c r="H732">
        <v>2021</v>
      </c>
      <c r="I732" s="2">
        <v>13</v>
      </c>
      <c r="J732" s="7">
        <v>49463</v>
      </c>
      <c r="K732" t="s">
        <v>370</v>
      </c>
      <c r="L732">
        <v>1</v>
      </c>
      <c r="M732" t="s">
        <v>46</v>
      </c>
      <c r="N732" t="s">
        <v>17</v>
      </c>
      <c r="O732" t="s">
        <v>41</v>
      </c>
      <c r="P732" t="s">
        <v>1489</v>
      </c>
      <c r="Q732" s="7">
        <f t="shared" si="22"/>
        <v>593556</v>
      </c>
      <c r="R732" s="7">
        <f t="shared" si="23"/>
        <v>4946.3</v>
      </c>
    </row>
    <row r="733" spans="1:18" x14ac:dyDescent="0.35">
      <c r="A733" s="5">
        <v>727</v>
      </c>
      <c r="B733" t="s">
        <v>175</v>
      </c>
      <c r="C733" t="s">
        <v>1193</v>
      </c>
      <c r="D733" t="s">
        <v>1485</v>
      </c>
      <c r="E733" t="s">
        <v>61</v>
      </c>
      <c r="F733" s="1">
        <v>41050</v>
      </c>
      <c r="G733" s="2">
        <v>2012</v>
      </c>
      <c r="H733">
        <v>2021</v>
      </c>
      <c r="I733" s="2">
        <v>9</v>
      </c>
      <c r="J733" s="7">
        <v>83165</v>
      </c>
      <c r="K733" t="s">
        <v>952</v>
      </c>
      <c r="L733">
        <v>5</v>
      </c>
      <c r="M733" t="s">
        <v>91</v>
      </c>
      <c r="N733" t="s">
        <v>40</v>
      </c>
      <c r="O733" t="s">
        <v>63</v>
      </c>
      <c r="P733" t="s">
        <v>1489</v>
      </c>
      <c r="Q733" s="7">
        <f t="shared" si="22"/>
        <v>997980</v>
      </c>
      <c r="R733" s="7">
        <f t="shared" si="23"/>
        <v>8316.5</v>
      </c>
    </row>
    <row r="734" spans="1:18" x14ac:dyDescent="0.35">
      <c r="A734" s="5">
        <v>728</v>
      </c>
      <c r="B734" t="s">
        <v>412</v>
      </c>
      <c r="C734" t="s">
        <v>1194</v>
      </c>
      <c r="D734" t="s">
        <v>1486</v>
      </c>
      <c r="E734" t="s">
        <v>148</v>
      </c>
      <c r="F734" s="1">
        <v>38828</v>
      </c>
      <c r="G734" s="2">
        <v>2006</v>
      </c>
      <c r="H734">
        <v>2021</v>
      </c>
      <c r="I734" s="2">
        <v>15</v>
      </c>
      <c r="J734" s="7">
        <v>125574</v>
      </c>
      <c r="K734" t="s">
        <v>709</v>
      </c>
      <c r="L734">
        <v>1</v>
      </c>
      <c r="M734" t="s">
        <v>46</v>
      </c>
      <c r="N734" t="s">
        <v>17</v>
      </c>
      <c r="O734" t="s">
        <v>112</v>
      </c>
      <c r="P734" t="s">
        <v>1489</v>
      </c>
      <c r="Q734" s="7">
        <f t="shared" si="22"/>
        <v>1506888</v>
      </c>
      <c r="R734" s="7">
        <f t="shared" si="23"/>
        <v>12557.400000000001</v>
      </c>
    </row>
    <row r="735" spans="1:18" x14ac:dyDescent="0.35">
      <c r="A735" s="5">
        <v>729</v>
      </c>
      <c r="B735" t="s">
        <v>630</v>
      </c>
      <c r="C735" t="s">
        <v>1195</v>
      </c>
      <c r="D735" t="s">
        <v>1485</v>
      </c>
      <c r="E735" t="s">
        <v>32</v>
      </c>
      <c r="F735" s="1">
        <v>41593</v>
      </c>
      <c r="G735" s="2">
        <v>2013</v>
      </c>
      <c r="H735">
        <v>2021</v>
      </c>
      <c r="I735" s="3">
        <v>8</v>
      </c>
      <c r="J735" s="7">
        <v>119747</v>
      </c>
      <c r="K735" t="s">
        <v>336</v>
      </c>
      <c r="L735">
        <v>5</v>
      </c>
      <c r="M735" t="s">
        <v>91</v>
      </c>
      <c r="N735" t="s">
        <v>40</v>
      </c>
      <c r="O735" t="s">
        <v>34</v>
      </c>
      <c r="P735" t="s">
        <v>1489</v>
      </c>
      <c r="Q735" s="7">
        <f t="shared" si="22"/>
        <v>1436964</v>
      </c>
      <c r="R735" s="7">
        <f t="shared" si="23"/>
        <v>11974.7</v>
      </c>
    </row>
    <row r="736" spans="1:18" x14ac:dyDescent="0.35">
      <c r="A736" s="5">
        <v>730</v>
      </c>
      <c r="B736" t="s">
        <v>594</v>
      </c>
      <c r="C736" t="s">
        <v>1196</v>
      </c>
      <c r="D736" t="s">
        <v>1486</v>
      </c>
      <c r="E736" t="s">
        <v>21</v>
      </c>
      <c r="F736" s="1">
        <v>44524</v>
      </c>
      <c r="G736" s="2">
        <v>2008</v>
      </c>
      <c r="H736">
        <v>2021</v>
      </c>
      <c r="I736" s="2">
        <v>13</v>
      </c>
      <c r="J736" s="7">
        <v>57651</v>
      </c>
      <c r="K736" t="s">
        <v>327</v>
      </c>
      <c r="L736">
        <v>6</v>
      </c>
      <c r="M736" t="s">
        <v>50</v>
      </c>
      <c r="N736" t="s">
        <v>40</v>
      </c>
      <c r="O736" t="s">
        <v>23</v>
      </c>
      <c r="P736" t="s">
        <v>1489</v>
      </c>
      <c r="Q736" s="7">
        <f t="shared" si="22"/>
        <v>691812</v>
      </c>
      <c r="R736" s="7">
        <f t="shared" si="23"/>
        <v>5765.1</v>
      </c>
    </row>
    <row r="737" spans="1:18" x14ac:dyDescent="0.35">
      <c r="A737" s="5">
        <v>731</v>
      </c>
      <c r="B737" t="s">
        <v>163</v>
      </c>
      <c r="C737" t="s">
        <v>1197</v>
      </c>
      <c r="D737" t="s">
        <v>1486</v>
      </c>
      <c r="E737" t="s">
        <v>89</v>
      </c>
      <c r="F737" s="1">
        <v>44740</v>
      </c>
      <c r="G737" s="2">
        <v>2009</v>
      </c>
      <c r="H737">
        <v>2021</v>
      </c>
      <c r="I737" s="2">
        <v>12</v>
      </c>
      <c r="J737" s="7">
        <v>70524</v>
      </c>
      <c r="K737" t="s">
        <v>196</v>
      </c>
      <c r="L737">
        <v>2</v>
      </c>
      <c r="M737" t="s">
        <v>16</v>
      </c>
      <c r="N737" t="s">
        <v>17</v>
      </c>
      <c r="O737" t="s">
        <v>41</v>
      </c>
      <c r="P737" t="s">
        <v>1489</v>
      </c>
      <c r="Q737" s="7">
        <f t="shared" si="22"/>
        <v>846288</v>
      </c>
      <c r="R737" s="7">
        <f t="shared" si="23"/>
        <v>7052.4000000000005</v>
      </c>
    </row>
    <row r="738" spans="1:18" x14ac:dyDescent="0.35">
      <c r="A738" s="5">
        <v>732</v>
      </c>
      <c r="B738" t="s">
        <v>30</v>
      </c>
      <c r="C738" t="s">
        <v>1198</v>
      </c>
      <c r="D738" t="s">
        <v>1485</v>
      </c>
      <c r="E738" t="s">
        <v>69</v>
      </c>
      <c r="F738" s="1">
        <v>38214</v>
      </c>
      <c r="G738" s="2">
        <v>2004</v>
      </c>
      <c r="H738">
        <v>2021</v>
      </c>
      <c r="I738" s="2">
        <v>17</v>
      </c>
      <c r="J738" s="7">
        <v>50511</v>
      </c>
      <c r="K738" t="s">
        <v>290</v>
      </c>
      <c r="L738">
        <v>3</v>
      </c>
      <c r="M738" t="s">
        <v>28</v>
      </c>
      <c r="N738" t="s">
        <v>17</v>
      </c>
      <c r="O738" t="s">
        <v>41</v>
      </c>
      <c r="P738" t="s">
        <v>1489</v>
      </c>
      <c r="Q738" s="7">
        <f t="shared" si="22"/>
        <v>606132</v>
      </c>
      <c r="R738" s="7">
        <f t="shared" si="23"/>
        <v>5051.1000000000004</v>
      </c>
    </row>
    <row r="739" spans="1:18" x14ac:dyDescent="0.35">
      <c r="A739" s="5">
        <v>733</v>
      </c>
      <c r="B739" t="s">
        <v>410</v>
      </c>
      <c r="C739" t="s">
        <v>1199</v>
      </c>
      <c r="D739" t="s">
        <v>1485</v>
      </c>
      <c r="E739" t="s">
        <v>89</v>
      </c>
      <c r="F739" s="1">
        <v>36850</v>
      </c>
      <c r="G739" s="2">
        <v>2000</v>
      </c>
      <c r="H739">
        <v>2021</v>
      </c>
      <c r="I739" s="2">
        <v>21</v>
      </c>
      <c r="J739" s="7">
        <v>58847</v>
      </c>
      <c r="K739" t="s">
        <v>66</v>
      </c>
      <c r="L739">
        <v>4</v>
      </c>
      <c r="M739" t="s">
        <v>55</v>
      </c>
      <c r="N739" t="s">
        <v>17</v>
      </c>
      <c r="O739" t="s">
        <v>41</v>
      </c>
      <c r="P739" t="s">
        <v>1489</v>
      </c>
      <c r="Q739" s="7">
        <f t="shared" si="22"/>
        <v>706164</v>
      </c>
      <c r="R739" s="7">
        <f t="shared" si="23"/>
        <v>5884.7000000000007</v>
      </c>
    </row>
    <row r="740" spans="1:18" x14ac:dyDescent="0.35">
      <c r="A740" s="5">
        <v>734</v>
      </c>
      <c r="B740" t="s">
        <v>165</v>
      </c>
      <c r="C740" t="s">
        <v>1200</v>
      </c>
      <c r="D740" t="s">
        <v>1486</v>
      </c>
      <c r="E740" t="s">
        <v>26</v>
      </c>
      <c r="F740" s="1">
        <v>38403</v>
      </c>
      <c r="G740" s="2">
        <v>2005</v>
      </c>
      <c r="H740">
        <v>2021</v>
      </c>
      <c r="I740" s="2">
        <v>16</v>
      </c>
      <c r="J740" s="7">
        <v>58555</v>
      </c>
      <c r="K740" t="s">
        <v>736</v>
      </c>
      <c r="L740">
        <v>2</v>
      </c>
      <c r="M740" t="s">
        <v>16</v>
      </c>
      <c r="N740" t="s">
        <v>17</v>
      </c>
      <c r="O740" t="s">
        <v>29</v>
      </c>
      <c r="P740" t="s">
        <v>1489</v>
      </c>
      <c r="Q740" s="7">
        <f t="shared" si="22"/>
        <v>702660</v>
      </c>
      <c r="R740" s="7">
        <f t="shared" si="23"/>
        <v>5855.5</v>
      </c>
    </row>
    <row r="741" spans="1:18" x14ac:dyDescent="0.35">
      <c r="A741" s="5">
        <v>735</v>
      </c>
      <c r="B741" t="s">
        <v>969</v>
      </c>
      <c r="C741" t="s">
        <v>1201</v>
      </c>
      <c r="D741" t="s">
        <v>1485</v>
      </c>
      <c r="E741" t="s">
        <v>69</v>
      </c>
      <c r="F741" s="1">
        <v>41957</v>
      </c>
      <c r="G741" s="2">
        <v>2014</v>
      </c>
      <c r="H741">
        <v>2021</v>
      </c>
      <c r="I741" s="2">
        <v>7</v>
      </c>
      <c r="J741" s="7">
        <v>116333</v>
      </c>
      <c r="K741" t="s">
        <v>330</v>
      </c>
      <c r="L741">
        <v>5</v>
      </c>
      <c r="M741" t="s">
        <v>91</v>
      </c>
      <c r="N741" t="s">
        <v>40</v>
      </c>
      <c r="O741" t="s">
        <v>41</v>
      </c>
      <c r="P741" t="s">
        <v>1489</v>
      </c>
      <c r="Q741" s="7">
        <f t="shared" si="22"/>
        <v>1395996</v>
      </c>
      <c r="R741" s="7">
        <f t="shared" si="23"/>
        <v>11633.300000000001</v>
      </c>
    </row>
    <row r="742" spans="1:18" x14ac:dyDescent="0.35">
      <c r="A742" s="5">
        <v>736</v>
      </c>
      <c r="B742" t="s">
        <v>83</v>
      </c>
      <c r="C742" t="s">
        <v>1202</v>
      </c>
      <c r="D742" t="s">
        <v>1485</v>
      </c>
      <c r="E742" t="s">
        <v>73</v>
      </c>
      <c r="F742" s="1">
        <v>40052</v>
      </c>
      <c r="G742" s="2">
        <v>2009</v>
      </c>
      <c r="H742">
        <v>2021</v>
      </c>
      <c r="I742" s="2">
        <v>12</v>
      </c>
      <c r="J742" s="7">
        <v>80813</v>
      </c>
      <c r="K742" t="s">
        <v>764</v>
      </c>
      <c r="L742">
        <v>6</v>
      </c>
      <c r="M742" t="s">
        <v>50</v>
      </c>
      <c r="N742" t="s">
        <v>40</v>
      </c>
      <c r="O742" t="s">
        <v>41</v>
      </c>
      <c r="P742" t="s">
        <v>1489</v>
      </c>
      <c r="Q742" s="7">
        <f t="shared" si="22"/>
        <v>969756</v>
      </c>
      <c r="R742" s="7">
        <f t="shared" si="23"/>
        <v>8081.3</v>
      </c>
    </row>
    <row r="743" spans="1:18" x14ac:dyDescent="0.35">
      <c r="A743" s="5">
        <v>737</v>
      </c>
      <c r="B743" t="s">
        <v>124</v>
      </c>
      <c r="C743" t="s">
        <v>1203</v>
      </c>
      <c r="D743" t="s">
        <v>1485</v>
      </c>
      <c r="E743" t="s">
        <v>203</v>
      </c>
      <c r="F743" s="1">
        <v>38194</v>
      </c>
      <c r="G743" s="2">
        <v>2004</v>
      </c>
      <c r="H743">
        <v>2021</v>
      </c>
      <c r="I743" s="2">
        <v>17</v>
      </c>
      <c r="J743" s="7">
        <v>142794</v>
      </c>
      <c r="K743" t="s">
        <v>27</v>
      </c>
      <c r="L743">
        <v>1</v>
      </c>
      <c r="M743" t="s">
        <v>46</v>
      </c>
      <c r="N743" t="s">
        <v>17</v>
      </c>
      <c r="O743" t="s">
        <v>41</v>
      </c>
      <c r="P743" t="s">
        <v>1489</v>
      </c>
      <c r="Q743" s="7">
        <f t="shared" si="22"/>
        <v>1713528</v>
      </c>
      <c r="R743" s="7">
        <f t="shared" si="23"/>
        <v>14279.400000000001</v>
      </c>
    </row>
    <row r="744" spans="1:18" x14ac:dyDescent="0.35">
      <c r="A744" s="5">
        <v>738</v>
      </c>
      <c r="B744" t="s">
        <v>720</v>
      </c>
      <c r="C744" t="s">
        <v>1204</v>
      </c>
      <c r="D744" t="s">
        <v>1486</v>
      </c>
      <c r="E744" t="s">
        <v>14</v>
      </c>
      <c r="F744" s="1">
        <v>37625</v>
      </c>
      <c r="G744" s="2">
        <v>2003</v>
      </c>
      <c r="H744">
        <v>2021</v>
      </c>
      <c r="I744" s="2">
        <v>18</v>
      </c>
      <c r="J744" s="7">
        <v>65083</v>
      </c>
      <c r="K744" t="s">
        <v>104</v>
      </c>
      <c r="L744">
        <v>6</v>
      </c>
      <c r="M744" t="s">
        <v>50</v>
      </c>
      <c r="N744" t="s">
        <v>40</v>
      </c>
      <c r="O744" t="s">
        <v>18</v>
      </c>
      <c r="P744" t="s">
        <v>1489</v>
      </c>
      <c r="Q744" s="7">
        <f t="shared" si="22"/>
        <v>780996</v>
      </c>
      <c r="R744" s="7">
        <f t="shared" si="23"/>
        <v>6508.3</v>
      </c>
    </row>
    <row r="745" spans="1:18" x14ac:dyDescent="0.35">
      <c r="A745" s="5">
        <v>739</v>
      </c>
      <c r="B745" t="s">
        <v>416</v>
      </c>
      <c r="C745" t="s">
        <v>1205</v>
      </c>
      <c r="D745" t="s">
        <v>1486</v>
      </c>
      <c r="E745" t="s">
        <v>73</v>
      </c>
      <c r="F745" s="1">
        <v>46459</v>
      </c>
      <c r="G745" s="2">
        <v>2014</v>
      </c>
      <c r="H745">
        <v>2021</v>
      </c>
      <c r="I745" s="2">
        <v>7</v>
      </c>
      <c r="J745" s="7">
        <v>125398</v>
      </c>
      <c r="K745" t="s">
        <v>537</v>
      </c>
      <c r="L745">
        <v>2</v>
      </c>
      <c r="M745" t="s">
        <v>16</v>
      </c>
      <c r="N745" t="s">
        <v>17</v>
      </c>
      <c r="O745" t="s">
        <v>41</v>
      </c>
      <c r="P745" t="s">
        <v>1489</v>
      </c>
      <c r="Q745" s="7">
        <f t="shared" si="22"/>
        <v>1504776</v>
      </c>
      <c r="R745" s="7">
        <f t="shared" si="23"/>
        <v>12539.800000000001</v>
      </c>
    </row>
    <row r="746" spans="1:18" x14ac:dyDescent="0.35">
      <c r="A746" s="5">
        <v>740</v>
      </c>
      <c r="B746" t="s">
        <v>652</v>
      </c>
      <c r="C746" t="s">
        <v>1206</v>
      </c>
      <c r="D746" t="s">
        <v>1486</v>
      </c>
      <c r="E746" t="s">
        <v>85</v>
      </c>
      <c r="F746" s="1">
        <v>44209</v>
      </c>
      <c r="G746" s="2">
        <v>2008</v>
      </c>
      <c r="H746">
        <v>2021</v>
      </c>
      <c r="I746" s="2">
        <v>13</v>
      </c>
      <c r="J746" s="7">
        <v>98502</v>
      </c>
      <c r="K746" t="s">
        <v>490</v>
      </c>
      <c r="L746">
        <v>7</v>
      </c>
      <c r="M746" t="s">
        <v>39</v>
      </c>
      <c r="N746" t="s">
        <v>40</v>
      </c>
      <c r="O746" t="s">
        <v>41</v>
      </c>
      <c r="P746" t="s">
        <v>1489</v>
      </c>
      <c r="Q746" s="7">
        <f t="shared" si="22"/>
        <v>1182024</v>
      </c>
      <c r="R746" s="7">
        <f t="shared" si="23"/>
        <v>9850.2000000000007</v>
      </c>
    </row>
    <row r="747" spans="1:18" x14ac:dyDescent="0.35">
      <c r="A747" s="5">
        <v>741</v>
      </c>
      <c r="B747" t="s">
        <v>816</v>
      </c>
      <c r="C747" t="s">
        <v>1207</v>
      </c>
      <c r="D747" t="s">
        <v>1486</v>
      </c>
      <c r="E747" t="s">
        <v>312</v>
      </c>
      <c r="F747" s="1">
        <v>37621</v>
      </c>
      <c r="G747" s="2">
        <v>2002</v>
      </c>
      <c r="H747">
        <v>2021</v>
      </c>
      <c r="I747" s="2">
        <v>19</v>
      </c>
      <c r="J747" s="7">
        <v>90086</v>
      </c>
      <c r="K747" t="s">
        <v>709</v>
      </c>
      <c r="L747">
        <v>4</v>
      </c>
      <c r="M747" t="s">
        <v>55</v>
      </c>
      <c r="N747" t="s">
        <v>17</v>
      </c>
      <c r="O747" t="s">
        <v>41</v>
      </c>
      <c r="P747" t="s">
        <v>1489</v>
      </c>
      <c r="Q747" s="7">
        <f t="shared" si="22"/>
        <v>1081032</v>
      </c>
      <c r="R747" s="7">
        <f t="shared" si="23"/>
        <v>9008.6</v>
      </c>
    </row>
    <row r="748" spans="1:18" x14ac:dyDescent="0.35">
      <c r="A748" s="5">
        <v>742</v>
      </c>
      <c r="B748" t="s">
        <v>87</v>
      </c>
      <c r="C748" t="s">
        <v>1208</v>
      </c>
      <c r="D748" t="s">
        <v>1485</v>
      </c>
      <c r="E748" t="s">
        <v>21</v>
      </c>
      <c r="F748" s="1">
        <v>39419</v>
      </c>
      <c r="G748" s="2">
        <v>2007</v>
      </c>
      <c r="H748">
        <v>2021</v>
      </c>
      <c r="I748" s="2">
        <v>14</v>
      </c>
      <c r="J748" s="7">
        <v>77382</v>
      </c>
      <c r="K748" t="s">
        <v>186</v>
      </c>
      <c r="L748">
        <v>6</v>
      </c>
      <c r="M748" t="s">
        <v>50</v>
      </c>
      <c r="N748" t="s">
        <v>40</v>
      </c>
      <c r="O748" t="s">
        <v>23</v>
      </c>
      <c r="P748" t="s">
        <v>1489</v>
      </c>
      <c r="Q748" s="7">
        <f t="shared" si="22"/>
        <v>928584</v>
      </c>
      <c r="R748" s="7">
        <f t="shared" si="23"/>
        <v>7738.2000000000007</v>
      </c>
    </row>
    <row r="749" spans="1:18" x14ac:dyDescent="0.35">
      <c r="A749" s="5">
        <v>743</v>
      </c>
      <c r="B749" t="s">
        <v>722</v>
      </c>
      <c r="C749" t="s">
        <v>1209</v>
      </c>
      <c r="D749" t="s">
        <v>1486</v>
      </c>
      <c r="E749" t="s">
        <v>94</v>
      </c>
      <c r="F749" s="1">
        <v>46744</v>
      </c>
      <c r="G749" s="2">
        <v>2014</v>
      </c>
      <c r="H749">
        <v>2021</v>
      </c>
      <c r="I749" s="2">
        <v>7</v>
      </c>
      <c r="J749" s="7">
        <v>113278</v>
      </c>
      <c r="K749" t="s">
        <v>306</v>
      </c>
      <c r="L749">
        <v>2</v>
      </c>
      <c r="M749" t="s">
        <v>16</v>
      </c>
      <c r="N749" t="s">
        <v>17</v>
      </c>
      <c r="O749" t="s">
        <v>18</v>
      </c>
      <c r="P749" t="s">
        <v>1489</v>
      </c>
      <c r="Q749" s="7">
        <f t="shared" si="22"/>
        <v>1359336</v>
      </c>
      <c r="R749" s="7">
        <f t="shared" si="23"/>
        <v>11327.800000000001</v>
      </c>
    </row>
    <row r="750" spans="1:18" x14ac:dyDescent="0.35">
      <c r="A750" s="5">
        <v>744</v>
      </c>
      <c r="B750" t="s">
        <v>480</v>
      </c>
      <c r="C750" t="s">
        <v>1210</v>
      </c>
      <c r="D750" t="s">
        <v>1485</v>
      </c>
      <c r="E750" t="s">
        <v>26</v>
      </c>
      <c r="F750" s="1">
        <v>37152</v>
      </c>
      <c r="G750" s="2">
        <v>2001</v>
      </c>
      <c r="H750">
        <v>2021</v>
      </c>
      <c r="I750" s="2">
        <v>20</v>
      </c>
      <c r="J750" s="7">
        <v>129324</v>
      </c>
      <c r="K750" t="s">
        <v>1211</v>
      </c>
      <c r="L750">
        <v>4</v>
      </c>
      <c r="M750" t="s">
        <v>55</v>
      </c>
      <c r="N750" t="s">
        <v>17</v>
      </c>
      <c r="O750" t="s">
        <v>29</v>
      </c>
      <c r="P750" t="s">
        <v>1489</v>
      </c>
      <c r="Q750" s="7">
        <f t="shared" si="22"/>
        <v>1551888</v>
      </c>
      <c r="R750" s="7">
        <f t="shared" si="23"/>
        <v>12932.400000000001</v>
      </c>
    </row>
    <row r="751" spans="1:18" x14ac:dyDescent="0.35">
      <c r="A751" s="5">
        <v>745</v>
      </c>
      <c r="B751" t="s">
        <v>140</v>
      </c>
      <c r="C751" t="s">
        <v>1212</v>
      </c>
      <c r="D751" t="s">
        <v>1486</v>
      </c>
      <c r="E751" t="s">
        <v>148</v>
      </c>
      <c r="F751" s="1">
        <v>38677</v>
      </c>
      <c r="G751" s="2">
        <v>2005</v>
      </c>
      <c r="H751">
        <v>2021</v>
      </c>
      <c r="I751" s="2">
        <v>16</v>
      </c>
      <c r="J751" s="7">
        <v>108504</v>
      </c>
      <c r="K751" t="s">
        <v>386</v>
      </c>
      <c r="L751">
        <v>1</v>
      </c>
      <c r="M751" t="s">
        <v>46</v>
      </c>
      <c r="N751" t="s">
        <v>17</v>
      </c>
      <c r="O751" t="s">
        <v>112</v>
      </c>
      <c r="P751" t="s">
        <v>1489</v>
      </c>
      <c r="Q751" s="7">
        <f t="shared" si="22"/>
        <v>1302048</v>
      </c>
      <c r="R751" s="7">
        <f t="shared" si="23"/>
        <v>10850.400000000001</v>
      </c>
    </row>
    <row r="752" spans="1:18" x14ac:dyDescent="0.35">
      <c r="A752" s="5">
        <v>746</v>
      </c>
      <c r="B752" t="s">
        <v>198</v>
      </c>
      <c r="C752" t="s">
        <v>1213</v>
      </c>
      <c r="D752" t="s">
        <v>1485</v>
      </c>
      <c r="E752" t="s">
        <v>100</v>
      </c>
      <c r="F752" s="1">
        <v>37168</v>
      </c>
      <c r="G752" s="2">
        <v>2001</v>
      </c>
      <c r="H752">
        <v>2021</v>
      </c>
      <c r="I752" s="2">
        <v>20</v>
      </c>
      <c r="J752" s="7">
        <v>145283</v>
      </c>
      <c r="K752" t="s">
        <v>149</v>
      </c>
      <c r="L752">
        <v>1</v>
      </c>
      <c r="M752" t="s">
        <v>46</v>
      </c>
      <c r="N752" t="s">
        <v>17</v>
      </c>
      <c r="O752" t="s">
        <v>29</v>
      </c>
      <c r="P752" t="s">
        <v>1489</v>
      </c>
      <c r="Q752" s="7">
        <f t="shared" si="22"/>
        <v>1743396</v>
      </c>
      <c r="R752" s="7">
        <f t="shared" si="23"/>
        <v>14528.300000000001</v>
      </c>
    </row>
    <row r="753" spans="1:18" x14ac:dyDescent="0.35">
      <c r="A753" s="5">
        <v>747</v>
      </c>
      <c r="B753" t="s">
        <v>416</v>
      </c>
      <c r="C753" t="s">
        <v>1214</v>
      </c>
      <c r="D753" t="s">
        <v>1485</v>
      </c>
      <c r="E753" t="s">
        <v>85</v>
      </c>
      <c r="F753" s="1">
        <v>38928</v>
      </c>
      <c r="G753" s="2">
        <v>2006</v>
      </c>
      <c r="H753">
        <v>2021</v>
      </c>
      <c r="I753" s="2">
        <v>15</v>
      </c>
      <c r="J753" s="7">
        <v>82674</v>
      </c>
      <c r="K753" t="s">
        <v>172</v>
      </c>
      <c r="L753">
        <v>4</v>
      </c>
      <c r="M753" t="s">
        <v>55</v>
      </c>
      <c r="N753" t="s">
        <v>17</v>
      </c>
      <c r="O753" t="s">
        <v>41</v>
      </c>
      <c r="P753" t="s">
        <v>1489</v>
      </c>
      <c r="Q753" s="7">
        <f t="shared" si="22"/>
        <v>992088</v>
      </c>
      <c r="R753" s="7">
        <f t="shared" si="23"/>
        <v>8267.4</v>
      </c>
    </row>
    <row r="754" spans="1:18" x14ac:dyDescent="0.35">
      <c r="A754" s="5">
        <v>748</v>
      </c>
      <c r="B754" t="s">
        <v>347</v>
      </c>
      <c r="C754" t="s">
        <v>1215</v>
      </c>
      <c r="D754" t="s">
        <v>1485</v>
      </c>
      <c r="E754" t="s">
        <v>69</v>
      </c>
      <c r="F754" s="1">
        <v>40156</v>
      </c>
      <c r="G754" s="2">
        <v>2009</v>
      </c>
      <c r="H754">
        <v>2021</v>
      </c>
      <c r="I754" s="2">
        <v>12</v>
      </c>
      <c r="J754" s="7">
        <v>119097</v>
      </c>
      <c r="K754" t="s">
        <v>604</v>
      </c>
      <c r="L754">
        <v>2</v>
      </c>
      <c r="M754" t="s">
        <v>16</v>
      </c>
      <c r="N754" t="s">
        <v>17</v>
      </c>
      <c r="O754" t="s">
        <v>41</v>
      </c>
      <c r="P754" t="s">
        <v>1489</v>
      </c>
      <c r="Q754" s="7">
        <f t="shared" si="22"/>
        <v>1429164</v>
      </c>
      <c r="R754" s="7">
        <f t="shared" si="23"/>
        <v>11909.7</v>
      </c>
    </row>
    <row r="755" spans="1:18" x14ac:dyDescent="0.35">
      <c r="A755" s="5">
        <v>749</v>
      </c>
      <c r="B755" t="s">
        <v>816</v>
      </c>
      <c r="C755" t="s">
        <v>1216</v>
      </c>
      <c r="D755" t="s">
        <v>1486</v>
      </c>
      <c r="E755" t="s">
        <v>32</v>
      </c>
      <c r="F755" s="1">
        <v>45905</v>
      </c>
      <c r="G755" s="2">
        <v>2012</v>
      </c>
      <c r="H755">
        <v>2021</v>
      </c>
      <c r="I755" s="3">
        <v>9</v>
      </c>
      <c r="J755" s="7">
        <v>60498</v>
      </c>
      <c r="K755" t="s">
        <v>133</v>
      </c>
      <c r="L755">
        <v>4</v>
      </c>
      <c r="M755" t="s">
        <v>55</v>
      </c>
      <c r="N755" t="s">
        <v>17</v>
      </c>
      <c r="O755" t="s">
        <v>34</v>
      </c>
      <c r="P755" t="s">
        <v>1489</v>
      </c>
      <c r="Q755" s="7">
        <f t="shared" si="22"/>
        <v>725976</v>
      </c>
      <c r="R755" s="7">
        <f t="shared" si="23"/>
        <v>6049.8</v>
      </c>
    </row>
    <row r="756" spans="1:18" x14ac:dyDescent="0.35">
      <c r="A756" s="5">
        <v>750</v>
      </c>
      <c r="B756" t="s">
        <v>809</v>
      </c>
      <c r="C756" t="s">
        <v>1217</v>
      </c>
      <c r="D756" t="s">
        <v>1485</v>
      </c>
      <c r="E756" t="s">
        <v>238</v>
      </c>
      <c r="F756" s="1">
        <v>41836</v>
      </c>
      <c r="G756" s="2">
        <v>2014</v>
      </c>
      <c r="H756">
        <v>2021</v>
      </c>
      <c r="I756" s="2">
        <v>7</v>
      </c>
      <c r="J756" s="7">
        <v>108228</v>
      </c>
      <c r="K756" t="s">
        <v>95</v>
      </c>
      <c r="L756">
        <v>3</v>
      </c>
      <c r="M756" t="s">
        <v>28</v>
      </c>
      <c r="N756" t="s">
        <v>17</v>
      </c>
      <c r="O756" t="s">
        <v>63</v>
      </c>
      <c r="P756" t="s">
        <v>1489</v>
      </c>
      <c r="Q756" s="7">
        <f t="shared" si="22"/>
        <v>1298736</v>
      </c>
      <c r="R756" s="7">
        <f t="shared" si="23"/>
        <v>10822.800000000001</v>
      </c>
    </row>
    <row r="757" spans="1:18" x14ac:dyDescent="0.35">
      <c r="A757" s="5">
        <v>751</v>
      </c>
      <c r="B757" t="s">
        <v>12</v>
      </c>
      <c r="C757" t="s">
        <v>1218</v>
      </c>
      <c r="D757" t="s">
        <v>1485</v>
      </c>
      <c r="E757" t="s">
        <v>94</v>
      </c>
      <c r="F757" s="1">
        <v>38479</v>
      </c>
      <c r="G757" s="2">
        <v>2005</v>
      </c>
      <c r="H757">
        <v>2021</v>
      </c>
      <c r="I757" s="2">
        <v>16</v>
      </c>
      <c r="J757" s="7">
        <v>106602</v>
      </c>
      <c r="K757" t="s">
        <v>209</v>
      </c>
      <c r="L757">
        <v>2</v>
      </c>
      <c r="M757" t="s">
        <v>16</v>
      </c>
      <c r="N757" t="s">
        <v>17</v>
      </c>
      <c r="O757" t="s">
        <v>18</v>
      </c>
      <c r="P757" t="s">
        <v>1489</v>
      </c>
      <c r="Q757" s="7">
        <f t="shared" si="22"/>
        <v>1279224</v>
      </c>
      <c r="R757" s="7">
        <f t="shared" si="23"/>
        <v>10660.2</v>
      </c>
    </row>
    <row r="758" spans="1:18" x14ac:dyDescent="0.35">
      <c r="A758" s="5">
        <v>752</v>
      </c>
      <c r="B758" t="s">
        <v>569</v>
      </c>
      <c r="C758" t="s">
        <v>1219</v>
      </c>
      <c r="D758" t="s">
        <v>1486</v>
      </c>
      <c r="E758" t="s">
        <v>89</v>
      </c>
      <c r="F758" s="1">
        <v>45315</v>
      </c>
      <c r="G758" s="2">
        <v>2011</v>
      </c>
      <c r="H758">
        <v>2021</v>
      </c>
      <c r="I758" s="2">
        <v>10</v>
      </c>
      <c r="J758" s="7">
        <v>95810</v>
      </c>
      <c r="K758" t="s">
        <v>613</v>
      </c>
      <c r="L758">
        <v>4</v>
      </c>
      <c r="M758" t="s">
        <v>55</v>
      </c>
      <c r="N758" t="s">
        <v>17</v>
      </c>
      <c r="O758" t="s">
        <v>41</v>
      </c>
      <c r="P758" t="s">
        <v>1489</v>
      </c>
      <c r="Q758" s="7">
        <f t="shared" si="22"/>
        <v>1149720</v>
      </c>
      <c r="R758" s="7">
        <f t="shared" si="23"/>
        <v>9581</v>
      </c>
    </row>
    <row r="759" spans="1:18" x14ac:dyDescent="0.35">
      <c r="A759" s="5">
        <v>753</v>
      </c>
      <c r="B759" t="s">
        <v>1220</v>
      </c>
      <c r="C759" t="s">
        <v>1221</v>
      </c>
      <c r="D759" t="s">
        <v>1486</v>
      </c>
      <c r="E759" t="s">
        <v>94</v>
      </c>
      <c r="F759" s="1">
        <v>38388</v>
      </c>
      <c r="G759" s="2">
        <v>2005</v>
      </c>
      <c r="H759">
        <v>2021</v>
      </c>
      <c r="I759" s="2">
        <v>16</v>
      </c>
      <c r="J759" s="7">
        <v>149597</v>
      </c>
      <c r="K759" t="s">
        <v>490</v>
      </c>
      <c r="L759">
        <v>1</v>
      </c>
      <c r="M759" t="s">
        <v>46</v>
      </c>
      <c r="N759" t="s">
        <v>17</v>
      </c>
      <c r="O759" t="s">
        <v>18</v>
      </c>
      <c r="P759" t="s">
        <v>1489</v>
      </c>
      <c r="Q759" s="7">
        <f t="shared" si="22"/>
        <v>1795164</v>
      </c>
      <c r="R759" s="7">
        <f t="shared" si="23"/>
        <v>14959.7</v>
      </c>
    </row>
    <row r="760" spans="1:18" x14ac:dyDescent="0.35">
      <c r="A760" s="5">
        <v>754</v>
      </c>
      <c r="B760" t="s">
        <v>986</v>
      </c>
      <c r="C760" t="s">
        <v>1222</v>
      </c>
      <c r="D760" t="s">
        <v>1486</v>
      </c>
      <c r="E760" t="s">
        <v>94</v>
      </c>
      <c r="F760" s="1">
        <v>36602</v>
      </c>
      <c r="G760" s="2">
        <v>2000</v>
      </c>
      <c r="H760">
        <v>2021</v>
      </c>
      <c r="I760" s="2">
        <v>21</v>
      </c>
      <c r="J760" s="7">
        <v>57331</v>
      </c>
      <c r="K760" t="s">
        <v>209</v>
      </c>
      <c r="L760">
        <v>3</v>
      </c>
      <c r="M760" t="s">
        <v>28</v>
      </c>
      <c r="N760" t="s">
        <v>17</v>
      </c>
      <c r="O760" t="s">
        <v>18</v>
      </c>
      <c r="P760" t="s">
        <v>1489</v>
      </c>
      <c r="Q760" s="7">
        <f t="shared" si="22"/>
        <v>687972</v>
      </c>
      <c r="R760" s="7">
        <f t="shared" si="23"/>
        <v>5733.1</v>
      </c>
    </row>
    <row r="761" spans="1:18" x14ac:dyDescent="0.35">
      <c r="A761" s="5">
        <v>755</v>
      </c>
      <c r="B761" t="s">
        <v>564</v>
      </c>
      <c r="C761" t="s">
        <v>1223</v>
      </c>
      <c r="D761" t="s">
        <v>1485</v>
      </c>
      <c r="E761" t="s">
        <v>100</v>
      </c>
      <c r="F761" s="1">
        <v>40772</v>
      </c>
      <c r="G761" s="2">
        <v>2011</v>
      </c>
      <c r="H761">
        <v>2021</v>
      </c>
      <c r="I761" s="2">
        <v>10</v>
      </c>
      <c r="J761" s="7">
        <v>49113</v>
      </c>
      <c r="K761" t="s">
        <v>115</v>
      </c>
      <c r="L761">
        <v>7</v>
      </c>
      <c r="M761" t="s">
        <v>39</v>
      </c>
      <c r="N761" t="s">
        <v>40</v>
      </c>
      <c r="O761" t="s">
        <v>29</v>
      </c>
      <c r="P761" t="s">
        <v>1489</v>
      </c>
      <c r="Q761" s="7">
        <f t="shared" si="22"/>
        <v>589356</v>
      </c>
      <c r="R761" s="7">
        <f t="shared" si="23"/>
        <v>4911.3</v>
      </c>
    </row>
    <row r="762" spans="1:18" x14ac:dyDescent="0.35">
      <c r="A762" s="5">
        <v>756</v>
      </c>
      <c r="B762" t="s">
        <v>341</v>
      </c>
      <c r="C762" t="s">
        <v>1224</v>
      </c>
      <c r="D762" t="s">
        <v>1486</v>
      </c>
      <c r="E762" t="s">
        <v>37</v>
      </c>
      <c r="F762" s="1">
        <v>38550</v>
      </c>
      <c r="G762" s="2">
        <v>2005</v>
      </c>
      <c r="H762">
        <v>2021</v>
      </c>
      <c r="I762" s="2">
        <v>16</v>
      </c>
      <c r="J762" s="7">
        <v>80417</v>
      </c>
      <c r="K762" t="s">
        <v>142</v>
      </c>
      <c r="L762">
        <v>7</v>
      </c>
      <c r="M762" t="s">
        <v>39</v>
      </c>
      <c r="N762" t="s">
        <v>40</v>
      </c>
      <c r="O762" t="s">
        <v>41</v>
      </c>
      <c r="P762" t="s">
        <v>1489</v>
      </c>
      <c r="Q762" s="7">
        <f t="shared" si="22"/>
        <v>965004</v>
      </c>
      <c r="R762" s="7">
        <f t="shared" si="23"/>
        <v>8041.7000000000007</v>
      </c>
    </row>
    <row r="763" spans="1:18" x14ac:dyDescent="0.35">
      <c r="A763" s="5">
        <v>757</v>
      </c>
      <c r="B763" t="s">
        <v>345</v>
      </c>
      <c r="C763" t="s">
        <v>1225</v>
      </c>
      <c r="D763" t="s">
        <v>1485</v>
      </c>
      <c r="E763" t="s">
        <v>79</v>
      </c>
      <c r="F763" s="1">
        <v>41004</v>
      </c>
      <c r="G763" s="2">
        <v>2012</v>
      </c>
      <c r="H763">
        <v>2021</v>
      </c>
      <c r="I763" s="2">
        <v>9</v>
      </c>
      <c r="J763" s="7">
        <v>122595</v>
      </c>
      <c r="K763" t="s">
        <v>189</v>
      </c>
      <c r="L763">
        <v>6</v>
      </c>
      <c r="M763" t="s">
        <v>50</v>
      </c>
      <c r="N763" t="s">
        <v>40</v>
      </c>
      <c r="O763" t="s">
        <v>41</v>
      </c>
      <c r="P763" t="s">
        <v>1489</v>
      </c>
      <c r="Q763" s="7">
        <f t="shared" si="22"/>
        <v>1471140</v>
      </c>
      <c r="R763" s="7">
        <f t="shared" si="23"/>
        <v>12259.5</v>
      </c>
    </row>
    <row r="764" spans="1:18" x14ac:dyDescent="0.35">
      <c r="A764" s="5">
        <v>758</v>
      </c>
      <c r="B764" t="s">
        <v>689</v>
      </c>
      <c r="C764" t="s">
        <v>1226</v>
      </c>
      <c r="D764" t="s">
        <v>1485</v>
      </c>
      <c r="E764" t="s">
        <v>53</v>
      </c>
      <c r="F764" s="1">
        <v>41570</v>
      </c>
      <c r="G764" s="2">
        <v>2013</v>
      </c>
      <c r="H764">
        <v>2021</v>
      </c>
      <c r="I764" s="2">
        <v>8</v>
      </c>
      <c r="J764" s="7">
        <v>126661</v>
      </c>
      <c r="K764" t="s">
        <v>836</v>
      </c>
      <c r="L764">
        <v>2</v>
      </c>
      <c r="M764" t="s">
        <v>16</v>
      </c>
      <c r="N764" t="s">
        <v>17</v>
      </c>
      <c r="O764" t="s">
        <v>23</v>
      </c>
      <c r="P764" t="s">
        <v>1489</v>
      </c>
      <c r="Q764" s="7">
        <f t="shared" si="22"/>
        <v>1519932</v>
      </c>
      <c r="R764" s="7">
        <f t="shared" si="23"/>
        <v>12666.1</v>
      </c>
    </row>
    <row r="765" spans="1:18" x14ac:dyDescent="0.35">
      <c r="A765" s="5">
        <v>759</v>
      </c>
      <c r="B765" t="s">
        <v>233</v>
      </c>
      <c r="C765" t="s">
        <v>1227</v>
      </c>
      <c r="D765" t="s">
        <v>1485</v>
      </c>
      <c r="E765" t="s">
        <v>110</v>
      </c>
      <c r="F765" s="1">
        <v>36618</v>
      </c>
      <c r="G765" s="2">
        <v>2000</v>
      </c>
      <c r="H765">
        <v>2021</v>
      </c>
      <c r="I765" s="2">
        <v>21</v>
      </c>
      <c r="J765" s="7">
        <v>127695</v>
      </c>
      <c r="K765" t="s">
        <v>836</v>
      </c>
      <c r="L765">
        <v>7</v>
      </c>
      <c r="M765" t="s">
        <v>39</v>
      </c>
      <c r="N765" t="s">
        <v>40</v>
      </c>
      <c r="O765" t="s">
        <v>112</v>
      </c>
      <c r="P765" t="s">
        <v>1489</v>
      </c>
      <c r="Q765" s="7">
        <f t="shared" si="22"/>
        <v>1532340</v>
      </c>
      <c r="R765" s="7">
        <f t="shared" si="23"/>
        <v>12769.5</v>
      </c>
    </row>
    <row r="766" spans="1:18" x14ac:dyDescent="0.35">
      <c r="A766" s="5">
        <v>760</v>
      </c>
      <c r="B766" t="s">
        <v>300</v>
      </c>
      <c r="C766" t="s">
        <v>1228</v>
      </c>
      <c r="D766" t="s">
        <v>1485</v>
      </c>
      <c r="E766" t="s">
        <v>73</v>
      </c>
      <c r="F766" s="1">
        <v>39653</v>
      </c>
      <c r="G766" s="2">
        <v>2008</v>
      </c>
      <c r="H766">
        <v>2021</v>
      </c>
      <c r="I766" s="2">
        <v>13</v>
      </c>
      <c r="J766" s="7">
        <v>66608</v>
      </c>
      <c r="K766" t="s">
        <v>321</v>
      </c>
      <c r="L766">
        <v>1</v>
      </c>
      <c r="M766" t="s">
        <v>46</v>
      </c>
      <c r="N766" t="s">
        <v>17</v>
      </c>
      <c r="O766" t="s">
        <v>41</v>
      </c>
      <c r="P766" t="s">
        <v>1489</v>
      </c>
      <c r="Q766" s="7">
        <f t="shared" si="22"/>
        <v>799296</v>
      </c>
      <c r="R766" s="7">
        <f t="shared" si="23"/>
        <v>6660.8</v>
      </c>
    </row>
    <row r="767" spans="1:18" x14ac:dyDescent="0.35">
      <c r="A767" s="5">
        <v>761</v>
      </c>
      <c r="B767" t="s">
        <v>620</v>
      </c>
      <c r="C767" t="s">
        <v>1229</v>
      </c>
      <c r="D767" t="s">
        <v>1486</v>
      </c>
      <c r="E767" t="s">
        <v>89</v>
      </c>
      <c r="F767" s="1">
        <v>46735</v>
      </c>
      <c r="G767" s="2">
        <v>2014</v>
      </c>
      <c r="H767">
        <v>2021</v>
      </c>
      <c r="I767" s="2">
        <v>7</v>
      </c>
      <c r="J767" s="7">
        <v>106033</v>
      </c>
      <c r="K767" t="s">
        <v>313</v>
      </c>
      <c r="L767">
        <v>1</v>
      </c>
      <c r="M767" t="s">
        <v>46</v>
      </c>
      <c r="N767" t="s">
        <v>17</v>
      </c>
      <c r="O767" t="s">
        <v>41</v>
      </c>
      <c r="P767" t="s">
        <v>1489</v>
      </c>
      <c r="Q767" s="7">
        <f t="shared" si="22"/>
        <v>1272396</v>
      </c>
      <c r="R767" s="7">
        <f t="shared" si="23"/>
        <v>10603.300000000001</v>
      </c>
    </row>
    <row r="768" spans="1:18" x14ac:dyDescent="0.35">
      <c r="A768" s="5">
        <v>762</v>
      </c>
      <c r="B768" t="s">
        <v>494</v>
      </c>
      <c r="C768" t="s">
        <v>1230</v>
      </c>
      <c r="D768" t="s">
        <v>1485</v>
      </c>
      <c r="E768" t="s">
        <v>94</v>
      </c>
      <c r="F768" s="1">
        <v>41495</v>
      </c>
      <c r="G768" s="2">
        <v>2013</v>
      </c>
      <c r="H768">
        <v>2021</v>
      </c>
      <c r="I768" s="2">
        <v>8</v>
      </c>
      <c r="J768" s="7">
        <v>103237</v>
      </c>
      <c r="K768" t="s">
        <v>401</v>
      </c>
      <c r="L768">
        <v>7</v>
      </c>
      <c r="M768" t="s">
        <v>39</v>
      </c>
      <c r="N768" t="s">
        <v>40</v>
      </c>
      <c r="O768" t="s">
        <v>18</v>
      </c>
      <c r="P768" t="s">
        <v>1489</v>
      </c>
      <c r="Q768" s="7">
        <f t="shared" si="22"/>
        <v>1238844</v>
      </c>
      <c r="R768" s="7">
        <f t="shared" si="23"/>
        <v>10323.700000000001</v>
      </c>
    </row>
    <row r="769" spans="1:18" x14ac:dyDescent="0.35">
      <c r="A769" s="5">
        <v>763</v>
      </c>
      <c r="B769" t="s">
        <v>300</v>
      </c>
      <c r="C769" t="s">
        <v>1231</v>
      </c>
      <c r="D769" t="s">
        <v>1485</v>
      </c>
      <c r="E769" t="s">
        <v>14</v>
      </c>
      <c r="F769" s="1">
        <v>37368</v>
      </c>
      <c r="G769" s="2">
        <v>2002</v>
      </c>
      <c r="H769">
        <v>2021</v>
      </c>
      <c r="I769" s="2">
        <v>19</v>
      </c>
      <c r="J769" s="7">
        <v>122843</v>
      </c>
      <c r="K769" t="s">
        <v>381</v>
      </c>
      <c r="L769">
        <v>2</v>
      </c>
      <c r="M769" t="s">
        <v>16</v>
      </c>
      <c r="N769" t="s">
        <v>17</v>
      </c>
      <c r="O769" t="s">
        <v>18</v>
      </c>
      <c r="P769" t="s">
        <v>1489</v>
      </c>
      <c r="Q769" s="7">
        <f t="shared" si="22"/>
        <v>1474116</v>
      </c>
      <c r="R769" s="7">
        <f t="shared" si="23"/>
        <v>12284.300000000001</v>
      </c>
    </row>
    <row r="770" spans="1:18" x14ac:dyDescent="0.35">
      <c r="A770" s="5">
        <v>764</v>
      </c>
      <c r="B770" t="s">
        <v>64</v>
      </c>
      <c r="C770" t="s">
        <v>1232</v>
      </c>
      <c r="D770" t="s">
        <v>1486</v>
      </c>
      <c r="E770" t="s">
        <v>238</v>
      </c>
      <c r="F770" s="1">
        <v>38174</v>
      </c>
      <c r="G770" s="2">
        <v>2004</v>
      </c>
      <c r="H770">
        <v>2021</v>
      </c>
      <c r="I770" s="2">
        <v>17</v>
      </c>
      <c r="J770" s="7">
        <v>51771</v>
      </c>
      <c r="K770" t="s">
        <v>659</v>
      </c>
      <c r="L770">
        <v>3</v>
      </c>
      <c r="M770" t="s">
        <v>28</v>
      </c>
      <c r="N770" t="s">
        <v>17</v>
      </c>
      <c r="O770" t="s">
        <v>63</v>
      </c>
      <c r="P770" t="s">
        <v>1489</v>
      </c>
      <c r="Q770" s="7">
        <f t="shared" si="22"/>
        <v>621252</v>
      </c>
      <c r="R770" s="7">
        <f t="shared" si="23"/>
        <v>5177.1000000000004</v>
      </c>
    </row>
    <row r="771" spans="1:18" x14ac:dyDescent="0.35">
      <c r="A771" s="5">
        <v>765</v>
      </c>
      <c r="B771" t="s">
        <v>268</v>
      </c>
      <c r="C771" t="s">
        <v>1233</v>
      </c>
      <c r="D771" t="s">
        <v>1485</v>
      </c>
      <c r="E771" t="s">
        <v>44</v>
      </c>
      <c r="F771" s="1">
        <v>40124</v>
      </c>
      <c r="G771" s="2">
        <v>2009</v>
      </c>
      <c r="H771">
        <v>2021</v>
      </c>
      <c r="I771" s="2">
        <v>12</v>
      </c>
      <c r="J771" s="7">
        <v>107709</v>
      </c>
      <c r="K771" t="s">
        <v>136</v>
      </c>
      <c r="L771">
        <v>1</v>
      </c>
      <c r="M771" t="s">
        <v>46</v>
      </c>
      <c r="N771" t="s">
        <v>17</v>
      </c>
      <c r="O771" t="s">
        <v>29</v>
      </c>
      <c r="P771" t="s">
        <v>1489</v>
      </c>
      <c r="Q771" s="7">
        <f t="shared" si="22"/>
        <v>1292508</v>
      </c>
      <c r="R771" s="7">
        <f t="shared" si="23"/>
        <v>10770.900000000001</v>
      </c>
    </row>
    <row r="772" spans="1:18" x14ac:dyDescent="0.35">
      <c r="A772" s="5">
        <v>766</v>
      </c>
      <c r="B772" t="s">
        <v>347</v>
      </c>
      <c r="C772" t="s">
        <v>1234</v>
      </c>
      <c r="D772" t="s">
        <v>1485</v>
      </c>
      <c r="E772" t="s">
        <v>122</v>
      </c>
      <c r="F772" s="1">
        <v>40165</v>
      </c>
      <c r="G772" s="2">
        <v>2009</v>
      </c>
      <c r="H772">
        <v>2021</v>
      </c>
      <c r="I772" s="2">
        <v>12</v>
      </c>
      <c r="J772" s="7">
        <v>104149</v>
      </c>
      <c r="K772" t="s">
        <v>613</v>
      </c>
      <c r="L772">
        <v>2</v>
      </c>
      <c r="M772" t="s">
        <v>16</v>
      </c>
      <c r="N772" t="s">
        <v>17</v>
      </c>
      <c r="O772" t="s">
        <v>123</v>
      </c>
      <c r="P772" t="s">
        <v>1489</v>
      </c>
      <c r="Q772" s="7">
        <f t="shared" si="22"/>
        <v>1249788</v>
      </c>
      <c r="R772" s="7">
        <f t="shared" si="23"/>
        <v>10414.900000000001</v>
      </c>
    </row>
    <row r="773" spans="1:18" x14ac:dyDescent="0.35">
      <c r="A773" s="5">
        <v>767</v>
      </c>
      <c r="B773" t="s">
        <v>766</v>
      </c>
      <c r="C773" t="s">
        <v>1235</v>
      </c>
      <c r="D773" t="s">
        <v>1485</v>
      </c>
      <c r="E773" t="s">
        <v>122</v>
      </c>
      <c r="F773" s="1">
        <v>38201</v>
      </c>
      <c r="G773" s="2">
        <v>2004</v>
      </c>
      <c r="H773">
        <v>2021</v>
      </c>
      <c r="I773" s="2">
        <v>17</v>
      </c>
      <c r="J773" s="7">
        <v>91501</v>
      </c>
      <c r="K773" t="s">
        <v>179</v>
      </c>
      <c r="L773">
        <v>7</v>
      </c>
      <c r="M773" t="s">
        <v>39</v>
      </c>
      <c r="N773" t="s">
        <v>40</v>
      </c>
      <c r="O773" t="s">
        <v>123</v>
      </c>
      <c r="P773" t="s">
        <v>1489</v>
      </c>
      <c r="Q773" s="7">
        <f t="shared" si="22"/>
        <v>1098012</v>
      </c>
      <c r="R773" s="7">
        <f t="shared" si="23"/>
        <v>9150.1</v>
      </c>
    </row>
    <row r="774" spans="1:18" x14ac:dyDescent="0.35">
      <c r="A774" s="5">
        <v>768</v>
      </c>
      <c r="B774" t="s">
        <v>407</v>
      </c>
      <c r="C774" t="s">
        <v>1236</v>
      </c>
      <c r="D774" t="s">
        <v>1486</v>
      </c>
      <c r="E774" t="s">
        <v>26</v>
      </c>
      <c r="F774" s="1">
        <v>46592</v>
      </c>
      <c r="G774" s="2">
        <v>2014</v>
      </c>
      <c r="H774">
        <v>2021</v>
      </c>
      <c r="I774" s="2">
        <v>7</v>
      </c>
      <c r="J774" s="7">
        <v>42602</v>
      </c>
      <c r="K774" t="s">
        <v>86</v>
      </c>
      <c r="L774">
        <v>2</v>
      </c>
      <c r="M774" t="s">
        <v>16</v>
      </c>
      <c r="N774" t="s">
        <v>17</v>
      </c>
      <c r="O774" t="s">
        <v>29</v>
      </c>
      <c r="P774" t="s">
        <v>1489</v>
      </c>
      <c r="Q774" s="7">
        <f t="shared" si="22"/>
        <v>511224</v>
      </c>
      <c r="R774" s="7">
        <f t="shared" si="23"/>
        <v>4260.2</v>
      </c>
    </row>
    <row r="775" spans="1:18" x14ac:dyDescent="0.35">
      <c r="A775" s="5">
        <v>769</v>
      </c>
      <c r="B775" t="s">
        <v>108</v>
      </c>
      <c r="C775" t="s">
        <v>1237</v>
      </c>
      <c r="D775" t="s">
        <v>1486</v>
      </c>
      <c r="E775" t="s">
        <v>85</v>
      </c>
      <c r="F775" s="1">
        <v>46350</v>
      </c>
      <c r="G775" s="2">
        <v>2013</v>
      </c>
      <c r="H775">
        <v>2021</v>
      </c>
      <c r="I775" s="2">
        <v>8</v>
      </c>
      <c r="J775" s="7">
        <v>132676</v>
      </c>
      <c r="K775" t="s">
        <v>49</v>
      </c>
      <c r="L775">
        <v>4</v>
      </c>
      <c r="M775" t="s">
        <v>55</v>
      </c>
      <c r="N775" t="s">
        <v>17</v>
      </c>
      <c r="O775" t="s">
        <v>41</v>
      </c>
      <c r="P775" t="s">
        <v>1489</v>
      </c>
      <c r="Q775" s="7">
        <f t="shared" ref="Q775:Q838" si="24">J775*12</f>
        <v>1592112</v>
      </c>
      <c r="R775" s="7">
        <f t="shared" ref="R775:R838" si="25">J775*10%</f>
        <v>13267.6</v>
      </c>
    </row>
    <row r="776" spans="1:18" x14ac:dyDescent="0.35">
      <c r="A776" s="5">
        <v>770</v>
      </c>
      <c r="B776" t="s">
        <v>358</v>
      </c>
      <c r="C776" t="s">
        <v>1238</v>
      </c>
      <c r="D776" t="s">
        <v>1486</v>
      </c>
      <c r="E776" t="s">
        <v>79</v>
      </c>
      <c r="F776" s="1">
        <v>38841</v>
      </c>
      <c r="G776" s="2">
        <v>2006</v>
      </c>
      <c r="H776">
        <v>2021</v>
      </c>
      <c r="I776" s="2">
        <v>15</v>
      </c>
      <c r="J776" s="7">
        <v>140688</v>
      </c>
      <c r="K776" t="s">
        <v>733</v>
      </c>
      <c r="L776">
        <v>3</v>
      </c>
      <c r="M776" t="s">
        <v>28</v>
      </c>
      <c r="N776" t="s">
        <v>17</v>
      </c>
      <c r="O776" t="s">
        <v>41</v>
      </c>
      <c r="P776" t="s">
        <v>1489</v>
      </c>
      <c r="Q776" s="7">
        <f t="shared" si="24"/>
        <v>1688256</v>
      </c>
      <c r="R776" s="7">
        <f t="shared" si="25"/>
        <v>14068.800000000001</v>
      </c>
    </row>
    <row r="777" spans="1:18" x14ac:dyDescent="0.35">
      <c r="A777" s="5">
        <v>771</v>
      </c>
      <c r="B777" t="s">
        <v>642</v>
      </c>
      <c r="C777" t="s">
        <v>1239</v>
      </c>
      <c r="D777" t="s">
        <v>1486</v>
      </c>
      <c r="E777" t="s">
        <v>110</v>
      </c>
      <c r="F777" s="1">
        <v>46639</v>
      </c>
      <c r="G777" s="2">
        <v>2014</v>
      </c>
      <c r="H777">
        <v>2021</v>
      </c>
      <c r="I777" s="2">
        <v>7</v>
      </c>
      <c r="J777" s="7">
        <v>51792</v>
      </c>
      <c r="K777" t="s">
        <v>101</v>
      </c>
      <c r="L777">
        <v>4</v>
      </c>
      <c r="M777" t="s">
        <v>55</v>
      </c>
      <c r="N777" t="s">
        <v>17</v>
      </c>
      <c r="O777" t="s">
        <v>112</v>
      </c>
      <c r="P777" t="s">
        <v>1489</v>
      </c>
      <c r="Q777" s="7">
        <f t="shared" si="24"/>
        <v>621504</v>
      </c>
      <c r="R777" s="7">
        <f t="shared" si="25"/>
        <v>5179.2000000000007</v>
      </c>
    </row>
    <row r="778" spans="1:18" x14ac:dyDescent="0.35">
      <c r="A778" s="5">
        <v>772</v>
      </c>
      <c r="B778" t="s">
        <v>347</v>
      </c>
      <c r="C778" t="s">
        <v>1240</v>
      </c>
      <c r="D778" t="s">
        <v>1485</v>
      </c>
      <c r="E778" t="s">
        <v>61</v>
      </c>
      <c r="F778" s="1">
        <v>38273</v>
      </c>
      <c r="G778" s="2">
        <v>2004</v>
      </c>
      <c r="H778">
        <v>2021</v>
      </c>
      <c r="I778" s="2">
        <v>17</v>
      </c>
      <c r="J778" s="7">
        <v>100570</v>
      </c>
      <c r="K778" t="s">
        <v>247</v>
      </c>
      <c r="L778">
        <v>5</v>
      </c>
      <c r="M778" t="s">
        <v>91</v>
      </c>
      <c r="N778" t="s">
        <v>40</v>
      </c>
      <c r="O778" t="s">
        <v>63</v>
      </c>
      <c r="P778" t="s">
        <v>1489</v>
      </c>
      <c r="Q778" s="7">
        <f t="shared" si="24"/>
        <v>1206840</v>
      </c>
      <c r="R778" s="7">
        <f t="shared" si="25"/>
        <v>10057</v>
      </c>
    </row>
    <row r="779" spans="1:18" x14ac:dyDescent="0.35">
      <c r="A779" s="5">
        <v>773</v>
      </c>
      <c r="B779" t="s">
        <v>182</v>
      </c>
      <c r="C779" t="s">
        <v>1241</v>
      </c>
      <c r="D779" t="s">
        <v>1485</v>
      </c>
      <c r="E779" t="s">
        <v>44</v>
      </c>
      <c r="F779" s="1">
        <v>39265</v>
      </c>
      <c r="G779" s="2">
        <v>2007</v>
      </c>
      <c r="H779">
        <v>2021</v>
      </c>
      <c r="I779" s="2">
        <v>14</v>
      </c>
      <c r="J779" s="7">
        <v>60383</v>
      </c>
      <c r="K779" t="s">
        <v>459</v>
      </c>
      <c r="L779">
        <v>1</v>
      </c>
      <c r="M779" t="s">
        <v>46</v>
      </c>
      <c r="N779" t="s">
        <v>17</v>
      </c>
      <c r="O779" t="s">
        <v>29</v>
      </c>
      <c r="P779" t="s">
        <v>1489</v>
      </c>
      <c r="Q779" s="7">
        <f t="shared" si="24"/>
        <v>724596</v>
      </c>
      <c r="R779" s="7">
        <f t="shared" si="25"/>
        <v>6038.3</v>
      </c>
    </row>
    <row r="780" spans="1:18" x14ac:dyDescent="0.35">
      <c r="A780" s="5">
        <v>774</v>
      </c>
      <c r="B780" t="s">
        <v>969</v>
      </c>
      <c r="C780" t="s">
        <v>1242</v>
      </c>
      <c r="D780" t="s">
        <v>1485</v>
      </c>
      <c r="E780" t="s">
        <v>312</v>
      </c>
      <c r="F780" s="1">
        <v>38797</v>
      </c>
      <c r="G780" s="2">
        <v>2006</v>
      </c>
      <c r="H780">
        <v>2021</v>
      </c>
      <c r="I780" s="2">
        <v>15</v>
      </c>
      <c r="J780" s="7">
        <v>68761</v>
      </c>
      <c r="K780" t="s">
        <v>336</v>
      </c>
      <c r="L780">
        <v>1</v>
      </c>
      <c r="M780" t="s">
        <v>46</v>
      </c>
      <c r="N780" t="s">
        <v>17</v>
      </c>
      <c r="O780" t="s">
        <v>41</v>
      </c>
      <c r="P780" t="s">
        <v>1489</v>
      </c>
      <c r="Q780" s="7">
        <f t="shared" si="24"/>
        <v>825132</v>
      </c>
      <c r="R780" s="7">
        <f t="shared" si="25"/>
        <v>6876.1</v>
      </c>
    </row>
    <row r="781" spans="1:18" x14ac:dyDescent="0.35">
      <c r="A781" s="5">
        <v>775</v>
      </c>
      <c r="B781" t="s">
        <v>548</v>
      </c>
      <c r="C781" t="s">
        <v>1243</v>
      </c>
      <c r="D781" t="s">
        <v>1486</v>
      </c>
      <c r="E781" t="s">
        <v>44</v>
      </c>
      <c r="F781" s="1">
        <v>44848</v>
      </c>
      <c r="G781" s="2">
        <v>2009</v>
      </c>
      <c r="H781">
        <v>2021</v>
      </c>
      <c r="I781" s="2">
        <v>12</v>
      </c>
      <c r="J781" s="7">
        <v>131830</v>
      </c>
      <c r="K781" t="s">
        <v>610</v>
      </c>
      <c r="L781">
        <v>2</v>
      </c>
      <c r="M781" t="s">
        <v>16</v>
      </c>
      <c r="N781" t="s">
        <v>17</v>
      </c>
      <c r="O781" t="s">
        <v>29</v>
      </c>
      <c r="P781" t="s">
        <v>1489</v>
      </c>
      <c r="Q781" s="7">
        <f t="shared" si="24"/>
        <v>1581960</v>
      </c>
      <c r="R781" s="7">
        <f t="shared" si="25"/>
        <v>13183</v>
      </c>
    </row>
    <row r="782" spans="1:18" x14ac:dyDescent="0.35">
      <c r="A782" s="5">
        <v>776</v>
      </c>
      <c r="B782" t="s">
        <v>801</v>
      </c>
      <c r="C782" t="s">
        <v>1244</v>
      </c>
      <c r="D782" t="s">
        <v>1486</v>
      </c>
      <c r="E782" t="s">
        <v>69</v>
      </c>
      <c r="F782" s="1">
        <v>46292</v>
      </c>
      <c r="G782" s="2">
        <v>2013</v>
      </c>
      <c r="H782">
        <v>2021</v>
      </c>
      <c r="I782" s="2">
        <v>8</v>
      </c>
      <c r="J782" s="7">
        <v>107535</v>
      </c>
      <c r="K782" t="s">
        <v>796</v>
      </c>
      <c r="L782">
        <v>7</v>
      </c>
      <c r="M782" t="s">
        <v>39</v>
      </c>
      <c r="N782" t="s">
        <v>40</v>
      </c>
      <c r="O782" t="s">
        <v>41</v>
      </c>
      <c r="P782" t="s">
        <v>1489</v>
      </c>
      <c r="Q782" s="7">
        <f t="shared" si="24"/>
        <v>1290420</v>
      </c>
      <c r="R782" s="7">
        <f t="shared" si="25"/>
        <v>10753.5</v>
      </c>
    </row>
    <row r="783" spans="1:18" x14ac:dyDescent="0.35">
      <c r="A783" s="5">
        <v>777</v>
      </c>
      <c r="B783" t="s">
        <v>333</v>
      </c>
      <c r="C783" t="s">
        <v>1245</v>
      </c>
      <c r="D783" t="s">
        <v>1485</v>
      </c>
      <c r="E783" t="s">
        <v>100</v>
      </c>
      <c r="F783" s="1">
        <v>37210</v>
      </c>
      <c r="G783" s="2">
        <v>2001</v>
      </c>
      <c r="H783">
        <v>2021</v>
      </c>
      <c r="I783" s="2">
        <v>20</v>
      </c>
      <c r="J783" s="7">
        <v>95548</v>
      </c>
      <c r="K783" t="s">
        <v>58</v>
      </c>
      <c r="L783">
        <v>3</v>
      </c>
      <c r="M783" t="s">
        <v>28</v>
      </c>
      <c r="N783" t="s">
        <v>17</v>
      </c>
      <c r="O783" t="s">
        <v>29</v>
      </c>
      <c r="P783" t="s">
        <v>1489</v>
      </c>
      <c r="Q783" s="7">
        <f t="shared" si="24"/>
        <v>1146576</v>
      </c>
      <c r="R783" s="7">
        <f t="shared" si="25"/>
        <v>9554.8000000000011</v>
      </c>
    </row>
    <row r="784" spans="1:18" x14ac:dyDescent="0.35">
      <c r="A784" s="5">
        <v>778</v>
      </c>
      <c r="B784" t="s">
        <v>279</v>
      </c>
      <c r="C784" t="s">
        <v>1246</v>
      </c>
      <c r="D784" t="s">
        <v>1485</v>
      </c>
      <c r="E784" t="s">
        <v>26</v>
      </c>
      <c r="F784" s="1">
        <v>41410</v>
      </c>
      <c r="G784" s="2">
        <v>2013</v>
      </c>
      <c r="H784">
        <v>2021</v>
      </c>
      <c r="I784" s="2">
        <v>8</v>
      </c>
      <c r="J784" s="7">
        <v>116487</v>
      </c>
      <c r="K784" t="s">
        <v>336</v>
      </c>
      <c r="L784">
        <v>1</v>
      </c>
      <c r="M784" t="s">
        <v>46</v>
      </c>
      <c r="N784" t="s">
        <v>17</v>
      </c>
      <c r="O784" t="s">
        <v>29</v>
      </c>
      <c r="P784" t="s">
        <v>1489</v>
      </c>
      <c r="Q784" s="7">
        <f t="shared" si="24"/>
        <v>1397844</v>
      </c>
      <c r="R784" s="7">
        <f t="shared" si="25"/>
        <v>11648.7</v>
      </c>
    </row>
    <row r="785" spans="1:18" x14ac:dyDescent="0.35">
      <c r="A785" s="5">
        <v>779</v>
      </c>
      <c r="B785" t="s">
        <v>548</v>
      </c>
      <c r="C785" t="s">
        <v>1247</v>
      </c>
      <c r="D785" t="s">
        <v>1485</v>
      </c>
      <c r="E785" t="s">
        <v>37</v>
      </c>
      <c r="F785" s="1">
        <v>38386</v>
      </c>
      <c r="G785" s="2">
        <v>2005</v>
      </c>
      <c r="H785">
        <v>2021</v>
      </c>
      <c r="I785" s="2">
        <v>16</v>
      </c>
      <c r="J785" s="7">
        <v>148106</v>
      </c>
      <c r="K785" t="s">
        <v>62</v>
      </c>
      <c r="L785">
        <v>2</v>
      </c>
      <c r="M785" t="s">
        <v>16</v>
      </c>
      <c r="N785" t="s">
        <v>17</v>
      </c>
      <c r="O785" t="s">
        <v>41</v>
      </c>
      <c r="P785" t="s">
        <v>1489</v>
      </c>
      <c r="Q785" s="7">
        <f t="shared" si="24"/>
        <v>1777272</v>
      </c>
      <c r="R785" s="7">
        <f t="shared" si="25"/>
        <v>14810.6</v>
      </c>
    </row>
    <row r="786" spans="1:18" x14ac:dyDescent="0.35">
      <c r="A786" s="5">
        <v>780</v>
      </c>
      <c r="B786" t="s">
        <v>943</v>
      </c>
      <c r="C786" t="s">
        <v>1248</v>
      </c>
      <c r="D786" t="s">
        <v>1485</v>
      </c>
      <c r="E786" t="s">
        <v>79</v>
      </c>
      <c r="F786" s="1">
        <v>39176</v>
      </c>
      <c r="G786" s="2">
        <v>2007</v>
      </c>
      <c r="H786">
        <v>2021</v>
      </c>
      <c r="I786" s="2">
        <v>14</v>
      </c>
      <c r="J786" s="7">
        <v>135719</v>
      </c>
      <c r="K786" t="s">
        <v>394</v>
      </c>
      <c r="L786">
        <v>5</v>
      </c>
      <c r="M786" t="s">
        <v>91</v>
      </c>
      <c r="N786" t="s">
        <v>40</v>
      </c>
      <c r="O786" t="s">
        <v>41</v>
      </c>
      <c r="P786" t="s">
        <v>1489</v>
      </c>
      <c r="Q786" s="7">
        <f t="shared" si="24"/>
        <v>1628628</v>
      </c>
      <c r="R786" s="7">
        <f t="shared" si="25"/>
        <v>13571.900000000001</v>
      </c>
    </row>
    <row r="787" spans="1:18" x14ac:dyDescent="0.35">
      <c r="A787" s="5">
        <v>781</v>
      </c>
      <c r="B787" t="s">
        <v>71</v>
      </c>
      <c r="C787" t="s">
        <v>1249</v>
      </c>
      <c r="D787" t="s">
        <v>1486</v>
      </c>
      <c r="E787" t="s">
        <v>26</v>
      </c>
      <c r="F787" s="1">
        <v>45020</v>
      </c>
      <c r="G787" s="2">
        <v>2010</v>
      </c>
      <c r="H787">
        <v>2021</v>
      </c>
      <c r="I787" s="2">
        <v>11</v>
      </c>
      <c r="J787" s="7">
        <v>121300</v>
      </c>
      <c r="K787" t="s">
        <v>543</v>
      </c>
      <c r="L787">
        <v>5</v>
      </c>
      <c r="M787" t="s">
        <v>91</v>
      </c>
      <c r="N787" t="s">
        <v>40</v>
      </c>
      <c r="O787" t="s">
        <v>29</v>
      </c>
      <c r="P787" t="s">
        <v>1489</v>
      </c>
      <c r="Q787" s="7">
        <f t="shared" si="24"/>
        <v>1455600</v>
      </c>
      <c r="R787" s="7">
        <f t="shared" si="25"/>
        <v>12130</v>
      </c>
    </row>
    <row r="788" spans="1:18" x14ac:dyDescent="0.35">
      <c r="A788" s="5">
        <v>782</v>
      </c>
      <c r="B788" t="s">
        <v>127</v>
      </c>
      <c r="C788" t="s">
        <v>1250</v>
      </c>
      <c r="D788" t="s">
        <v>1485</v>
      </c>
      <c r="E788" t="s">
        <v>61</v>
      </c>
      <c r="F788" s="1">
        <v>40856</v>
      </c>
      <c r="G788" s="2">
        <v>2011</v>
      </c>
      <c r="H788">
        <v>2021</v>
      </c>
      <c r="I788" s="2">
        <v>10</v>
      </c>
      <c r="J788" s="7">
        <v>120226</v>
      </c>
      <c r="K788" t="s">
        <v>1038</v>
      </c>
      <c r="L788">
        <v>4</v>
      </c>
      <c r="M788" t="s">
        <v>55</v>
      </c>
      <c r="N788" t="s">
        <v>17</v>
      </c>
      <c r="O788" t="s">
        <v>63</v>
      </c>
      <c r="P788" t="s">
        <v>1489</v>
      </c>
      <c r="Q788" s="7">
        <f t="shared" si="24"/>
        <v>1442712</v>
      </c>
      <c r="R788" s="7">
        <f t="shared" si="25"/>
        <v>12022.6</v>
      </c>
    </row>
    <row r="789" spans="1:18" x14ac:dyDescent="0.35">
      <c r="A789" s="5">
        <v>783</v>
      </c>
      <c r="B789" t="s">
        <v>445</v>
      </c>
      <c r="C789" t="s">
        <v>1251</v>
      </c>
      <c r="D789" t="s">
        <v>1485</v>
      </c>
      <c r="E789" t="s">
        <v>26</v>
      </c>
      <c r="F789" s="1">
        <v>38212</v>
      </c>
      <c r="G789" s="2">
        <v>2004</v>
      </c>
      <c r="H789">
        <v>2021</v>
      </c>
      <c r="I789" s="2">
        <v>17</v>
      </c>
      <c r="J789" s="7">
        <v>44377</v>
      </c>
      <c r="K789" t="s">
        <v>349</v>
      </c>
      <c r="L789">
        <v>4</v>
      </c>
      <c r="M789" t="s">
        <v>55</v>
      </c>
      <c r="N789" t="s">
        <v>17</v>
      </c>
      <c r="O789" t="s">
        <v>29</v>
      </c>
      <c r="P789" t="s">
        <v>1489</v>
      </c>
      <c r="Q789" s="7">
        <f t="shared" si="24"/>
        <v>532524</v>
      </c>
      <c r="R789" s="7">
        <f t="shared" si="25"/>
        <v>4437.7</v>
      </c>
    </row>
    <row r="790" spans="1:18" x14ac:dyDescent="0.35">
      <c r="A790" s="5">
        <v>784</v>
      </c>
      <c r="B790" t="s">
        <v>445</v>
      </c>
      <c r="C790" t="s">
        <v>1252</v>
      </c>
      <c r="D790" t="s">
        <v>1485</v>
      </c>
      <c r="E790" t="s">
        <v>94</v>
      </c>
      <c r="F790" s="1">
        <v>39493</v>
      </c>
      <c r="G790" s="2">
        <v>2008</v>
      </c>
      <c r="H790">
        <v>2021</v>
      </c>
      <c r="I790" s="2">
        <v>13</v>
      </c>
      <c r="J790" s="7">
        <v>102001</v>
      </c>
      <c r="K790" t="s">
        <v>167</v>
      </c>
      <c r="L790">
        <v>4</v>
      </c>
      <c r="M790" t="s">
        <v>55</v>
      </c>
      <c r="N790" t="s">
        <v>17</v>
      </c>
      <c r="O790" t="s">
        <v>18</v>
      </c>
      <c r="P790" t="s">
        <v>1489</v>
      </c>
      <c r="Q790" s="7">
        <f t="shared" si="24"/>
        <v>1224012</v>
      </c>
      <c r="R790" s="7">
        <f t="shared" si="25"/>
        <v>10200.1</v>
      </c>
    </row>
    <row r="791" spans="1:18" x14ac:dyDescent="0.35">
      <c r="A791" s="5">
        <v>785</v>
      </c>
      <c r="B791" t="s">
        <v>589</v>
      </c>
      <c r="C791" t="s">
        <v>1253</v>
      </c>
      <c r="D791" t="s">
        <v>1485</v>
      </c>
      <c r="E791" t="s">
        <v>238</v>
      </c>
      <c r="F791" s="1">
        <v>39882</v>
      </c>
      <c r="G791" s="2">
        <v>2009</v>
      </c>
      <c r="H791">
        <v>2021</v>
      </c>
      <c r="I791" s="2">
        <v>12</v>
      </c>
      <c r="J791" s="7">
        <v>99151</v>
      </c>
      <c r="K791" t="s">
        <v>200</v>
      </c>
      <c r="L791">
        <v>1</v>
      </c>
      <c r="M791" t="s">
        <v>46</v>
      </c>
      <c r="N791" t="s">
        <v>17</v>
      </c>
      <c r="O791" t="s">
        <v>63</v>
      </c>
      <c r="P791" t="s">
        <v>1489</v>
      </c>
      <c r="Q791" s="7">
        <f t="shared" si="24"/>
        <v>1189812</v>
      </c>
      <c r="R791" s="7">
        <f t="shared" si="25"/>
        <v>9915.1</v>
      </c>
    </row>
    <row r="792" spans="1:18" x14ac:dyDescent="0.35">
      <c r="A792" s="5">
        <v>786</v>
      </c>
      <c r="B792" t="s">
        <v>131</v>
      </c>
      <c r="C792" t="s">
        <v>1254</v>
      </c>
      <c r="D792" t="s">
        <v>1485</v>
      </c>
      <c r="E792" t="s">
        <v>110</v>
      </c>
      <c r="F792" s="1">
        <v>36807</v>
      </c>
      <c r="G792" s="2">
        <v>2000</v>
      </c>
      <c r="H792">
        <v>2021</v>
      </c>
      <c r="I792" s="2">
        <v>21</v>
      </c>
      <c r="J792" s="7">
        <v>123427</v>
      </c>
      <c r="K792" t="s">
        <v>321</v>
      </c>
      <c r="L792">
        <v>4</v>
      </c>
      <c r="M792" t="s">
        <v>55</v>
      </c>
      <c r="N792" t="s">
        <v>17</v>
      </c>
      <c r="O792" t="s">
        <v>112</v>
      </c>
      <c r="P792" t="s">
        <v>1489</v>
      </c>
      <c r="Q792" s="7">
        <f t="shared" si="24"/>
        <v>1481124</v>
      </c>
      <c r="R792" s="7">
        <f t="shared" si="25"/>
        <v>12342.7</v>
      </c>
    </row>
    <row r="793" spans="1:18" x14ac:dyDescent="0.35">
      <c r="A793" s="5">
        <v>787</v>
      </c>
      <c r="B793" t="s">
        <v>47</v>
      </c>
      <c r="C793" t="s">
        <v>1255</v>
      </c>
      <c r="D793" t="s">
        <v>1486</v>
      </c>
      <c r="E793" t="s">
        <v>44</v>
      </c>
      <c r="F793" s="1">
        <v>37689</v>
      </c>
      <c r="G793" s="2">
        <v>2003</v>
      </c>
      <c r="H793">
        <v>2021</v>
      </c>
      <c r="I793" s="2">
        <v>18</v>
      </c>
      <c r="J793" s="7">
        <v>135695</v>
      </c>
      <c r="K793" t="s">
        <v>916</v>
      </c>
      <c r="L793">
        <v>6</v>
      </c>
      <c r="M793" t="s">
        <v>50</v>
      </c>
      <c r="N793" t="s">
        <v>40</v>
      </c>
      <c r="O793" t="s">
        <v>29</v>
      </c>
      <c r="P793" t="s">
        <v>1489</v>
      </c>
      <c r="Q793" s="7">
        <f t="shared" si="24"/>
        <v>1628340</v>
      </c>
      <c r="R793" s="7">
        <f t="shared" si="25"/>
        <v>13569.5</v>
      </c>
    </row>
    <row r="794" spans="1:18" x14ac:dyDescent="0.35">
      <c r="A794" s="5">
        <v>788</v>
      </c>
      <c r="B794" t="s">
        <v>42</v>
      </c>
      <c r="C794" t="s">
        <v>1256</v>
      </c>
      <c r="D794" t="s">
        <v>1486</v>
      </c>
      <c r="E794" t="s">
        <v>53</v>
      </c>
      <c r="F794" s="1">
        <v>38106</v>
      </c>
      <c r="G794" s="2">
        <v>2004</v>
      </c>
      <c r="H794">
        <v>2021</v>
      </c>
      <c r="I794" s="2">
        <v>17</v>
      </c>
      <c r="J794" s="7">
        <v>102793</v>
      </c>
      <c r="K794" t="s">
        <v>179</v>
      </c>
      <c r="L794">
        <v>4</v>
      </c>
      <c r="M794" t="s">
        <v>55</v>
      </c>
      <c r="N794" t="s">
        <v>17</v>
      </c>
      <c r="O794" t="s">
        <v>23</v>
      </c>
      <c r="P794" t="s">
        <v>1489</v>
      </c>
      <c r="Q794" s="7">
        <f t="shared" si="24"/>
        <v>1233516</v>
      </c>
      <c r="R794" s="7">
        <f t="shared" si="25"/>
        <v>10279.300000000001</v>
      </c>
    </row>
    <row r="795" spans="1:18" x14ac:dyDescent="0.35">
      <c r="A795" s="5">
        <v>789</v>
      </c>
      <c r="B795" t="s">
        <v>56</v>
      </c>
      <c r="C795" t="s">
        <v>1257</v>
      </c>
      <c r="D795" t="s">
        <v>1485</v>
      </c>
      <c r="E795" t="s">
        <v>69</v>
      </c>
      <c r="F795" s="1">
        <v>38431</v>
      </c>
      <c r="G795" s="2">
        <v>2005</v>
      </c>
      <c r="H795">
        <v>2021</v>
      </c>
      <c r="I795" s="2">
        <v>16</v>
      </c>
      <c r="J795" s="7">
        <v>130188</v>
      </c>
      <c r="K795" t="s">
        <v>490</v>
      </c>
      <c r="L795">
        <v>1</v>
      </c>
      <c r="M795" t="s">
        <v>46</v>
      </c>
      <c r="N795" t="s">
        <v>17</v>
      </c>
      <c r="O795" t="s">
        <v>41</v>
      </c>
      <c r="P795" t="s">
        <v>1489</v>
      </c>
      <c r="Q795" s="7">
        <f t="shared" si="24"/>
        <v>1562256</v>
      </c>
      <c r="R795" s="7">
        <f t="shared" si="25"/>
        <v>13018.800000000001</v>
      </c>
    </row>
    <row r="796" spans="1:18" x14ac:dyDescent="0.35">
      <c r="A796" s="5">
        <v>790</v>
      </c>
      <c r="B796" t="s">
        <v>30</v>
      </c>
      <c r="C796" t="s">
        <v>1258</v>
      </c>
      <c r="D796" t="s">
        <v>1486</v>
      </c>
      <c r="E796" t="s">
        <v>89</v>
      </c>
      <c r="F796" s="1">
        <v>46137</v>
      </c>
      <c r="G796" s="2">
        <v>2013</v>
      </c>
      <c r="H796">
        <v>2021</v>
      </c>
      <c r="I796" s="2">
        <v>8</v>
      </c>
      <c r="J796" s="7">
        <v>97607</v>
      </c>
      <c r="K796" t="s">
        <v>381</v>
      </c>
      <c r="L796">
        <v>3</v>
      </c>
      <c r="M796" t="s">
        <v>28</v>
      </c>
      <c r="N796" t="s">
        <v>17</v>
      </c>
      <c r="O796" t="s">
        <v>41</v>
      </c>
      <c r="P796" t="s">
        <v>1489</v>
      </c>
      <c r="Q796" s="7">
        <f t="shared" si="24"/>
        <v>1171284</v>
      </c>
      <c r="R796" s="7">
        <f t="shared" si="25"/>
        <v>9760.7000000000007</v>
      </c>
    </row>
    <row r="797" spans="1:18" x14ac:dyDescent="0.35">
      <c r="A797" s="5">
        <v>791</v>
      </c>
      <c r="B797" t="s">
        <v>42</v>
      </c>
      <c r="C797" t="s">
        <v>1259</v>
      </c>
      <c r="D797" t="s">
        <v>1486</v>
      </c>
      <c r="E797" t="s">
        <v>21</v>
      </c>
      <c r="F797" s="1">
        <v>46367</v>
      </c>
      <c r="G797" s="2">
        <v>2013</v>
      </c>
      <c r="H797">
        <v>2021</v>
      </c>
      <c r="I797" s="2">
        <v>8</v>
      </c>
      <c r="J797" s="7">
        <v>93534</v>
      </c>
      <c r="K797" t="s">
        <v>992</v>
      </c>
      <c r="L797">
        <v>1</v>
      </c>
      <c r="M797" t="s">
        <v>46</v>
      </c>
      <c r="N797" t="s">
        <v>17</v>
      </c>
      <c r="O797" t="s">
        <v>23</v>
      </c>
      <c r="P797" t="s">
        <v>1489</v>
      </c>
      <c r="Q797" s="7">
        <f t="shared" si="24"/>
        <v>1122408</v>
      </c>
      <c r="R797" s="7">
        <f t="shared" si="25"/>
        <v>9353.4</v>
      </c>
    </row>
    <row r="798" spans="1:18" x14ac:dyDescent="0.35">
      <c r="A798" s="5">
        <v>792</v>
      </c>
      <c r="B798" t="s">
        <v>682</v>
      </c>
      <c r="C798" t="s">
        <v>1260</v>
      </c>
      <c r="D798" t="s">
        <v>1485</v>
      </c>
      <c r="E798" t="s">
        <v>100</v>
      </c>
      <c r="F798" s="1">
        <v>39345</v>
      </c>
      <c r="G798" s="2">
        <v>2007</v>
      </c>
      <c r="H798">
        <v>2021</v>
      </c>
      <c r="I798" s="2">
        <v>14</v>
      </c>
      <c r="J798" s="7">
        <v>95787</v>
      </c>
      <c r="K798" t="s">
        <v>493</v>
      </c>
      <c r="L798">
        <v>2</v>
      </c>
      <c r="M798" t="s">
        <v>16</v>
      </c>
      <c r="N798" t="s">
        <v>17</v>
      </c>
      <c r="O798" t="s">
        <v>29</v>
      </c>
      <c r="P798" t="s">
        <v>1489</v>
      </c>
      <c r="Q798" s="7">
        <f t="shared" si="24"/>
        <v>1149444</v>
      </c>
      <c r="R798" s="7">
        <f t="shared" si="25"/>
        <v>9578.7000000000007</v>
      </c>
    </row>
    <row r="799" spans="1:18" x14ac:dyDescent="0.35">
      <c r="A799" s="5">
        <v>793</v>
      </c>
      <c r="B799" t="s">
        <v>108</v>
      </c>
      <c r="C799" t="s">
        <v>1261</v>
      </c>
      <c r="D799" t="s">
        <v>1486</v>
      </c>
      <c r="E799" t="s">
        <v>79</v>
      </c>
      <c r="F799" s="1">
        <v>45398</v>
      </c>
      <c r="G799" s="2">
        <v>2011</v>
      </c>
      <c r="H799">
        <v>2021</v>
      </c>
      <c r="I799" s="2">
        <v>10</v>
      </c>
      <c r="J799" s="7">
        <v>120086</v>
      </c>
      <c r="K799" t="s">
        <v>497</v>
      </c>
      <c r="L799">
        <v>6</v>
      </c>
      <c r="M799" t="s">
        <v>50</v>
      </c>
      <c r="N799" t="s">
        <v>40</v>
      </c>
      <c r="O799" t="s">
        <v>41</v>
      </c>
      <c r="P799" t="s">
        <v>1489</v>
      </c>
      <c r="Q799" s="7">
        <f t="shared" si="24"/>
        <v>1441032</v>
      </c>
      <c r="R799" s="7">
        <f t="shared" si="25"/>
        <v>12008.6</v>
      </c>
    </row>
    <row r="800" spans="1:18" x14ac:dyDescent="0.35">
      <c r="A800" s="5">
        <v>794</v>
      </c>
      <c r="B800" t="s">
        <v>412</v>
      </c>
      <c r="C800" t="s">
        <v>1262</v>
      </c>
      <c r="D800" t="s">
        <v>1486</v>
      </c>
      <c r="E800" t="s">
        <v>148</v>
      </c>
      <c r="F800" s="1">
        <v>44562</v>
      </c>
      <c r="G800" s="2">
        <v>2009</v>
      </c>
      <c r="H800">
        <v>2021</v>
      </c>
      <c r="I800" s="2">
        <v>12</v>
      </c>
      <c r="J800" s="7">
        <v>119414</v>
      </c>
      <c r="K800" t="s">
        <v>904</v>
      </c>
      <c r="L800">
        <v>1</v>
      </c>
      <c r="M800" t="s">
        <v>46</v>
      </c>
      <c r="N800" t="s">
        <v>17</v>
      </c>
      <c r="O800" t="s">
        <v>112</v>
      </c>
      <c r="P800" t="s">
        <v>1489</v>
      </c>
      <c r="Q800" s="7">
        <f t="shared" si="24"/>
        <v>1432968</v>
      </c>
      <c r="R800" s="7">
        <f t="shared" si="25"/>
        <v>11941.400000000001</v>
      </c>
    </row>
    <row r="801" spans="1:18" x14ac:dyDescent="0.35">
      <c r="A801" s="5">
        <v>795</v>
      </c>
      <c r="B801" t="s">
        <v>934</v>
      </c>
      <c r="C801" t="s">
        <v>1263</v>
      </c>
      <c r="D801" t="s">
        <v>1486</v>
      </c>
      <c r="E801" t="s">
        <v>110</v>
      </c>
      <c r="F801" s="1">
        <v>44451</v>
      </c>
      <c r="G801" s="2">
        <v>2008</v>
      </c>
      <c r="H801">
        <v>2021</v>
      </c>
      <c r="I801" s="2">
        <v>13</v>
      </c>
      <c r="J801" s="7">
        <v>79952</v>
      </c>
      <c r="K801" t="s">
        <v>74</v>
      </c>
      <c r="L801">
        <v>4</v>
      </c>
      <c r="M801" t="s">
        <v>55</v>
      </c>
      <c r="N801" t="s">
        <v>17</v>
      </c>
      <c r="O801" t="s">
        <v>112</v>
      </c>
      <c r="P801" t="s">
        <v>1489</v>
      </c>
      <c r="Q801" s="7">
        <f t="shared" si="24"/>
        <v>959424</v>
      </c>
      <c r="R801" s="7">
        <f t="shared" si="25"/>
        <v>7995.2000000000007</v>
      </c>
    </row>
    <row r="802" spans="1:18" x14ac:dyDescent="0.35">
      <c r="A802" s="5">
        <v>796</v>
      </c>
      <c r="B802" t="s">
        <v>118</v>
      </c>
      <c r="C802" t="s">
        <v>1264</v>
      </c>
      <c r="D802" t="s">
        <v>1485</v>
      </c>
      <c r="E802" t="s">
        <v>129</v>
      </c>
      <c r="F802" s="1">
        <v>38216</v>
      </c>
      <c r="G802" s="2">
        <v>2004</v>
      </c>
      <c r="H802">
        <v>2021</v>
      </c>
      <c r="I802" s="2">
        <v>17</v>
      </c>
      <c r="J802" s="7">
        <v>138682</v>
      </c>
      <c r="K802" t="s">
        <v>425</v>
      </c>
      <c r="L802">
        <v>7</v>
      </c>
      <c r="M802" t="s">
        <v>39</v>
      </c>
      <c r="N802" t="s">
        <v>40</v>
      </c>
      <c r="O802" t="s">
        <v>41</v>
      </c>
      <c r="P802" t="s">
        <v>1489</v>
      </c>
      <c r="Q802" s="7">
        <f t="shared" si="24"/>
        <v>1664184</v>
      </c>
      <c r="R802" s="7">
        <f t="shared" si="25"/>
        <v>13868.2</v>
      </c>
    </row>
    <row r="803" spans="1:18" x14ac:dyDescent="0.35">
      <c r="A803" s="5">
        <v>797</v>
      </c>
      <c r="B803" t="s">
        <v>772</v>
      </c>
      <c r="C803" t="s">
        <v>1265</v>
      </c>
      <c r="D803" t="s">
        <v>1486</v>
      </c>
      <c r="E803" t="s">
        <v>203</v>
      </c>
      <c r="F803" s="1">
        <v>37761</v>
      </c>
      <c r="G803" s="2">
        <v>2003</v>
      </c>
      <c r="H803">
        <v>2021</v>
      </c>
      <c r="I803" s="2">
        <v>18</v>
      </c>
      <c r="J803" s="7">
        <v>49667</v>
      </c>
      <c r="K803" t="s">
        <v>581</v>
      </c>
      <c r="L803">
        <v>6</v>
      </c>
      <c r="M803" t="s">
        <v>50</v>
      </c>
      <c r="N803" t="s">
        <v>40</v>
      </c>
      <c r="O803" t="s">
        <v>41</v>
      </c>
      <c r="P803" t="s">
        <v>1489</v>
      </c>
      <c r="Q803" s="7">
        <f t="shared" si="24"/>
        <v>596004</v>
      </c>
      <c r="R803" s="7">
        <f t="shared" si="25"/>
        <v>4966.7000000000007</v>
      </c>
    </row>
    <row r="804" spans="1:18" x14ac:dyDescent="0.35">
      <c r="A804" s="5">
        <v>798</v>
      </c>
      <c r="B804" t="s">
        <v>1008</v>
      </c>
      <c r="C804" t="s">
        <v>1266</v>
      </c>
      <c r="D804" t="s">
        <v>1485</v>
      </c>
      <c r="E804" t="s">
        <v>110</v>
      </c>
      <c r="F804" s="1">
        <v>39642</v>
      </c>
      <c r="G804" s="2">
        <v>2008</v>
      </c>
      <c r="H804">
        <v>2021</v>
      </c>
      <c r="I804" s="2">
        <v>13</v>
      </c>
      <c r="J804" s="7">
        <v>83798</v>
      </c>
      <c r="K804" t="s">
        <v>349</v>
      </c>
      <c r="L804">
        <v>5</v>
      </c>
      <c r="M804" t="s">
        <v>91</v>
      </c>
      <c r="N804" t="s">
        <v>40</v>
      </c>
      <c r="O804" t="s">
        <v>112</v>
      </c>
      <c r="P804" t="s">
        <v>1489</v>
      </c>
      <c r="Q804" s="7">
        <f t="shared" si="24"/>
        <v>1005576</v>
      </c>
      <c r="R804" s="7">
        <f t="shared" si="25"/>
        <v>8379.8000000000011</v>
      </c>
    </row>
    <row r="805" spans="1:18" x14ac:dyDescent="0.35">
      <c r="A805" s="5">
        <v>799</v>
      </c>
      <c r="B805" t="s">
        <v>333</v>
      </c>
      <c r="C805" t="s">
        <v>1267</v>
      </c>
      <c r="D805" t="s">
        <v>1486</v>
      </c>
      <c r="E805" t="s">
        <v>69</v>
      </c>
      <c r="F805" s="1">
        <v>46090</v>
      </c>
      <c r="G805" s="2">
        <v>2013</v>
      </c>
      <c r="H805">
        <v>2021</v>
      </c>
      <c r="I805" s="2">
        <v>8</v>
      </c>
      <c r="J805" s="7">
        <v>146024</v>
      </c>
      <c r="K805" t="s">
        <v>908</v>
      </c>
      <c r="L805">
        <v>7</v>
      </c>
      <c r="M805" t="s">
        <v>39</v>
      </c>
      <c r="N805" t="s">
        <v>40</v>
      </c>
      <c r="O805" t="s">
        <v>41</v>
      </c>
      <c r="P805" t="s">
        <v>1489</v>
      </c>
      <c r="Q805" s="7">
        <f t="shared" si="24"/>
        <v>1752288</v>
      </c>
      <c r="R805" s="7">
        <f t="shared" si="25"/>
        <v>14602.400000000001</v>
      </c>
    </row>
    <row r="806" spans="1:18" x14ac:dyDescent="0.35">
      <c r="A806" s="5">
        <v>800</v>
      </c>
      <c r="B806" t="s">
        <v>519</v>
      </c>
      <c r="C806" t="s">
        <v>1268</v>
      </c>
      <c r="D806" t="s">
        <v>1485</v>
      </c>
      <c r="E806" t="s">
        <v>148</v>
      </c>
      <c r="F806" s="1">
        <v>36777</v>
      </c>
      <c r="G806" s="2">
        <v>2000</v>
      </c>
      <c r="H806">
        <v>2021</v>
      </c>
      <c r="I806" s="2">
        <v>21</v>
      </c>
      <c r="J806" s="7">
        <v>144841</v>
      </c>
      <c r="K806" t="s">
        <v>228</v>
      </c>
      <c r="L806">
        <v>4</v>
      </c>
      <c r="M806" t="s">
        <v>55</v>
      </c>
      <c r="N806" t="s">
        <v>17</v>
      </c>
      <c r="O806" t="s">
        <v>112</v>
      </c>
      <c r="P806" t="s">
        <v>1489</v>
      </c>
      <c r="Q806" s="7">
        <f t="shared" si="24"/>
        <v>1738092</v>
      </c>
      <c r="R806" s="7">
        <f t="shared" si="25"/>
        <v>14484.1</v>
      </c>
    </row>
    <row r="807" spans="1:18" x14ac:dyDescent="0.35">
      <c r="A807" s="5">
        <v>801</v>
      </c>
      <c r="B807" t="s">
        <v>275</v>
      </c>
      <c r="C807" t="s">
        <v>1269</v>
      </c>
      <c r="D807" t="s">
        <v>1486</v>
      </c>
      <c r="E807" t="s">
        <v>61</v>
      </c>
      <c r="F807" s="1">
        <v>45920</v>
      </c>
      <c r="G807" s="2">
        <v>2012</v>
      </c>
      <c r="H807">
        <v>2021</v>
      </c>
      <c r="I807" s="2">
        <v>9</v>
      </c>
      <c r="J807" s="7">
        <v>101582</v>
      </c>
      <c r="K807" t="s">
        <v>1270</v>
      </c>
      <c r="L807">
        <v>7</v>
      </c>
      <c r="M807" t="s">
        <v>39</v>
      </c>
      <c r="N807" t="s">
        <v>40</v>
      </c>
      <c r="O807" t="s">
        <v>63</v>
      </c>
      <c r="P807" t="s">
        <v>1489</v>
      </c>
      <c r="Q807" s="7">
        <f t="shared" si="24"/>
        <v>1218984</v>
      </c>
      <c r="R807" s="7">
        <f t="shared" si="25"/>
        <v>10158.200000000001</v>
      </c>
    </row>
    <row r="808" spans="1:18" x14ac:dyDescent="0.35">
      <c r="A808" s="5">
        <v>802</v>
      </c>
      <c r="B808" t="s">
        <v>236</v>
      </c>
      <c r="C808" t="s">
        <v>1271</v>
      </c>
      <c r="D808" t="s">
        <v>1486</v>
      </c>
      <c r="E808" t="s">
        <v>61</v>
      </c>
      <c r="F808" s="1">
        <v>38867</v>
      </c>
      <c r="G808" s="2">
        <v>2006</v>
      </c>
      <c r="H808">
        <v>2021</v>
      </c>
      <c r="I808" s="2">
        <v>15</v>
      </c>
      <c r="J808" s="7">
        <v>100716</v>
      </c>
      <c r="K808" t="s">
        <v>327</v>
      </c>
      <c r="L808">
        <v>3</v>
      </c>
      <c r="M808" t="s">
        <v>28</v>
      </c>
      <c r="N808" t="s">
        <v>17</v>
      </c>
      <c r="O808" t="s">
        <v>63</v>
      </c>
      <c r="P808" t="s">
        <v>1489</v>
      </c>
      <c r="Q808" s="7">
        <f t="shared" si="24"/>
        <v>1208592</v>
      </c>
      <c r="R808" s="7">
        <f t="shared" si="25"/>
        <v>10071.6</v>
      </c>
    </row>
    <row r="809" spans="1:18" x14ac:dyDescent="0.35">
      <c r="A809" s="5">
        <v>803</v>
      </c>
      <c r="B809" t="s">
        <v>288</v>
      </c>
      <c r="C809" t="s">
        <v>1272</v>
      </c>
      <c r="D809" t="s">
        <v>1486</v>
      </c>
      <c r="E809" t="s">
        <v>129</v>
      </c>
      <c r="F809" s="1">
        <v>45367</v>
      </c>
      <c r="G809" s="2">
        <v>2011</v>
      </c>
      <c r="H809">
        <v>2021</v>
      </c>
      <c r="I809" s="2">
        <v>10</v>
      </c>
      <c r="J809" s="7">
        <v>72016</v>
      </c>
      <c r="K809" t="s">
        <v>598</v>
      </c>
      <c r="L809">
        <v>4</v>
      </c>
      <c r="M809" t="s">
        <v>55</v>
      </c>
      <c r="N809" t="s">
        <v>17</v>
      </c>
      <c r="O809" t="s">
        <v>41</v>
      </c>
      <c r="P809" t="s">
        <v>1489</v>
      </c>
      <c r="Q809" s="7">
        <f t="shared" si="24"/>
        <v>864192</v>
      </c>
      <c r="R809" s="7">
        <f t="shared" si="25"/>
        <v>7201.6</v>
      </c>
    </row>
    <row r="810" spans="1:18" x14ac:dyDescent="0.35">
      <c r="A810" s="5">
        <v>804</v>
      </c>
      <c r="B810" t="s">
        <v>650</v>
      </c>
      <c r="C810" t="s">
        <v>1273</v>
      </c>
      <c r="D810" t="s">
        <v>1486</v>
      </c>
      <c r="E810" t="s">
        <v>122</v>
      </c>
      <c r="F810" s="1">
        <v>38564</v>
      </c>
      <c r="G810" s="2">
        <v>2005</v>
      </c>
      <c r="H810">
        <v>2021</v>
      </c>
      <c r="I810" s="2">
        <v>16</v>
      </c>
      <c r="J810" s="7">
        <v>123156</v>
      </c>
      <c r="K810" t="s">
        <v>472</v>
      </c>
      <c r="L810">
        <v>1</v>
      </c>
      <c r="M810" t="s">
        <v>46</v>
      </c>
      <c r="N810" t="s">
        <v>17</v>
      </c>
      <c r="O810" t="s">
        <v>123</v>
      </c>
      <c r="P810" t="s">
        <v>1489</v>
      </c>
      <c r="Q810" s="7">
        <f t="shared" si="24"/>
        <v>1477872</v>
      </c>
      <c r="R810" s="7">
        <f t="shared" si="25"/>
        <v>12315.6</v>
      </c>
    </row>
    <row r="811" spans="1:18" x14ac:dyDescent="0.35">
      <c r="A811" s="5">
        <v>805</v>
      </c>
      <c r="B811" t="s">
        <v>480</v>
      </c>
      <c r="C811" t="s">
        <v>1274</v>
      </c>
      <c r="D811" t="s">
        <v>1485</v>
      </c>
      <c r="E811" t="s">
        <v>73</v>
      </c>
      <c r="F811" s="1">
        <v>41864</v>
      </c>
      <c r="G811" s="2">
        <v>2014</v>
      </c>
      <c r="H811">
        <v>2021</v>
      </c>
      <c r="I811" s="2">
        <v>7</v>
      </c>
      <c r="J811" s="7">
        <v>110058</v>
      </c>
      <c r="K811" t="s">
        <v>115</v>
      </c>
      <c r="L811">
        <v>1</v>
      </c>
      <c r="M811" t="s">
        <v>46</v>
      </c>
      <c r="N811" t="s">
        <v>17</v>
      </c>
      <c r="O811" t="s">
        <v>41</v>
      </c>
      <c r="P811" t="s">
        <v>1489</v>
      </c>
      <c r="Q811" s="7">
        <f t="shared" si="24"/>
        <v>1320696</v>
      </c>
      <c r="R811" s="7">
        <f t="shared" si="25"/>
        <v>11005.800000000001</v>
      </c>
    </row>
    <row r="812" spans="1:18" x14ac:dyDescent="0.35">
      <c r="A812" s="5">
        <v>806</v>
      </c>
      <c r="B812" t="s">
        <v>1187</v>
      </c>
      <c r="C812" t="s">
        <v>1275</v>
      </c>
      <c r="D812" t="s">
        <v>1485</v>
      </c>
      <c r="E812" t="s">
        <v>312</v>
      </c>
      <c r="F812" s="1">
        <v>40892</v>
      </c>
      <c r="G812" s="2">
        <v>2011</v>
      </c>
      <c r="H812">
        <v>2021</v>
      </c>
      <c r="I812" s="2">
        <v>10</v>
      </c>
      <c r="J812" s="7">
        <v>117092</v>
      </c>
      <c r="K812" t="s">
        <v>459</v>
      </c>
      <c r="L812">
        <v>5</v>
      </c>
      <c r="M812" t="s">
        <v>91</v>
      </c>
      <c r="N812" t="s">
        <v>40</v>
      </c>
      <c r="O812" t="s">
        <v>41</v>
      </c>
      <c r="P812" t="s">
        <v>1489</v>
      </c>
      <c r="Q812" s="7">
        <f t="shared" si="24"/>
        <v>1405104</v>
      </c>
      <c r="R812" s="7">
        <f t="shared" si="25"/>
        <v>11709.2</v>
      </c>
    </row>
    <row r="813" spans="1:18" x14ac:dyDescent="0.35">
      <c r="A813" s="5">
        <v>807</v>
      </c>
      <c r="B813" t="s">
        <v>363</v>
      </c>
      <c r="C813" t="s">
        <v>1276</v>
      </c>
      <c r="D813" t="s">
        <v>1485</v>
      </c>
      <c r="E813" t="s">
        <v>100</v>
      </c>
      <c r="F813" s="1">
        <v>38701</v>
      </c>
      <c r="G813" s="2">
        <v>2005</v>
      </c>
      <c r="H813">
        <v>2021</v>
      </c>
      <c r="I813" s="2">
        <v>16</v>
      </c>
      <c r="J813" s="7">
        <v>148816</v>
      </c>
      <c r="K813" t="s">
        <v>235</v>
      </c>
      <c r="L813">
        <v>4</v>
      </c>
      <c r="M813" t="s">
        <v>55</v>
      </c>
      <c r="N813" t="s">
        <v>17</v>
      </c>
      <c r="O813" t="s">
        <v>29</v>
      </c>
      <c r="P813" t="s">
        <v>1489</v>
      </c>
      <c r="Q813" s="7">
        <f t="shared" si="24"/>
        <v>1785792</v>
      </c>
      <c r="R813" s="7">
        <f t="shared" si="25"/>
        <v>14881.6</v>
      </c>
    </row>
    <row r="814" spans="1:18" x14ac:dyDescent="0.35">
      <c r="A814" s="5">
        <v>808</v>
      </c>
      <c r="B814" t="s">
        <v>224</v>
      </c>
      <c r="C814" t="s">
        <v>1277</v>
      </c>
      <c r="D814" t="s">
        <v>1486</v>
      </c>
      <c r="E814" t="s">
        <v>79</v>
      </c>
      <c r="F814" s="1">
        <v>44665</v>
      </c>
      <c r="G814" s="2">
        <v>2009</v>
      </c>
      <c r="H814">
        <v>2021</v>
      </c>
      <c r="I814" s="2">
        <v>12</v>
      </c>
      <c r="J814" s="7">
        <v>79031</v>
      </c>
      <c r="K814" t="s">
        <v>169</v>
      </c>
      <c r="L814">
        <v>3</v>
      </c>
      <c r="M814" t="s">
        <v>28</v>
      </c>
      <c r="N814" t="s">
        <v>17</v>
      </c>
      <c r="O814" t="s">
        <v>41</v>
      </c>
      <c r="P814" t="s">
        <v>1489</v>
      </c>
      <c r="Q814" s="7">
        <f t="shared" si="24"/>
        <v>948372</v>
      </c>
      <c r="R814" s="7">
        <f t="shared" si="25"/>
        <v>7903.1</v>
      </c>
    </row>
    <row r="815" spans="1:18" x14ac:dyDescent="0.35">
      <c r="A815" s="5">
        <v>809</v>
      </c>
      <c r="B815" t="s">
        <v>465</v>
      </c>
      <c r="C815" t="s">
        <v>1278</v>
      </c>
      <c r="D815" t="s">
        <v>1485</v>
      </c>
      <c r="E815" t="s">
        <v>26</v>
      </c>
      <c r="F815" s="1">
        <v>38938</v>
      </c>
      <c r="G815" s="2">
        <v>2006</v>
      </c>
      <c r="H815">
        <v>2021</v>
      </c>
      <c r="I815" s="2">
        <v>15</v>
      </c>
      <c r="J815" s="7">
        <v>128448</v>
      </c>
      <c r="K815" t="s">
        <v>349</v>
      </c>
      <c r="L815">
        <v>3</v>
      </c>
      <c r="M815" t="s">
        <v>28</v>
      </c>
      <c r="N815" t="s">
        <v>17</v>
      </c>
      <c r="O815" t="s">
        <v>29</v>
      </c>
      <c r="P815" t="s">
        <v>1489</v>
      </c>
      <c r="Q815" s="7">
        <f t="shared" si="24"/>
        <v>1541376</v>
      </c>
      <c r="R815" s="7">
        <f t="shared" si="25"/>
        <v>12844.800000000001</v>
      </c>
    </row>
    <row r="816" spans="1:18" x14ac:dyDescent="0.35">
      <c r="A816" s="5">
        <v>810</v>
      </c>
      <c r="B816" t="s">
        <v>521</v>
      </c>
      <c r="C816" t="s">
        <v>1279</v>
      </c>
      <c r="D816" t="s">
        <v>1486</v>
      </c>
      <c r="E816" t="s">
        <v>203</v>
      </c>
      <c r="F816" s="1">
        <v>46029</v>
      </c>
      <c r="G816" s="2">
        <v>2013</v>
      </c>
      <c r="H816">
        <v>2021</v>
      </c>
      <c r="I816" s="2">
        <v>8</v>
      </c>
      <c r="J816" s="7">
        <v>138478</v>
      </c>
      <c r="K816" t="s">
        <v>1071</v>
      </c>
      <c r="L816">
        <v>4</v>
      </c>
      <c r="M816" t="s">
        <v>55</v>
      </c>
      <c r="N816" t="s">
        <v>17</v>
      </c>
      <c r="O816" t="s">
        <v>41</v>
      </c>
      <c r="P816" t="s">
        <v>1489</v>
      </c>
      <c r="Q816" s="7">
        <f t="shared" si="24"/>
        <v>1661736</v>
      </c>
      <c r="R816" s="7">
        <f t="shared" si="25"/>
        <v>13847.800000000001</v>
      </c>
    </row>
    <row r="817" spans="1:18" x14ac:dyDescent="0.35">
      <c r="A817" s="5">
        <v>811</v>
      </c>
      <c r="B817" t="s">
        <v>474</v>
      </c>
      <c r="C817" t="s">
        <v>1280</v>
      </c>
      <c r="D817" t="s">
        <v>1485</v>
      </c>
      <c r="E817" t="s">
        <v>32</v>
      </c>
      <c r="F817" s="1">
        <v>40459</v>
      </c>
      <c r="G817" s="2">
        <v>2010</v>
      </c>
      <c r="H817">
        <v>2021</v>
      </c>
      <c r="I817" s="3">
        <v>11</v>
      </c>
      <c r="J817" s="7">
        <v>41026</v>
      </c>
      <c r="K817" t="s">
        <v>497</v>
      </c>
      <c r="L817">
        <v>1</v>
      </c>
      <c r="M817" t="s">
        <v>46</v>
      </c>
      <c r="N817" t="s">
        <v>17</v>
      </c>
      <c r="O817" t="s">
        <v>34</v>
      </c>
      <c r="P817" t="s">
        <v>1489</v>
      </c>
      <c r="Q817" s="7">
        <f t="shared" si="24"/>
        <v>492312</v>
      </c>
      <c r="R817" s="7">
        <f t="shared" si="25"/>
        <v>4102.6000000000004</v>
      </c>
    </row>
    <row r="818" spans="1:18" x14ac:dyDescent="0.35">
      <c r="A818" s="5">
        <v>812</v>
      </c>
      <c r="B818" t="s">
        <v>375</v>
      </c>
      <c r="C818" t="s">
        <v>1281</v>
      </c>
      <c r="D818" t="s">
        <v>1485</v>
      </c>
      <c r="E818" t="s">
        <v>129</v>
      </c>
      <c r="F818" s="1">
        <v>38985</v>
      </c>
      <c r="G818" s="2">
        <v>2006</v>
      </c>
      <c r="H818">
        <v>2021</v>
      </c>
      <c r="I818" s="2">
        <v>15</v>
      </c>
      <c r="J818" s="7">
        <v>131816</v>
      </c>
      <c r="K818" t="s">
        <v>62</v>
      </c>
      <c r="L818">
        <v>1</v>
      </c>
      <c r="M818" t="s">
        <v>46</v>
      </c>
      <c r="N818" t="s">
        <v>17</v>
      </c>
      <c r="O818" t="s">
        <v>41</v>
      </c>
      <c r="P818" t="s">
        <v>1489</v>
      </c>
      <c r="Q818" s="7">
        <f t="shared" si="24"/>
        <v>1581792</v>
      </c>
      <c r="R818" s="7">
        <f t="shared" si="25"/>
        <v>13181.6</v>
      </c>
    </row>
    <row r="819" spans="1:18" x14ac:dyDescent="0.35">
      <c r="A819" s="5">
        <v>813</v>
      </c>
      <c r="B819" t="s">
        <v>1282</v>
      </c>
      <c r="C819" t="s">
        <v>1283</v>
      </c>
      <c r="D819" t="s">
        <v>1486</v>
      </c>
      <c r="E819" t="s">
        <v>37</v>
      </c>
      <c r="F819" s="1">
        <v>46337</v>
      </c>
      <c r="G819" s="2">
        <v>2013</v>
      </c>
      <c r="H819">
        <v>2021</v>
      </c>
      <c r="I819" s="2">
        <v>8</v>
      </c>
      <c r="J819" s="7">
        <v>85647</v>
      </c>
      <c r="K819" t="s">
        <v>344</v>
      </c>
      <c r="L819">
        <v>6</v>
      </c>
      <c r="M819" t="s">
        <v>50</v>
      </c>
      <c r="N819" t="s">
        <v>40</v>
      </c>
      <c r="O819" t="s">
        <v>41</v>
      </c>
      <c r="P819" t="s">
        <v>1489</v>
      </c>
      <c r="Q819" s="7">
        <f t="shared" si="24"/>
        <v>1027764</v>
      </c>
      <c r="R819" s="7">
        <f t="shared" si="25"/>
        <v>8564.7000000000007</v>
      </c>
    </row>
    <row r="820" spans="1:18" x14ac:dyDescent="0.35">
      <c r="A820" s="5">
        <v>814</v>
      </c>
      <c r="B820" t="s">
        <v>423</v>
      </c>
      <c r="C820" t="s">
        <v>1284</v>
      </c>
      <c r="D820" t="s">
        <v>1485</v>
      </c>
      <c r="E820" t="s">
        <v>32</v>
      </c>
      <c r="F820" s="1">
        <v>36584</v>
      </c>
      <c r="G820" s="2">
        <v>2000</v>
      </c>
      <c r="H820">
        <v>2021</v>
      </c>
      <c r="I820" s="3">
        <v>21</v>
      </c>
      <c r="J820" s="7">
        <v>49457</v>
      </c>
      <c r="K820" t="s">
        <v>74</v>
      </c>
      <c r="L820">
        <v>4</v>
      </c>
      <c r="M820" t="s">
        <v>55</v>
      </c>
      <c r="N820" t="s">
        <v>17</v>
      </c>
      <c r="O820" t="s">
        <v>34</v>
      </c>
      <c r="P820" t="s">
        <v>1489</v>
      </c>
      <c r="Q820" s="7">
        <f t="shared" si="24"/>
        <v>593484</v>
      </c>
      <c r="R820" s="7">
        <f t="shared" si="25"/>
        <v>4945.7000000000007</v>
      </c>
    </row>
    <row r="821" spans="1:18" x14ac:dyDescent="0.35">
      <c r="A821" s="5">
        <v>815</v>
      </c>
      <c r="B821" t="s">
        <v>358</v>
      </c>
      <c r="C821" t="s">
        <v>1285</v>
      </c>
      <c r="D821" t="s">
        <v>1486</v>
      </c>
      <c r="E821" t="s">
        <v>110</v>
      </c>
      <c r="F821" s="1">
        <v>46661</v>
      </c>
      <c r="G821" s="2">
        <v>2014</v>
      </c>
      <c r="H821">
        <v>2021</v>
      </c>
      <c r="I821" s="2">
        <v>7</v>
      </c>
      <c r="J821" s="7">
        <v>80763</v>
      </c>
      <c r="K821" t="s">
        <v>66</v>
      </c>
      <c r="L821">
        <v>3</v>
      </c>
      <c r="M821" t="s">
        <v>28</v>
      </c>
      <c r="N821" t="s">
        <v>17</v>
      </c>
      <c r="O821" t="s">
        <v>112</v>
      </c>
      <c r="P821" t="s">
        <v>1489</v>
      </c>
      <c r="Q821" s="7">
        <f t="shared" si="24"/>
        <v>969156</v>
      </c>
      <c r="R821" s="7">
        <f t="shared" si="25"/>
        <v>8076.3</v>
      </c>
    </row>
    <row r="822" spans="1:18" x14ac:dyDescent="0.35">
      <c r="A822" s="5">
        <v>816</v>
      </c>
      <c r="B822" t="s">
        <v>1286</v>
      </c>
      <c r="C822" t="s">
        <v>1287</v>
      </c>
      <c r="D822" t="s">
        <v>1486</v>
      </c>
      <c r="E822" t="s">
        <v>129</v>
      </c>
      <c r="F822" s="1">
        <v>46385</v>
      </c>
      <c r="G822" s="2">
        <v>2013</v>
      </c>
      <c r="H822">
        <v>2021</v>
      </c>
      <c r="I822" s="2">
        <v>8</v>
      </c>
      <c r="J822" s="7">
        <v>107093</v>
      </c>
      <c r="K822" t="s">
        <v>169</v>
      </c>
      <c r="L822">
        <v>3</v>
      </c>
      <c r="M822" t="s">
        <v>28</v>
      </c>
      <c r="N822" t="s">
        <v>17</v>
      </c>
      <c r="O822" t="s">
        <v>41</v>
      </c>
      <c r="P822" t="s">
        <v>1489</v>
      </c>
      <c r="Q822" s="7">
        <f t="shared" si="24"/>
        <v>1285116</v>
      </c>
      <c r="R822" s="7">
        <f t="shared" si="25"/>
        <v>10709.300000000001</v>
      </c>
    </row>
    <row r="823" spans="1:18" x14ac:dyDescent="0.35">
      <c r="A823" s="5">
        <v>817</v>
      </c>
      <c r="B823" t="s">
        <v>182</v>
      </c>
      <c r="C823" t="s">
        <v>1288</v>
      </c>
      <c r="D823" t="s">
        <v>1485</v>
      </c>
      <c r="E823" t="s">
        <v>73</v>
      </c>
      <c r="F823" s="1">
        <v>39462</v>
      </c>
      <c r="G823" s="2">
        <v>2008</v>
      </c>
      <c r="H823">
        <v>2021</v>
      </c>
      <c r="I823" s="2">
        <v>13</v>
      </c>
      <c r="J823" s="7">
        <v>138970</v>
      </c>
      <c r="K823" t="s">
        <v>490</v>
      </c>
      <c r="L823">
        <v>7</v>
      </c>
      <c r="M823" t="s">
        <v>39</v>
      </c>
      <c r="N823" t="s">
        <v>40</v>
      </c>
      <c r="O823" t="s">
        <v>41</v>
      </c>
      <c r="P823" t="s">
        <v>1489</v>
      </c>
      <c r="Q823" s="7">
        <f t="shared" si="24"/>
        <v>1667640</v>
      </c>
      <c r="R823" s="7">
        <f t="shared" si="25"/>
        <v>13897</v>
      </c>
    </row>
    <row r="824" spans="1:18" x14ac:dyDescent="0.35">
      <c r="A824" s="5">
        <v>818</v>
      </c>
      <c r="B824" t="s">
        <v>762</v>
      </c>
      <c r="C824" t="s">
        <v>1289</v>
      </c>
      <c r="D824" t="s">
        <v>1486</v>
      </c>
      <c r="E824" t="s">
        <v>61</v>
      </c>
      <c r="F824" s="1">
        <v>37351</v>
      </c>
      <c r="G824" s="2">
        <v>2002</v>
      </c>
      <c r="H824">
        <v>2021</v>
      </c>
      <c r="I824" s="2">
        <v>19</v>
      </c>
      <c r="J824" s="7">
        <v>82077</v>
      </c>
      <c r="K824" t="s">
        <v>1499</v>
      </c>
      <c r="L824">
        <v>4</v>
      </c>
      <c r="M824" t="s">
        <v>55</v>
      </c>
      <c r="N824" t="s">
        <v>17</v>
      </c>
      <c r="O824" t="s">
        <v>63</v>
      </c>
      <c r="P824" t="s">
        <v>1489</v>
      </c>
      <c r="Q824" s="7">
        <f t="shared" si="24"/>
        <v>984924</v>
      </c>
      <c r="R824" s="7">
        <f t="shared" si="25"/>
        <v>8207.7000000000007</v>
      </c>
    </row>
    <row r="825" spans="1:18" x14ac:dyDescent="0.35">
      <c r="A825" s="5">
        <v>819</v>
      </c>
      <c r="B825" t="s">
        <v>30</v>
      </c>
      <c r="C825" t="s">
        <v>1290</v>
      </c>
      <c r="D825" t="s">
        <v>1485</v>
      </c>
      <c r="E825" t="s">
        <v>100</v>
      </c>
      <c r="F825" s="1">
        <v>41979</v>
      </c>
      <c r="G825" s="2">
        <v>2014</v>
      </c>
      <c r="H825">
        <v>2021</v>
      </c>
      <c r="I825" s="2">
        <v>7</v>
      </c>
      <c r="J825" s="7">
        <v>83237</v>
      </c>
      <c r="K825" t="s">
        <v>179</v>
      </c>
      <c r="L825">
        <v>4</v>
      </c>
      <c r="M825" t="s">
        <v>55</v>
      </c>
      <c r="N825" t="s">
        <v>17</v>
      </c>
      <c r="O825" t="s">
        <v>29</v>
      </c>
      <c r="P825" t="s">
        <v>1489</v>
      </c>
      <c r="Q825" s="7">
        <f t="shared" si="24"/>
        <v>998844</v>
      </c>
      <c r="R825" s="7">
        <f t="shared" si="25"/>
        <v>8323.7000000000007</v>
      </c>
    </row>
    <row r="826" spans="1:18" x14ac:dyDescent="0.35">
      <c r="A826" s="5">
        <v>820</v>
      </c>
      <c r="B826" t="s">
        <v>198</v>
      </c>
      <c r="C826" t="s">
        <v>1291</v>
      </c>
      <c r="D826" t="s">
        <v>1485</v>
      </c>
      <c r="E826" t="s">
        <v>53</v>
      </c>
      <c r="F826" s="1">
        <v>37276</v>
      </c>
      <c r="G826" s="2">
        <v>2002</v>
      </c>
      <c r="H826">
        <v>2021</v>
      </c>
      <c r="I826" s="2">
        <v>19</v>
      </c>
      <c r="J826" s="7">
        <v>107749</v>
      </c>
      <c r="K826" t="s">
        <v>336</v>
      </c>
      <c r="L826">
        <v>2</v>
      </c>
      <c r="M826" t="s">
        <v>16</v>
      </c>
      <c r="N826" t="s">
        <v>17</v>
      </c>
      <c r="O826" t="s">
        <v>23</v>
      </c>
      <c r="P826" t="s">
        <v>1489</v>
      </c>
      <c r="Q826" s="7">
        <f t="shared" si="24"/>
        <v>1292988</v>
      </c>
      <c r="R826" s="7">
        <f t="shared" si="25"/>
        <v>10774.900000000001</v>
      </c>
    </row>
    <row r="827" spans="1:18" x14ac:dyDescent="0.35">
      <c r="A827" s="5">
        <v>821</v>
      </c>
      <c r="B827" t="s">
        <v>514</v>
      </c>
      <c r="C827" t="s">
        <v>1292</v>
      </c>
      <c r="D827" t="s">
        <v>1485</v>
      </c>
      <c r="E827" t="s">
        <v>32</v>
      </c>
      <c r="F827" s="1">
        <v>41079</v>
      </c>
      <c r="G827" s="2">
        <v>2012</v>
      </c>
      <c r="H827">
        <v>2021</v>
      </c>
      <c r="I827" s="3">
        <v>9</v>
      </c>
      <c r="J827" s="7">
        <v>149114</v>
      </c>
      <c r="K827" t="s">
        <v>115</v>
      </c>
      <c r="L827">
        <v>7</v>
      </c>
      <c r="M827" t="s">
        <v>39</v>
      </c>
      <c r="N827" t="s">
        <v>40</v>
      </c>
      <c r="O827" t="s">
        <v>34</v>
      </c>
      <c r="P827" t="s">
        <v>1489</v>
      </c>
      <c r="Q827" s="7">
        <f t="shared" si="24"/>
        <v>1789368</v>
      </c>
      <c r="R827" s="7">
        <f t="shared" si="25"/>
        <v>14911.400000000001</v>
      </c>
    </row>
    <row r="828" spans="1:18" x14ac:dyDescent="0.35">
      <c r="A828" s="5">
        <v>822</v>
      </c>
      <c r="B828" t="s">
        <v>548</v>
      </c>
      <c r="C828" t="s">
        <v>1293</v>
      </c>
      <c r="D828" t="s">
        <v>1485</v>
      </c>
      <c r="E828" t="s">
        <v>203</v>
      </c>
      <c r="F828" s="1">
        <v>39303</v>
      </c>
      <c r="G828" s="2">
        <v>2007</v>
      </c>
      <c r="H828">
        <v>2021</v>
      </c>
      <c r="I828" s="2">
        <v>14</v>
      </c>
      <c r="J828" s="7">
        <v>107240</v>
      </c>
      <c r="K828" t="s">
        <v>310</v>
      </c>
      <c r="L828">
        <v>4</v>
      </c>
      <c r="M828" t="s">
        <v>55</v>
      </c>
      <c r="N828" t="s">
        <v>17</v>
      </c>
      <c r="O828" t="s">
        <v>41</v>
      </c>
      <c r="P828" t="s">
        <v>1489</v>
      </c>
      <c r="Q828" s="7">
        <f t="shared" si="24"/>
        <v>1286880</v>
      </c>
      <c r="R828" s="7">
        <f t="shared" si="25"/>
        <v>10724</v>
      </c>
    </row>
    <row r="829" spans="1:18" x14ac:dyDescent="0.35">
      <c r="A829" s="5">
        <v>823</v>
      </c>
      <c r="B829" t="s">
        <v>474</v>
      </c>
      <c r="C829" t="s">
        <v>1294</v>
      </c>
      <c r="D829" t="s">
        <v>1486</v>
      </c>
      <c r="E829" t="s">
        <v>73</v>
      </c>
      <c r="F829" s="1">
        <v>44346</v>
      </c>
      <c r="G829" s="2">
        <v>2008</v>
      </c>
      <c r="H829">
        <v>2021</v>
      </c>
      <c r="I829" s="2">
        <v>13</v>
      </c>
      <c r="J829" s="7">
        <v>134334</v>
      </c>
      <c r="K829" t="s">
        <v>562</v>
      </c>
      <c r="L829">
        <v>7</v>
      </c>
      <c r="M829" t="s">
        <v>39</v>
      </c>
      <c r="N829" t="s">
        <v>40</v>
      </c>
      <c r="O829" t="s">
        <v>41</v>
      </c>
      <c r="P829" t="s">
        <v>1489</v>
      </c>
      <c r="Q829" s="7">
        <f t="shared" si="24"/>
        <v>1612008</v>
      </c>
      <c r="R829" s="7">
        <f t="shared" si="25"/>
        <v>13433.400000000001</v>
      </c>
    </row>
    <row r="830" spans="1:18" x14ac:dyDescent="0.35">
      <c r="A830" s="5">
        <v>824</v>
      </c>
      <c r="B830" t="s">
        <v>328</v>
      </c>
      <c r="C830" t="s">
        <v>1295</v>
      </c>
      <c r="D830" t="s">
        <v>1485</v>
      </c>
      <c r="E830" t="s">
        <v>37</v>
      </c>
      <c r="F830" s="1">
        <v>37525</v>
      </c>
      <c r="G830" s="2">
        <v>2002</v>
      </c>
      <c r="H830">
        <v>2021</v>
      </c>
      <c r="I830" s="2">
        <v>19</v>
      </c>
      <c r="J830" s="7">
        <v>72008</v>
      </c>
      <c r="K830" t="s">
        <v>610</v>
      </c>
      <c r="L830">
        <v>2</v>
      </c>
      <c r="M830" t="s">
        <v>16</v>
      </c>
      <c r="N830" t="s">
        <v>17</v>
      </c>
      <c r="O830" t="s">
        <v>41</v>
      </c>
      <c r="P830" t="s">
        <v>1489</v>
      </c>
      <c r="Q830" s="7">
        <f t="shared" si="24"/>
        <v>864096</v>
      </c>
      <c r="R830" s="7">
        <f t="shared" si="25"/>
        <v>7200.8</v>
      </c>
    </row>
    <row r="831" spans="1:18" x14ac:dyDescent="0.35">
      <c r="A831" s="5">
        <v>825</v>
      </c>
      <c r="B831" t="s">
        <v>788</v>
      </c>
      <c r="C831" t="s">
        <v>1296</v>
      </c>
      <c r="D831" t="s">
        <v>1485</v>
      </c>
      <c r="E831" t="s">
        <v>122</v>
      </c>
      <c r="F831" s="1">
        <v>36619</v>
      </c>
      <c r="G831" s="2">
        <v>2000</v>
      </c>
      <c r="H831">
        <v>2021</v>
      </c>
      <c r="I831" s="2">
        <v>21</v>
      </c>
      <c r="J831" s="7">
        <v>89285</v>
      </c>
      <c r="K831" t="s">
        <v>66</v>
      </c>
      <c r="L831">
        <v>5</v>
      </c>
      <c r="M831" t="s">
        <v>91</v>
      </c>
      <c r="N831" t="s">
        <v>40</v>
      </c>
      <c r="O831" t="s">
        <v>123</v>
      </c>
      <c r="P831" t="s">
        <v>1489</v>
      </c>
      <c r="Q831" s="7">
        <f t="shared" si="24"/>
        <v>1071420</v>
      </c>
      <c r="R831" s="7">
        <f t="shared" si="25"/>
        <v>8928.5</v>
      </c>
    </row>
    <row r="832" spans="1:18" x14ac:dyDescent="0.35">
      <c r="A832" s="5">
        <v>826</v>
      </c>
      <c r="B832" t="s">
        <v>201</v>
      </c>
      <c r="C832" t="s">
        <v>1297</v>
      </c>
      <c r="D832" t="s">
        <v>1486</v>
      </c>
      <c r="E832" t="s">
        <v>37</v>
      </c>
      <c r="F832" s="1">
        <v>37843</v>
      </c>
      <c r="G832" s="2">
        <v>2003</v>
      </c>
      <c r="H832">
        <v>2021</v>
      </c>
      <c r="I832" s="2">
        <v>18</v>
      </c>
      <c r="J832" s="7">
        <v>131075</v>
      </c>
      <c r="K832" t="s">
        <v>327</v>
      </c>
      <c r="L832">
        <v>2</v>
      </c>
      <c r="M832" t="s">
        <v>16</v>
      </c>
      <c r="N832" t="s">
        <v>17</v>
      </c>
      <c r="O832" t="s">
        <v>41</v>
      </c>
      <c r="P832" t="s">
        <v>1489</v>
      </c>
      <c r="Q832" s="7">
        <f t="shared" si="24"/>
        <v>1572900</v>
      </c>
      <c r="R832" s="7">
        <f t="shared" si="25"/>
        <v>13107.5</v>
      </c>
    </row>
    <row r="833" spans="1:18" x14ac:dyDescent="0.35">
      <c r="A833" s="5">
        <v>827</v>
      </c>
      <c r="B833" t="s">
        <v>523</v>
      </c>
      <c r="C833" t="s">
        <v>1298</v>
      </c>
      <c r="D833" t="s">
        <v>1485</v>
      </c>
      <c r="E833" t="s">
        <v>73</v>
      </c>
      <c r="F833" s="1">
        <v>39940</v>
      </c>
      <c r="G833" s="2">
        <v>2009</v>
      </c>
      <c r="H833">
        <v>2021</v>
      </c>
      <c r="I833" s="2">
        <v>12</v>
      </c>
      <c r="J833" s="7">
        <v>110383</v>
      </c>
      <c r="K833" t="s">
        <v>958</v>
      </c>
      <c r="L833">
        <v>4</v>
      </c>
      <c r="M833" t="s">
        <v>55</v>
      </c>
      <c r="N833" t="s">
        <v>17</v>
      </c>
      <c r="O833" t="s">
        <v>41</v>
      </c>
      <c r="P833" t="s">
        <v>1489</v>
      </c>
      <c r="Q833" s="7">
        <f t="shared" si="24"/>
        <v>1324596</v>
      </c>
      <c r="R833" s="7">
        <f t="shared" si="25"/>
        <v>11038.300000000001</v>
      </c>
    </row>
    <row r="834" spans="1:18" x14ac:dyDescent="0.35">
      <c r="A834" s="5">
        <v>828</v>
      </c>
      <c r="B834" t="s">
        <v>159</v>
      </c>
      <c r="C834" t="s">
        <v>1299</v>
      </c>
      <c r="D834" t="s">
        <v>1486</v>
      </c>
      <c r="E834" t="s">
        <v>44</v>
      </c>
      <c r="F834" s="1">
        <v>38551</v>
      </c>
      <c r="G834" s="2">
        <v>2005</v>
      </c>
      <c r="H834">
        <v>2021</v>
      </c>
      <c r="I834" s="2">
        <v>16</v>
      </c>
      <c r="J834" s="7">
        <v>149586</v>
      </c>
      <c r="K834" t="s">
        <v>617</v>
      </c>
      <c r="L834">
        <v>1</v>
      </c>
      <c r="M834" t="s">
        <v>46</v>
      </c>
      <c r="N834" t="s">
        <v>17</v>
      </c>
      <c r="O834" t="s">
        <v>29</v>
      </c>
      <c r="P834" t="s">
        <v>1489</v>
      </c>
      <c r="Q834" s="7">
        <f t="shared" si="24"/>
        <v>1795032</v>
      </c>
      <c r="R834" s="7">
        <f t="shared" si="25"/>
        <v>14958.6</v>
      </c>
    </row>
    <row r="835" spans="1:18" x14ac:dyDescent="0.35">
      <c r="A835" s="5">
        <v>829</v>
      </c>
      <c r="B835" t="s">
        <v>816</v>
      </c>
      <c r="C835" t="s">
        <v>1300</v>
      </c>
      <c r="D835" t="s">
        <v>1485</v>
      </c>
      <c r="E835" t="s">
        <v>203</v>
      </c>
      <c r="F835" s="1">
        <v>37587</v>
      </c>
      <c r="G835" s="2">
        <v>2002</v>
      </c>
      <c r="H835">
        <v>2021</v>
      </c>
      <c r="I835" s="2">
        <v>19</v>
      </c>
      <c r="J835" s="7">
        <v>89503</v>
      </c>
      <c r="K835" t="s">
        <v>709</v>
      </c>
      <c r="L835">
        <v>2</v>
      </c>
      <c r="M835" t="s">
        <v>16</v>
      </c>
      <c r="N835" t="s">
        <v>17</v>
      </c>
      <c r="O835" t="s">
        <v>41</v>
      </c>
      <c r="P835" t="s">
        <v>1489</v>
      </c>
      <c r="Q835" s="7">
        <f t="shared" si="24"/>
        <v>1074036</v>
      </c>
      <c r="R835" s="7">
        <f t="shared" si="25"/>
        <v>8950.3000000000011</v>
      </c>
    </row>
    <row r="836" spans="1:18" x14ac:dyDescent="0.35">
      <c r="A836" s="5">
        <v>830</v>
      </c>
      <c r="B836" t="s">
        <v>229</v>
      </c>
      <c r="C836" t="s">
        <v>1301</v>
      </c>
      <c r="D836" t="s">
        <v>1486</v>
      </c>
      <c r="E836" t="s">
        <v>14</v>
      </c>
      <c r="F836" s="1">
        <v>44999</v>
      </c>
      <c r="G836" s="2">
        <v>2010</v>
      </c>
      <c r="H836">
        <v>2021</v>
      </c>
      <c r="I836" s="2">
        <v>11</v>
      </c>
      <c r="J836" s="7">
        <v>149336</v>
      </c>
      <c r="K836" t="s">
        <v>226</v>
      </c>
      <c r="L836">
        <v>1</v>
      </c>
      <c r="M836" t="s">
        <v>46</v>
      </c>
      <c r="N836" t="s">
        <v>17</v>
      </c>
      <c r="O836" t="s">
        <v>18</v>
      </c>
      <c r="P836" t="s">
        <v>1489</v>
      </c>
      <c r="Q836" s="7">
        <f t="shared" si="24"/>
        <v>1792032</v>
      </c>
      <c r="R836" s="7">
        <f t="shared" si="25"/>
        <v>14933.6</v>
      </c>
    </row>
    <row r="837" spans="1:18" x14ac:dyDescent="0.35">
      <c r="A837" s="5">
        <v>831</v>
      </c>
      <c r="B837" t="s">
        <v>221</v>
      </c>
      <c r="C837" t="s">
        <v>1302</v>
      </c>
      <c r="D837" t="s">
        <v>1486</v>
      </c>
      <c r="E837" t="s">
        <v>148</v>
      </c>
      <c r="F837" s="1">
        <v>38959</v>
      </c>
      <c r="G837" s="2">
        <v>2006</v>
      </c>
      <c r="H837">
        <v>2021</v>
      </c>
      <c r="I837" s="2">
        <v>15</v>
      </c>
      <c r="J837" s="7">
        <v>140276</v>
      </c>
      <c r="K837" t="s">
        <v>169</v>
      </c>
      <c r="L837">
        <v>5</v>
      </c>
      <c r="M837" t="s">
        <v>91</v>
      </c>
      <c r="N837" t="s">
        <v>40</v>
      </c>
      <c r="O837" t="s">
        <v>112</v>
      </c>
      <c r="P837" t="s">
        <v>1489</v>
      </c>
      <c r="Q837" s="7">
        <f t="shared" si="24"/>
        <v>1683312</v>
      </c>
      <c r="R837" s="7">
        <f t="shared" si="25"/>
        <v>14027.6</v>
      </c>
    </row>
    <row r="838" spans="1:18" x14ac:dyDescent="0.35">
      <c r="A838" s="5">
        <v>832</v>
      </c>
      <c r="B838" t="s">
        <v>788</v>
      </c>
      <c r="C838" t="s">
        <v>1303</v>
      </c>
      <c r="D838" t="s">
        <v>1486</v>
      </c>
      <c r="E838" t="s">
        <v>79</v>
      </c>
      <c r="F838" s="1">
        <v>36989</v>
      </c>
      <c r="G838" s="2">
        <v>2001</v>
      </c>
      <c r="H838">
        <v>2021</v>
      </c>
      <c r="I838" s="2">
        <v>20</v>
      </c>
      <c r="J838" s="7">
        <v>127875</v>
      </c>
      <c r="K838" t="s">
        <v>659</v>
      </c>
      <c r="L838">
        <v>7</v>
      </c>
      <c r="M838" t="s">
        <v>39</v>
      </c>
      <c r="N838" t="s">
        <v>40</v>
      </c>
      <c r="O838" t="s">
        <v>41</v>
      </c>
      <c r="P838" t="s">
        <v>1489</v>
      </c>
      <c r="Q838" s="7">
        <f t="shared" si="24"/>
        <v>1534500</v>
      </c>
      <c r="R838" s="7">
        <f t="shared" si="25"/>
        <v>12787.5</v>
      </c>
    </row>
    <row r="839" spans="1:18" x14ac:dyDescent="0.35">
      <c r="A839" s="5">
        <v>833</v>
      </c>
      <c r="B839" t="s">
        <v>354</v>
      </c>
      <c r="C839" t="s">
        <v>1304</v>
      </c>
      <c r="D839" t="s">
        <v>1486</v>
      </c>
      <c r="E839" t="s">
        <v>238</v>
      </c>
      <c r="F839" s="1">
        <v>44710</v>
      </c>
      <c r="G839" s="2">
        <v>2009</v>
      </c>
      <c r="H839">
        <v>2021</v>
      </c>
      <c r="I839" s="2">
        <v>12</v>
      </c>
      <c r="J839" s="7">
        <v>137704</v>
      </c>
      <c r="K839" t="s">
        <v>581</v>
      </c>
      <c r="L839">
        <v>4</v>
      </c>
      <c r="M839" t="s">
        <v>55</v>
      </c>
      <c r="N839" t="s">
        <v>17</v>
      </c>
      <c r="O839" t="s">
        <v>63</v>
      </c>
      <c r="P839" t="s">
        <v>1489</v>
      </c>
      <c r="Q839" s="7">
        <f t="shared" ref="Q839:Q902" si="26">J839*12</f>
        <v>1652448</v>
      </c>
      <c r="R839" s="7">
        <f t="shared" ref="R839:R902" si="27">J839*10%</f>
        <v>13770.400000000001</v>
      </c>
    </row>
    <row r="840" spans="1:18" x14ac:dyDescent="0.35">
      <c r="A840" s="5">
        <v>834</v>
      </c>
      <c r="B840" t="s">
        <v>943</v>
      </c>
      <c r="C840" t="s">
        <v>1305</v>
      </c>
      <c r="D840" t="s">
        <v>1486</v>
      </c>
      <c r="E840" t="s">
        <v>79</v>
      </c>
      <c r="F840" s="1">
        <v>46039</v>
      </c>
      <c r="G840" s="2">
        <v>2013</v>
      </c>
      <c r="H840">
        <v>2021</v>
      </c>
      <c r="I840" s="2">
        <v>8</v>
      </c>
      <c r="J840" s="7">
        <v>149221</v>
      </c>
      <c r="K840" t="s">
        <v>247</v>
      </c>
      <c r="L840">
        <v>2</v>
      </c>
      <c r="M840" t="s">
        <v>16</v>
      </c>
      <c r="N840" t="s">
        <v>17</v>
      </c>
      <c r="O840" t="s">
        <v>41</v>
      </c>
      <c r="P840" t="s">
        <v>1489</v>
      </c>
      <c r="Q840" s="7">
        <f t="shared" si="26"/>
        <v>1790652</v>
      </c>
      <c r="R840" s="7">
        <f t="shared" si="27"/>
        <v>14922.1</v>
      </c>
    </row>
    <row r="841" spans="1:18" x14ac:dyDescent="0.35">
      <c r="A841" s="5">
        <v>835</v>
      </c>
      <c r="B841" t="s">
        <v>564</v>
      </c>
      <c r="C841" t="s">
        <v>1306</v>
      </c>
      <c r="D841" t="s">
        <v>1485</v>
      </c>
      <c r="E841" t="s">
        <v>73</v>
      </c>
      <c r="F841" s="1">
        <v>41794</v>
      </c>
      <c r="G841" s="2">
        <v>2014</v>
      </c>
      <c r="H841">
        <v>2021</v>
      </c>
      <c r="I841" s="2">
        <v>7</v>
      </c>
      <c r="J841" s="7">
        <v>148573</v>
      </c>
      <c r="K841" t="s">
        <v>1500</v>
      </c>
      <c r="L841">
        <v>4</v>
      </c>
      <c r="M841" t="s">
        <v>55</v>
      </c>
      <c r="N841" t="s">
        <v>17</v>
      </c>
      <c r="O841" t="s">
        <v>41</v>
      </c>
      <c r="P841" t="s">
        <v>1489</v>
      </c>
      <c r="Q841" s="7">
        <f t="shared" si="26"/>
        <v>1782876</v>
      </c>
      <c r="R841" s="7">
        <f t="shared" si="27"/>
        <v>14857.300000000001</v>
      </c>
    </row>
    <row r="842" spans="1:18" x14ac:dyDescent="0.35">
      <c r="A842" s="5">
        <v>836</v>
      </c>
      <c r="B842" t="s">
        <v>233</v>
      </c>
      <c r="C842" t="s">
        <v>1307</v>
      </c>
      <c r="D842" t="s">
        <v>1486</v>
      </c>
      <c r="E842" t="s">
        <v>79</v>
      </c>
      <c r="F842" s="1">
        <v>37519</v>
      </c>
      <c r="G842" s="2">
        <v>2002</v>
      </c>
      <c r="H842">
        <v>2021</v>
      </c>
      <c r="I842" s="2">
        <v>19</v>
      </c>
      <c r="J842" s="7">
        <v>125378</v>
      </c>
      <c r="K842" t="s">
        <v>107</v>
      </c>
      <c r="L842">
        <v>4</v>
      </c>
      <c r="M842" t="s">
        <v>55</v>
      </c>
      <c r="N842" t="s">
        <v>17</v>
      </c>
      <c r="O842" t="s">
        <v>41</v>
      </c>
      <c r="P842" t="s">
        <v>1489</v>
      </c>
      <c r="Q842" s="7">
        <f t="shared" si="26"/>
        <v>1504536</v>
      </c>
      <c r="R842" s="7">
        <f t="shared" si="27"/>
        <v>12537.800000000001</v>
      </c>
    </row>
    <row r="843" spans="1:18" x14ac:dyDescent="0.35">
      <c r="A843" s="5">
        <v>837</v>
      </c>
      <c r="B843" t="s">
        <v>882</v>
      </c>
      <c r="C843" t="s">
        <v>1308</v>
      </c>
      <c r="D843" t="s">
        <v>1486</v>
      </c>
      <c r="E843" t="s">
        <v>32</v>
      </c>
      <c r="F843" s="1">
        <v>38972</v>
      </c>
      <c r="G843" s="2">
        <v>2006</v>
      </c>
      <c r="H843">
        <v>2021</v>
      </c>
      <c r="I843" s="3">
        <v>15</v>
      </c>
      <c r="J843" s="7">
        <v>66420</v>
      </c>
      <c r="K843" t="s">
        <v>397</v>
      </c>
      <c r="L843">
        <v>7</v>
      </c>
      <c r="M843" t="s">
        <v>39</v>
      </c>
      <c r="N843" t="s">
        <v>40</v>
      </c>
      <c r="O843" t="s">
        <v>34</v>
      </c>
      <c r="P843" t="s">
        <v>1489</v>
      </c>
      <c r="Q843" s="7">
        <f t="shared" si="26"/>
        <v>797040</v>
      </c>
      <c r="R843" s="7">
        <f t="shared" si="27"/>
        <v>6642</v>
      </c>
    </row>
    <row r="844" spans="1:18" x14ac:dyDescent="0.35">
      <c r="A844" s="5">
        <v>838</v>
      </c>
      <c r="B844" t="s">
        <v>67</v>
      </c>
      <c r="C844" t="s">
        <v>1309</v>
      </c>
      <c r="D844" t="s">
        <v>1485</v>
      </c>
      <c r="E844" t="s">
        <v>53</v>
      </c>
      <c r="F844" s="1">
        <v>39719</v>
      </c>
      <c r="G844" s="2">
        <v>2008</v>
      </c>
      <c r="H844">
        <v>2021</v>
      </c>
      <c r="I844" s="2">
        <v>13</v>
      </c>
      <c r="J844" s="7">
        <v>117171</v>
      </c>
      <c r="K844" t="s">
        <v>169</v>
      </c>
      <c r="L844">
        <v>4</v>
      </c>
      <c r="M844" t="s">
        <v>55</v>
      </c>
      <c r="N844" t="s">
        <v>17</v>
      </c>
      <c r="O844" t="s">
        <v>23</v>
      </c>
      <c r="P844" t="s">
        <v>1489</v>
      </c>
      <c r="Q844" s="7">
        <f t="shared" si="26"/>
        <v>1406052</v>
      </c>
      <c r="R844" s="7">
        <f t="shared" si="27"/>
        <v>11717.1</v>
      </c>
    </row>
    <row r="845" spans="1:18" x14ac:dyDescent="0.35">
      <c r="A845" s="5">
        <v>839</v>
      </c>
      <c r="B845" t="s">
        <v>638</v>
      </c>
      <c r="C845" t="s">
        <v>1310</v>
      </c>
      <c r="D845" t="s">
        <v>1486</v>
      </c>
      <c r="E845" t="s">
        <v>203</v>
      </c>
      <c r="F845" s="1">
        <v>44492</v>
      </c>
      <c r="G845" s="2">
        <v>2008</v>
      </c>
      <c r="H845">
        <v>2021</v>
      </c>
      <c r="I845" s="2">
        <v>13</v>
      </c>
      <c r="J845" s="7">
        <v>145962</v>
      </c>
      <c r="K845" t="s">
        <v>691</v>
      </c>
      <c r="L845">
        <v>3</v>
      </c>
      <c r="M845" t="s">
        <v>28</v>
      </c>
      <c r="N845" t="s">
        <v>17</v>
      </c>
      <c r="O845" t="s">
        <v>41</v>
      </c>
      <c r="P845" t="s">
        <v>1489</v>
      </c>
      <c r="Q845" s="7">
        <f t="shared" si="26"/>
        <v>1751544</v>
      </c>
      <c r="R845" s="7">
        <f t="shared" si="27"/>
        <v>14596.2</v>
      </c>
    </row>
    <row r="846" spans="1:18" x14ac:dyDescent="0.35">
      <c r="A846" s="5">
        <v>840</v>
      </c>
      <c r="B846" t="s">
        <v>273</v>
      </c>
      <c r="C846" t="s">
        <v>1311</v>
      </c>
      <c r="D846" t="s">
        <v>1485</v>
      </c>
      <c r="E846" t="s">
        <v>122</v>
      </c>
      <c r="F846" s="1">
        <v>37183</v>
      </c>
      <c r="G846" s="2">
        <v>2001</v>
      </c>
      <c r="H846">
        <v>2021</v>
      </c>
      <c r="I846" s="2">
        <v>20</v>
      </c>
      <c r="J846" s="7">
        <v>73778</v>
      </c>
      <c r="K846" t="s">
        <v>62</v>
      </c>
      <c r="L846">
        <v>2</v>
      </c>
      <c r="M846" t="s">
        <v>16</v>
      </c>
      <c r="N846" t="s">
        <v>17</v>
      </c>
      <c r="O846" t="s">
        <v>123</v>
      </c>
      <c r="P846" t="s">
        <v>1489</v>
      </c>
      <c r="Q846" s="7">
        <f t="shared" si="26"/>
        <v>885336</v>
      </c>
      <c r="R846" s="7">
        <f t="shared" si="27"/>
        <v>7377.8</v>
      </c>
    </row>
    <row r="847" spans="1:18" x14ac:dyDescent="0.35">
      <c r="A847" s="5">
        <v>841</v>
      </c>
      <c r="B847" t="s">
        <v>433</v>
      </c>
      <c r="C847" t="s">
        <v>1312</v>
      </c>
      <c r="D847" t="s">
        <v>1485</v>
      </c>
      <c r="E847" t="s">
        <v>85</v>
      </c>
      <c r="F847" s="1">
        <v>39511</v>
      </c>
      <c r="G847" s="2">
        <v>2008</v>
      </c>
      <c r="H847">
        <v>2021</v>
      </c>
      <c r="I847" s="2">
        <v>13</v>
      </c>
      <c r="J847" s="7">
        <v>76731</v>
      </c>
      <c r="K847" t="s">
        <v>1033</v>
      </c>
      <c r="L847">
        <v>2</v>
      </c>
      <c r="M847" t="s">
        <v>16</v>
      </c>
      <c r="N847" t="s">
        <v>17</v>
      </c>
      <c r="O847" t="s">
        <v>41</v>
      </c>
      <c r="P847" t="s">
        <v>1489</v>
      </c>
      <c r="Q847" s="7">
        <f t="shared" si="26"/>
        <v>920772</v>
      </c>
      <c r="R847" s="7">
        <f t="shared" si="27"/>
        <v>7673.1</v>
      </c>
    </row>
    <row r="848" spans="1:18" x14ac:dyDescent="0.35">
      <c r="A848" s="5">
        <v>842</v>
      </c>
      <c r="B848" t="s">
        <v>845</v>
      </c>
      <c r="C848" t="s">
        <v>1313</v>
      </c>
      <c r="D848" t="s">
        <v>1486</v>
      </c>
      <c r="E848" t="s">
        <v>129</v>
      </c>
      <c r="F848" s="1">
        <v>44390</v>
      </c>
      <c r="G848" s="2">
        <v>2008</v>
      </c>
      <c r="H848">
        <v>2021</v>
      </c>
      <c r="I848" s="2">
        <v>13</v>
      </c>
      <c r="J848" s="7">
        <v>101653</v>
      </c>
      <c r="K848" t="s">
        <v>803</v>
      </c>
      <c r="L848">
        <v>6</v>
      </c>
      <c r="M848" t="s">
        <v>50</v>
      </c>
      <c r="N848" t="s">
        <v>40</v>
      </c>
      <c r="O848" t="s">
        <v>41</v>
      </c>
      <c r="P848" t="s">
        <v>1489</v>
      </c>
      <c r="Q848" s="7">
        <f t="shared" si="26"/>
        <v>1219836</v>
      </c>
      <c r="R848" s="7">
        <f t="shared" si="27"/>
        <v>10165.300000000001</v>
      </c>
    </row>
    <row r="849" spans="1:18" x14ac:dyDescent="0.35">
      <c r="A849" s="5">
        <v>843</v>
      </c>
      <c r="B849" t="s">
        <v>192</v>
      </c>
      <c r="C849" t="s">
        <v>1314</v>
      </c>
      <c r="D849" t="s">
        <v>1485</v>
      </c>
      <c r="E849" t="s">
        <v>110</v>
      </c>
      <c r="F849" s="1">
        <v>36902</v>
      </c>
      <c r="G849" s="2">
        <v>2001</v>
      </c>
      <c r="H849">
        <v>2021</v>
      </c>
      <c r="I849" s="2">
        <v>20</v>
      </c>
      <c r="J849" s="7">
        <v>62534</v>
      </c>
      <c r="K849" t="s">
        <v>181</v>
      </c>
      <c r="L849">
        <v>3</v>
      </c>
      <c r="M849" t="s">
        <v>28</v>
      </c>
      <c r="N849" t="s">
        <v>17</v>
      </c>
      <c r="O849" t="s">
        <v>112</v>
      </c>
      <c r="P849" t="s">
        <v>1489</v>
      </c>
      <c r="Q849" s="7">
        <f t="shared" si="26"/>
        <v>750408</v>
      </c>
      <c r="R849" s="7">
        <f t="shared" si="27"/>
        <v>6253.4000000000005</v>
      </c>
    </row>
    <row r="850" spans="1:18" x14ac:dyDescent="0.35">
      <c r="A850" s="5">
        <v>844</v>
      </c>
      <c r="B850" t="s">
        <v>766</v>
      </c>
      <c r="C850" t="s">
        <v>1315</v>
      </c>
      <c r="D850" t="s">
        <v>1485</v>
      </c>
      <c r="E850" t="s">
        <v>148</v>
      </c>
      <c r="F850" s="1">
        <v>41394</v>
      </c>
      <c r="G850" s="2">
        <v>2013</v>
      </c>
      <c r="H850">
        <v>2021</v>
      </c>
      <c r="I850" s="2">
        <v>8</v>
      </c>
      <c r="J850" s="7">
        <v>100428</v>
      </c>
      <c r="K850" t="s">
        <v>1316</v>
      </c>
      <c r="L850">
        <v>3</v>
      </c>
      <c r="M850" t="s">
        <v>28</v>
      </c>
      <c r="N850" t="s">
        <v>17</v>
      </c>
      <c r="O850" t="s">
        <v>112</v>
      </c>
      <c r="P850" t="s">
        <v>1489</v>
      </c>
      <c r="Q850" s="7">
        <f t="shared" si="26"/>
        <v>1205136</v>
      </c>
      <c r="R850" s="7">
        <f t="shared" si="27"/>
        <v>10042.800000000001</v>
      </c>
    </row>
    <row r="851" spans="1:18" x14ac:dyDescent="0.35">
      <c r="A851" s="5">
        <v>845</v>
      </c>
      <c r="B851" t="s">
        <v>243</v>
      </c>
      <c r="C851" t="s">
        <v>1317</v>
      </c>
      <c r="D851" t="s">
        <v>1485</v>
      </c>
      <c r="E851" t="s">
        <v>85</v>
      </c>
      <c r="F851" s="1">
        <v>37227</v>
      </c>
      <c r="G851" s="2">
        <v>2001</v>
      </c>
      <c r="H851">
        <v>2021</v>
      </c>
      <c r="I851" s="2">
        <v>20</v>
      </c>
      <c r="J851" s="7">
        <v>109828</v>
      </c>
      <c r="K851" t="s">
        <v>97</v>
      </c>
      <c r="L851">
        <v>6</v>
      </c>
      <c r="M851" t="s">
        <v>50</v>
      </c>
      <c r="N851" t="s">
        <v>40</v>
      </c>
      <c r="O851" t="s">
        <v>41</v>
      </c>
      <c r="P851" t="s">
        <v>1489</v>
      </c>
      <c r="Q851" s="7">
        <f t="shared" si="26"/>
        <v>1317936</v>
      </c>
      <c r="R851" s="7">
        <f t="shared" si="27"/>
        <v>10982.800000000001</v>
      </c>
    </row>
    <row r="852" spans="1:18" x14ac:dyDescent="0.35">
      <c r="A852" s="5">
        <v>846</v>
      </c>
      <c r="B852" t="s">
        <v>508</v>
      </c>
      <c r="C852" t="s">
        <v>1318</v>
      </c>
      <c r="D852" t="s">
        <v>1486</v>
      </c>
      <c r="E852" t="s">
        <v>32</v>
      </c>
      <c r="F852" s="1">
        <v>36971</v>
      </c>
      <c r="G852" s="2">
        <v>2001</v>
      </c>
      <c r="H852">
        <v>2021</v>
      </c>
      <c r="I852" s="3">
        <v>20</v>
      </c>
      <c r="J852" s="7">
        <v>63133</v>
      </c>
      <c r="K852" t="s">
        <v>397</v>
      </c>
      <c r="L852">
        <v>5</v>
      </c>
      <c r="M852" t="s">
        <v>91</v>
      </c>
      <c r="N852" t="s">
        <v>40</v>
      </c>
      <c r="O852" t="s">
        <v>34</v>
      </c>
      <c r="P852" t="s">
        <v>1489</v>
      </c>
      <c r="Q852" s="7">
        <f t="shared" si="26"/>
        <v>757596</v>
      </c>
      <c r="R852" s="7">
        <f t="shared" si="27"/>
        <v>6313.3</v>
      </c>
    </row>
    <row r="853" spans="1:18" x14ac:dyDescent="0.35">
      <c r="A853" s="5">
        <v>847</v>
      </c>
      <c r="B853" t="s">
        <v>236</v>
      </c>
      <c r="C853" t="s">
        <v>1319</v>
      </c>
      <c r="D853" t="s">
        <v>1486</v>
      </c>
      <c r="E853" t="s">
        <v>69</v>
      </c>
      <c r="F853" s="1">
        <v>44277</v>
      </c>
      <c r="G853" s="2">
        <v>2008</v>
      </c>
      <c r="H853">
        <v>2021</v>
      </c>
      <c r="I853" s="2">
        <v>13</v>
      </c>
      <c r="J853" s="7">
        <v>91532</v>
      </c>
      <c r="K853" t="s">
        <v>235</v>
      </c>
      <c r="L853">
        <v>4</v>
      </c>
      <c r="M853" t="s">
        <v>55</v>
      </c>
      <c r="N853" t="s">
        <v>17</v>
      </c>
      <c r="O853" t="s">
        <v>41</v>
      </c>
      <c r="P853" t="s">
        <v>1489</v>
      </c>
      <c r="Q853" s="7">
        <f t="shared" si="26"/>
        <v>1098384</v>
      </c>
      <c r="R853" s="7">
        <f t="shared" si="27"/>
        <v>9153.2000000000007</v>
      </c>
    </row>
    <row r="854" spans="1:18" x14ac:dyDescent="0.35">
      <c r="A854" s="5">
        <v>848</v>
      </c>
      <c r="B854" t="s">
        <v>325</v>
      </c>
      <c r="C854" t="s">
        <v>1320</v>
      </c>
      <c r="D854" t="s">
        <v>1486</v>
      </c>
      <c r="E854" t="s">
        <v>312</v>
      </c>
      <c r="F854" s="1">
        <v>38378</v>
      </c>
      <c r="G854" s="2">
        <v>2005</v>
      </c>
      <c r="H854">
        <v>2021</v>
      </c>
      <c r="I854" s="2">
        <v>16</v>
      </c>
      <c r="J854" s="7">
        <v>101646</v>
      </c>
      <c r="K854" t="s">
        <v>194</v>
      </c>
      <c r="L854">
        <v>1</v>
      </c>
      <c r="M854" t="s">
        <v>46</v>
      </c>
      <c r="N854" t="s">
        <v>17</v>
      </c>
      <c r="O854" t="s">
        <v>41</v>
      </c>
      <c r="P854" t="s">
        <v>1489</v>
      </c>
      <c r="Q854" s="7">
        <f t="shared" si="26"/>
        <v>1219752</v>
      </c>
      <c r="R854" s="7">
        <f t="shared" si="27"/>
        <v>10164.6</v>
      </c>
    </row>
    <row r="855" spans="1:18" x14ac:dyDescent="0.35">
      <c r="A855" s="5">
        <v>849</v>
      </c>
      <c r="B855" t="s">
        <v>762</v>
      </c>
      <c r="C855" t="s">
        <v>1321</v>
      </c>
      <c r="D855" t="s">
        <v>1485</v>
      </c>
      <c r="E855" t="s">
        <v>37</v>
      </c>
      <c r="F855" s="1">
        <v>37470</v>
      </c>
      <c r="G855" s="2">
        <v>2002</v>
      </c>
      <c r="H855">
        <v>2021</v>
      </c>
      <c r="I855" s="2">
        <v>19</v>
      </c>
      <c r="J855" s="7">
        <v>68034</v>
      </c>
      <c r="K855" t="s">
        <v>247</v>
      </c>
      <c r="L855">
        <v>4</v>
      </c>
      <c r="M855" t="s">
        <v>55</v>
      </c>
      <c r="N855" t="s">
        <v>17</v>
      </c>
      <c r="O855" t="s">
        <v>41</v>
      </c>
      <c r="P855" t="s">
        <v>1489</v>
      </c>
      <c r="Q855" s="7">
        <f t="shared" si="26"/>
        <v>816408</v>
      </c>
      <c r="R855" s="7">
        <f t="shared" si="27"/>
        <v>6803.4000000000005</v>
      </c>
    </row>
    <row r="856" spans="1:18" x14ac:dyDescent="0.35">
      <c r="A856" s="5">
        <v>850</v>
      </c>
      <c r="B856" t="s">
        <v>12</v>
      </c>
      <c r="C856" t="s">
        <v>1322</v>
      </c>
      <c r="D856" t="s">
        <v>1485</v>
      </c>
      <c r="E856" t="s">
        <v>85</v>
      </c>
      <c r="F856" s="1">
        <v>41003</v>
      </c>
      <c r="G856" s="2">
        <v>2012</v>
      </c>
      <c r="H856">
        <v>2021</v>
      </c>
      <c r="I856" s="2">
        <v>9</v>
      </c>
      <c r="J856" s="7">
        <v>55214</v>
      </c>
      <c r="K856" t="s">
        <v>764</v>
      </c>
      <c r="L856">
        <v>2</v>
      </c>
      <c r="M856" t="s">
        <v>16</v>
      </c>
      <c r="N856" t="s">
        <v>17</v>
      </c>
      <c r="O856" t="s">
        <v>41</v>
      </c>
      <c r="P856" t="s">
        <v>1489</v>
      </c>
      <c r="Q856" s="7">
        <f t="shared" si="26"/>
        <v>662568</v>
      </c>
      <c r="R856" s="7">
        <f t="shared" si="27"/>
        <v>5521.4000000000005</v>
      </c>
    </row>
    <row r="857" spans="1:18" x14ac:dyDescent="0.35">
      <c r="A857" s="5">
        <v>851</v>
      </c>
      <c r="B857" t="s">
        <v>480</v>
      </c>
      <c r="C857" t="s">
        <v>1323</v>
      </c>
      <c r="D857" t="s">
        <v>1486</v>
      </c>
      <c r="E857" t="s">
        <v>26</v>
      </c>
      <c r="F857" s="1">
        <v>37619</v>
      </c>
      <c r="G857" s="2">
        <v>2002</v>
      </c>
      <c r="H857">
        <v>2021</v>
      </c>
      <c r="I857" s="2">
        <v>19</v>
      </c>
      <c r="J857" s="7">
        <v>136448</v>
      </c>
      <c r="K857" t="s">
        <v>1324</v>
      </c>
      <c r="L857">
        <v>4</v>
      </c>
      <c r="M857" t="s">
        <v>55</v>
      </c>
      <c r="N857" t="s">
        <v>17</v>
      </c>
      <c r="O857" t="s">
        <v>29</v>
      </c>
      <c r="P857" t="s">
        <v>1489</v>
      </c>
      <c r="Q857" s="7">
        <f t="shared" si="26"/>
        <v>1637376</v>
      </c>
      <c r="R857" s="7">
        <f t="shared" si="27"/>
        <v>13644.800000000001</v>
      </c>
    </row>
    <row r="858" spans="1:18" x14ac:dyDescent="0.35">
      <c r="A858" s="5">
        <v>852</v>
      </c>
      <c r="B858" t="s">
        <v>379</v>
      </c>
      <c r="C858" t="s">
        <v>1325</v>
      </c>
      <c r="D858" t="s">
        <v>1485</v>
      </c>
      <c r="E858" t="s">
        <v>312</v>
      </c>
      <c r="F858" s="1">
        <v>40299</v>
      </c>
      <c r="G858" s="2">
        <v>2010</v>
      </c>
      <c r="H858">
        <v>2021</v>
      </c>
      <c r="I858" s="2">
        <v>11</v>
      </c>
      <c r="J858" s="7">
        <v>76086</v>
      </c>
      <c r="K858" t="s">
        <v>239</v>
      </c>
      <c r="L858">
        <v>7</v>
      </c>
      <c r="M858" t="s">
        <v>39</v>
      </c>
      <c r="N858" t="s">
        <v>40</v>
      </c>
      <c r="O858" t="s">
        <v>41</v>
      </c>
      <c r="P858" t="s">
        <v>1489</v>
      </c>
      <c r="Q858" s="7">
        <f t="shared" si="26"/>
        <v>913032</v>
      </c>
      <c r="R858" s="7">
        <f t="shared" si="27"/>
        <v>7608.6</v>
      </c>
    </row>
    <row r="859" spans="1:18" x14ac:dyDescent="0.35">
      <c r="A859" s="5">
        <v>853</v>
      </c>
      <c r="B859" t="s">
        <v>986</v>
      </c>
      <c r="C859" t="s">
        <v>1326</v>
      </c>
      <c r="D859" t="s">
        <v>1485</v>
      </c>
      <c r="E859" t="s">
        <v>129</v>
      </c>
      <c r="F859" s="1">
        <v>41489</v>
      </c>
      <c r="G859" s="2">
        <v>2013</v>
      </c>
      <c r="H859">
        <v>2021</v>
      </c>
      <c r="I859" s="2">
        <v>8</v>
      </c>
      <c r="J859" s="7">
        <v>128947</v>
      </c>
      <c r="K859" t="s">
        <v>327</v>
      </c>
      <c r="L859">
        <v>5</v>
      </c>
      <c r="M859" t="s">
        <v>91</v>
      </c>
      <c r="N859" t="s">
        <v>40</v>
      </c>
      <c r="O859" t="s">
        <v>41</v>
      </c>
      <c r="P859" t="s">
        <v>1489</v>
      </c>
      <c r="Q859" s="7">
        <f t="shared" si="26"/>
        <v>1547364</v>
      </c>
      <c r="R859" s="7">
        <f t="shared" si="27"/>
        <v>12894.7</v>
      </c>
    </row>
    <row r="860" spans="1:18" x14ac:dyDescent="0.35">
      <c r="A860" s="5">
        <v>854</v>
      </c>
      <c r="B860" t="s">
        <v>544</v>
      </c>
      <c r="C860" t="s">
        <v>1327</v>
      </c>
      <c r="D860" t="s">
        <v>1485</v>
      </c>
      <c r="E860" t="s">
        <v>44</v>
      </c>
      <c r="F860" s="1">
        <v>39004</v>
      </c>
      <c r="G860" s="2">
        <v>2006</v>
      </c>
      <c r="H860">
        <v>2021</v>
      </c>
      <c r="I860" s="2">
        <v>15</v>
      </c>
      <c r="J860" s="7">
        <v>113354</v>
      </c>
      <c r="K860" t="s">
        <v>97</v>
      </c>
      <c r="L860">
        <v>4</v>
      </c>
      <c r="M860" t="s">
        <v>55</v>
      </c>
      <c r="N860" t="s">
        <v>17</v>
      </c>
      <c r="O860" t="s">
        <v>29</v>
      </c>
      <c r="P860" t="s">
        <v>1489</v>
      </c>
      <c r="Q860" s="7">
        <f t="shared" si="26"/>
        <v>1360248</v>
      </c>
      <c r="R860" s="7">
        <f t="shared" si="27"/>
        <v>11335.400000000001</v>
      </c>
    </row>
    <row r="861" spans="1:18" x14ac:dyDescent="0.35">
      <c r="A861" s="5">
        <v>855</v>
      </c>
      <c r="B861" t="s">
        <v>889</v>
      </c>
      <c r="C861" t="s">
        <v>1328</v>
      </c>
      <c r="D861" t="s">
        <v>1485</v>
      </c>
      <c r="E861" t="s">
        <v>110</v>
      </c>
      <c r="F861" s="1">
        <v>41050</v>
      </c>
      <c r="G861" s="2">
        <v>2012</v>
      </c>
      <c r="H861">
        <v>2021</v>
      </c>
      <c r="I861" s="2">
        <v>9</v>
      </c>
      <c r="J861" s="7">
        <v>75125</v>
      </c>
      <c r="K861" t="s">
        <v>191</v>
      </c>
      <c r="L861">
        <v>7</v>
      </c>
      <c r="M861" t="s">
        <v>39</v>
      </c>
      <c r="N861" t="s">
        <v>40</v>
      </c>
      <c r="O861" t="s">
        <v>112</v>
      </c>
      <c r="P861" t="s">
        <v>1489</v>
      </c>
      <c r="Q861" s="7">
        <f t="shared" si="26"/>
        <v>901500</v>
      </c>
      <c r="R861" s="7">
        <f t="shared" si="27"/>
        <v>7512.5</v>
      </c>
    </row>
    <row r="862" spans="1:18" x14ac:dyDescent="0.35">
      <c r="A862" s="5">
        <v>856</v>
      </c>
      <c r="B862" t="s">
        <v>414</v>
      </c>
      <c r="C862" t="s">
        <v>1329</v>
      </c>
      <c r="D862" t="s">
        <v>1486</v>
      </c>
      <c r="E862" t="s">
        <v>69</v>
      </c>
      <c r="F862" s="1">
        <v>38038</v>
      </c>
      <c r="G862" s="2">
        <v>2004</v>
      </c>
      <c r="H862">
        <v>2021</v>
      </c>
      <c r="I862" s="2">
        <v>17</v>
      </c>
      <c r="J862" s="7">
        <v>139714</v>
      </c>
      <c r="K862" t="s">
        <v>327</v>
      </c>
      <c r="L862">
        <v>2</v>
      </c>
      <c r="M862" t="s">
        <v>16</v>
      </c>
      <c r="N862" t="s">
        <v>17</v>
      </c>
      <c r="O862" t="s">
        <v>41</v>
      </c>
      <c r="P862" t="s">
        <v>1489</v>
      </c>
      <c r="Q862" s="7">
        <f t="shared" si="26"/>
        <v>1676568</v>
      </c>
      <c r="R862" s="7">
        <f t="shared" si="27"/>
        <v>13971.400000000001</v>
      </c>
    </row>
    <row r="863" spans="1:18" x14ac:dyDescent="0.35">
      <c r="A863" s="5">
        <v>857</v>
      </c>
      <c r="B863" t="s">
        <v>367</v>
      </c>
      <c r="C863" t="s">
        <v>1330</v>
      </c>
      <c r="D863" t="s">
        <v>1485</v>
      </c>
      <c r="E863" t="s">
        <v>53</v>
      </c>
      <c r="F863" s="1">
        <v>37914</v>
      </c>
      <c r="G863" s="2">
        <v>2003</v>
      </c>
      <c r="H863">
        <v>2021</v>
      </c>
      <c r="I863" s="2">
        <v>18</v>
      </c>
      <c r="J863" s="7">
        <v>43537</v>
      </c>
      <c r="K863" t="s">
        <v>327</v>
      </c>
      <c r="L863">
        <v>4</v>
      </c>
      <c r="M863" t="s">
        <v>55</v>
      </c>
      <c r="N863" t="s">
        <v>17</v>
      </c>
      <c r="O863" t="s">
        <v>23</v>
      </c>
      <c r="P863" t="s">
        <v>1489</v>
      </c>
      <c r="Q863" s="7">
        <f t="shared" si="26"/>
        <v>522444</v>
      </c>
      <c r="R863" s="7">
        <f t="shared" si="27"/>
        <v>4353.7</v>
      </c>
    </row>
    <row r="864" spans="1:18" x14ac:dyDescent="0.35">
      <c r="A864" s="5">
        <v>858</v>
      </c>
      <c r="B864" t="s">
        <v>710</v>
      </c>
      <c r="C864" t="s">
        <v>1331</v>
      </c>
      <c r="D864" t="s">
        <v>1486</v>
      </c>
      <c r="E864" t="s">
        <v>26</v>
      </c>
      <c r="F864" s="1">
        <v>37218</v>
      </c>
      <c r="G864" s="2">
        <v>2001</v>
      </c>
      <c r="H864">
        <v>2021</v>
      </c>
      <c r="I864" s="2">
        <v>20</v>
      </c>
      <c r="J864" s="7">
        <v>127521</v>
      </c>
      <c r="K864" t="s">
        <v>153</v>
      </c>
      <c r="L864">
        <v>4</v>
      </c>
      <c r="M864" t="s">
        <v>55</v>
      </c>
      <c r="N864" t="s">
        <v>17</v>
      </c>
      <c r="O864" t="s">
        <v>29</v>
      </c>
      <c r="P864" t="s">
        <v>1489</v>
      </c>
      <c r="Q864" s="7">
        <f t="shared" si="26"/>
        <v>1530252</v>
      </c>
      <c r="R864" s="7">
        <f t="shared" si="27"/>
        <v>12752.1</v>
      </c>
    </row>
    <row r="865" spans="1:18" x14ac:dyDescent="0.35">
      <c r="A865" s="5">
        <v>859</v>
      </c>
      <c r="B865" t="s">
        <v>642</v>
      </c>
      <c r="C865" t="s">
        <v>1332</v>
      </c>
      <c r="D865" t="s">
        <v>1485</v>
      </c>
      <c r="E865" t="s">
        <v>203</v>
      </c>
      <c r="F865" s="1">
        <v>39132</v>
      </c>
      <c r="G865" s="2">
        <v>2007</v>
      </c>
      <c r="H865">
        <v>2021</v>
      </c>
      <c r="I865" s="2">
        <v>14</v>
      </c>
      <c r="J865" s="7">
        <v>112510</v>
      </c>
      <c r="K865" t="s">
        <v>200</v>
      </c>
      <c r="L865">
        <v>4</v>
      </c>
      <c r="M865" t="s">
        <v>55</v>
      </c>
      <c r="N865" t="s">
        <v>17</v>
      </c>
      <c r="O865" t="s">
        <v>41</v>
      </c>
      <c r="P865" t="s">
        <v>1489</v>
      </c>
      <c r="Q865" s="7">
        <f t="shared" si="26"/>
        <v>1350120</v>
      </c>
      <c r="R865" s="7">
        <f t="shared" si="27"/>
        <v>11251</v>
      </c>
    </row>
    <row r="866" spans="1:18" x14ac:dyDescent="0.35">
      <c r="A866" s="5">
        <v>860</v>
      </c>
      <c r="B866" t="s">
        <v>483</v>
      </c>
      <c r="C866" t="s">
        <v>1333</v>
      </c>
      <c r="D866" t="s">
        <v>1485</v>
      </c>
      <c r="E866" t="s">
        <v>21</v>
      </c>
      <c r="F866" s="1">
        <v>38347</v>
      </c>
      <c r="G866" s="2">
        <v>2004</v>
      </c>
      <c r="H866">
        <v>2021</v>
      </c>
      <c r="I866" s="2">
        <v>17</v>
      </c>
      <c r="J866" s="7">
        <v>115009</v>
      </c>
      <c r="K866" t="s">
        <v>15</v>
      </c>
      <c r="L866">
        <v>4</v>
      </c>
      <c r="M866" t="s">
        <v>55</v>
      </c>
      <c r="N866" t="s">
        <v>17</v>
      </c>
      <c r="O866" t="s">
        <v>23</v>
      </c>
      <c r="P866" t="s">
        <v>1489</v>
      </c>
      <c r="Q866" s="7">
        <f t="shared" si="26"/>
        <v>1380108</v>
      </c>
      <c r="R866" s="7">
        <f t="shared" si="27"/>
        <v>11500.900000000001</v>
      </c>
    </row>
    <row r="867" spans="1:18" x14ac:dyDescent="0.35">
      <c r="A867" s="5">
        <v>861</v>
      </c>
      <c r="B867" t="s">
        <v>521</v>
      </c>
      <c r="C867" t="s">
        <v>1334</v>
      </c>
      <c r="D867" t="s">
        <v>1486</v>
      </c>
      <c r="E867" t="s">
        <v>94</v>
      </c>
      <c r="F867" s="1">
        <v>46143</v>
      </c>
      <c r="G867" s="2">
        <v>2013</v>
      </c>
      <c r="H867">
        <v>2021</v>
      </c>
      <c r="I867" s="2">
        <v>8</v>
      </c>
      <c r="J867" s="7">
        <v>64381</v>
      </c>
      <c r="K867" t="s">
        <v>497</v>
      </c>
      <c r="L867">
        <v>7</v>
      </c>
      <c r="M867" t="s">
        <v>39</v>
      </c>
      <c r="N867" t="s">
        <v>40</v>
      </c>
      <c r="O867" t="s">
        <v>18</v>
      </c>
      <c r="P867" t="s">
        <v>1489</v>
      </c>
      <c r="Q867" s="7">
        <f t="shared" si="26"/>
        <v>772572</v>
      </c>
      <c r="R867" s="7">
        <f t="shared" si="27"/>
        <v>6438.1</v>
      </c>
    </row>
    <row r="868" spans="1:18" x14ac:dyDescent="0.35">
      <c r="A868" s="5">
        <v>862</v>
      </c>
      <c r="B868" t="s">
        <v>494</v>
      </c>
      <c r="C868" t="s">
        <v>1335</v>
      </c>
      <c r="D868" t="s">
        <v>1486</v>
      </c>
      <c r="E868" t="s">
        <v>37</v>
      </c>
      <c r="F868" s="1">
        <v>36932</v>
      </c>
      <c r="G868" s="2">
        <v>2001</v>
      </c>
      <c r="H868">
        <v>2021</v>
      </c>
      <c r="I868" s="2">
        <v>20</v>
      </c>
      <c r="J868" s="7">
        <v>149929</v>
      </c>
      <c r="K868" t="s">
        <v>242</v>
      </c>
      <c r="L868">
        <v>6</v>
      </c>
      <c r="M868" t="s">
        <v>50</v>
      </c>
      <c r="N868" t="s">
        <v>40</v>
      </c>
      <c r="O868" t="s">
        <v>41</v>
      </c>
      <c r="P868" t="s">
        <v>1489</v>
      </c>
      <c r="Q868" s="7">
        <f t="shared" si="26"/>
        <v>1799148</v>
      </c>
      <c r="R868" s="7">
        <f t="shared" si="27"/>
        <v>14992.900000000001</v>
      </c>
    </row>
    <row r="869" spans="1:18" x14ac:dyDescent="0.35">
      <c r="A869" s="5">
        <v>863</v>
      </c>
      <c r="B869" t="s">
        <v>569</v>
      </c>
      <c r="C869" t="s">
        <v>1336</v>
      </c>
      <c r="D869" t="s">
        <v>1486</v>
      </c>
      <c r="E869" t="s">
        <v>26</v>
      </c>
      <c r="F869" s="1">
        <v>37141</v>
      </c>
      <c r="G869" s="2">
        <v>2001</v>
      </c>
      <c r="H869">
        <v>2021</v>
      </c>
      <c r="I869" s="2">
        <v>20</v>
      </c>
      <c r="J869" s="7">
        <v>101006</v>
      </c>
      <c r="K869" t="s">
        <v>58</v>
      </c>
      <c r="L869">
        <v>2</v>
      </c>
      <c r="M869" t="s">
        <v>16</v>
      </c>
      <c r="N869" t="s">
        <v>17</v>
      </c>
      <c r="O869" t="s">
        <v>29</v>
      </c>
      <c r="P869" t="s">
        <v>1489</v>
      </c>
      <c r="Q869" s="7">
        <f t="shared" si="26"/>
        <v>1212072</v>
      </c>
      <c r="R869" s="7">
        <f t="shared" si="27"/>
        <v>10100.6</v>
      </c>
    </row>
    <row r="870" spans="1:18" x14ac:dyDescent="0.35">
      <c r="A870" s="5">
        <v>864</v>
      </c>
      <c r="B870" t="s">
        <v>1028</v>
      </c>
      <c r="C870" t="s">
        <v>1337</v>
      </c>
      <c r="D870" t="s">
        <v>1486</v>
      </c>
      <c r="E870" t="s">
        <v>129</v>
      </c>
      <c r="F870" s="1">
        <v>46266</v>
      </c>
      <c r="G870" s="2">
        <v>2013</v>
      </c>
      <c r="H870">
        <v>2021</v>
      </c>
      <c r="I870" s="2">
        <v>8</v>
      </c>
      <c r="J870" s="7">
        <v>47716</v>
      </c>
      <c r="K870" t="s">
        <v>126</v>
      </c>
      <c r="L870">
        <v>2</v>
      </c>
      <c r="M870" t="s">
        <v>16</v>
      </c>
      <c r="N870" t="s">
        <v>17</v>
      </c>
      <c r="O870" t="s">
        <v>41</v>
      </c>
      <c r="P870" t="s">
        <v>1489</v>
      </c>
      <c r="Q870" s="7">
        <f t="shared" si="26"/>
        <v>572592</v>
      </c>
      <c r="R870" s="7">
        <f t="shared" si="27"/>
        <v>4771.6000000000004</v>
      </c>
    </row>
    <row r="871" spans="1:18" x14ac:dyDescent="0.35">
      <c r="A871" s="5">
        <v>865</v>
      </c>
      <c r="B871" t="s">
        <v>182</v>
      </c>
      <c r="C871" t="s">
        <v>1338</v>
      </c>
      <c r="D871" t="s">
        <v>1486</v>
      </c>
      <c r="E871" t="s">
        <v>21</v>
      </c>
      <c r="F871" s="1">
        <v>44559</v>
      </c>
      <c r="G871" s="2">
        <v>2008</v>
      </c>
      <c r="H871">
        <v>2021</v>
      </c>
      <c r="I871" s="2">
        <v>13</v>
      </c>
      <c r="J871" s="7">
        <v>126420</v>
      </c>
      <c r="K871" t="s">
        <v>490</v>
      </c>
      <c r="L871">
        <v>6</v>
      </c>
      <c r="M871" t="s">
        <v>50</v>
      </c>
      <c r="N871" t="s">
        <v>40</v>
      </c>
      <c r="O871" t="s">
        <v>23</v>
      </c>
      <c r="P871" t="s">
        <v>1489</v>
      </c>
      <c r="Q871" s="7">
        <f t="shared" si="26"/>
        <v>1517040</v>
      </c>
      <c r="R871" s="7">
        <f t="shared" si="27"/>
        <v>12642</v>
      </c>
    </row>
    <row r="872" spans="1:18" x14ac:dyDescent="0.35">
      <c r="A872" s="5">
        <v>866</v>
      </c>
      <c r="B872" t="s">
        <v>108</v>
      </c>
      <c r="C872" t="s">
        <v>1339</v>
      </c>
      <c r="D872" t="s">
        <v>1486</v>
      </c>
      <c r="E872" t="s">
        <v>21</v>
      </c>
      <c r="F872" s="1">
        <v>45536</v>
      </c>
      <c r="G872" s="2">
        <v>2011</v>
      </c>
      <c r="H872">
        <v>2021</v>
      </c>
      <c r="I872" s="2">
        <v>10</v>
      </c>
      <c r="J872" s="7">
        <v>55265</v>
      </c>
      <c r="K872" t="s">
        <v>539</v>
      </c>
      <c r="L872">
        <v>1</v>
      </c>
      <c r="M872" t="s">
        <v>46</v>
      </c>
      <c r="N872" t="s">
        <v>17</v>
      </c>
      <c r="O872" t="s">
        <v>23</v>
      </c>
      <c r="P872" t="s">
        <v>1489</v>
      </c>
      <c r="Q872" s="7">
        <f t="shared" si="26"/>
        <v>663180</v>
      </c>
      <c r="R872" s="7">
        <f t="shared" si="27"/>
        <v>5526.5</v>
      </c>
    </row>
    <row r="873" spans="1:18" x14ac:dyDescent="0.35">
      <c r="A873" s="5">
        <v>867</v>
      </c>
      <c r="B873" t="s">
        <v>175</v>
      </c>
      <c r="C873" t="s">
        <v>1340</v>
      </c>
      <c r="D873" t="s">
        <v>1486</v>
      </c>
      <c r="E873" t="s">
        <v>122</v>
      </c>
      <c r="F873" s="1">
        <v>45734</v>
      </c>
      <c r="G873" s="2">
        <v>2012</v>
      </c>
      <c r="H873">
        <v>2021</v>
      </c>
      <c r="I873" s="2">
        <v>9</v>
      </c>
      <c r="J873" s="7">
        <v>95679</v>
      </c>
      <c r="K873" t="s">
        <v>360</v>
      </c>
      <c r="L873">
        <v>3</v>
      </c>
      <c r="M873" t="s">
        <v>28</v>
      </c>
      <c r="N873" t="s">
        <v>17</v>
      </c>
      <c r="O873" t="s">
        <v>123</v>
      </c>
      <c r="P873" t="s">
        <v>1489</v>
      </c>
      <c r="Q873" s="7">
        <f t="shared" si="26"/>
        <v>1148148</v>
      </c>
      <c r="R873" s="7">
        <f t="shared" si="27"/>
        <v>9567.9</v>
      </c>
    </row>
    <row r="874" spans="1:18" x14ac:dyDescent="0.35">
      <c r="A874" s="5">
        <v>868</v>
      </c>
      <c r="B874" t="s">
        <v>124</v>
      </c>
      <c r="C874" t="s">
        <v>1341</v>
      </c>
      <c r="D874" t="s">
        <v>1485</v>
      </c>
      <c r="E874" t="s">
        <v>61</v>
      </c>
      <c r="F874" s="1">
        <v>37645</v>
      </c>
      <c r="G874" s="2">
        <v>2003</v>
      </c>
      <c r="H874">
        <v>2021</v>
      </c>
      <c r="I874" s="2">
        <v>18</v>
      </c>
      <c r="J874" s="7">
        <v>52612</v>
      </c>
      <c r="K874" t="s">
        <v>425</v>
      </c>
      <c r="L874">
        <v>7</v>
      </c>
      <c r="M874" t="s">
        <v>39</v>
      </c>
      <c r="N874" t="s">
        <v>40</v>
      </c>
      <c r="O874" t="s">
        <v>63</v>
      </c>
      <c r="P874" t="s">
        <v>1489</v>
      </c>
      <c r="Q874" s="7">
        <f t="shared" si="26"/>
        <v>631344</v>
      </c>
      <c r="R874" s="7">
        <f t="shared" si="27"/>
        <v>5261.2000000000007</v>
      </c>
    </row>
    <row r="875" spans="1:18" x14ac:dyDescent="0.35">
      <c r="A875" s="5">
        <v>869</v>
      </c>
      <c r="B875" t="s">
        <v>788</v>
      </c>
      <c r="C875" t="s">
        <v>1342</v>
      </c>
      <c r="D875" t="s">
        <v>1486</v>
      </c>
      <c r="E875" t="s">
        <v>312</v>
      </c>
      <c r="F875" s="1">
        <v>45270</v>
      </c>
      <c r="G875" s="2">
        <v>2010</v>
      </c>
      <c r="H875">
        <v>2021</v>
      </c>
      <c r="I875" s="2">
        <v>11</v>
      </c>
      <c r="J875" s="7">
        <v>130849</v>
      </c>
      <c r="K875" t="s">
        <v>33</v>
      </c>
      <c r="L875">
        <v>5</v>
      </c>
      <c r="M875" t="s">
        <v>91</v>
      </c>
      <c r="N875" t="s">
        <v>40</v>
      </c>
      <c r="O875" t="s">
        <v>41</v>
      </c>
      <c r="P875" t="s">
        <v>1489</v>
      </c>
      <c r="Q875" s="7">
        <f t="shared" si="26"/>
        <v>1570188</v>
      </c>
      <c r="R875" s="7">
        <f t="shared" si="27"/>
        <v>13084.900000000001</v>
      </c>
    </row>
    <row r="876" spans="1:18" x14ac:dyDescent="0.35">
      <c r="A876" s="5">
        <v>870</v>
      </c>
      <c r="B876" t="s">
        <v>532</v>
      </c>
      <c r="C876" t="s">
        <v>1343</v>
      </c>
      <c r="D876" t="s">
        <v>1485</v>
      </c>
      <c r="E876" t="s">
        <v>148</v>
      </c>
      <c r="F876" s="1">
        <v>38950</v>
      </c>
      <c r="G876" s="2">
        <v>2006</v>
      </c>
      <c r="H876">
        <v>2021</v>
      </c>
      <c r="I876" s="2">
        <v>15</v>
      </c>
      <c r="J876" s="7">
        <v>141753</v>
      </c>
      <c r="K876" t="s">
        <v>537</v>
      </c>
      <c r="L876">
        <v>3</v>
      </c>
      <c r="M876" t="s">
        <v>28</v>
      </c>
      <c r="N876" t="s">
        <v>17</v>
      </c>
      <c r="O876" t="s">
        <v>112</v>
      </c>
      <c r="P876" t="s">
        <v>1489</v>
      </c>
      <c r="Q876" s="7">
        <f t="shared" si="26"/>
        <v>1701036</v>
      </c>
      <c r="R876" s="7">
        <f t="shared" si="27"/>
        <v>14175.300000000001</v>
      </c>
    </row>
    <row r="877" spans="1:18" x14ac:dyDescent="0.35">
      <c r="A877" s="5">
        <v>871</v>
      </c>
      <c r="B877" t="s">
        <v>544</v>
      </c>
      <c r="C877" t="s">
        <v>1344</v>
      </c>
      <c r="D877" t="s">
        <v>1485</v>
      </c>
      <c r="E877" t="s">
        <v>203</v>
      </c>
      <c r="F877" s="1">
        <v>39321</v>
      </c>
      <c r="G877" s="2">
        <v>2007</v>
      </c>
      <c r="H877">
        <v>2021</v>
      </c>
      <c r="I877" s="2">
        <v>14</v>
      </c>
      <c r="J877" s="7">
        <v>133492</v>
      </c>
      <c r="K877" t="s">
        <v>562</v>
      </c>
      <c r="L877">
        <v>3</v>
      </c>
      <c r="M877" t="s">
        <v>28</v>
      </c>
      <c r="N877" t="s">
        <v>17</v>
      </c>
      <c r="O877" t="s">
        <v>41</v>
      </c>
      <c r="P877" t="s">
        <v>1489</v>
      </c>
      <c r="Q877" s="7">
        <f t="shared" si="26"/>
        <v>1601904</v>
      </c>
      <c r="R877" s="7">
        <f t="shared" si="27"/>
        <v>13349.2</v>
      </c>
    </row>
    <row r="878" spans="1:18" x14ac:dyDescent="0.35">
      <c r="A878" s="5">
        <v>872</v>
      </c>
      <c r="B878" t="s">
        <v>766</v>
      </c>
      <c r="C878" t="s">
        <v>1345</v>
      </c>
      <c r="D878" t="s">
        <v>1485</v>
      </c>
      <c r="E878" t="s">
        <v>85</v>
      </c>
      <c r="F878" s="1">
        <v>38349</v>
      </c>
      <c r="G878" s="2">
        <v>2004</v>
      </c>
      <c r="H878">
        <v>2021</v>
      </c>
      <c r="I878" s="2">
        <v>17</v>
      </c>
      <c r="J878" s="7">
        <v>112126</v>
      </c>
      <c r="K878" t="s">
        <v>200</v>
      </c>
      <c r="L878">
        <v>3</v>
      </c>
      <c r="M878" t="s">
        <v>28</v>
      </c>
      <c r="N878" t="s">
        <v>17</v>
      </c>
      <c r="O878" t="s">
        <v>41</v>
      </c>
      <c r="P878" t="s">
        <v>1489</v>
      </c>
      <c r="Q878" s="7">
        <f t="shared" si="26"/>
        <v>1345512</v>
      </c>
      <c r="R878" s="7">
        <f t="shared" si="27"/>
        <v>11212.6</v>
      </c>
    </row>
    <row r="879" spans="1:18" x14ac:dyDescent="0.35">
      <c r="A879" s="5">
        <v>873</v>
      </c>
      <c r="B879" t="s">
        <v>102</v>
      </c>
      <c r="C879" t="s">
        <v>1346</v>
      </c>
      <c r="D879" t="s">
        <v>1486</v>
      </c>
      <c r="E879" t="s">
        <v>53</v>
      </c>
      <c r="F879" s="1">
        <v>38903</v>
      </c>
      <c r="G879" s="2">
        <v>2006</v>
      </c>
      <c r="H879">
        <v>2021</v>
      </c>
      <c r="I879" s="2">
        <v>15</v>
      </c>
      <c r="J879" s="7">
        <v>140078</v>
      </c>
      <c r="K879" t="s">
        <v>253</v>
      </c>
      <c r="L879">
        <v>3</v>
      </c>
      <c r="M879" t="s">
        <v>28</v>
      </c>
      <c r="N879" t="s">
        <v>17</v>
      </c>
      <c r="O879" t="s">
        <v>23</v>
      </c>
      <c r="P879" t="s">
        <v>1489</v>
      </c>
      <c r="Q879" s="7">
        <f t="shared" si="26"/>
        <v>1680936</v>
      </c>
      <c r="R879" s="7">
        <f t="shared" si="27"/>
        <v>14007.800000000001</v>
      </c>
    </row>
    <row r="880" spans="1:18" x14ac:dyDescent="0.35">
      <c r="A880" s="5">
        <v>874</v>
      </c>
      <c r="B880" t="s">
        <v>572</v>
      </c>
      <c r="C880" t="s">
        <v>1347</v>
      </c>
      <c r="D880" t="s">
        <v>1485</v>
      </c>
      <c r="E880" t="s">
        <v>122</v>
      </c>
      <c r="F880" s="1">
        <v>41181</v>
      </c>
      <c r="G880" s="2">
        <v>2012</v>
      </c>
      <c r="H880">
        <v>2021</v>
      </c>
      <c r="I880" s="2">
        <v>9</v>
      </c>
      <c r="J880" s="7">
        <v>119769</v>
      </c>
      <c r="K880" t="s">
        <v>242</v>
      </c>
      <c r="L880">
        <v>2</v>
      </c>
      <c r="M880" t="s">
        <v>16</v>
      </c>
      <c r="N880" t="s">
        <v>17</v>
      </c>
      <c r="O880" t="s">
        <v>123</v>
      </c>
      <c r="P880" t="s">
        <v>1489</v>
      </c>
      <c r="Q880" s="7">
        <f t="shared" si="26"/>
        <v>1437228</v>
      </c>
      <c r="R880" s="7">
        <f t="shared" si="27"/>
        <v>11976.900000000001</v>
      </c>
    </row>
    <row r="881" spans="1:18" x14ac:dyDescent="0.35">
      <c r="A881" s="5">
        <v>875</v>
      </c>
      <c r="B881" t="s">
        <v>679</v>
      </c>
      <c r="C881" t="s">
        <v>1348</v>
      </c>
      <c r="D881" t="s">
        <v>1486</v>
      </c>
      <c r="E881" t="s">
        <v>203</v>
      </c>
      <c r="F881" s="1">
        <v>43876</v>
      </c>
      <c r="G881" s="2">
        <v>2007</v>
      </c>
      <c r="H881">
        <v>2021</v>
      </c>
      <c r="I881" s="2">
        <v>14</v>
      </c>
      <c r="J881" s="7">
        <v>115911</v>
      </c>
      <c r="K881" t="s">
        <v>156</v>
      </c>
      <c r="L881">
        <v>7</v>
      </c>
      <c r="M881" t="s">
        <v>39</v>
      </c>
      <c r="N881" t="s">
        <v>40</v>
      </c>
      <c r="O881" t="s">
        <v>41</v>
      </c>
      <c r="P881" t="s">
        <v>1489</v>
      </c>
      <c r="Q881" s="7">
        <f t="shared" si="26"/>
        <v>1390932</v>
      </c>
      <c r="R881" s="7">
        <f t="shared" si="27"/>
        <v>11591.1</v>
      </c>
    </row>
    <row r="882" spans="1:18" x14ac:dyDescent="0.35">
      <c r="A882" s="5">
        <v>876</v>
      </c>
      <c r="B882" t="s">
        <v>371</v>
      </c>
      <c r="C882" t="s">
        <v>1349</v>
      </c>
      <c r="D882" t="s">
        <v>1485</v>
      </c>
      <c r="E882" t="s">
        <v>312</v>
      </c>
      <c r="F882" s="1">
        <v>37977</v>
      </c>
      <c r="G882" s="2">
        <v>2003</v>
      </c>
      <c r="H882">
        <v>2021</v>
      </c>
      <c r="I882" s="2">
        <v>18</v>
      </c>
      <c r="J882" s="7">
        <v>75676</v>
      </c>
      <c r="K882" t="s">
        <v>27</v>
      </c>
      <c r="L882">
        <v>3</v>
      </c>
      <c r="M882" t="s">
        <v>28</v>
      </c>
      <c r="N882" t="s">
        <v>17</v>
      </c>
      <c r="O882" t="s">
        <v>41</v>
      </c>
      <c r="P882" t="s">
        <v>1489</v>
      </c>
      <c r="Q882" s="7">
        <f t="shared" si="26"/>
        <v>908112</v>
      </c>
      <c r="R882" s="7">
        <f t="shared" si="27"/>
        <v>7567.6</v>
      </c>
    </row>
    <row r="883" spans="1:18" x14ac:dyDescent="0.35">
      <c r="A883" s="5">
        <v>877</v>
      </c>
      <c r="B883" t="s">
        <v>75</v>
      </c>
      <c r="C883" t="s">
        <v>1350</v>
      </c>
      <c r="D883" t="s">
        <v>1485</v>
      </c>
      <c r="E883" t="s">
        <v>148</v>
      </c>
      <c r="F883" s="1">
        <v>38455</v>
      </c>
      <c r="G883" s="2">
        <v>2005</v>
      </c>
      <c r="H883">
        <v>2021</v>
      </c>
      <c r="I883" s="2">
        <v>16</v>
      </c>
      <c r="J883" s="7">
        <v>144932</v>
      </c>
      <c r="K883" t="s">
        <v>104</v>
      </c>
      <c r="L883">
        <v>4</v>
      </c>
      <c r="M883" t="s">
        <v>55</v>
      </c>
      <c r="N883" t="s">
        <v>17</v>
      </c>
      <c r="O883" t="s">
        <v>112</v>
      </c>
      <c r="P883" t="s">
        <v>1489</v>
      </c>
      <c r="Q883" s="7">
        <f t="shared" si="26"/>
        <v>1739184</v>
      </c>
      <c r="R883" s="7">
        <f t="shared" si="27"/>
        <v>14493.2</v>
      </c>
    </row>
    <row r="884" spans="1:18" x14ac:dyDescent="0.35">
      <c r="A884" s="5">
        <v>878</v>
      </c>
      <c r="B884" t="s">
        <v>47</v>
      </c>
      <c r="C884" t="s">
        <v>1351</v>
      </c>
      <c r="D884" t="s">
        <v>1485</v>
      </c>
      <c r="E884" t="s">
        <v>100</v>
      </c>
      <c r="F884" s="1">
        <v>40476</v>
      </c>
      <c r="G884" s="2">
        <v>2010</v>
      </c>
      <c r="H884">
        <v>2021</v>
      </c>
      <c r="I884" s="2">
        <v>11</v>
      </c>
      <c r="J884" s="7">
        <v>80102</v>
      </c>
      <c r="K884" t="s">
        <v>336</v>
      </c>
      <c r="L884">
        <v>2</v>
      </c>
      <c r="M884" t="s">
        <v>16</v>
      </c>
      <c r="N884" t="s">
        <v>17</v>
      </c>
      <c r="O884" t="s">
        <v>29</v>
      </c>
      <c r="P884" t="s">
        <v>1489</v>
      </c>
      <c r="Q884" s="7">
        <f t="shared" si="26"/>
        <v>961224</v>
      </c>
      <c r="R884" s="7">
        <f t="shared" si="27"/>
        <v>8010.2000000000007</v>
      </c>
    </row>
    <row r="885" spans="1:18" x14ac:dyDescent="0.35">
      <c r="A885" s="5">
        <v>879</v>
      </c>
      <c r="B885" t="s">
        <v>1187</v>
      </c>
      <c r="C885" t="s">
        <v>1352</v>
      </c>
      <c r="D885" t="s">
        <v>1485</v>
      </c>
      <c r="E885" t="s">
        <v>44</v>
      </c>
      <c r="F885" s="1">
        <v>40819</v>
      </c>
      <c r="G885" s="2">
        <v>2011</v>
      </c>
      <c r="H885">
        <v>2021</v>
      </c>
      <c r="I885" s="2">
        <v>10</v>
      </c>
      <c r="J885" s="7">
        <v>144661</v>
      </c>
      <c r="K885" t="s">
        <v>204</v>
      </c>
      <c r="L885">
        <v>3</v>
      </c>
      <c r="M885" t="s">
        <v>28</v>
      </c>
      <c r="N885" t="s">
        <v>17</v>
      </c>
      <c r="O885" t="s">
        <v>29</v>
      </c>
      <c r="P885" t="s">
        <v>1489</v>
      </c>
      <c r="Q885" s="7">
        <f t="shared" si="26"/>
        <v>1735932</v>
      </c>
      <c r="R885" s="7">
        <f t="shared" si="27"/>
        <v>14466.1</v>
      </c>
    </row>
    <row r="886" spans="1:18" x14ac:dyDescent="0.35">
      <c r="A886" s="5">
        <v>880</v>
      </c>
      <c r="B886" t="s">
        <v>248</v>
      </c>
      <c r="C886" t="s">
        <v>1353</v>
      </c>
      <c r="D886" t="s">
        <v>1486</v>
      </c>
      <c r="E886" t="s">
        <v>238</v>
      </c>
      <c r="F886" s="1">
        <v>37160</v>
      </c>
      <c r="G886" s="2">
        <v>2001</v>
      </c>
      <c r="H886">
        <v>2021</v>
      </c>
      <c r="I886" s="2">
        <v>20</v>
      </c>
      <c r="J886" s="7">
        <v>60268</v>
      </c>
      <c r="K886" t="s">
        <v>204</v>
      </c>
      <c r="L886">
        <v>3</v>
      </c>
      <c r="M886" t="s">
        <v>28</v>
      </c>
      <c r="N886" t="s">
        <v>17</v>
      </c>
      <c r="O886" t="s">
        <v>63</v>
      </c>
      <c r="P886" t="s">
        <v>1489</v>
      </c>
      <c r="Q886" s="7">
        <f t="shared" si="26"/>
        <v>723216</v>
      </c>
      <c r="R886" s="7">
        <f t="shared" si="27"/>
        <v>6026.8</v>
      </c>
    </row>
    <row r="887" spans="1:18" x14ac:dyDescent="0.35">
      <c r="A887" s="5">
        <v>881</v>
      </c>
      <c r="B887" t="s">
        <v>710</v>
      </c>
      <c r="C887" t="s">
        <v>1354</v>
      </c>
      <c r="D887" t="s">
        <v>1486</v>
      </c>
      <c r="E887" t="s">
        <v>44</v>
      </c>
      <c r="F887" s="1">
        <v>46640</v>
      </c>
      <c r="G887" s="2">
        <v>2014</v>
      </c>
      <c r="H887">
        <v>2021</v>
      </c>
      <c r="I887" s="2">
        <v>7</v>
      </c>
      <c r="J887" s="7">
        <v>94072</v>
      </c>
      <c r="K887" t="s">
        <v>472</v>
      </c>
      <c r="L887">
        <v>3</v>
      </c>
      <c r="M887" t="s">
        <v>28</v>
      </c>
      <c r="N887" t="s">
        <v>17</v>
      </c>
      <c r="O887" t="s">
        <v>29</v>
      </c>
      <c r="P887" t="s">
        <v>1489</v>
      </c>
      <c r="Q887" s="7">
        <f t="shared" si="26"/>
        <v>1128864</v>
      </c>
      <c r="R887" s="7">
        <f t="shared" si="27"/>
        <v>9407.2000000000007</v>
      </c>
    </row>
    <row r="888" spans="1:18" x14ac:dyDescent="0.35">
      <c r="A888" s="5">
        <v>882</v>
      </c>
      <c r="B888" t="s">
        <v>264</v>
      </c>
      <c r="C888" t="s">
        <v>1355</v>
      </c>
      <c r="D888" t="s">
        <v>1485</v>
      </c>
      <c r="E888" t="s">
        <v>312</v>
      </c>
      <c r="F888" s="1">
        <v>38771</v>
      </c>
      <c r="G888" s="2">
        <v>2006</v>
      </c>
      <c r="H888">
        <v>2021</v>
      </c>
      <c r="I888" s="2">
        <v>15</v>
      </c>
      <c r="J888" s="7">
        <v>85249</v>
      </c>
      <c r="K888" t="s">
        <v>636</v>
      </c>
      <c r="L888">
        <v>2</v>
      </c>
      <c r="M888" t="s">
        <v>16</v>
      </c>
      <c r="N888" t="s">
        <v>17</v>
      </c>
      <c r="O888" t="s">
        <v>41</v>
      </c>
      <c r="P888" t="s">
        <v>1489</v>
      </c>
      <c r="Q888" s="7">
        <f t="shared" si="26"/>
        <v>1022988</v>
      </c>
      <c r="R888" s="7">
        <f t="shared" si="27"/>
        <v>8524.9</v>
      </c>
    </row>
    <row r="889" spans="1:18" x14ac:dyDescent="0.35">
      <c r="A889" s="5">
        <v>883</v>
      </c>
      <c r="B889" t="s">
        <v>264</v>
      </c>
      <c r="C889" t="s">
        <v>1356</v>
      </c>
      <c r="D889" t="s">
        <v>1485</v>
      </c>
      <c r="E889" t="s">
        <v>37</v>
      </c>
      <c r="F889" s="1">
        <v>39367</v>
      </c>
      <c r="G889" s="2">
        <v>2007</v>
      </c>
      <c r="H889">
        <v>2021</v>
      </c>
      <c r="I889" s="2">
        <v>14</v>
      </c>
      <c r="J889" s="7">
        <v>66059</v>
      </c>
      <c r="K889" t="s">
        <v>1071</v>
      </c>
      <c r="L889">
        <v>5</v>
      </c>
      <c r="M889" t="s">
        <v>91</v>
      </c>
      <c r="N889" t="s">
        <v>40</v>
      </c>
      <c r="O889" t="s">
        <v>41</v>
      </c>
      <c r="P889" t="s">
        <v>1489</v>
      </c>
      <c r="Q889" s="7">
        <f t="shared" si="26"/>
        <v>792708</v>
      </c>
      <c r="R889" s="7">
        <f t="shared" si="27"/>
        <v>6605.9000000000005</v>
      </c>
    </row>
    <row r="890" spans="1:18" x14ac:dyDescent="0.35">
      <c r="A890" s="5">
        <v>884</v>
      </c>
      <c r="B890" t="s">
        <v>555</v>
      </c>
      <c r="C890" t="s">
        <v>1357</v>
      </c>
      <c r="D890" t="s">
        <v>1486</v>
      </c>
      <c r="E890" t="s">
        <v>94</v>
      </c>
      <c r="F890" s="1">
        <v>38682</v>
      </c>
      <c r="G890" s="2">
        <v>2005</v>
      </c>
      <c r="H890">
        <v>2021</v>
      </c>
      <c r="I890" s="2">
        <v>16</v>
      </c>
      <c r="J890" s="7">
        <v>80931</v>
      </c>
      <c r="K890" t="s">
        <v>691</v>
      </c>
      <c r="L890">
        <v>1</v>
      </c>
      <c r="M890" t="s">
        <v>46</v>
      </c>
      <c r="N890" t="s">
        <v>17</v>
      </c>
      <c r="O890" t="s">
        <v>18</v>
      </c>
      <c r="P890" t="s">
        <v>1489</v>
      </c>
      <c r="Q890" s="7">
        <f t="shared" si="26"/>
        <v>971172</v>
      </c>
      <c r="R890" s="7">
        <f t="shared" si="27"/>
        <v>8093.1</v>
      </c>
    </row>
    <row r="891" spans="1:18" x14ac:dyDescent="0.35">
      <c r="A891" s="5">
        <v>885</v>
      </c>
      <c r="B891" t="s">
        <v>282</v>
      </c>
      <c r="C891" t="s">
        <v>1358</v>
      </c>
      <c r="D891" t="s">
        <v>1486</v>
      </c>
      <c r="E891" t="s">
        <v>53</v>
      </c>
      <c r="F891" s="1">
        <v>45552</v>
      </c>
      <c r="G891" s="2">
        <v>2011</v>
      </c>
      <c r="H891">
        <v>2021</v>
      </c>
      <c r="I891" s="2">
        <v>10</v>
      </c>
      <c r="J891" s="7">
        <v>118793</v>
      </c>
      <c r="K891" t="s">
        <v>1062</v>
      </c>
      <c r="L891">
        <v>3</v>
      </c>
      <c r="M891" t="s">
        <v>28</v>
      </c>
      <c r="N891" t="s">
        <v>17</v>
      </c>
      <c r="O891" t="s">
        <v>23</v>
      </c>
      <c r="P891" t="s">
        <v>1489</v>
      </c>
      <c r="Q891" s="7">
        <f t="shared" si="26"/>
        <v>1425516</v>
      </c>
      <c r="R891" s="7">
        <f t="shared" si="27"/>
        <v>11879.300000000001</v>
      </c>
    </row>
    <row r="892" spans="1:18" x14ac:dyDescent="0.35">
      <c r="A892" s="5">
        <v>886</v>
      </c>
      <c r="B892" t="s">
        <v>622</v>
      </c>
      <c r="C892" t="s">
        <v>1359</v>
      </c>
      <c r="D892" t="s">
        <v>1486</v>
      </c>
      <c r="E892" t="s">
        <v>73</v>
      </c>
      <c r="F892" s="1">
        <v>46656</v>
      </c>
      <c r="G892" s="2">
        <v>2014</v>
      </c>
      <c r="H892">
        <v>2021</v>
      </c>
      <c r="I892" s="2">
        <v>7</v>
      </c>
      <c r="J892" s="7">
        <v>62114</v>
      </c>
      <c r="K892" t="s">
        <v>425</v>
      </c>
      <c r="L892">
        <v>7</v>
      </c>
      <c r="M892" t="s">
        <v>39</v>
      </c>
      <c r="N892" t="s">
        <v>40</v>
      </c>
      <c r="O892" t="s">
        <v>41</v>
      </c>
      <c r="P892" t="s">
        <v>1489</v>
      </c>
      <c r="Q892" s="7">
        <f t="shared" si="26"/>
        <v>745368</v>
      </c>
      <c r="R892" s="7">
        <f t="shared" si="27"/>
        <v>6211.4000000000005</v>
      </c>
    </row>
    <row r="893" spans="1:18" x14ac:dyDescent="0.35">
      <c r="A893" s="5">
        <v>887</v>
      </c>
      <c r="B893" t="s">
        <v>233</v>
      </c>
      <c r="C893" t="s">
        <v>1360</v>
      </c>
      <c r="D893" t="s">
        <v>1485</v>
      </c>
      <c r="E893" t="s">
        <v>129</v>
      </c>
      <c r="F893" s="1">
        <v>41762</v>
      </c>
      <c r="G893" s="2">
        <v>2014</v>
      </c>
      <c r="H893">
        <v>2021</v>
      </c>
      <c r="I893" s="2">
        <v>7</v>
      </c>
      <c r="J893" s="7">
        <v>131811</v>
      </c>
      <c r="K893" t="s">
        <v>472</v>
      </c>
      <c r="L893">
        <v>4</v>
      </c>
      <c r="M893" t="s">
        <v>55</v>
      </c>
      <c r="N893" t="s">
        <v>17</v>
      </c>
      <c r="O893" t="s">
        <v>41</v>
      </c>
      <c r="P893" t="s">
        <v>1489</v>
      </c>
      <c r="Q893" s="7">
        <f t="shared" si="26"/>
        <v>1581732</v>
      </c>
      <c r="R893" s="7">
        <f t="shared" si="27"/>
        <v>13181.1</v>
      </c>
    </row>
    <row r="894" spans="1:18" x14ac:dyDescent="0.35">
      <c r="A894" s="5">
        <v>888</v>
      </c>
      <c r="B894" t="s">
        <v>1282</v>
      </c>
      <c r="C894" t="s">
        <v>1361</v>
      </c>
      <c r="D894" t="s">
        <v>1486</v>
      </c>
      <c r="E894" t="s">
        <v>148</v>
      </c>
      <c r="F894" s="1">
        <v>44104</v>
      </c>
      <c r="G894" s="2">
        <v>2007</v>
      </c>
      <c r="H894">
        <v>2021</v>
      </c>
      <c r="I894" s="2">
        <v>14</v>
      </c>
      <c r="J894" s="7">
        <v>143034</v>
      </c>
      <c r="K894" t="s">
        <v>916</v>
      </c>
      <c r="L894">
        <v>3</v>
      </c>
      <c r="M894" t="s">
        <v>28</v>
      </c>
      <c r="N894" t="s">
        <v>17</v>
      </c>
      <c r="O894" t="s">
        <v>112</v>
      </c>
      <c r="P894" t="s">
        <v>1489</v>
      </c>
      <c r="Q894" s="7">
        <f t="shared" si="26"/>
        <v>1716408</v>
      </c>
      <c r="R894" s="7">
        <f t="shared" si="27"/>
        <v>14303.400000000001</v>
      </c>
    </row>
    <row r="895" spans="1:18" x14ac:dyDescent="0.35">
      <c r="A895" s="5">
        <v>889</v>
      </c>
      <c r="B895" t="s">
        <v>1286</v>
      </c>
      <c r="C895" t="s">
        <v>1362</v>
      </c>
      <c r="D895" t="s">
        <v>1485</v>
      </c>
      <c r="E895" t="s">
        <v>79</v>
      </c>
      <c r="F895" s="1">
        <v>41401</v>
      </c>
      <c r="G895" s="2">
        <v>2013</v>
      </c>
      <c r="H895">
        <v>2021</v>
      </c>
      <c r="I895" s="2">
        <v>8</v>
      </c>
      <c r="J895" s="7">
        <v>41516</v>
      </c>
      <c r="K895" t="s">
        <v>153</v>
      </c>
      <c r="L895">
        <v>1</v>
      </c>
      <c r="M895" t="s">
        <v>46</v>
      </c>
      <c r="N895" t="s">
        <v>17</v>
      </c>
      <c r="O895" t="s">
        <v>41</v>
      </c>
      <c r="P895" t="s">
        <v>1489</v>
      </c>
      <c r="Q895" s="7">
        <f t="shared" si="26"/>
        <v>498192</v>
      </c>
      <c r="R895" s="7">
        <f t="shared" si="27"/>
        <v>4151.6000000000004</v>
      </c>
    </row>
    <row r="896" spans="1:18" x14ac:dyDescent="0.35">
      <c r="A896" s="5">
        <v>890</v>
      </c>
      <c r="B896" t="s">
        <v>322</v>
      </c>
      <c r="C896" t="s">
        <v>1363</v>
      </c>
      <c r="D896" t="s">
        <v>1486</v>
      </c>
      <c r="E896" t="s">
        <v>73</v>
      </c>
      <c r="F896" s="1">
        <v>45987</v>
      </c>
      <c r="G896" s="2">
        <v>2012</v>
      </c>
      <c r="H896">
        <v>2021</v>
      </c>
      <c r="I896" s="2">
        <v>9</v>
      </c>
      <c r="J896" s="7">
        <v>72534</v>
      </c>
      <c r="K896" t="s">
        <v>401</v>
      </c>
      <c r="L896">
        <v>4</v>
      </c>
      <c r="M896" t="s">
        <v>55</v>
      </c>
      <c r="N896" t="s">
        <v>17</v>
      </c>
      <c r="O896" t="s">
        <v>41</v>
      </c>
      <c r="P896" t="s">
        <v>1489</v>
      </c>
      <c r="Q896" s="7">
        <f t="shared" si="26"/>
        <v>870408</v>
      </c>
      <c r="R896" s="7">
        <f t="shared" si="27"/>
        <v>7253.4000000000005</v>
      </c>
    </row>
    <row r="897" spans="1:18" x14ac:dyDescent="0.35">
      <c r="A897" s="5">
        <v>891</v>
      </c>
      <c r="B897" t="s">
        <v>969</v>
      </c>
      <c r="C897" t="s">
        <v>1364</v>
      </c>
      <c r="D897" t="s">
        <v>1485</v>
      </c>
      <c r="E897" t="s">
        <v>73</v>
      </c>
      <c r="F897" s="1">
        <v>40703</v>
      </c>
      <c r="G897" s="2">
        <v>2011</v>
      </c>
      <c r="H897">
        <v>2021</v>
      </c>
      <c r="I897" s="2">
        <v>10</v>
      </c>
      <c r="J897" s="7">
        <v>140004</v>
      </c>
      <c r="K897" t="s">
        <v>186</v>
      </c>
      <c r="L897">
        <v>7</v>
      </c>
      <c r="M897" t="s">
        <v>39</v>
      </c>
      <c r="N897" t="s">
        <v>40</v>
      </c>
      <c r="O897" t="s">
        <v>41</v>
      </c>
      <c r="P897" t="s">
        <v>1489</v>
      </c>
      <c r="Q897" s="7">
        <f t="shared" si="26"/>
        <v>1680048</v>
      </c>
      <c r="R897" s="7">
        <f t="shared" si="27"/>
        <v>14000.400000000001</v>
      </c>
    </row>
    <row r="898" spans="1:18" x14ac:dyDescent="0.35">
      <c r="A898" s="5">
        <v>892</v>
      </c>
      <c r="B898" t="s">
        <v>177</v>
      </c>
      <c r="C898" t="s">
        <v>1365</v>
      </c>
      <c r="D898" t="s">
        <v>1485</v>
      </c>
      <c r="E898" t="s">
        <v>129</v>
      </c>
      <c r="F898" s="1">
        <v>38161</v>
      </c>
      <c r="G898" s="2">
        <v>2004</v>
      </c>
      <c r="H898">
        <v>2021</v>
      </c>
      <c r="I898" s="2">
        <v>17</v>
      </c>
      <c r="J898" s="7">
        <v>114436</v>
      </c>
      <c r="K898" t="s">
        <v>1366</v>
      </c>
      <c r="L898">
        <v>5</v>
      </c>
      <c r="M898" t="s">
        <v>91</v>
      </c>
      <c r="N898" t="s">
        <v>40</v>
      </c>
      <c r="O898" t="s">
        <v>41</v>
      </c>
      <c r="P898" t="s">
        <v>1489</v>
      </c>
      <c r="Q898" s="7">
        <f t="shared" si="26"/>
        <v>1373232</v>
      </c>
      <c r="R898" s="7">
        <f t="shared" si="27"/>
        <v>11443.6</v>
      </c>
    </row>
    <row r="899" spans="1:18" x14ac:dyDescent="0.35">
      <c r="A899" s="5">
        <v>893</v>
      </c>
      <c r="B899" t="s">
        <v>182</v>
      </c>
      <c r="C899" t="s">
        <v>1367</v>
      </c>
      <c r="D899" t="s">
        <v>1485</v>
      </c>
      <c r="E899" t="s">
        <v>37</v>
      </c>
      <c r="F899" s="1">
        <v>39903</v>
      </c>
      <c r="G899" s="2">
        <v>2009</v>
      </c>
      <c r="H899">
        <v>2021</v>
      </c>
      <c r="I899" s="2">
        <v>12</v>
      </c>
      <c r="J899" s="7">
        <v>68684</v>
      </c>
      <c r="K899" t="s">
        <v>669</v>
      </c>
      <c r="L899">
        <v>3</v>
      </c>
      <c r="M899" t="s">
        <v>28</v>
      </c>
      <c r="N899" t="s">
        <v>17</v>
      </c>
      <c r="O899" t="s">
        <v>41</v>
      </c>
      <c r="P899" t="s">
        <v>1489</v>
      </c>
      <c r="Q899" s="7">
        <f t="shared" si="26"/>
        <v>824208</v>
      </c>
      <c r="R899" s="7">
        <f t="shared" si="27"/>
        <v>6868.4000000000005</v>
      </c>
    </row>
    <row r="900" spans="1:18" x14ac:dyDescent="0.35">
      <c r="A900" s="5">
        <v>894</v>
      </c>
      <c r="B900" t="s">
        <v>118</v>
      </c>
      <c r="C900" t="s">
        <v>1368</v>
      </c>
      <c r="D900" t="s">
        <v>1485</v>
      </c>
      <c r="E900" t="s">
        <v>26</v>
      </c>
      <c r="F900" s="1">
        <v>36787</v>
      </c>
      <c r="G900" s="2">
        <v>2000</v>
      </c>
      <c r="H900">
        <v>2021</v>
      </c>
      <c r="I900" s="2">
        <v>21</v>
      </c>
      <c r="J900" s="7">
        <v>135326</v>
      </c>
      <c r="K900" t="s">
        <v>336</v>
      </c>
      <c r="L900">
        <v>1</v>
      </c>
      <c r="M900" t="s">
        <v>46</v>
      </c>
      <c r="N900" t="s">
        <v>17</v>
      </c>
      <c r="O900" t="s">
        <v>29</v>
      </c>
      <c r="P900" t="s">
        <v>1489</v>
      </c>
      <c r="Q900" s="7">
        <f t="shared" si="26"/>
        <v>1623912</v>
      </c>
      <c r="R900" s="7">
        <f t="shared" si="27"/>
        <v>13532.6</v>
      </c>
    </row>
    <row r="901" spans="1:18" x14ac:dyDescent="0.35">
      <c r="A901" s="5">
        <v>895</v>
      </c>
      <c r="B901" t="s">
        <v>331</v>
      </c>
      <c r="C901" t="s">
        <v>1369</v>
      </c>
      <c r="D901" t="s">
        <v>1485</v>
      </c>
      <c r="E901" t="s">
        <v>100</v>
      </c>
      <c r="F901" s="1">
        <v>41693</v>
      </c>
      <c r="G901" s="2">
        <v>2014</v>
      </c>
      <c r="H901">
        <v>2021</v>
      </c>
      <c r="I901" s="2">
        <v>7</v>
      </c>
      <c r="J901" s="7">
        <v>40194</v>
      </c>
      <c r="K901" t="s">
        <v>253</v>
      </c>
      <c r="L901">
        <v>5</v>
      </c>
      <c r="M901" t="s">
        <v>91</v>
      </c>
      <c r="N901" t="s">
        <v>40</v>
      </c>
      <c r="O901" t="s">
        <v>29</v>
      </c>
      <c r="P901" t="s">
        <v>1489</v>
      </c>
      <c r="Q901" s="7">
        <f t="shared" si="26"/>
        <v>482328</v>
      </c>
      <c r="R901" s="7">
        <f t="shared" si="27"/>
        <v>4019.4</v>
      </c>
    </row>
    <row r="902" spans="1:18" x14ac:dyDescent="0.35">
      <c r="A902" s="5">
        <v>896</v>
      </c>
      <c r="B902" t="s">
        <v>845</v>
      </c>
      <c r="C902" t="s">
        <v>1370</v>
      </c>
      <c r="D902" t="s">
        <v>1486</v>
      </c>
      <c r="E902" t="s">
        <v>89</v>
      </c>
      <c r="F902" s="1">
        <v>45227</v>
      </c>
      <c r="G902" s="2">
        <v>2010</v>
      </c>
      <c r="H902">
        <v>2021</v>
      </c>
      <c r="I902" s="2">
        <v>11</v>
      </c>
      <c r="J902" s="7">
        <v>134813</v>
      </c>
      <c r="K902" t="s">
        <v>632</v>
      </c>
      <c r="L902">
        <v>7</v>
      </c>
      <c r="M902" t="s">
        <v>39</v>
      </c>
      <c r="N902" t="s">
        <v>40</v>
      </c>
      <c r="O902" t="s">
        <v>41</v>
      </c>
      <c r="P902" t="s">
        <v>1489</v>
      </c>
      <c r="Q902" s="7">
        <f t="shared" si="26"/>
        <v>1617756</v>
      </c>
      <c r="R902" s="7">
        <f t="shared" si="27"/>
        <v>13481.300000000001</v>
      </c>
    </row>
    <row r="903" spans="1:18" x14ac:dyDescent="0.35">
      <c r="A903" s="5">
        <v>897</v>
      </c>
      <c r="B903" t="s">
        <v>1119</v>
      </c>
      <c r="C903" t="s">
        <v>1371</v>
      </c>
      <c r="D903" t="s">
        <v>1485</v>
      </c>
      <c r="E903" t="s">
        <v>129</v>
      </c>
      <c r="F903" s="1">
        <v>37324</v>
      </c>
      <c r="G903" s="2">
        <v>2002</v>
      </c>
      <c r="H903">
        <v>2021</v>
      </c>
      <c r="I903" s="2">
        <v>19</v>
      </c>
      <c r="J903" s="7">
        <v>79718</v>
      </c>
      <c r="K903" t="s">
        <v>583</v>
      </c>
      <c r="L903">
        <v>4</v>
      </c>
      <c r="M903" t="s">
        <v>55</v>
      </c>
      <c r="N903" t="s">
        <v>17</v>
      </c>
      <c r="O903" t="s">
        <v>41</v>
      </c>
      <c r="P903" t="s">
        <v>1489</v>
      </c>
      <c r="Q903" s="7">
        <f t="shared" ref="Q903:Q966" si="28">J903*12</f>
        <v>956616</v>
      </c>
      <c r="R903" s="7">
        <f t="shared" ref="R903:R966" si="29">J903*10%</f>
        <v>7971.8</v>
      </c>
    </row>
    <row r="904" spans="1:18" x14ac:dyDescent="0.35">
      <c r="A904" s="5">
        <v>898</v>
      </c>
      <c r="B904" t="s">
        <v>856</v>
      </c>
      <c r="C904" t="s">
        <v>1372</v>
      </c>
      <c r="D904" t="s">
        <v>1486</v>
      </c>
      <c r="E904" t="s">
        <v>100</v>
      </c>
      <c r="F904" s="1">
        <v>45269</v>
      </c>
      <c r="G904" s="2">
        <v>2010</v>
      </c>
      <c r="H904">
        <v>2021</v>
      </c>
      <c r="I904" s="2">
        <v>11</v>
      </c>
      <c r="J904" s="7">
        <v>115085</v>
      </c>
      <c r="K904" t="s">
        <v>764</v>
      </c>
      <c r="L904">
        <v>7</v>
      </c>
      <c r="M904" t="s">
        <v>39</v>
      </c>
      <c r="N904" t="s">
        <v>40</v>
      </c>
      <c r="O904" t="s">
        <v>29</v>
      </c>
      <c r="P904" t="s">
        <v>1489</v>
      </c>
      <c r="Q904" s="7">
        <f t="shared" si="28"/>
        <v>1381020</v>
      </c>
      <c r="R904" s="7">
        <f t="shared" si="29"/>
        <v>11508.5</v>
      </c>
    </row>
    <row r="905" spans="1:18" x14ac:dyDescent="0.35">
      <c r="A905" s="5">
        <v>899</v>
      </c>
      <c r="B905" t="s">
        <v>358</v>
      </c>
      <c r="C905" t="s">
        <v>1373</v>
      </c>
      <c r="D905" t="s">
        <v>1486</v>
      </c>
      <c r="E905" t="s">
        <v>312</v>
      </c>
      <c r="F905" s="1">
        <v>38416</v>
      </c>
      <c r="G905" s="2">
        <v>2005</v>
      </c>
      <c r="H905">
        <v>2021</v>
      </c>
      <c r="I905" s="2">
        <v>16</v>
      </c>
      <c r="J905" s="7">
        <v>67758</v>
      </c>
      <c r="K905" t="s">
        <v>287</v>
      </c>
      <c r="L905">
        <v>2</v>
      </c>
      <c r="M905" t="s">
        <v>16</v>
      </c>
      <c r="N905" t="s">
        <v>17</v>
      </c>
      <c r="O905" t="s">
        <v>41</v>
      </c>
      <c r="P905" t="s">
        <v>1489</v>
      </c>
      <c r="Q905" s="7">
        <f t="shared" si="28"/>
        <v>813096</v>
      </c>
      <c r="R905" s="7">
        <f t="shared" si="29"/>
        <v>6775.8</v>
      </c>
    </row>
    <row r="906" spans="1:18" x14ac:dyDescent="0.35">
      <c r="A906" s="5">
        <v>900</v>
      </c>
      <c r="B906" t="s">
        <v>218</v>
      </c>
      <c r="C906" t="s">
        <v>1374</v>
      </c>
      <c r="D906" t="s">
        <v>1485</v>
      </c>
      <c r="E906" t="s">
        <v>53</v>
      </c>
      <c r="F906" s="1">
        <v>40962</v>
      </c>
      <c r="G906" s="2">
        <v>2012</v>
      </c>
      <c r="H906">
        <v>2021</v>
      </c>
      <c r="I906" s="2">
        <v>9</v>
      </c>
      <c r="J906" s="7">
        <v>115776</v>
      </c>
      <c r="K906" t="s">
        <v>394</v>
      </c>
      <c r="L906">
        <v>2</v>
      </c>
      <c r="M906" t="s">
        <v>16</v>
      </c>
      <c r="N906" t="s">
        <v>17</v>
      </c>
      <c r="O906" t="s">
        <v>23</v>
      </c>
      <c r="P906" t="s">
        <v>1489</v>
      </c>
      <c r="Q906" s="7">
        <f t="shared" si="28"/>
        <v>1389312</v>
      </c>
      <c r="R906" s="7">
        <f t="shared" si="29"/>
        <v>11577.6</v>
      </c>
    </row>
    <row r="907" spans="1:18" x14ac:dyDescent="0.35">
      <c r="A907" s="5">
        <v>901</v>
      </c>
      <c r="B907" t="s">
        <v>889</v>
      </c>
      <c r="C907" t="s">
        <v>1375</v>
      </c>
      <c r="D907" t="s">
        <v>1485</v>
      </c>
      <c r="E907" t="s">
        <v>122</v>
      </c>
      <c r="F907" s="1">
        <v>41623</v>
      </c>
      <c r="G907" s="2">
        <v>2013</v>
      </c>
      <c r="H907">
        <v>2021</v>
      </c>
      <c r="I907" s="2">
        <v>8</v>
      </c>
      <c r="J907" s="7">
        <v>146701</v>
      </c>
      <c r="K907" t="s">
        <v>904</v>
      </c>
      <c r="L907">
        <v>7</v>
      </c>
      <c r="M907" t="s">
        <v>39</v>
      </c>
      <c r="N907" t="s">
        <v>40</v>
      </c>
      <c r="O907" t="s">
        <v>123</v>
      </c>
      <c r="P907" t="s">
        <v>1489</v>
      </c>
      <c r="Q907" s="7">
        <f t="shared" si="28"/>
        <v>1760412</v>
      </c>
      <c r="R907" s="7">
        <f t="shared" si="29"/>
        <v>14670.1</v>
      </c>
    </row>
    <row r="908" spans="1:18" x14ac:dyDescent="0.35">
      <c r="A908" s="5">
        <v>902</v>
      </c>
      <c r="B908" t="s">
        <v>710</v>
      </c>
      <c r="C908" t="s">
        <v>1376</v>
      </c>
      <c r="D908" t="s">
        <v>1485</v>
      </c>
      <c r="E908" t="s">
        <v>312</v>
      </c>
      <c r="F908" s="1">
        <v>40893</v>
      </c>
      <c r="G908" s="2">
        <v>2011</v>
      </c>
      <c r="H908">
        <v>2021</v>
      </c>
      <c r="I908" s="2">
        <v>10</v>
      </c>
      <c r="J908" s="7">
        <v>109233</v>
      </c>
      <c r="K908" t="s">
        <v>214</v>
      </c>
      <c r="L908">
        <v>4</v>
      </c>
      <c r="M908" t="s">
        <v>55</v>
      </c>
      <c r="N908" t="s">
        <v>17</v>
      </c>
      <c r="O908" t="s">
        <v>41</v>
      </c>
      <c r="P908" t="s">
        <v>1489</v>
      </c>
      <c r="Q908" s="7">
        <f t="shared" si="28"/>
        <v>1310796</v>
      </c>
      <c r="R908" s="7">
        <f t="shared" si="29"/>
        <v>10923.300000000001</v>
      </c>
    </row>
    <row r="909" spans="1:18" x14ac:dyDescent="0.35">
      <c r="A909" s="5">
        <v>903</v>
      </c>
      <c r="B909" t="s">
        <v>445</v>
      </c>
      <c r="C909" t="s">
        <v>1377</v>
      </c>
      <c r="D909" t="s">
        <v>1486</v>
      </c>
      <c r="E909" t="s">
        <v>148</v>
      </c>
      <c r="F909" s="1">
        <v>43837</v>
      </c>
      <c r="G909" s="2">
        <v>2007</v>
      </c>
      <c r="H909">
        <v>2021</v>
      </c>
      <c r="I909" s="2">
        <v>14</v>
      </c>
      <c r="J909" s="7">
        <v>113654</v>
      </c>
      <c r="K909" t="s">
        <v>992</v>
      </c>
      <c r="L909">
        <v>1</v>
      </c>
      <c r="M909" t="s">
        <v>46</v>
      </c>
      <c r="N909" t="s">
        <v>17</v>
      </c>
      <c r="O909" t="s">
        <v>112</v>
      </c>
      <c r="P909" t="s">
        <v>1489</v>
      </c>
      <c r="Q909" s="7">
        <f t="shared" si="28"/>
        <v>1363848</v>
      </c>
      <c r="R909" s="7">
        <f t="shared" si="29"/>
        <v>11365.400000000001</v>
      </c>
    </row>
    <row r="910" spans="1:18" x14ac:dyDescent="0.35">
      <c r="A910" s="5">
        <v>904</v>
      </c>
      <c r="B910" t="s">
        <v>414</v>
      </c>
      <c r="C910" t="s">
        <v>1378</v>
      </c>
      <c r="D910" t="s">
        <v>1486</v>
      </c>
      <c r="E910" t="s">
        <v>44</v>
      </c>
      <c r="F910" s="1">
        <v>38224</v>
      </c>
      <c r="G910" s="2">
        <v>2004</v>
      </c>
      <c r="H910">
        <v>2021</v>
      </c>
      <c r="I910" s="2">
        <v>17</v>
      </c>
      <c r="J910" s="7">
        <v>90937</v>
      </c>
      <c r="K910" t="s">
        <v>691</v>
      </c>
      <c r="L910">
        <v>6</v>
      </c>
      <c r="M910" t="s">
        <v>50</v>
      </c>
      <c r="N910" t="s">
        <v>40</v>
      </c>
      <c r="O910" t="s">
        <v>29</v>
      </c>
      <c r="P910" t="s">
        <v>1489</v>
      </c>
      <c r="Q910" s="7">
        <f t="shared" si="28"/>
        <v>1091244</v>
      </c>
      <c r="R910" s="7">
        <f t="shared" si="29"/>
        <v>9093.7000000000007</v>
      </c>
    </row>
    <row r="911" spans="1:18" x14ac:dyDescent="0.35">
      <c r="A911" s="5">
        <v>905</v>
      </c>
      <c r="B911" t="s">
        <v>75</v>
      </c>
      <c r="C911" t="s">
        <v>1379</v>
      </c>
      <c r="D911" t="s">
        <v>1485</v>
      </c>
      <c r="E911" t="s">
        <v>26</v>
      </c>
      <c r="F911" s="1">
        <v>39365</v>
      </c>
      <c r="G911" s="2">
        <v>2007</v>
      </c>
      <c r="H911">
        <v>2021</v>
      </c>
      <c r="I911" s="2">
        <v>14</v>
      </c>
      <c r="J911" s="7">
        <v>111689</v>
      </c>
      <c r="K911" t="s">
        <v>610</v>
      </c>
      <c r="L911">
        <v>5</v>
      </c>
      <c r="M911" t="s">
        <v>91</v>
      </c>
      <c r="N911" t="s">
        <v>40</v>
      </c>
      <c r="O911" t="s">
        <v>29</v>
      </c>
      <c r="P911" t="s">
        <v>1489</v>
      </c>
      <c r="Q911" s="7">
        <f t="shared" si="28"/>
        <v>1340268</v>
      </c>
      <c r="R911" s="7">
        <f t="shared" si="29"/>
        <v>11168.900000000001</v>
      </c>
    </row>
    <row r="912" spans="1:18" x14ac:dyDescent="0.35">
      <c r="A912" s="5">
        <v>906</v>
      </c>
      <c r="B912" t="s">
        <v>572</v>
      </c>
      <c r="C912" t="s">
        <v>1380</v>
      </c>
      <c r="D912" t="s">
        <v>1485</v>
      </c>
      <c r="E912" t="s">
        <v>94</v>
      </c>
      <c r="F912" s="1">
        <v>41747</v>
      </c>
      <c r="G912" s="2">
        <v>2014</v>
      </c>
      <c r="H912">
        <v>2021</v>
      </c>
      <c r="I912" s="2">
        <v>7</v>
      </c>
      <c r="J912" s="7">
        <v>110881</v>
      </c>
      <c r="K912" t="s">
        <v>169</v>
      </c>
      <c r="L912">
        <v>1</v>
      </c>
      <c r="M912" t="s">
        <v>46</v>
      </c>
      <c r="N912" t="s">
        <v>17</v>
      </c>
      <c r="O912" t="s">
        <v>18</v>
      </c>
      <c r="P912" t="s">
        <v>1489</v>
      </c>
      <c r="Q912" s="7">
        <f t="shared" si="28"/>
        <v>1330572</v>
      </c>
      <c r="R912" s="7">
        <f t="shared" si="29"/>
        <v>11088.1</v>
      </c>
    </row>
    <row r="913" spans="1:18" x14ac:dyDescent="0.35">
      <c r="A913" s="5">
        <v>907</v>
      </c>
      <c r="B913" t="s">
        <v>745</v>
      </c>
      <c r="C913" t="s">
        <v>1381</v>
      </c>
      <c r="D913" t="s">
        <v>1486</v>
      </c>
      <c r="E913" t="s">
        <v>44</v>
      </c>
      <c r="F913" s="1">
        <v>44826</v>
      </c>
      <c r="G913" s="2">
        <v>2009</v>
      </c>
      <c r="H913">
        <v>2021</v>
      </c>
      <c r="I913" s="2">
        <v>12</v>
      </c>
      <c r="J913" s="7">
        <v>104326</v>
      </c>
      <c r="K913" t="s">
        <v>139</v>
      </c>
      <c r="L913">
        <v>5</v>
      </c>
      <c r="M913" t="s">
        <v>91</v>
      </c>
      <c r="N913" t="s">
        <v>40</v>
      </c>
      <c r="O913" t="s">
        <v>29</v>
      </c>
      <c r="P913" t="s">
        <v>1489</v>
      </c>
      <c r="Q913" s="7">
        <f t="shared" si="28"/>
        <v>1251912</v>
      </c>
      <c r="R913" s="7">
        <f t="shared" si="29"/>
        <v>10432.6</v>
      </c>
    </row>
    <row r="914" spans="1:18" x14ac:dyDescent="0.35">
      <c r="A914" s="5">
        <v>908</v>
      </c>
      <c r="B914" t="s">
        <v>544</v>
      </c>
      <c r="C914" t="s">
        <v>1382</v>
      </c>
      <c r="D914" t="s">
        <v>1486</v>
      </c>
      <c r="E914" t="s">
        <v>94</v>
      </c>
      <c r="F914" s="1">
        <v>37952</v>
      </c>
      <c r="G914" s="2">
        <v>2003</v>
      </c>
      <c r="H914">
        <v>2021</v>
      </c>
      <c r="I914" s="2">
        <v>18</v>
      </c>
      <c r="J914" s="7">
        <v>144767</v>
      </c>
      <c r="K914" t="s">
        <v>45</v>
      </c>
      <c r="L914">
        <v>5</v>
      </c>
      <c r="M914" t="s">
        <v>91</v>
      </c>
      <c r="N914" t="s">
        <v>40</v>
      </c>
      <c r="O914" t="s">
        <v>18</v>
      </c>
      <c r="P914" t="s">
        <v>1489</v>
      </c>
      <c r="Q914" s="7">
        <f t="shared" si="28"/>
        <v>1737204</v>
      </c>
      <c r="R914" s="7">
        <f t="shared" si="29"/>
        <v>14476.7</v>
      </c>
    </row>
    <row r="915" spans="1:18" x14ac:dyDescent="0.35">
      <c r="A915" s="5">
        <v>909</v>
      </c>
      <c r="B915" t="s">
        <v>781</v>
      </c>
      <c r="C915" t="s">
        <v>1383</v>
      </c>
      <c r="D915" t="s">
        <v>1485</v>
      </c>
      <c r="E915" t="s">
        <v>26</v>
      </c>
      <c r="F915" s="1">
        <v>40173</v>
      </c>
      <c r="G915" s="2">
        <v>2009</v>
      </c>
      <c r="H915">
        <v>2021</v>
      </c>
      <c r="I915" s="2">
        <v>12</v>
      </c>
      <c r="J915" s="7">
        <v>111041</v>
      </c>
      <c r="K915" t="s">
        <v>904</v>
      </c>
      <c r="L915">
        <v>6</v>
      </c>
      <c r="M915" t="s">
        <v>50</v>
      </c>
      <c r="N915" t="s">
        <v>40</v>
      </c>
      <c r="O915" t="s">
        <v>29</v>
      </c>
      <c r="P915" t="s">
        <v>1489</v>
      </c>
      <c r="Q915" s="7">
        <f t="shared" si="28"/>
        <v>1332492</v>
      </c>
      <c r="R915" s="7">
        <f t="shared" si="29"/>
        <v>11104.1</v>
      </c>
    </row>
    <row r="916" spans="1:18" x14ac:dyDescent="0.35">
      <c r="A916" s="5">
        <v>910</v>
      </c>
      <c r="B916" t="s">
        <v>973</v>
      </c>
      <c r="C916" t="s">
        <v>1384</v>
      </c>
      <c r="D916" t="s">
        <v>1486</v>
      </c>
      <c r="E916" t="s">
        <v>110</v>
      </c>
      <c r="F916" s="1">
        <v>38707</v>
      </c>
      <c r="G916" s="2">
        <v>2005</v>
      </c>
      <c r="H916">
        <v>2021</v>
      </c>
      <c r="I916" s="2">
        <v>16</v>
      </c>
      <c r="J916" s="7">
        <v>148860</v>
      </c>
      <c r="K916" t="s">
        <v>223</v>
      </c>
      <c r="L916">
        <v>4</v>
      </c>
      <c r="M916" t="s">
        <v>55</v>
      </c>
      <c r="N916" t="s">
        <v>17</v>
      </c>
      <c r="O916" t="s">
        <v>112</v>
      </c>
      <c r="P916" t="s">
        <v>1489</v>
      </c>
      <c r="Q916" s="7">
        <f t="shared" si="28"/>
        <v>1786320</v>
      </c>
      <c r="R916" s="7">
        <f t="shared" si="29"/>
        <v>14886</v>
      </c>
    </row>
    <row r="917" spans="1:18" x14ac:dyDescent="0.35">
      <c r="A917" s="5">
        <v>911</v>
      </c>
      <c r="B917" t="s">
        <v>519</v>
      </c>
      <c r="C917" t="s">
        <v>1385</v>
      </c>
      <c r="D917" t="s">
        <v>1485</v>
      </c>
      <c r="E917" t="s">
        <v>26</v>
      </c>
      <c r="F917" s="1">
        <v>37276</v>
      </c>
      <c r="G917" s="2">
        <v>2002</v>
      </c>
      <c r="H917">
        <v>2021</v>
      </c>
      <c r="I917" s="2">
        <v>19</v>
      </c>
      <c r="J917" s="7">
        <v>53964</v>
      </c>
      <c r="K917" t="s">
        <v>386</v>
      </c>
      <c r="L917">
        <v>1</v>
      </c>
      <c r="M917" t="s">
        <v>46</v>
      </c>
      <c r="N917" t="s">
        <v>17</v>
      </c>
      <c r="O917" t="s">
        <v>29</v>
      </c>
      <c r="P917" t="s">
        <v>1489</v>
      </c>
      <c r="Q917" s="7">
        <f t="shared" si="28"/>
        <v>647568</v>
      </c>
      <c r="R917" s="7">
        <f t="shared" si="29"/>
        <v>5396.4000000000005</v>
      </c>
    </row>
    <row r="918" spans="1:18" x14ac:dyDescent="0.35">
      <c r="A918" s="5">
        <v>912</v>
      </c>
      <c r="B918" t="s">
        <v>462</v>
      </c>
      <c r="C918" t="s">
        <v>1386</v>
      </c>
      <c r="D918" t="s">
        <v>1486</v>
      </c>
      <c r="E918" t="s">
        <v>129</v>
      </c>
      <c r="F918" s="1">
        <v>43891</v>
      </c>
      <c r="G918" s="2">
        <v>2007</v>
      </c>
      <c r="H918">
        <v>2021</v>
      </c>
      <c r="I918" s="2">
        <v>14</v>
      </c>
      <c r="J918" s="7">
        <v>131152</v>
      </c>
      <c r="K918" t="s">
        <v>1387</v>
      </c>
      <c r="L918">
        <v>2</v>
      </c>
      <c r="M918" t="s">
        <v>16</v>
      </c>
      <c r="N918" t="s">
        <v>17</v>
      </c>
      <c r="O918" t="s">
        <v>41</v>
      </c>
      <c r="P918" t="s">
        <v>1489</v>
      </c>
      <c r="Q918" s="7">
        <f t="shared" si="28"/>
        <v>1573824</v>
      </c>
      <c r="R918" s="7">
        <f t="shared" si="29"/>
        <v>13115.2</v>
      </c>
    </row>
    <row r="919" spans="1:18" x14ac:dyDescent="0.35">
      <c r="A919" s="5">
        <v>913</v>
      </c>
      <c r="B919" t="s">
        <v>12</v>
      </c>
      <c r="C919" t="s">
        <v>1388</v>
      </c>
      <c r="D919" t="s">
        <v>1486</v>
      </c>
      <c r="E919" t="s">
        <v>69</v>
      </c>
      <c r="F919" s="1">
        <v>45708</v>
      </c>
      <c r="G919" s="2">
        <v>2012</v>
      </c>
      <c r="H919">
        <v>2021</v>
      </c>
      <c r="I919" s="2">
        <v>9</v>
      </c>
      <c r="J919" s="7">
        <v>116266</v>
      </c>
      <c r="K919" t="s">
        <v>104</v>
      </c>
      <c r="L919">
        <v>6</v>
      </c>
      <c r="M919" t="s">
        <v>50</v>
      </c>
      <c r="N919" t="s">
        <v>40</v>
      </c>
      <c r="O919" t="s">
        <v>41</v>
      </c>
      <c r="P919" t="s">
        <v>1489</v>
      </c>
      <c r="Q919" s="7">
        <f t="shared" si="28"/>
        <v>1395192</v>
      </c>
      <c r="R919" s="7">
        <f t="shared" si="29"/>
        <v>11626.6</v>
      </c>
    </row>
    <row r="920" spans="1:18" x14ac:dyDescent="0.35">
      <c r="A920" s="5">
        <v>914</v>
      </c>
      <c r="B920" t="s">
        <v>19</v>
      </c>
      <c r="C920" t="s">
        <v>1389</v>
      </c>
      <c r="D920" t="s">
        <v>1486</v>
      </c>
      <c r="E920" t="s">
        <v>129</v>
      </c>
      <c r="F920" s="1">
        <v>38875</v>
      </c>
      <c r="G920" s="2">
        <v>2006</v>
      </c>
      <c r="H920">
        <v>2021</v>
      </c>
      <c r="I920" s="2">
        <v>15</v>
      </c>
      <c r="J920" s="7">
        <v>143853</v>
      </c>
      <c r="K920" t="s">
        <v>186</v>
      </c>
      <c r="L920">
        <v>2</v>
      </c>
      <c r="M920" t="s">
        <v>16</v>
      </c>
      <c r="N920" t="s">
        <v>17</v>
      </c>
      <c r="O920" t="s">
        <v>41</v>
      </c>
      <c r="P920" t="s">
        <v>1489</v>
      </c>
      <c r="Q920" s="7">
        <f t="shared" si="28"/>
        <v>1726236</v>
      </c>
      <c r="R920" s="7">
        <f t="shared" si="29"/>
        <v>14385.300000000001</v>
      </c>
    </row>
    <row r="921" spans="1:18" x14ac:dyDescent="0.35">
      <c r="A921" s="5">
        <v>915</v>
      </c>
      <c r="B921" t="s">
        <v>300</v>
      </c>
      <c r="C921" t="s">
        <v>1390</v>
      </c>
      <c r="D921" t="s">
        <v>1485</v>
      </c>
      <c r="E921" t="s">
        <v>44</v>
      </c>
      <c r="F921" s="1">
        <v>40324</v>
      </c>
      <c r="G921" s="2">
        <v>2010</v>
      </c>
      <c r="H921">
        <v>2021</v>
      </c>
      <c r="I921" s="2">
        <v>11</v>
      </c>
      <c r="J921" s="7">
        <v>92561</v>
      </c>
      <c r="K921" t="s">
        <v>226</v>
      </c>
      <c r="L921">
        <v>1</v>
      </c>
      <c r="M921" t="s">
        <v>46</v>
      </c>
      <c r="N921" t="s">
        <v>17</v>
      </c>
      <c r="O921" t="s">
        <v>29</v>
      </c>
      <c r="P921" t="s">
        <v>1489</v>
      </c>
      <c r="Q921" s="7">
        <f t="shared" si="28"/>
        <v>1110732</v>
      </c>
      <c r="R921" s="7">
        <f t="shared" si="29"/>
        <v>9256.1</v>
      </c>
    </row>
    <row r="922" spans="1:18" x14ac:dyDescent="0.35">
      <c r="A922" s="5">
        <v>916</v>
      </c>
      <c r="B922" t="s">
        <v>791</v>
      </c>
      <c r="C922" t="s">
        <v>1391</v>
      </c>
      <c r="D922" t="s">
        <v>1486</v>
      </c>
      <c r="E922" t="s">
        <v>37</v>
      </c>
      <c r="F922" s="1">
        <v>38939</v>
      </c>
      <c r="G922" s="2">
        <v>2006</v>
      </c>
      <c r="H922">
        <v>2021</v>
      </c>
      <c r="I922" s="2">
        <v>15</v>
      </c>
      <c r="J922" s="7">
        <v>45486</v>
      </c>
      <c r="K922" t="s">
        <v>610</v>
      </c>
      <c r="L922">
        <v>1</v>
      </c>
      <c r="M922" t="s">
        <v>46</v>
      </c>
      <c r="N922" t="s">
        <v>17</v>
      </c>
      <c r="O922" t="s">
        <v>41</v>
      </c>
      <c r="P922" t="s">
        <v>1489</v>
      </c>
      <c r="Q922" s="7">
        <f t="shared" si="28"/>
        <v>545832</v>
      </c>
      <c r="R922" s="7">
        <f t="shared" si="29"/>
        <v>4548.6000000000004</v>
      </c>
    </row>
    <row r="923" spans="1:18" x14ac:dyDescent="0.35">
      <c r="A923" s="5">
        <v>917</v>
      </c>
      <c r="B923" t="s">
        <v>392</v>
      </c>
      <c r="C923" t="s">
        <v>1392</v>
      </c>
      <c r="D923" t="s">
        <v>1485</v>
      </c>
      <c r="E923" t="s">
        <v>129</v>
      </c>
      <c r="F923" s="1">
        <v>38332</v>
      </c>
      <c r="G923" s="2">
        <v>2004</v>
      </c>
      <c r="H923">
        <v>2021</v>
      </c>
      <c r="I923" s="2">
        <v>17</v>
      </c>
      <c r="J923" s="7">
        <v>95424</v>
      </c>
      <c r="K923" t="s">
        <v>459</v>
      </c>
      <c r="L923">
        <v>2</v>
      </c>
      <c r="M923" t="s">
        <v>16</v>
      </c>
      <c r="N923" t="s">
        <v>17</v>
      </c>
      <c r="O923" t="s">
        <v>41</v>
      </c>
      <c r="P923" t="s">
        <v>1489</v>
      </c>
      <c r="Q923" s="7">
        <f t="shared" si="28"/>
        <v>1145088</v>
      </c>
      <c r="R923" s="7">
        <f t="shared" si="29"/>
        <v>9542.4</v>
      </c>
    </row>
    <row r="924" spans="1:18" x14ac:dyDescent="0.35">
      <c r="A924" s="5">
        <v>918</v>
      </c>
      <c r="B924" t="s">
        <v>589</v>
      </c>
      <c r="C924" t="s">
        <v>1393</v>
      </c>
      <c r="D924" t="s">
        <v>1486</v>
      </c>
      <c r="E924" t="s">
        <v>73</v>
      </c>
      <c r="F924" s="1">
        <v>38260</v>
      </c>
      <c r="G924" s="2">
        <v>2004</v>
      </c>
      <c r="H924">
        <v>2021</v>
      </c>
      <c r="I924" s="2">
        <v>17</v>
      </c>
      <c r="J924" s="7">
        <v>73905</v>
      </c>
      <c r="K924" t="s">
        <v>186</v>
      </c>
      <c r="L924">
        <v>7</v>
      </c>
      <c r="M924" t="s">
        <v>39</v>
      </c>
      <c r="N924" t="s">
        <v>40</v>
      </c>
      <c r="O924" t="s">
        <v>41</v>
      </c>
      <c r="P924" t="s">
        <v>1489</v>
      </c>
      <c r="Q924" s="7">
        <f t="shared" si="28"/>
        <v>886860</v>
      </c>
      <c r="R924" s="7">
        <f t="shared" si="29"/>
        <v>7390.5</v>
      </c>
    </row>
    <row r="925" spans="1:18" x14ac:dyDescent="0.35">
      <c r="A925" s="5">
        <v>919</v>
      </c>
      <c r="B925" t="s">
        <v>852</v>
      </c>
      <c r="C925" t="s">
        <v>1394</v>
      </c>
      <c r="D925" t="s">
        <v>1486</v>
      </c>
      <c r="E925" t="s">
        <v>61</v>
      </c>
      <c r="F925" s="1">
        <v>45278</v>
      </c>
      <c r="G925" s="2">
        <v>2010</v>
      </c>
      <c r="H925">
        <v>2021</v>
      </c>
      <c r="I925" s="2">
        <v>11</v>
      </c>
      <c r="J925" s="7">
        <v>53798</v>
      </c>
      <c r="K925" t="s">
        <v>214</v>
      </c>
      <c r="L925">
        <v>1</v>
      </c>
      <c r="M925" t="s">
        <v>46</v>
      </c>
      <c r="N925" t="s">
        <v>17</v>
      </c>
      <c r="O925" t="s">
        <v>63</v>
      </c>
      <c r="P925" t="s">
        <v>1489</v>
      </c>
      <c r="Q925" s="7">
        <f t="shared" si="28"/>
        <v>645576</v>
      </c>
      <c r="R925" s="7">
        <f t="shared" si="29"/>
        <v>5379.8</v>
      </c>
    </row>
    <row r="926" spans="1:18" x14ac:dyDescent="0.35">
      <c r="A926" s="5">
        <v>920</v>
      </c>
      <c r="B926" t="s">
        <v>882</v>
      </c>
      <c r="C926" t="s">
        <v>1395</v>
      </c>
      <c r="D926" t="s">
        <v>1486</v>
      </c>
      <c r="E926" t="s">
        <v>44</v>
      </c>
      <c r="F926" s="1">
        <v>45048</v>
      </c>
      <c r="G926" s="2">
        <v>2010</v>
      </c>
      <c r="H926">
        <v>2021</v>
      </c>
      <c r="I926" s="2">
        <v>11</v>
      </c>
      <c r="J926" s="7">
        <v>116766</v>
      </c>
      <c r="K926" t="s">
        <v>1366</v>
      </c>
      <c r="L926">
        <v>4</v>
      </c>
      <c r="M926" t="s">
        <v>55</v>
      </c>
      <c r="N926" t="s">
        <v>17</v>
      </c>
      <c r="O926" t="s">
        <v>29</v>
      </c>
      <c r="P926" t="s">
        <v>1489</v>
      </c>
      <c r="Q926" s="7">
        <f t="shared" si="28"/>
        <v>1401192</v>
      </c>
      <c r="R926" s="7">
        <f t="shared" si="29"/>
        <v>11676.6</v>
      </c>
    </row>
    <row r="927" spans="1:18" x14ac:dyDescent="0.35">
      <c r="A927" s="5">
        <v>921</v>
      </c>
      <c r="B927" t="s">
        <v>331</v>
      </c>
      <c r="C927" t="s">
        <v>1396</v>
      </c>
      <c r="D927" t="s">
        <v>1486</v>
      </c>
      <c r="E927" t="s">
        <v>129</v>
      </c>
      <c r="F927" s="1">
        <v>46196</v>
      </c>
      <c r="G927" s="2">
        <v>2013</v>
      </c>
      <c r="H927">
        <v>2021</v>
      </c>
      <c r="I927" s="2">
        <v>8</v>
      </c>
      <c r="J927" s="7">
        <v>142101</v>
      </c>
      <c r="K927" t="s">
        <v>539</v>
      </c>
      <c r="L927">
        <v>2</v>
      </c>
      <c r="M927" t="s">
        <v>16</v>
      </c>
      <c r="N927" t="s">
        <v>17</v>
      </c>
      <c r="O927" t="s">
        <v>41</v>
      </c>
      <c r="P927" t="s">
        <v>1489</v>
      </c>
      <c r="Q927" s="7">
        <f t="shared" si="28"/>
        <v>1705212</v>
      </c>
      <c r="R927" s="7">
        <f t="shared" si="29"/>
        <v>14210.1</v>
      </c>
    </row>
    <row r="928" spans="1:18" x14ac:dyDescent="0.35">
      <c r="A928" s="5">
        <v>922</v>
      </c>
      <c r="B928" t="s">
        <v>161</v>
      </c>
      <c r="C928" t="s">
        <v>1397</v>
      </c>
      <c r="D928" t="s">
        <v>1486</v>
      </c>
      <c r="E928" t="s">
        <v>129</v>
      </c>
      <c r="F928" s="1">
        <v>36635</v>
      </c>
      <c r="G928" s="2">
        <v>2000</v>
      </c>
      <c r="H928">
        <v>2021</v>
      </c>
      <c r="I928" s="2">
        <v>21</v>
      </c>
      <c r="J928" s="7">
        <v>41299</v>
      </c>
      <c r="K928" t="s">
        <v>1105</v>
      </c>
      <c r="L928">
        <v>5</v>
      </c>
      <c r="M928" t="s">
        <v>91</v>
      </c>
      <c r="N928" t="s">
        <v>40</v>
      </c>
      <c r="O928" t="s">
        <v>41</v>
      </c>
      <c r="P928" t="s">
        <v>1489</v>
      </c>
      <c r="Q928" s="7">
        <f t="shared" si="28"/>
        <v>495588</v>
      </c>
      <c r="R928" s="7">
        <f t="shared" si="29"/>
        <v>4129.9000000000005</v>
      </c>
    </row>
    <row r="929" spans="1:18" x14ac:dyDescent="0.35">
      <c r="A929" s="5">
        <v>923</v>
      </c>
      <c r="B929" t="s">
        <v>587</v>
      </c>
      <c r="C929" t="s">
        <v>1398</v>
      </c>
      <c r="D929" t="s">
        <v>1485</v>
      </c>
      <c r="E929" t="s">
        <v>37</v>
      </c>
      <c r="F929" s="1">
        <v>37628</v>
      </c>
      <c r="G929" s="2">
        <v>2003</v>
      </c>
      <c r="H929">
        <v>2021</v>
      </c>
      <c r="I929" s="2">
        <v>18</v>
      </c>
      <c r="J929" s="7">
        <v>122130</v>
      </c>
      <c r="K929" t="s">
        <v>454</v>
      </c>
      <c r="L929">
        <v>1</v>
      </c>
      <c r="M929" t="s">
        <v>46</v>
      </c>
      <c r="N929" t="s">
        <v>17</v>
      </c>
      <c r="O929" t="s">
        <v>41</v>
      </c>
      <c r="P929" t="s">
        <v>1489</v>
      </c>
      <c r="Q929" s="7">
        <f t="shared" si="28"/>
        <v>1465560</v>
      </c>
      <c r="R929" s="7">
        <f t="shared" si="29"/>
        <v>12213</v>
      </c>
    </row>
    <row r="930" spans="1:18" x14ac:dyDescent="0.35">
      <c r="A930" s="5">
        <v>924</v>
      </c>
      <c r="B930" t="s">
        <v>1399</v>
      </c>
      <c r="C930" t="s">
        <v>1400</v>
      </c>
      <c r="D930" t="s">
        <v>1485</v>
      </c>
      <c r="E930" t="s">
        <v>129</v>
      </c>
      <c r="F930" s="1">
        <v>37686</v>
      </c>
      <c r="G930" s="2">
        <v>2003</v>
      </c>
      <c r="H930">
        <v>2021</v>
      </c>
      <c r="I930" s="2">
        <v>18</v>
      </c>
      <c r="J930" s="7">
        <v>122446</v>
      </c>
      <c r="K930" t="s">
        <v>272</v>
      </c>
      <c r="L930">
        <v>6</v>
      </c>
      <c r="M930" t="s">
        <v>50</v>
      </c>
      <c r="N930" t="s">
        <v>40</v>
      </c>
      <c r="O930" t="s">
        <v>41</v>
      </c>
      <c r="P930" t="s">
        <v>1489</v>
      </c>
      <c r="Q930" s="7">
        <f t="shared" si="28"/>
        <v>1469352</v>
      </c>
      <c r="R930" s="7">
        <f t="shared" si="29"/>
        <v>12244.6</v>
      </c>
    </row>
    <row r="931" spans="1:18" x14ac:dyDescent="0.35">
      <c r="A931" s="5">
        <v>925</v>
      </c>
      <c r="B931" t="s">
        <v>42</v>
      </c>
      <c r="C931" t="s">
        <v>1401</v>
      </c>
      <c r="D931" t="s">
        <v>1486</v>
      </c>
      <c r="E931" t="s">
        <v>110</v>
      </c>
      <c r="F931" s="1">
        <v>45568</v>
      </c>
      <c r="G931" s="2">
        <v>2011</v>
      </c>
      <c r="H931">
        <v>2021</v>
      </c>
      <c r="I931" s="2">
        <v>10</v>
      </c>
      <c r="J931" s="7">
        <v>127367</v>
      </c>
      <c r="K931" t="s">
        <v>27</v>
      </c>
      <c r="L931">
        <v>4</v>
      </c>
      <c r="M931" t="s">
        <v>55</v>
      </c>
      <c r="N931" t="s">
        <v>17</v>
      </c>
      <c r="O931" t="s">
        <v>112</v>
      </c>
      <c r="P931" t="s">
        <v>1489</v>
      </c>
      <c r="Q931" s="7">
        <f t="shared" si="28"/>
        <v>1528404</v>
      </c>
      <c r="R931" s="7">
        <f t="shared" si="29"/>
        <v>12736.7</v>
      </c>
    </row>
    <row r="932" spans="1:18" x14ac:dyDescent="0.35">
      <c r="A932" s="5">
        <v>926</v>
      </c>
      <c r="B932" t="s">
        <v>325</v>
      </c>
      <c r="C932" t="s">
        <v>1402</v>
      </c>
      <c r="D932" t="s">
        <v>1485</v>
      </c>
      <c r="E932" t="s">
        <v>53</v>
      </c>
      <c r="F932" s="1">
        <v>41730</v>
      </c>
      <c r="G932" s="2">
        <v>2014</v>
      </c>
      <c r="H932">
        <v>2021</v>
      </c>
      <c r="I932" s="2">
        <v>7</v>
      </c>
      <c r="J932" s="7">
        <v>50161</v>
      </c>
      <c r="K932" t="s">
        <v>401</v>
      </c>
      <c r="L932">
        <v>3</v>
      </c>
      <c r="M932" t="s">
        <v>28</v>
      </c>
      <c r="N932" t="s">
        <v>17</v>
      </c>
      <c r="O932" t="s">
        <v>23</v>
      </c>
      <c r="P932" t="s">
        <v>1489</v>
      </c>
      <c r="Q932" s="7">
        <f t="shared" si="28"/>
        <v>601932</v>
      </c>
      <c r="R932" s="7">
        <f t="shared" si="29"/>
        <v>5016.1000000000004</v>
      </c>
    </row>
    <row r="933" spans="1:18" x14ac:dyDescent="0.35">
      <c r="A933" s="5">
        <v>927</v>
      </c>
      <c r="B933" t="s">
        <v>532</v>
      </c>
      <c r="C933" t="s">
        <v>1403</v>
      </c>
      <c r="D933" t="s">
        <v>1485</v>
      </c>
      <c r="E933" t="s">
        <v>238</v>
      </c>
      <c r="F933" s="1">
        <v>37935</v>
      </c>
      <c r="G933" s="2">
        <v>2003</v>
      </c>
      <c r="H933">
        <v>2021</v>
      </c>
      <c r="I933" s="2">
        <v>18</v>
      </c>
      <c r="J933" s="7">
        <v>82080</v>
      </c>
      <c r="K933" t="s">
        <v>430</v>
      </c>
      <c r="L933">
        <v>2</v>
      </c>
      <c r="M933" t="s">
        <v>16</v>
      </c>
      <c r="N933" t="s">
        <v>17</v>
      </c>
      <c r="O933" t="s">
        <v>63</v>
      </c>
      <c r="P933" t="s">
        <v>1489</v>
      </c>
      <c r="Q933" s="7">
        <f t="shared" si="28"/>
        <v>984960</v>
      </c>
      <c r="R933" s="7">
        <f t="shared" si="29"/>
        <v>8208</v>
      </c>
    </row>
    <row r="934" spans="1:18" x14ac:dyDescent="0.35">
      <c r="A934" s="5">
        <v>928</v>
      </c>
      <c r="B934" t="s">
        <v>212</v>
      </c>
      <c r="C934" t="s">
        <v>1404</v>
      </c>
      <c r="D934" t="s">
        <v>1486</v>
      </c>
      <c r="E934" t="s">
        <v>85</v>
      </c>
      <c r="F934" s="1">
        <v>44916</v>
      </c>
      <c r="G934" s="2">
        <v>2009</v>
      </c>
      <c r="H934">
        <v>2021</v>
      </c>
      <c r="I934" s="2">
        <v>12</v>
      </c>
      <c r="J934" s="7">
        <v>62799</v>
      </c>
      <c r="K934" t="s">
        <v>235</v>
      </c>
      <c r="L934">
        <v>1</v>
      </c>
      <c r="M934" t="s">
        <v>46</v>
      </c>
      <c r="N934" t="s">
        <v>17</v>
      </c>
      <c r="O934" t="s">
        <v>41</v>
      </c>
      <c r="P934" t="s">
        <v>1489</v>
      </c>
      <c r="Q934" s="7">
        <f t="shared" si="28"/>
        <v>753588</v>
      </c>
      <c r="R934" s="7">
        <f t="shared" si="29"/>
        <v>6279.9000000000005</v>
      </c>
    </row>
    <row r="935" spans="1:18" x14ac:dyDescent="0.35">
      <c r="A935" s="5">
        <v>929</v>
      </c>
      <c r="B935" t="s">
        <v>762</v>
      </c>
      <c r="C935" t="s">
        <v>1405</v>
      </c>
      <c r="D935" t="s">
        <v>1486</v>
      </c>
      <c r="E935" t="s">
        <v>69</v>
      </c>
      <c r="F935" s="1">
        <v>37841</v>
      </c>
      <c r="G935" s="2">
        <v>2003</v>
      </c>
      <c r="H935">
        <v>2021</v>
      </c>
      <c r="I935" s="2">
        <v>18</v>
      </c>
      <c r="J935" s="7">
        <v>66357</v>
      </c>
      <c r="K935" t="s">
        <v>691</v>
      </c>
      <c r="L935">
        <v>3</v>
      </c>
      <c r="M935" t="s">
        <v>28</v>
      </c>
      <c r="N935" t="s">
        <v>17</v>
      </c>
      <c r="O935" t="s">
        <v>41</v>
      </c>
      <c r="P935" t="s">
        <v>1489</v>
      </c>
      <c r="Q935" s="7">
        <f t="shared" si="28"/>
        <v>796284</v>
      </c>
      <c r="R935" s="7">
        <f t="shared" si="29"/>
        <v>6635.7000000000007</v>
      </c>
    </row>
    <row r="936" spans="1:18" x14ac:dyDescent="0.35">
      <c r="A936" s="5">
        <v>930</v>
      </c>
      <c r="B936" t="s">
        <v>934</v>
      </c>
      <c r="C936" t="s">
        <v>1406</v>
      </c>
      <c r="D936" t="s">
        <v>1486</v>
      </c>
      <c r="E936" t="s">
        <v>110</v>
      </c>
      <c r="F936" s="1">
        <v>46138</v>
      </c>
      <c r="G936" s="2">
        <v>2013</v>
      </c>
      <c r="H936">
        <v>2021</v>
      </c>
      <c r="I936" s="2">
        <v>8</v>
      </c>
      <c r="J936" s="7">
        <v>129746</v>
      </c>
      <c r="K936" t="s">
        <v>500</v>
      </c>
      <c r="L936">
        <v>1</v>
      </c>
      <c r="M936" t="s">
        <v>46</v>
      </c>
      <c r="N936" t="s">
        <v>17</v>
      </c>
      <c r="O936" t="s">
        <v>112</v>
      </c>
      <c r="P936" t="s">
        <v>1489</v>
      </c>
      <c r="Q936" s="7">
        <f t="shared" si="28"/>
        <v>1556952</v>
      </c>
      <c r="R936" s="7">
        <f t="shared" si="29"/>
        <v>12974.6</v>
      </c>
    </row>
    <row r="937" spans="1:18" x14ac:dyDescent="0.35">
      <c r="A937" s="5">
        <v>931</v>
      </c>
      <c r="B937" t="s">
        <v>358</v>
      </c>
      <c r="C937" t="s">
        <v>1407</v>
      </c>
      <c r="D937" t="s">
        <v>1486</v>
      </c>
      <c r="E937" t="s">
        <v>53</v>
      </c>
      <c r="F937" s="1">
        <v>38223</v>
      </c>
      <c r="G937" s="2">
        <v>2004</v>
      </c>
      <c r="H937">
        <v>2021</v>
      </c>
      <c r="I937" s="2">
        <v>17</v>
      </c>
      <c r="J937" s="7">
        <v>63682</v>
      </c>
      <c r="K937" t="s">
        <v>27</v>
      </c>
      <c r="L937">
        <v>5</v>
      </c>
      <c r="M937" t="s">
        <v>91</v>
      </c>
      <c r="N937" t="s">
        <v>40</v>
      </c>
      <c r="O937" t="s">
        <v>23</v>
      </c>
      <c r="P937" t="s">
        <v>1489</v>
      </c>
      <c r="Q937" s="7">
        <f t="shared" si="28"/>
        <v>764184</v>
      </c>
      <c r="R937" s="7">
        <f t="shared" si="29"/>
        <v>6368.2000000000007</v>
      </c>
    </row>
    <row r="938" spans="1:18" x14ac:dyDescent="0.35">
      <c r="A938" s="5">
        <v>932</v>
      </c>
      <c r="B938" t="s">
        <v>973</v>
      </c>
      <c r="C938" t="s">
        <v>1408</v>
      </c>
      <c r="D938" t="s">
        <v>1486</v>
      </c>
      <c r="E938" t="s">
        <v>110</v>
      </c>
      <c r="F938" s="1">
        <v>44708</v>
      </c>
      <c r="G938" s="2">
        <v>2009</v>
      </c>
      <c r="H938">
        <v>2021</v>
      </c>
      <c r="I938" s="2">
        <v>12</v>
      </c>
      <c r="J938" s="7">
        <v>134114</v>
      </c>
      <c r="K938" t="s">
        <v>551</v>
      </c>
      <c r="L938">
        <v>2</v>
      </c>
      <c r="M938" t="s">
        <v>16</v>
      </c>
      <c r="N938" t="s">
        <v>17</v>
      </c>
      <c r="O938" t="s">
        <v>112</v>
      </c>
      <c r="P938" t="s">
        <v>1489</v>
      </c>
      <c r="Q938" s="7">
        <f t="shared" si="28"/>
        <v>1609368</v>
      </c>
      <c r="R938" s="7">
        <f t="shared" si="29"/>
        <v>13411.400000000001</v>
      </c>
    </row>
    <row r="939" spans="1:18" x14ac:dyDescent="0.35">
      <c r="A939" s="5">
        <v>933</v>
      </c>
      <c r="B939" t="s">
        <v>268</v>
      </c>
      <c r="C939" t="s">
        <v>1409</v>
      </c>
      <c r="D939" t="s">
        <v>1485</v>
      </c>
      <c r="E939" t="s">
        <v>73</v>
      </c>
      <c r="F939" s="1">
        <v>41721</v>
      </c>
      <c r="G939" s="2">
        <v>2014</v>
      </c>
      <c r="H939">
        <v>2021</v>
      </c>
      <c r="I939" s="2">
        <v>7</v>
      </c>
      <c r="J939" s="7">
        <v>131273</v>
      </c>
      <c r="K939" t="s">
        <v>954</v>
      </c>
      <c r="L939">
        <v>6</v>
      </c>
      <c r="M939" t="s">
        <v>50</v>
      </c>
      <c r="N939" t="s">
        <v>40</v>
      </c>
      <c r="O939" t="s">
        <v>41</v>
      </c>
      <c r="P939" t="s">
        <v>1489</v>
      </c>
      <c r="Q939" s="7">
        <f t="shared" si="28"/>
        <v>1575276</v>
      </c>
      <c r="R939" s="7">
        <f t="shared" si="29"/>
        <v>13127.300000000001</v>
      </c>
    </row>
    <row r="940" spans="1:18" x14ac:dyDescent="0.35">
      <c r="A940" s="5">
        <v>934</v>
      </c>
      <c r="B940" t="s">
        <v>1410</v>
      </c>
      <c r="C940" t="s">
        <v>1411</v>
      </c>
      <c r="D940" t="s">
        <v>1485</v>
      </c>
      <c r="E940" t="s">
        <v>53</v>
      </c>
      <c r="F940" s="1">
        <v>38617</v>
      </c>
      <c r="G940" s="2">
        <v>2005</v>
      </c>
      <c r="H940">
        <v>2021</v>
      </c>
      <c r="I940" s="2">
        <v>16</v>
      </c>
      <c r="J940" s="7">
        <v>93714</v>
      </c>
      <c r="K940" t="s">
        <v>472</v>
      </c>
      <c r="L940">
        <v>5</v>
      </c>
      <c r="M940" t="s">
        <v>91</v>
      </c>
      <c r="N940" t="s">
        <v>40</v>
      </c>
      <c r="O940" t="s">
        <v>23</v>
      </c>
      <c r="P940" t="s">
        <v>1489</v>
      </c>
      <c r="Q940" s="7">
        <f t="shared" si="28"/>
        <v>1124568</v>
      </c>
      <c r="R940" s="7">
        <f t="shared" si="29"/>
        <v>9371.4</v>
      </c>
    </row>
    <row r="941" spans="1:18" x14ac:dyDescent="0.35">
      <c r="A941" s="5">
        <v>935</v>
      </c>
      <c r="B941" t="s">
        <v>720</v>
      </c>
      <c r="C941" t="s">
        <v>1412</v>
      </c>
      <c r="D941" t="s">
        <v>1485</v>
      </c>
      <c r="E941" t="s">
        <v>122</v>
      </c>
      <c r="F941" s="1">
        <v>37233</v>
      </c>
      <c r="G941" s="2">
        <v>2001</v>
      </c>
      <c r="H941">
        <v>2021</v>
      </c>
      <c r="I941" s="2">
        <v>20</v>
      </c>
      <c r="J941" s="7">
        <v>146745</v>
      </c>
      <c r="K941" t="s">
        <v>142</v>
      </c>
      <c r="L941">
        <v>1</v>
      </c>
      <c r="M941" t="s">
        <v>46</v>
      </c>
      <c r="N941" t="s">
        <v>17</v>
      </c>
      <c r="O941" t="s">
        <v>123</v>
      </c>
      <c r="P941" t="s">
        <v>1489</v>
      </c>
      <c r="Q941" s="7">
        <f t="shared" si="28"/>
        <v>1760940</v>
      </c>
      <c r="R941" s="7">
        <f t="shared" si="29"/>
        <v>14674.5</v>
      </c>
    </row>
    <row r="942" spans="1:18" x14ac:dyDescent="0.35">
      <c r="A942" s="5">
        <v>936</v>
      </c>
      <c r="B942" t="s">
        <v>127</v>
      </c>
      <c r="C942" t="s">
        <v>1413</v>
      </c>
      <c r="D942" t="s">
        <v>1486</v>
      </c>
      <c r="E942" t="s">
        <v>14</v>
      </c>
      <c r="F942" s="1">
        <v>45280</v>
      </c>
      <c r="G942" s="2">
        <v>2010</v>
      </c>
      <c r="H942">
        <v>2021</v>
      </c>
      <c r="I942" s="2">
        <v>11</v>
      </c>
      <c r="J942" s="7">
        <v>126307</v>
      </c>
      <c r="K942" t="s">
        <v>497</v>
      </c>
      <c r="L942">
        <v>4</v>
      </c>
      <c r="M942" t="s">
        <v>55</v>
      </c>
      <c r="N942" t="s">
        <v>17</v>
      </c>
      <c r="O942" t="s">
        <v>18</v>
      </c>
      <c r="P942" t="s">
        <v>1489</v>
      </c>
      <c r="Q942" s="7">
        <f t="shared" si="28"/>
        <v>1515684</v>
      </c>
      <c r="R942" s="7">
        <f t="shared" si="29"/>
        <v>12630.7</v>
      </c>
    </row>
    <row r="943" spans="1:18" x14ac:dyDescent="0.35">
      <c r="A943" s="5">
        <v>937</v>
      </c>
      <c r="B943" t="s">
        <v>157</v>
      </c>
      <c r="C943" t="s">
        <v>1414</v>
      </c>
      <c r="D943" t="s">
        <v>1485</v>
      </c>
      <c r="E943" t="s">
        <v>21</v>
      </c>
      <c r="F943" s="1">
        <v>40811</v>
      </c>
      <c r="G943" s="2">
        <v>2011</v>
      </c>
      <c r="H943">
        <v>2021</v>
      </c>
      <c r="I943" s="2">
        <v>10</v>
      </c>
      <c r="J943" s="7">
        <v>134931</v>
      </c>
      <c r="K943" t="s">
        <v>220</v>
      </c>
      <c r="L943">
        <v>1</v>
      </c>
      <c r="M943" t="s">
        <v>46</v>
      </c>
      <c r="N943" t="s">
        <v>17</v>
      </c>
      <c r="O943" t="s">
        <v>23</v>
      </c>
      <c r="P943" t="s">
        <v>1489</v>
      </c>
      <c r="Q943" s="7">
        <f t="shared" si="28"/>
        <v>1619172</v>
      </c>
      <c r="R943" s="7">
        <f t="shared" si="29"/>
        <v>13493.1</v>
      </c>
    </row>
    <row r="944" spans="1:18" x14ac:dyDescent="0.35">
      <c r="A944" s="5">
        <v>938</v>
      </c>
      <c r="B944" t="s">
        <v>1028</v>
      </c>
      <c r="C944" t="s">
        <v>1415</v>
      </c>
      <c r="D944" t="s">
        <v>1486</v>
      </c>
      <c r="E944" t="s">
        <v>89</v>
      </c>
      <c r="F944" s="1">
        <v>37297</v>
      </c>
      <c r="G944" s="2">
        <v>2002</v>
      </c>
      <c r="H944">
        <v>2021</v>
      </c>
      <c r="I944" s="2">
        <v>19</v>
      </c>
      <c r="J944" s="7">
        <v>73668</v>
      </c>
      <c r="K944" t="s">
        <v>253</v>
      </c>
      <c r="L944">
        <v>2</v>
      </c>
      <c r="M944" t="s">
        <v>16</v>
      </c>
      <c r="N944" t="s">
        <v>17</v>
      </c>
      <c r="O944" t="s">
        <v>41</v>
      </c>
      <c r="P944" t="s">
        <v>1489</v>
      </c>
      <c r="Q944" s="7">
        <f t="shared" si="28"/>
        <v>884016</v>
      </c>
      <c r="R944" s="7">
        <f t="shared" si="29"/>
        <v>7366.8</v>
      </c>
    </row>
    <row r="945" spans="1:18" x14ac:dyDescent="0.35">
      <c r="A945" s="5">
        <v>939</v>
      </c>
      <c r="B945" t="s">
        <v>325</v>
      </c>
      <c r="C945" t="s">
        <v>1416</v>
      </c>
      <c r="D945" t="s">
        <v>1485</v>
      </c>
      <c r="E945" t="s">
        <v>100</v>
      </c>
      <c r="F945" s="1">
        <v>40927</v>
      </c>
      <c r="G945" s="2">
        <v>2012</v>
      </c>
      <c r="H945">
        <v>2021</v>
      </c>
      <c r="I945" s="2">
        <v>9</v>
      </c>
      <c r="J945" s="7">
        <v>48840</v>
      </c>
      <c r="K945" t="s">
        <v>223</v>
      </c>
      <c r="L945">
        <v>1</v>
      </c>
      <c r="M945" t="s">
        <v>46</v>
      </c>
      <c r="N945" t="s">
        <v>17</v>
      </c>
      <c r="O945" t="s">
        <v>29</v>
      </c>
      <c r="P945" t="s">
        <v>1489</v>
      </c>
      <c r="Q945" s="7">
        <f t="shared" si="28"/>
        <v>586080</v>
      </c>
      <c r="R945" s="7">
        <f t="shared" si="29"/>
        <v>4884</v>
      </c>
    </row>
    <row r="946" spans="1:18" x14ac:dyDescent="0.35">
      <c r="A946" s="5">
        <v>940</v>
      </c>
      <c r="B946" t="s">
        <v>788</v>
      </c>
      <c r="C946" t="s">
        <v>1417</v>
      </c>
      <c r="D946" t="s">
        <v>1485</v>
      </c>
      <c r="E946" t="s">
        <v>37</v>
      </c>
      <c r="F946" s="1">
        <v>41707</v>
      </c>
      <c r="G946" s="2">
        <v>2014</v>
      </c>
      <c r="H946">
        <v>2021</v>
      </c>
      <c r="I946" s="2">
        <v>7</v>
      </c>
      <c r="J946" s="7">
        <v>146952</v>
      </c>
      <c r="K946" t="s">
        <v>49</v>
      </c>
      <c r="L946">
        <v>2</v>
      </c>
      <c r="M946" t="s">
        <v>16</v>
      </c>
      <c r="N946" t="s">
        <v>17</v>
      </c>
      <c r="O946" t="s">
        <v>41</v>
      </c>
      <c r="P946" t="s">
        <v>1489</v>
      </c>
      <c r="Q946" s="7">
        <f t="shared" si="28"/>
        <v>1763424</v>
      </c>
      <c r="R946" s="7">
        <f t="shared" si="29"/>
        <v>14695.2</v>
      </c>
    </row>
    <row r="947" spans="1:18" x14ac:dyDescent="0.35">
      <c r="A947" s="5">
        <v>941</v>
      </c>
      <c r="B947" t="s">
        <v>255</v>
      </c>
      <c r="C947" t="s">
        <v>1418</v>
      </c>
      <c r="D947" t="s">
        <v>1486</v>
      </c>
      <c r="E947" t="s">
        <v>110</v>
      </c>
      <c r="F947" s="1">
        <v>38844</v>
      </c>
      <c r="G947" s="2">
        <v>2006</v>
      </c>
      <c r="H947">
        <v>2021</v>
      </c>
      <c r="I947" s="2">
        <v>15</v>
      </c>
      <c r="J947" s="7">
        <v>73565</v>
      </c>
      <c r="K947" t="s">
        <v>214</v>
      </c>
      <c r="L947">
        <v>7</v>
      </c>
      <c r="M947" t="s">
        <v>39</v>
      </c>
      <c r="N947" t="s">
        <v>40</v>
      </c>
      <c r="O947" t="s">
        <v>112</v>
      </c>
      <c r="P947" t="s">
        <v>1489</v>
      </c>
      <c r="Q947" s="7">
        <f t="shared" si="28"/>
        <v>882780</v>
      </c>
      <c r="R947" s="7">
        <f t="shared" si="29"/>
        <v>7356.5</v>
      </c>
    </row>
    <row r="948" spans="1:18" x14ac:dyDescent="0.35">
      <c r="A948" s="5">
        <v>942</v>
      </c>
      <c r="B948" t="s">
        <v>443</v>
      </c>
      <c r="C948" t="s">
        <v>1419</v>
      </c>
      <c r="D948" t="s">
        <v>1485</v>
      </c>
      <c r="E948" t="s">
        <v>312</v>
      </c>
      <c r="F948" s="1">
        <v>40336</v>
      </c>
      <c r="G948" s="2">
        <v>2010</v>
      </c>
      <c r="H948">
        <v>2021</v>
      </c>
      <c r="I948" s="2">
        <v>11</v>
      </c>
      <c r="J948" s="7">
        <v>64443</v>
      </c>
      <c r="K948" t="s">
        <v>226</v>
      </c>
      <c r="L948">
        <v>6</v>
      </c>
      <c r="M948" t="s">
        <v>50</v>
      </c>
      <c r="N948" t="s">
        <v>40</v>
      </c>
      <c r="O948" t="s">
        <v>41</v>
      </c>
      <c r="P948" t="s">
        <v>1489</v>
      </c>
      <c r="Q948" s="7">
        <f t="shared" si="28"/>
        <v>773316</v>
      </c>
      <c r="R948" s="7">
        <f t="shared" si="29"/>
        <v>6444.3</v>
      </c>
    </row>
    <row r="949" spans="1:18" x14ac:dyDescent="0.35">
      <c r="A949" s="5">
        <v>943</v>
      </c>
      <c r="B949" t="s">
        <v>42</v>
      </c>
      <c r="C949" t="s">
        <v>1420</v>
      </c>
      <c r="D949" t="s">
        <v>1486</v>
      </c>
      <c r="E949" t="s">
        <v>94</v>
      </c>
      <c r="F949" s="1">
        <v>44201</v>
      </c>
      <c r="G949" s="2">
        <v>2008</v>
      </c>
      <c r="H949">
        <v>2021</v>
      </c>
      <c r="I949" s="2">
        <v>13</v>
      </c>
      <c r="J949" s="7">
        <v>127171</v>
      </c>
      <c r="K949" t="s">
        <v>691</v>
      </c>
      <c r="L949">
        <v>4</v>
      </c>
      <c r="M949" t="s">
        <v>55</v>
      </c>
      <c r="N949" t="s">
        <v>17</v>
      </c>
      <c r="O949" t="s">
        <v>18</v>
      </c>
      <c r="P949" t="s">
        <v>1489</v>
      </c>
      <c r="Q949" s="7">
        <f t="shared" si="28"/>
        <v>1526052</v>
      </c>
      <c r="R949" s="7">
        <f t="shared" si="29"/>
        <v>12717.1</v>
      </c>
    </row>
    <row r="950" spans="1:18" x14ac:dyDescent="0.35">
      <c r="A950" s="5">
        <v>944</v>
      </c>
      <c r="B950" t="s">
        <v>308</v>
      </c>
      <c r="C950" t="s">
        <v>1421</v>
      </c>
      <c r="D950" t="s">
        <v>1486</v>
      </c>
      <c r="E950" t="s">
        <v>26</v>
      </c>
      <c r="F950" s="1">
        <v>37298</v>
      </c>
      <c r="G950" s="2">
        <v>2002</v>
      </c>
      <c r="H950">
        <v>2021</v>
      </c>
      <c r="I950" s="2">
        <v>19</v>
      </c>
      <c r="J950" s="7">
        <v>79045</v>
      </c>
      <c r="K950" t="s">
        <v>459</v>
      </c>
      <c r="L950">
        <v>3</v>
      </c>
      <c r="M950" t="s">
        <v>28</v>
      </c>
      <c r="N950" t="s">
        <v>17</v>
      </c>
      <c r="O950" t="s">
        <v>29</v>
      </c>
      <c r="P950" t="s">
        <v>1489</v>
      </c>
      <c r="Q950" s="7">
        <f t="shared" si="28"/>
        <v>948540</v>
      </c>
      <c r="R950" s="7">
        <f t="shared" si="29"/>
        <v>7904.5</v>
      </c>
    </row>
    <row r="951" spans="1:18" x14ac:dyDescent="0.35">
      <c r="A951" s="5">
        <v>945</v>
      </c>
      <c r="B951" t="s">
        <v>856</v>
      </c>
      <c r="C951" t="s">
        <v>1422</v>
      </c>
      <c r="D951" t="s">
        <v>1486</v>
      </c>
      <c r="E951" t="s">
        <v>32</v>
      </c>
      <c r="F951" s="1">
        <v>38792</v>
      </c>
      <c r="G951" s="2">
        <v>2006</v>
      </c>
      <c r="H951">
        <v>2021</v>
      </c>
      <c r="I951" s="3">
        <v>15</v>
      </c>
      <c r="J951" s="7">
        <v>117147</v>
      </c>
      <c r="K951" t="s">
        <v>406</v>
      </c>
      <c r="L951">
        <v>1</v>
      </c>
      <c r="M951" t="s">
        <v>46</v>
      </c>
      <c r="N951" t="s">
        <v>17</v>
      </c>
      <c r="O951" t="s">
        <v>34</v>
      </c>
      <c r="P951" t="s">
        <v>1489</v>
      </c>
      <c r="Q951" s="7">
        <f t="shared" si="28"/>
        <v>1405764</v>
      </c>
      <c r="R951" s="7">
        <f t="shared" si="29"/>
        <v>11714.7</v>
      </c>
    </row>
    <row r="952" spans="1:18" x14ac:dyDescent="0.35">
      <c r="A952" s="5">
        <v>946</v>
      </c>
      <c r="B952" t="s">
        <v>42</v>
      </c>
      <c r="C952" t="s">
        <v>1423</v>
      </c>
      <c r="D952" t="s">
        <v>1486</v>
      </c>
      <c r="E952" t="s">
        <v>148</v>
      </c>
      <c r="F952" s="1">
        <v>46393</v>
      </c>
      <c r="G952" s="2">
        <v>2014</v>
      </c>
      <c r="H952">
        <v>2021</v>
      </c>
      <c r="I952" s="2">
        <v>7</v>
      </c>
      <c r="J952" s="7">
        <v>69807</v>
      </c>
      <c r="K952" t="s">
        <v>1366</v>
      </c>
      <c r="L952">
        <v>3</v>
      </c>
      <c r="M952" t="s">
        <v>28</v>
      </c>
      <c r="N952" t="s">
        <v>17</v>
      </c>
      <c r="O952" t="s">
        <v>112</v>
      </c>
      <c r="P952" t="s">
        <v>1489</v>
      </c>
      <c r="Q952" s="7">
        <f t="shared" si="28"/>
        <v>837684</v>
      </c>
      <c r="R952" s="7">
        <f t="shared" si="29"/>
        <v>6980.7000000000007</v>
      </c>
    </row>
    <row r="953" spans="1:18" x14ac:dyDescent="0.35">
      <c r="A953" s="5">
        <v>947</v>
      </c>
      <c r="B953" t="s">
        <v>108</v>
      </c>
      <c r="C953" t="s">
        <v>1424</v>
      </c>
      <c r="D953" t="s">
        <v>1486</v>
      </c>
      <c r="E953" t="s">
        <v>312</v>
      </c>
      <c r="F953" s="1">
        <v>37995</v>
      </c>
      <c r="G953" s="2">
        <v>2004</v>
      </c>
      <c r="H953">
        <v>2021</v>
      </c>
      <c r="I953" s="2">
        <v>17</v>
      </c>
      <c r="J953" s="7">
        <v>128646</v>
      </c>
      <c r="K953" t="s">
        <v>181</v>
      </c>
      <c r="L953">
        <v>1</v>
      </c>
      <c r="M953" t="s">
        <v>46</v>
      </c>
      <c r="N953" t="s">
        <v>17</v>
      </c>
      <c r="O953" t="s">
        <v>41</v>
      </c>
      <c r="P953" t="s">
        <v>1489</v>
      </c>
      <c r="Q953" s="7">
        <f t="shared" si="28"/>
        <v>1543752</v>
      </c>
      <c r="R953" s="7">
        <f t="shared" si="29"/>
        <v>12864.6</v>
      </c>
    </row>
    <row r="954" spans="1:18" x14ac:dyDescent="0.35">
      <c r="A954" s="5">
        <v>948</v>
      </c>
      <c r="B954" t="s">
        <v>56</v>
      </c>
      <c r="C954" t="s">
        <v>1425</v>
      </c>
      <c r="D954" t="s">
        <v>1485</v>
      </c>
      <c r="E954" t="s">
        <v>44</v>
      </c>
      <c r="F954" s="1">
        <v>39491</v>
      </c>
      <c r="G954" s="2">
        <v>2008</v>
      </c>
      <c r="H954">
        <v>2021</v>
      </c>
      <c r="I954" s="2">
        <v>13</v>
      </c>
      <c r="J954" s="7">
        <v>47271</v>
      </c>
      <c r="K954" t="s">
        <v>1426</v>
      </c>
      <c r="L954">
        <v>1</v>
      </c>
      <c r="M954" t="s">
        <v>46</v>
      </c>
      <c r="N954" t="s">
        <v>17</v>
      </c>
      <c r="O954" t="s">
        <v>29</v>
      </c>
      <c r="P954" t="s">
        <v>1489</v>
      </c>
      <c r="Q954" s="7">
        <f t="shared" si="28"/>
        <v>567252</v>
      </c>
      <c r="R954" s="7">
        <f t="shared" si="29"/>
        <v>4727.1000000000004</v>
      </c>
    </row>
    <row r="955" spans="1:18" x14ac:dyDescent="0.35">
      <c r="A955" s="5">
        <v>949</v>
      </c>
      <c r="B955" t="s">
        <v>488</v>
      </c>
      <c r="C955" t="s">
        <v>1427</v>
      </c>
      <c r="D955" t="s">
        <v>1485</v>
      </c>
      <c r="E955" t="s">
        <v>312</v>
      </c>
      <c r="F955" s="1">
        <v>38711</v>
      </c>
      <c r="G955" s="2">
        <v>2005</v>
      </c>
      <c r="H955">
        <v>2021</v>
      </c>
      <c r="I955" s="2">
        <v>16</v>
      </c>
      <c r="J955" s="7">
        <v>59363</v>
      </c>
      <c r="K955" t="s">
        <v>1426</v>
      </c>
      <c r="L955">
        <v>1</v>
      </c>
      <c r="M955" t="s">
        <v>46</v>
      </c>
      <c r="N955" t="s">
        <v>17</v>
      </c>
      <c r="O955" t="s">
        <v>41</v>
      </c>
      <c r="P955" t="s">
        <v>1489</v>
      </c>
      <c r="Q955" s="7">
        <f t="shared" si="28"/>
        <v>712356</v>
      </c>
      <c r="R955" s="7">
        <f t="shared" si="29"/>
        <v>5936.3</v>
      </c>
    </row>
    <row r="956" spans="1:18" x14ac:dyDescent="0.35">
      <c r="A956" s="5">
        <v>950</v>
      </c>
      <c r="B956" t="s">
        <v>154</v>
      </c>
      <c r="C956" t="s">
        <v>1428</v>
      </c>
      <c r="D956" t="s">
        <v>1486</v>
      </c>
      <c r="E956" t="s">
        <v>312</v>
      </c>
      <c r="F956" s="1">
        <v>44399</v>
      </c>
      <c r="G956" s="2">
        <v>2008</v>
      </c>
      <c r="H956">
        <v>2021</v>
      </c>
      <c r="I956" s="2">
        <v>13</v>
      </c>
      <c r="J956" s="7">
        <v>68364</v>
      </c>
      <c r="K956" t="s">
        <v>497</v>
      </c>
      <c r="L956">
        <v>5</v>
      </c>
      <c r="M956" t="s">
        <v>91</v>
      </c>
      <c r="N956" t="s">
        <v>40</v>
      </c>
      <c r="O956" t="s">
        <v>41</v>
      </c>
      <c r="P956" t="s">
        <v>1489</v>
      </c>
      <c r="Q956" s="7">
        <f t="shared" si="28"/>
        <v>820368</v>
      </c>
      <c r="R956" s="7">
        <f t="shared" si="29"/>
        <v>6836.4000000000005</v>
      </c>
    </row>
    <row r="957" spans="1:18" x14ac:dyDescent="0.35">
      <c r="A957" s="5">
        <v>951</v>
      </c>
      <c r="B957" t="s">
        <v>614</v>
      </c>
      <c r="C957" t="s">
        <v>1429</v>
      </c>
      <c r="D957" t="s">
        <v>1486</v>
      </c>
      <c r="E957" t="s">
        <v>53</v>
      </c>
      <c r="F957" s="1">
        <v>46008</v>
      </c>
      <c r="G957" s="2">
        <v>2012</v>
      </c>
      <c r="H957">
        <v>2021</v>
      </c>
      <c r="I957" s="2">
        <v>9</v>
      </c>
      <c r="J957" s="7">
        <v>115975</v>
      </c>
      <c r="K957" t="s">
        <v>472</v>
      </c>
      <c r="L957">
        <v>7</v>
      </c>
      <c r="M957" t="s">
        <v>39</v>
      </c>
      <c r="N957" t="s">
        <v>40</v>
      </c>
      <c r="O957" t="s">
        <v>23</v>
      </c>
      <c r="P957" t="s">
        <v>1489</v>
      </c>
      <c r="Q957" s="7">
        <f t="shared" si="28"/>
        <v>1391700</v>
      </c>
      <c r="R957" s="7">
        <f t="shared" si="29"/>
        <v>11597.5</v>
      </c>
    </row>
    <row r="958" spans="1:18" x14ac:dyDescent="0.35">
      <c r="A958" s="5">
        <v>952</v>
      </c>
      <c r="B958" t="s">
        <v>882</v>
      </c>
      <c r="C958" t="s">
        <v>1430</v>
      </c>
      <c r="D958" t="s">
        <v>1486</v>
      </c>
      <c r="E958" t="s">
        <v>312</v>
      </c>
      <c r="F958" s="1">
        <v>44490</v>
      </c>
      <c r="G958" s="2">
        <v>2008</v>
      </c>
      <c r="H958">
        <v>2021</v>
      </c>
      <c r="I958" s="2">
        <v>13</v>
      </c>
      <c r="J958" s="7">
        <v>53905</v>
      </c>
      <c r="K958" t="s">
        <v>179</v>
      </c>
      <c r="L958">
        <v>7</v>
      </c>
      <c r="M958" t="s">
        <v>39</v>
      </c>
      <c r="N958" t="s">
        <v>40</v>
      </c>
      <c r="O958" t="s">
        <v>41</v>
      </c>
      <c r="P958" t="s">
        <v>1489</v>
      </c>
      <c r="Q958" s="7">
        <f t="shared" si="28"/>
        <v>646860</v>
      </c>
      <c r="R958" s="7">
        <f t="shared" si="29"/>
        <v>5390.5</v>
      </c>
    </row>
    <row r="959" spans="1:18" x14ac:dyDescent="0.35">
      <c r="A959" s="5">
        <v>953</v>
      </c>
      <c r="B959" t="s">
        <v>667</v>
      </c>
      <c r="C959" t="s">
        <v>1431</v>
      </c>
      <c r="D959" t="s">
        <v>1485</v>
      </c>
      <c r="E959" t="s">
        <v>37</v>
      </c>
      <c r="F959" s="1">
        <v>37867</v>
      </c>
      <c r="G959" s="2">
        <v>2003</v>
      </c>
      <c r="H959">
        <v>2021</v>
      </c>
      <c r="I959" s="2">
        <v>18</v>
      </c>
      <c r="J959" s="7">
        <v>115360</v>
      </c>
      <c r="K959" t="s">
        <v>472</v>
      </c>
      <c r="L959">
        <v>6</v>
      </c>
      <c r="M959" t="s">
        <v>50</v>
      </c>
      <c r="N959" t="s">
        <v>40</v>
      </c>
      <c r="O959" t="s">
        <v>41</v>
      </c>
      <c r="P959" t="s">
        <v>1489</v>
      </c>
      <c r="Q959" s="7">
        <f t="shared" si="28"/>
        <v>1384320</v>
      </c>
      <c r="R959" s="7">
        <f t="shared" si="29"/>
        <v>11536</v>
      </c>
    </row>
    <row r="960" spans="1:18" x14ac:dyDescent="0.35">
      <c r="A960" s="5">
        <v>954</v>
      </c>
      <c r="B960" t="s">
        <v>215</v>
      </c>
      <c r="C960" t="s">
        <v>1432</v>
      </c>
      <c r="D960" t="s">
        <v>1486</v>
      </c>
      <c r="E960" t="s">
        <v>94</v>
      </c>
      <c r="F960" s="1">
        <v>45492</v>
      </c>
      <c r="G960" s="2">
        <v>2011</v>
      </c>
      <c r="H960">
        <v>2021</v>
      </c>
      <c r="I960" s="2">
        <v>10</v>
      </c>
      <c r="J960" s="7">
        <v>120108</v>
      </c>
      <c r="K960" t="s">
        <v>1433</v>
      </c>
      <c r="L960">
        <v>5</v>
      </c>
      <c r="M960" t="s">
        <v>91</v>
      </c>
      <c r="N960" t="s">
        <v>40</v>
      </c>
      <c r="O960" t="s">
        <v>18</v>
      </c>
      <c r="P960" t="s">
        <v>1489</v>
      </c>
      <c r="Q960" s="7">
        <f t="shared" si="28"/>
        <v>1441296</v>
      </c>
      <c r="R960" s="7">
        <f t="shared" si="29"/>
        <v>12010.800000000001</v>
      </c>
    </row>
    <row r="961" spans="1:18" x14ac:dyDescent="0.35">
      <c r="A961" s="5">
        <v>955</v>
      </c>
      <c r="B961" t="s">
        <v>596</v>
      </c>
      <c r="C961" t="s">
        <v>1434</v>
      </c>
      <c r="D961" t="s">
        <v>1485</v>
      </c>
      <c r="E961" t="s">
        <v>69</v>
      </c>
      <c r="F961" s="1">
        <v>38460</v>
      </c>
      <c r="G961" s="2">
        <v>2005</v>
      </c>
      <c r="H961">
        <v>2021</v>
      </c>
      <c r="I961" s="2">
        <v>16</v>
      </c>
      <c r="J961" s="7">
        <v>59234</v>
      </c>
      <c r="K961" t="s">
        <v>459</v>
      </c>
      <c r="L961">
        <v>7</v>
      </c>
      <c r="M961" t="s">
        <v>39</v>
      </c>
      <c r="N961" t="s">
        <v>40</v>
      </c>
      <c r="O961" t="s">
        <v>41</v>
      </c>
      <c r="P961" t="s">
        <v>1489</v>
      </c>
      <c r="Q961" s="7">
        <f t="shared" si="28"/>
        <v>710808</v>
      </c>
      <c r="R961" s="7">
        <f t="shared" si="29"/>
        <v>5923.4000000000005</v>
      </c>
    </row>
    <row r="962" spans="1:18" x14ac:dyDescent="0.35">
      <c r="A962" s="5">
        <v>956</v>
      </c>
      <c r="B962" t="s">
        <v>325</v>
      </c>
      <c r="C962" t="s">
        <v>1435</v>
      </c>
      <c r="D962" t="s">
        <v>1486</v>
      </c>
      <c r="E962" t="s">
        <v>37</v>
      </c>
      <c r="F962" s="1">
        <v>43858</v>
      </c>
      <c r="G962" s="2">
        <v>2007</v>
      </c>
      <c r="H962">
        <v>2021</v>
      </c>
      <c r="I962" s="2">
        <v>14</v>
      </c>
      <c r="J962" s="7">
        <v>76812</v>
      </c>
      <c r="K962" t="s">
        <v>626</v>
      </c>
      <c r="L962">
        <v>7</v>
      </c>
      <c r="M962" t="s">
        <v>39</v>
      </c>
      <c r="N962" t="s">
        <v>40</v>
      </c>
      <c r="O962" t="s">
        <v>41</v>
      </c>
      <c r="P962" t="s">
        <v>1489</v>
      </c>
      <c r="Q962" s="7">
        <f t="shared" si="28"/>
        <v>921744</v>
      </c>
      <c r="R962" s="7">
        <f t="shared" si="29"/>
        <v>7681.2000000000007</v>
      </c>
    </row>
    <row r="963" spans="1:18" x14ac:dyDescent="0.35">
      <c r="A963" s="5">
        <v>957</v>
      </c>
      <c r="B963" t="s">
        <v>291</v>
      </c>
      <c r="C963" t="s">
        <v>1436</v>
      </c>
      <c r="D963" t="s">
        <v>1486</v>
      </c>
      <c r="E963" t="s">
        <v>79</v>
      </c>
      <c r="F963" s="1">
        <v>45785</v>
      </c>
      <c r="G963" s="2">
        <v>2012</v>
      </c>
      <c r="H963">
        <v>2021</v>
      </c>
      <c r="I963" s="2">
        <v>9</v>
      </c>
      <c r="J963" s="7">
        <v>42347</v>
      </c>
      <c r="K963" t="s">
        <v>459</v>
      </c>
      <c r="L963">
        <v>3</v>
      </c>
      <c r="M963" t="s">
        <v>28</v>
      </c>
      <c r="N963" t="s">
        <v>17</v>
      </c>
      <c r="O963" t="s">
        <v>41</v>
      </c>
      <c r="P963" t="s">
        <v>1489</v>
      </c>
      <c r="Q963" s="7">
        <f t="shared" si="28"/>
        <v>508164</v>
      </c>
      <c r="R963" s="7">
        <f t="shared" si="29"/>
        <v>4234.7</v>
      </c>
    </row>
    <row r="964" spans="1:18" x14ac:dyDescent="0.35">
      <c r="A964" s="5">
        <v>958</v>
      </c>
      <c r="B964" t="s">
        <v>1437</v>
      </c>
      <c r="C964" t="s">
        <v>1438</v>
      </c>
      <c r="D964" t="s">
        <v>1485</v>
      </c>
      <c r="E964" t="s">
        <v>44</v>
      </c>
      <c r="F964" s="1">
        <v>37960</v>
      </c>
      <c r="G964" s="2">
        <v>2003</v>
      </c>
      <c r="H964">
        <v>2021</v>
      </c>
      <c r="I964" s="2">
        <v>18</v>
      </c>
      <c r="J964" s="7">
        <v>82164</v>
      </c>
      <c r="K964" t="s">
        <v>74</v>
      </c>
      <c r="L964">
        <v>1</v>
      </c>
      <c r="M964" t="s">
        <v>46</v>
      </c>
      <c r="N964" t="s">
        <v>17</v>
      </c>
      <c r="O964" t="s">
        <v>29</v>
      </c>
      <c r="P964" t="s">
        <v>1489</v>
      </c>
      <c r="Q964" s="7">
        <f t="shared" si="28"/>
        <v>985968</v>
      </c>
      <c r="R964" s="7">
        <f t="shared" si="29"/>
        <v>8216.4</v>
      </c>
    </row>
    <row r="965" spans="1:18" x14ac:dyDescent="0.35">
      <c r="A965" s="5">
        <v>959</v>
      </c>
      <c r="B965" t="s">
        <v>212</v>
      </c>
      <c r="C965" t="s">
        <v>1439</v>
      </c>
      <c r="D965" t="s">
        <v>1485</v>
      </c>
      <c r="E965" t="s">
        <v>238</v>
      </c>
      <c r="F965" s="1">
        <v>36859</v>
      </c>
      <c r="G965" s="2">
        <v>2000</v>
      </c>
      <c r="H965">
        <v>2021</v>
      </c>
      <c r="I965" s="2">
        <v>21</v>
      </c>
      <c r="J965" s="7">
        <v>114695</v>
      </c>
      <c r="K965" t="s">
        <v>306</v>
      </c>
      <c r="L965">
        <v>1</v>
      </c>
      <c r="M965" t="s">
        <v>46</v>
      </c>
      <c r="N965" t="s">
        <v>17</v>
      </c>
      <c r="O965" t="s">
        <v>63</v>
      </c>
      <c r="P965" t="s">
        <v>1489</v>
      </c>
      <c r="Q965" s="7">
        <f t="shared" si="28"/>
        <v>1376340</v>
      </c>
      <c r="R965" s="7">
        <f t="shared" si="29"/>
        <v>11469.5</v>
      </c>
    </row>
    <row r="966" spans="1:18" x14ac:dyDescent="0.35">
      <c r="A966" s="5">
        <v>960</v>
      </c>
      <c r="B966" t="s">
        <v>205</v>
      </c>
      <c r="C966" t="s">
        <v>1440</v>
      </c>
      <c r="D966" t="s">
        <v>1485</v>
      </c>
      <c r="E966" t="s">
        <v>14</v>
      </c>
      <c r="F966" s="1">
        <v>37621</v>
      </c>
      <c r="G966" s="2">
        <v>2002</v>
      </c>
      <c r="H966">
        <v>2021</v>
      </c>
      <c r="I966" s="2">
        <v>19</v>
      </c>
      <c r="J966" s="7">
        <v>47541</v>
      </c>
      <c r="K966" t="s">
        <v>149</v>
      </c>
      <c r="L966">
        <v>2</v>
      </c>
      <c r="M966" t="s">
        <v>16</v>
      </c>
      <c r="N966" t="s">
        <v>17</v>
      </c>
      <c r="O966" t="s">
        <v>18</v>
      </c>
      <c r="P966" t="s">
        <v>1489</v>
      </c>
      <c r="Q966" s="7">
        <f t="shared" si="28"/>
        <v>570492</v>
      </c>
      <c r="R966" s="7">
        <f t="shared" si="29"/>
        <v>4754.1000000000004</v>
      </c>
    </row>
    <row r="967" spans="1:18" x14ac:dyDescent="0.35">
      <c r="A967" s="5">
        <v>961</v>
      </c>
      <c r="B967" t="s">
        <v>624</v>
      </c>
      <c r="C967" t="s">
        <v>1441</v>
      </c>
      <c r="D967" t="s">
        <v>1486</v>
      </c>
      <c r="E967" t="s">
        <v>73</v>
      </c>
      <c r="F967" s="1">
        <v>45610</v>
      </c>
      <c r="G967" s="2">
        <v>2011</v>
      </c>
      <c r="H967">
        <v>2021</v>
      </c>
      <c r="I967" s="2">
        <v>10</v>
      </c>
      <c r="J967" s="7">
        <v>116355</v>
      </c>
      <c r="K967" t="s">
        <v>15</v>
      </c>
      <c r="L967">
        <v>5</v>
      </c>
      <c r="M967" t="s">
        <v>91</v>
      </c>
      <c r="N967" t="s">
        <v>40</v>
      </c>
      <c r="O967" t="s">
        <v>41</v>
      </c>
      <c r="P967" t="s">
        <v>1489</v>
      </c>
      <c r="Q967" s="7">
        <f t="shared" ref="Q967:Q1006" si="30">J967*12</f>
        <v>1396260</v>
      </c>
      <c r="R967" s="7">
        <f t="shared" ref="R967:R1006" si="31">J967*10%</f>
        <v>11635.5</v>
      </c>
    </row>
    <row r="968" spans="1:18" x14ac:dyDescent="0.35">
      <c r="A968" s="5">
        <v>962</v>
      </c>
      <c r="B968" t="s">
        <v>423</v>
      </c>
      <c r="C968" t="s">
        <v>1442</v>
      </c>
      <c r="D968" t="s">
        <v>1486</v>
      </c>
      <c r="E968" t="s">
        <v>203</v>
      </c>
      <c r="F968" s="1">
        <v>36812</v>
      </c>
      <c r="G968" s="2">
        <v>2000</v>
      </c>
      <c r="H968">
        <v>2021</v>
      </c>
      <c r="I968" s="2">
        <v>21</v>
      </c>
      <c r="J968" s="7">
        <v>48339</v>
      </c>
      <c r="K968" t="s">
        <v>640</v>
      </c>
      <c r="L968">
        <v>5</v>
      </c>
      <c r="M968" t="s">
        <v>91</v>
      </c>
      <c r="N968" t="s">
        <v>40</v>
      </c>
      <c r="O968" t="s">
        <v>41</v>
      </c>
      <c r="P968" t="s">
        <v>1489</v>
      </c>
      <c r="Q968" s="7">
        <f t="shared" si="30"/>
        <v>580068</v>
      </c>
      <c r="R968" s="7">
        <f t="shared" si="31"/>
        <v>4833.9000000000005</v>
      </c>
    </row>
    <row r="969" spans="1:18" x14ac:dyDescent="0.35">
      <c r="A969" s="5">
        <v>963</v>
      </c>
      <c r="B969" t="s">
        <v>358</v>
      </c>
      <c r="C969" t="s">
        <v>1443</v>
      </c>
      <c r="D969" t="s">
        <v>1486</v>
      </c>
      <c r="E969" t="s">
        <v>69</v>
      </c>
      <c r="F969" s="1">
        <v>45828</v>
      </c>
      <c r="G969" s="2">
        <v>2012</v>
      </c>
      <c r="H969">
        <v>2021</v>
      </c>
      <c r="I969" s="2">
        <v>9</v>
      </c>
      <c r="J969" s="7">
        <v>58697</v>
      </c>
      <c r="K969" t="s">
        <v>527</v>
      </c>
      <c r="L969">
        <v>4</v>
      </c>
      <c r="M969" t="s">
        <v>55</v>
      </c>
      <c r="N969" t="s">
        <v>17</v>
      </c>
      <c r="O969" t="s">
        <v>41</v>
      </c>
      <c r="P969" t="s">
        <v>1489</v>
      </c>
      <c r="Q969" s="7">
        <f t="shared" si="30"/>
        <v>704364</v>
      </c>
      <c r="R969" s="7">
        <f t="shared" si="31"/>
        <v>5869.7000000000007</v>
      </c>
    </row>
    <row r="970" spans="1:18" x14ac:dyDescent="0.35">
      <c r="A970" s="5">
        <v>964</v>
      </c>
      <c r="B970" t="s">
        <v>772</v>
      </c>
      <c r="C970" t="s">
        <v>1444</v>
      </c>
      <c r="D970" t="s">
        <v>1485</v>
      </c>
      <c r="E970" t="s">
        <v>110</v>
      </c>
      <c r="F970" s="1">
        <v>37317</v>
      </c>
      <c r="G970" s="2">
        <v>2002</v>
      </c>
      <c r="H970">
        <v>2021</v>
      </c>
      <c r="I970" s="2">
        <v>19</v>
      </c>
      <c r="J970" s="7">
        <v>127268</v>
      </c>
      <c r="K970" t="s">
        <v>1500</v>
      </c>
      <c r="L970">
        <v>4</v>
      </c>
      <c r="M970" t="s">
        <v>55</v>
      </c>
      <c r="N970" t="s">
        <v>17</v>
      </c>
      <c r="O970" t="s">
        <v>112</v>
      </c>
      <c r="P970" t="s">
        <v>1489</v>
      </c>
      <c r="Q970" s="7">
        <f t="shared" si="30"/>
        <v>1527216</v>
      </c>
      <c r="R970" s="7">
        <f t="shared" si="31"/>
        <v>12726.800000000001</v>
      </c>
    </row>
    <row r="971" spans="1:18" x14ac:dyDescent="0.35">
      <c r="A971" s="5">
        <v>965</v>
      </c>
      <c r="B971" t="s">
        <v>465</v>
      </c>
      <c r="C971" t="s">
        <v>1445</v>
      </c>
      <c r="D971" t="s">
        <v>1485</v>
      </c>
      <c r="E971" t="s">
        <v>79</v>
      </c>
      <c r="F971" s="1">
        <v>41731</v>
      </c>
      <c r="G971" s="2">
        <v>2014</v>
      </c>
      <c r="H971">
        <v>2021</v>
      </c>
      <c r="I971" s="2">
        <v>7</v>
      </c>
      <c r="J971" s="7">
        <v>115541</v>
      </c>
      <c r="K971" t="s">
        <v>386</v>
      </c>
      <c r="L971">
        <v>6</v>
      </c>
      <c r="M971" t="s">
        <v>50</v>
      </c>
      <c r="N971" t="s">
        <v>40</v>
      </c>
      <c r="O971" t="s">
        <v>41</v>
      </c>
      <c r="P971" t="s">
        <v>1489</v>
      </c>
      <c r="Q971" s="7">
        <f t="shared" si="30"/>
        <v>1386492</v>
      </c>
      <c r="R971" s="7">
        <f t="shared" si="31"/>
        <v>11554.1</v>
      </c>
    </row>
    <row r="972" spans="1:18" x14ac:dyDescent="0.35">
      <c r="A972" s="5">
        <v>966</v>
      </c>
      <c r="B972" t="s">
        <v>108</v>
      </c>
      <c r="C972" t="s">
        <v>1446</v>
      </c>
      <c r="D972" t="s">
        <v>1486</v>
      </c>
      <c r="E972" t="s">
        <v>100</v>
      </c>
      <c r="F972" s="1">
        <v>44240</v>
      </c>
      <c r="G972" s="2">
        <v>2008</v>
      </c>
      <c r="H972">
        <v>2021</v>
      </c>
      <c r="I972" s="2">
        <v>13</v>
      </c>
      <c r="J972" s="7">
        <v>54876</v>
      </c>
      <c r="K972" t="s">
        <v>709</v>
      </c>
      <c r="L972">
        <v>2</v>
      </c>
      <c r="M972" t="s">
        <v>16</v>
      </c>
      <c r="N972" t="s">
        <v>17</v>
      </c>
      <c r="O972" t="s">
        <v>29</v>
      </c>
      <c r="P972" t="s">
        <v>1489</v>
      </c>
      <c r="Q972" s="7">
        <f t="shared" si="30"/>
        <v>658512</v>
      </c>
      <c r="R972" s="7">
        <f t="shared" si="31"/>
        <v>5487.6</v>
      </c>
    </row>
    <row r="973" spans="1:18" x14ac:dyDescent="0.35">
      <c r="A973" s="5">
        <v>967</v>
      </c>
      <c r="B973" t="s">
        <v>439</v>
      </c>
      <c r="C973" t="s">
        <v>1447</v>
      </c>
      <c r="D973" t="s">
        <v>1486</v>
      </c>
      <c r="E973" t="s">
        <v>129</v>
      </c>
      <c r="F973" s="1">
        <v>45882</v>
      </c>
      <c r="G973" s="2">
        <v>2012</v>
      </c>
      <c r="H973">
        <v>2021</v>
      </c>
      <c r="I973" s="2">
        <v>9</v>
      </c>
      <c r="J973" s="7">
        <v>55081</v>
      </c>
      <c r="K973" t="s">
        <v>214</v>
      </c>
      <c r="L973">
        <v>5</v>
      </c>
      <c r="M973" t="s">
        <v>91</v>
      </c>
      <c r="N973" t="s">
        <v>40</v>
      </c>
      <c r="O973" t="s">
        <v>41</v>
      </c>
      <c r="P973" t="s">
        <v>1489</v>
      </c>
      <c r="Q973" s="7">
        <f t="shared" si="30"/>
        <v>660972</v>
      </c>
      <c r="R973" s="7">
        <f t="shared" si="31"/>
        <v>5508.1</v>
      </c>
    </row>
    <row r="974" spans="1:18" x14ac:dyDescent="0.35">
      <c r="A974" s="5">
        <v>968</v>
      </c>
      <c r="B974" t="s">
        <v>508</v>
      </c>
      <c r="C974" t="s">
        <v>1448</v>
      </c>
      <c r="D974" t="s">
        <v>1485</v>
      </c>
      <c r="E974" t="s">
        <v>129</v>
      </c>
      <c r="F974" s="1">
        <v>40082</v>
      </c>
      <c r="G974" s="2">
        <v>2009</v>
      </c>
      <c r="H974">
        <v>2021</v>
      </c>
      <c r="I974" s="2">
        <v>12</v>
      </c>
      <c r="J974" s="7">
        <v>123017</v>
      </c>
      <c r="K974" t="s">
        <v>344</v>
      </c>
      <c r="L974">
        <v>6</v>
      </c>
      <c r="M974" t="s">
        <v>50</v>
      </c>
      <c r="N974" t="s">
        <v>40</v>
      </c>
      <c r="O974" t="s">
        <v>41</v>
      </c>
      <c r="P974" t="s">
        <v>1489</v>
      </c>
      <c r="Q974" s="7">
        <f t="shared" si="30"/>
        <v>1476204</v>
      </c>
      <c r="R974" s="7">
        <f t="shared" si="31"/>
        <v>12301.7</v>
      </c>
    </row>
    <row r="975" spans="1:18" x14ac:dyDescent="0.35">
      <c r="A975" s="5">
        <v>969</v>
      </c>
      <c r="B975" t="s">
        <v>969</v>
      </c>
      <c r="C975" t="s">
        <v>1449</v>
      </c>
      <c r="D975" t="s">
        <v>1485</v>
      </c>
      <c r="E975" t="s">
        <v>69</v>
      </c>
      <c r="F975" s="1">
        <v>41825</v>
      </c>
      <c r="G975" s="2">
        <v>2014</v>
      </c>
      <c r="H975">
        <v>2021</v>
      </c>
      <c r="I975" s="2">
        <v>7</v>
      </c>
      <c r="J975" s="7">
        <v>85294</v>
      </c>
      <c r="K975" t="s">
        <v>715</v>
      </c>
      <c r="L975">
        <v>4</v>
      </c>
      <c r="M975" t="s">
        <v>55</v>
      </c>
      <c r="N975" t="s">
        <v>17</v>
      </c>
      <c r="O975" t="s">
        <v>41</v>
      </c>
      <c r="P975" t="s">
        <v>1489</v>
      </c>
      <c r="Q975" s="7">
        <f t="shared" si="30"/>
        <v>1023528</v>
      </c>
      <c r="R975" s="7">
        <f t="shared" si="31"/>
        <v>8529.4</v>
      </c>
    </row>
    <row r="976" spans="1:18" x14ac:dyDescent="0.35">
      <c r="A976" s="5">
        <v>970</v>
      </c>
      <c r="B976" t="s">
        <v>56</v>
      </c>
      <c r="C976" t="s">
        <v>1450</v>
      </c>
      <c r="D976" t="s">
        <v>1485</v>
      </c>
      <c r="E976" t="s">
        <v>85</v>
      </c>
      <c r="F976" s="1">
        <v>38204</v>
      </c>
      <c r="G976" s="2">
        <v>2004</v>
      </c>
      <c r="H976">
        <v>2021</v>
      </c>
      <c r="I976" s="2">
        <v>17</v>
      </c>
      <c r="J976" s="7">
        <v>54470</v>
      </c>
      <c r="K976" t="s">
        <v>551</v>
      </c>
      <c r="L976">
        <v>2</v>
      </c>
      <c r="M976" t="s">
        <v>16</v>
      </c>
      <c r="N976" t="s">
        <v>17</v>
      </c>
      <c r="O976" t="s">
        <v>41</v>
      </c>
      <c r="P976" t="s">
        <v>1489</v>
      </c>
      <c r="Q976" s="7">
        <f t="shared" si="30"/>
        <v>653640</v>
      </c>
      <c r="R976" s="7">
        <f t="shared" si="31"/>
        <v>5447</v>
      </c>
    </row>
    <row r="977" spans="1:18" x14ac:dyDescent="0.35">
      <c r="A977" s="5">
        <v>971</v>
      </c>
      <c r="B977" t="s">
        <v>718</v>
      </c>
      <c r="C977" t="s">
        <v>1451</v>
      </c>
      <c r="D977" t="s">
        <v>1486</v>
      </c>
      <c r="E977" t="s">
        <v>148</v>
      </c>
      <c r="F977" s="1">
        <v>45454</v>
      </c>
      <c r="G977" s="2">
        <v>2011</v>
      </c>
      <c r="H977">
        <v>2021</v>
      </c>
      <c r="I977" s="2">
        <v>10</v>
      </c>
      <c r="J977" s="7">
        <v>148889</v>
      </c>
      <c r="K977" t="s">
        <v>327</v>
      </c>
      <c r="L977">
        <v>4</v>
      </c>
      <c r="M977" t="s">
        <v>55</v>
      </c>
      <c r="N977" t="s">
        <v>17</v>
      </c>
      <c r="O977" t="s">
        <v>112</v>
      </c>
      <c r="P977" t="s">
        <v>1489</v>
      </c>
      <c r="Q977" s="7">
        <f t="shared" si="30"/>
        <v>1786668</v>
      </c>
      <c r="R977" s="7">
        <f t="shared" si="31"/>
        <v>14888.900000000001</v>
      </c>
    </row>
    <row r="978" spans="1:18" x14ac:dyDescent="0.35">
      <c r="A978" s="5">
        <v>972</v>
      </c>
      <c r="B978" t="s">
        <v>864</v>
      </c>
      <c r="C978" t="s">
        <v>1452</v>
      </c>
      <c r="D978" t="s">
        <v>1486</v>
      </c>
      <c r="E978" t="s">
        <v>73</v>
      </c>
      <c r="F978" s="1">
        <v>44206</v>
      </c>
      <c r="G978" s="2">
        <v>2008</v>
      </c>
      <c r="H978">
        <v>2021</v>
      </c>
      <c r="I978" s="2">
        <v>13</v>
      </c>
      <c r="J978" s="7">
        <v>94049</v>
      </c>
      <c r="K978" t="s">
        <v>247</v>
      </c>
      <c r="L978">
        <v>7</v>
      </c>
      <c r="M978" t="s">
        <v>39</v>
      </c>
      <c r="N978" t="s">
        <v>40</v>
      </c>
      <c r="O978" t="s">
        <v>41</v>
      </c>
      <c r="P978" t="s">
        <v>1489</v>
      </c>
      <c r="Q978" s="7">
        <f t="shared" si="30"/>
        <v>1128588</v>
      </c>
      <c r="R978" s="7">
        <f t="shared" si="31"/>
        <v>9404.9</v>
      </c>
    </row>
    <row r="979" spans="1:18" x14ac:dyDescent="0.35">
      <c r="A979" s="5">
        <v>973</v>
      </c>
      <c r="B979" t="s">
        <v>560</v>
      </c>
      <c r="C979" t="s">
        <v>1453</v>
      </c>
      <c r="D979" t="s">
        <v>1486</v>
      </c>
      <c r="E979" t="s">
        <v>61</v>
      </c>
      <c r="F979" s="1">
        <v>44692</v>
      </c>
      <c r="G979" s="2">
        <v>2009</v>
      </c>
      <c r="H979">
        <v>2021</v>
      </c>
      <c r="I979" s="2">
        <v>12</v>
      </c>
      <c r="J979" s="7">
        <v>51132</v>
      </c>
      <c r="K979" t="s">
        <v>139</v>
      </c>
      <c r="L979">
        <v>4</v>
      </c>
      <c r="M979" t="s">
        <v>55</v>
      </c>
      <c r="N979" t="s">
        <v>17</v>
      </c>
      <c r="O979" t="s">
        <v>63</v>
      </c>
      <c r="P979" t="s">
        <v>1489</v>
      </c>
      <c r="Q979" s="7">
        <f t="shared" si="30"/>
        <v>613584</v>
      </c>
      <c r="R979" s="7">
        <f t="shared" si="31"/>
        <v>5113.2000000000007</v>
      </c>
    </row>
    <row r="980" spans="1:18" x14ac:dyDescent="0.35">
      <c r="A980" s="5">
        <v>974</v>
      </c>
      <c r="B980" t="s">
        <v>259</v>
      </c>
      <c r="C980" t="s">
        <v>1454</v>
      </c>
      <c r="D980" t="s">
        <v>1485</v>
      </c>
      <c r="E980" t="s">
        <v>53</v>
      </c>
      <c r="F980" s="1">
        <v>37421</v>
      </c>
      <c r="G980" s="2">
        <v>2002</v>
      </c>
      <c r="H980">
        <v>2021</v>
      </c>
      <c r="I980" s="2">
        <v>19</v>
      </c>
      <c r="J980" s="7">
        <v>87422</v>
      </c>
      <c r="K980" t="s">
        <v>370</v>
      </c>
      <c r="L980">
        <v>3</v>
      </c>
      <c r="M980" t="s">
        <v>28</v>
      </c>
      <c r="N980" t="s">
        <v>17</v>
      </c>
      <c r="O980" t="s">
        <v>23</v>
      </c>
      <c r="P980" t="s">
        <v>1489</v>
      </c>
      <c r="Q980" s="7">
        <f t="shared" si="30"/>
        <v>1049064</v>
      </c>
      <c r="R980" s="7">
        <f t="shared" si="31"/>
        <v>8742.2000000000007</v>
      </c>
    </row>
    <row r="981" spans="1:18" x14ac:dyDescent="0.35">
      <c r="A981" s="5">
        <v>975</v>
      </c>
      <c r="B981" t="s">
        <v>523</v>
      </c>
      <c r="C981" t="s">
        <v>1455</v>
      </c>
      <c r="D981" t="s">
        <v>1486</v>
      </c>
      <c r="E981" t="s">
        <v>110</v>
      </c>
      <c r="F981" s="1">
        <v>46645</v>
      </c>
      <c r="G981" s="2">
        <v>2014</v>
      </c>
      <c r="H981">
        <v>2021</v>
      </c>
      <c r="I981" s="2">
        <v>7</v>
      </c>
      <c r="J981" s="7">
        <v>88439</v>
      </c>
      <c r="K981" t="s">
        <v>888</v>
      </c>
      <c r="L981">
        <v>2</v>
      </c>
      <c r="M981" t="s">
        <v>16</v>
      </c>
      <c r="N981" t="s">
        <v>17</v>
      </c>
      <c r="O981" t="s">
        <v>112</v>
      </c>
      <c r="P981" t="s">
        <v>1489</v>
      </c>
      <c r="Q981" s="7">
        <f t="shared" si="30"/>
        <v>1061268</v>
      </c>
      <c r="R981" s="7">
        <f t="shared" si="31"/>
        <v>8843.9</v>
      </c>
    </row>
    <row r="982" spans="1:18" x14ac:dyDescent="0.35">
      <c r="A982" s="5">
        <v>976</v>
      </c>
      <c r="B982" t="s">
        <v>105</v>
      </c>
      <c r="C982" t="s">
        <v>1456</v>
      </c>
      <c r="D982" t="s">
        <v>1485</v>
      </c>
      <c r="E982" t="s">
        <v>129</v>
      </c>
      <c r="F982" s="1">
        <v>38408</v>
      </c>
      <c r="G982" s="2">
        <v>2005</v>
      </c>
      <c r="H982">
        <v>2021</v>
      </c>
      <c r="I982" s="2">
        <v>16</v>
      </c>
      <c r="J982" s="7">
        <v>110749</v>
      </c>
      <c r="K982" t="s">
        <v>330</v>
      </c>
      <c r="L982">
        <v>7</v>
      </c>
      <c r="M982" t="s">
        <v>39</v>
      </c>
      <c r="N982" t="s">
        <v>40</v>
      </c>
      <c r="O982" t="s">
        <v>41</v>
      </c>
      <c r="P982" t="s">
        <v>1489</v>
      </c>
      <c r="Q982" s="7">
        <f t="shared" si="30"/>
        <v>1328988</v>
      </c>
      <c r="R982" s="7">
        <f t="shared" si="31"/>
        <v>11074.900000000001</v>
      </c>
    </row>
    <row r="983" spans="1:18" x14ac:dyDescent="0.35">
      <c r="A983" s="5">
        <v>977</v>
      </c>
      <c r="B983" t="s">
        <v>1282</v>
      </c>
      <c r="C983" t="s">
        <v>1457</v>
      </c>
      <c r="D983" t="s">
        <v>1485</v>
      </c>
      <c r="E983" t="s">
        <v>129</v>
      </c>
      <c r="F983" s="1">
        <v>39016</v>
      </c>
      <c r="G983" s="2">
        <v>2006</v>
      </c>
      <c r="H983">
        <v>2021</v>
      </c>
      <c r="I983" s="2">
        <v>15</v>
      </c>
      <c r="J983" s="7">
        <v>137911</v>
      </c>
      <c r="K983" t="s">
        <v>381</v>
      </c>
      <c r="L983">
        <v>4</v>
      </c>
      <c r="M983" t="s">
        <v>55</v>
      </c>
      <c r="N983" t="s">
        <v>17</v>
      </c>
      <c r="O983" t="s">
        <v>41</v>
      </c>
      <c r="P983" t="s">
        <v>1489</v>
      </c>
      <c r="Q983" s="7">
        <f t="shared" si="30"/>
        <v>1654932</v>
      </c>
      <c r="R983" s="7">
        <f t="shared" si="31"/>
        <v>13791.1</v>
      </c>
    </row>
    <row r="984" spans="1:18" x14ac:dyDescent="0.35">
      <c r="A984" s="5">
        <v>978</v>
      </c>
      <c r="B984" t="s">
        <v>288</v>
      </c>
      <c r="C984" t="s">
        <v>1458</v>
      </c>
      <c r="D984" t="s">
        <v>1485</v>
      </c>
      <c r="E984" t="s">
        <v>94</v>
      </c>
      <c r="F984" s="1">
        <v>39982</v>
      </c>
      <c r="G984" s="2">
        <v>2009</v>
      </c>
      <c r="H984">
        <v>2021</v>
      </c>
      <c r="I984" s="2">
        <v>12</v>
      </c>
      <c r="J984" s="7">
        <v>93665</v>
      </c>
      <c r="K984" t="s">
        <v>632</v>
      </c>
      <c r="L984">
        <v>3</v>
      </c>
      <c r="M984" t="s">
        <v>28</v>
      </c>
      <c r="N984" t="s">
        <v>17</v>
      </c>
      <c r="O984" t="s">
        <v>18</v>
      </c>
      <c r="P984" t="s">
        <v>1489</v>
      </c>
      <c r="Q984" s="7">
        <f t="shared" si="30"/>
        <v>1123980</v>
      </c>
      <c r="R984" s="7">
        <f t="shared" si="31"/>
        <v>9366.5</v>
      </c>
    </row>
    <row r="985" spans="1:18" x14ac:dyDescent="0.35">
      <c r="A985" s="5">
        <v>979</v>
      </c>
      <c r="B985" t="s">
        <v>80</v>
      </c>
      <c r="C985" t="s">
        <v>1459</v>
      </c>
      <c r="D985" t="s">
        <v>1485</v>
      </c>
      <c r="E985" t="s">
        <v>73</v>
      </c>
      <c r="F985" s="1">
        <v>40178</v>
      </c>
      <c r="G985" s="2">
        <v>2009</v>
      </c>
      <c r="H985">
        <v>2021</v>
      </c>
      <c r="I985" s="2">
        <v>12</v>
      </c>
      <c r="J985" s="7">
        <v>90068</v>
      </c>
      <c r="K985" t="s">
        <v>313</v>
      </c>
      <c r="L985">
        <v>6</v>
      </c>
      <c r="M985" t="s">
        <v>50</v>
      </c>
      <c r="N985" t="s">
        <v>40</v>
      </c>
      <c r="O985" t="s">
        <v>41</v>
      </c>
      <c r="P985" t="s">
        <v>1489</v>
      </c>
      <c r="Q985" s="7">
        <f t="shared" si="30"/>
        <v>1080816</v>
      </c>
      <c r="R985" s="7">
        <f t="shared" si="31"/>
        <v>9006.8000000000011</v>
      </c>
    </row>
    <row r="986" spans="1:18" x14ac:dyDescent="0.35">
      <c r="A986" s="5">
        <v>980</v>
      </c>
      <c r="B986" t="s">
        <v>59</v>
      </c>
      <c r="C986" t="s">
        <v>1460</v>
      </c>
      <c r="D986" t="s">
        <v>1486</v>
      </c>
      <c r="E986" t="s">
        <v>89</v>
      </c>
      <c r="F986" s="1">
        <v>46740</v>
      </c>
      <c r="G986" s="2">
        <v>2014</v>
      </c>
      <c r="H986">
        <v>2021</v>
      </c>
      <c r="I986" s="2">
        <v>7</v>
      </c>
      <c r="J986" s="7">
        <v>83704</v>
      </c>
      <c r="K986" t="s">
        <v>179</v>
      </c>
      <c r="L986">
        <v>5</v>
      </c>
      <c r="M986" t="s">
        <v>91</v>
      </c>
      <c r="N986" t="s">
        <v>40</v>
      </c>
      <c r="O986" t="s">
        <v>41</v>
      </c>
      <c r="P986" t="s">
        <v>1489</v>
      </c>
      <c r="Q986" s="7">
        <f t="shared" si="30"/>
        <v>1004448</v>
      </c>
      <c r="R986" s="7">
        <f t="shared" si="31"/>
        <v>8370.4</v>
      </c>
    </row>
    <row r="987" spans="1:18" x14ac:dyDescent="0.35">
      <c r="A987" s="5">
        <v>981</v>
      </c>
      <c r="B987" t="s">
        <v>165</v>
      </c>
      <c r="C987" t="s">
        <v>1461</v>
      </c>
      <c r="D987" t="s">
        <v>1485</v>
      </c>
      <c r="E987" t="s">
        <v>129</v>
      </c>
      <c r="F987" s="1">
        <v>40721</v>
      </c>
      <c r="G987" s="2">
        <v>2011</v>
      </c>
      <c r="H987">
        <v>2021</v>
      </c>
      <c r="I987" s="2">
        <v>10</v>
      </c>
      <c r="J987" s="7">
        <v>116767</v>
      </c>
      <c r="K987" t="s">
        <v>194</v>
      </c>
      <c r="L987">
        <v>3</v>
      </c>
      <c r="M987" t="s">
        <v>28</v>
      </c>
      <c r="N987" t="s">
        <v>17</v>
      </c>
      <c r="O987" t="s">
        <v>41</v>
      </c>
      <c r="P987" t="s">
        <v>1489</v>
      </c>
      <c r="Q987" s="7">
        <f t="shared" si="30"/>
        <v>1401204</v>
      </c>
      <c r="R987" s="7">
        <f t="shared" si="31"/>
        <v>11676.7</v>
      </c>
    </row>
    <row r="988" spans="1:18" x14ac:dyDescent="0.35">
      <c r="A988" s="5">
        <v>982</v>
      </c>
      <c r="B988" t="s">
        <v>986</v>
      </c>
      <c r="C988" t="s">
        <v>1462</v>
      </c>
      <c r="D988" t="s">
        <v>1486</v>
      </c>
      <c r="E988" t="s">
        <v>53</v>
      </c>
      <c r="F988" s="1">
        <v>36764</v>
      </c>
      <c r="G988" s="2">
        <v>2000</v>
      </c>
      <c r="H988">
        <v>2021</v>
      </c>
      <c r="I988" s="2">
        <v>21</v>
      </c>
      <c r="J988" s="7">
        <v>54599</v>
      </c>
      <c r="K988" t="s">
        <v>142</v>
      </c>
      <c r="L988">
        <v>3</v>
      </c>
      <c r="M988" t="s">
        <v>28</v>
      </c>
      <c r="N988" t="s">
        <v>17</v>
      </c>
      <c r="O988" t="s">
        <v>23</v>
      </c>
      <c r="P988" t="s">
        <v>1489</v>
      </c>
      <c r="Q988" s="7">
        <f t="shared" si="30"/>
        <v>655188</v>
      </c>
      <c r="R988" s="7">
        <f t="shared" si="31"/>
        <v>5459.9000000000005</v>
      </c>
    </row>
    <row r="989" spans="1:18" x14ac:dyDescent="0.35">
      <c r="A989" s="5">
        <v>983</v>
      </c>
      <c r="B989" t="s">
        <v>443</v>
      </c>
      <c r="C989" t="s">
        <v>1463</v>
      </c>
      <c r="D989" t="s">
        <v>1486</v>
      </c>
      <c r="E989" t="s">
        <v>21</v>
      </c>
      <c r="F989" s="1">
        <v>46435</v>
      </c>
      <c r="G989" s="2">
        <v>2014</v>
      </c>
      <c r="H989">
        <v>2021</v>
      </c>
      <c r="I989" s="2">
        <v>7</v>
      </c>
      <c r="J989" s="7">
        <v>94685</v>
      </c>
      <c r="K989" t="s">
        <v>370</v>
      </c>
      <c r="L989">
        <v>4</v>
      </c>
      <c r="M989" t="s">
        <v>55</v>
      </c>
      <c r="N989" t="s">
        <v>17</v>
      </c>
      <c r="O989" t="s">
        <v>23</v>
      </c>
      <c r="P989" t="s">
        <v>1489</v>
      </c>
      <c r="Q989" s="7">
        <f t="shared" si="30"/>
        <v>1136220</v>
      </c>
      <c r="R989" s="7">
        <f t="shared" si="31"/>
        <v>9468.5</v>
      </c>
    </row>
    <row r="990" spans="1:18" x14ac:dyDescent="0.35">
      <c r="A990" s="5">
        <v>984</v>
      </c>
      <c r="B990" t="s">
        <v>268</v>
      </c>
      <c r="C990" t="s">
        <v>1464</v>
      </c>
      <c r="D990" t="s">
        <v>1485</v>
      </c>
      <c r="E990" t="s">
        <v>32</v>
      </c>
      <c r="F990" s="1">
        <v>38280</v>
      </c>
      <c r="G990" s="2">
        <v>2004</v>
      </c>
      <c r="H990">
        <v>2021</v>
      </c>
      <c r="I990" s="3">
        <v>17</v>
      </c>
      <c r="J990" s="7">
        <v>91608</v>
      </c>
      <c r="K990" t="s">
        <v>669</v>
      </c>
      <c r="L990">
        <v>5</v>
      </c>
      <c r="M990" t="s">
        <v>91</v>
      </c>
      <c r="N990" t="s">
        <v>40</v>
      </c>
      <c r="O990" t="s">
        <v>34</v>
      </c>
      <c r="P990" t="s">
        <v>1489</v>
      </c>
      <c r="Q990" s="7">
        <f t="shared" si="30"/>
        <v>1099296</v>
      </c>
      <c r="R990" s="7">
        <f t="shared" si="31"/>
        <v>9160.8000000000011</v>
      </c>
    </row>
    <row r="991" spans="1:18" x14ac:dyDescent="0.35">
      <c r="A991" s="5">
        <v>985</v>
      </c>
      <c r="B991" t="s">
        <v>530</v>
      </c>
      <c r="C991" t="s">
        <v>1465</v>
      </c>
      <c r="D991" t="s">
        <v>1485</v>
      </c>
      <c r="E991" t="s">
        <v>94</v>
      </c>
      <c r="F991" s="1">
        <v>38776</v>
      </c>
      <c r="G991" s="2">
        <v>2006</v>
      </c>
      <c r="H991">
        <v>2021</v>
      </c>
      <c r="I991" s="2">
        <v>15</v>
      </c>
      <c r="J991" s="7">
        <v>118791</v>
      </c>
      <c r="K991" t="s">
        <v>418</v>
      </c>
      <c r="L991">
        <v>1</v>
      </c>
      <c r="M991" t="s">
        <v>46</v>
      </c>
      <c r="N991" t="s">
        <v>17</v>
      </c>
      <c r="O991" t="s">
        <v>18</v>
      </c>
      <c r="P991" t="s">
        <v>1489</v>
      </c>
      <c r="Q991" s="7">
        <f t="shared" si="30"/>
        <v>1425492</v>
      </c>
      <c r="R991" s="7">
        <f t="shared" si="31"/>
        <v>11879.1</v>
      </c>
    </row>
    <row r="992" spans="1:18" x14ac:dyDescent="0.35">
      <c r="A992" s="5">
        <v>986</v>
      </c>
      <c r="B992" t="s">
        <v>768</v>
      </c>
      <c r="C992" t="s">
        <v>1466</v>
      </c>
      <c r="D992" t="s">
        <v>1485</v>
      </c>
      <c r="E992" t="s">
        <v>129</v>
      </c>
      <c r="F992" s="1">
        <v>37587</v>
      </c>
      <c r="G992" s="2">
        <v>2002</v>
      </c>
      <c r="H992">
        <v>2021</v>
      </c>
      <c r="I992" s="2">
        <v>19</v>
      </c>
      <c r="J992" s="7">
        <v>115888</v>
      </c>
      <c r="K992" t="s">
        <v>145</v>
      </c>
      <c r="L992">
        <v>6</v>
      </c>
      <c r="M992" t="s">
        <v>50</v>
      </c>
      <c r="N992" t="s">
        <v>40</v>
      </c>
      <c r="O992" t="s">
        <v>41</v>
      </c>
      <c r="P992" t="s">
        <v>1489</v>
      </c>
      <c r="Q992" s="7">
        <f t="shared" si="30"/>
        <v>1390656</v>
      </c>
      <c r="R992" s="7">
        <f t="shared" si="31"/>
        <v>11588.800000000001</v>
      </c>
    </row>
    <row r="993" spans="1:18" x14ac:dyDescent="0.35">
      <c r="A993" s="5">
        <v>987</v>
      </c>
      <c r="B993" t="s">
        <v>170</v>
      </c>
      <c r="C993" t="s">
        <v>1467</v>
      </c>
      <c r="D993" t="s">
        <v>1486</v>
      </c>
      <c r="E993" t="s">
        <v>44</v>
      </c>
      <c r="F993" s="1">
        <v>36877</v>
      </c>
      <c r="G993" s="2">
        <v>2000</v>
      </c>
      <c r="H993">
        <v>2021</v>
      </c>
      <c r="I993" s="2">
        <v>21</v>
      </c>
      <c r="J993" s="7">
        <v>60743</v>
      </c>
      <c r="K993" t="s">
        <v>156</v>
      </c>
      <c r="L993">
        <v>5</v>
      </c>
      <c r="M993" t="s">
        <v>91</v>
      </c>
      <c r="N993" t="s">
        <v>40</v>
      </c>
      <c r="O993" t="s">
        <v>29</v>
      </c>
      <c r="P993" t="s">
        <v>1489</v>
      </c>
      <c r="Q993" s="7">
        <f t="shared" si="30"/>
        <v>728916</v>
      </c>
      <c r="R993" s="7">
        <f t="shared" si="31"/>
        <v>6074.3</v>
      </c>
    </row>
    <row r="994" spans="1:18" x14ac:dyDescent="0.35">
      <c r="A994" s="5">
        <v>988</v>
      </c>
      <c r="B994" t="s">
        <v>882</v>
      </c>
      <c r="C994" t="s">
        <v>1468</v>
      </c>
      <c r="D994" t="s">
        <v>1486</v>
      </c>
      <c r="E994" t="s">
        <v>129</v>
      </c>
      <c r="F994" s="1">
        <v>38459</v>
      </c>
      <c r="G994" s="2">
        <v>2005</v>
      </c>
      <c r="H994">
        <v>2021</v>
      </c>
      <c r="I994" s="2">
        <v>16</v>
      </c>
      <c r="J994" s="7">
        <v>117962</v>
      </c>
      <c r="K994" t="s">
        <v>659</v>
      </c>
      <c r="L994">
        <v>7</v>
      </c>
      <c r="M994" t="s">
        <v>39</v>
      </c>
      <c r="N994" t="s">
        <v>40</v>
      </c>
      <c r="O994" t="s">
        <v>41</v>
      </c>
      <c r="P994" t="s">
        <v>1489</v>
      </c>
      <c r="Q994" s="7">
        <f t="shared" si="30"/>
        <v>1415544</v>
      </c>
      <c r="R994" s="7">
        <f t="shared" si="31"/>
        <v>11796.2</v>
      </c>
    </row>
    <row r="995" spans="1:18" x14ac:dyDescent="0.35">
      <c r="A995" s="5">
        <v>989</v>
      </c>
      <c r="B995" t="s">
        <v>452</v>
      </c>
      <c r="C995" t="s">
        <v>1469</v>
      </c>
      <c r="D995" t="s">
        <v>1486</v>
      </c>
      <c r="E995" t="s">
        <v>238</v>
      </c>
      <c r="F995" s="1">
        <v>38053</v>
      </c>
      <c r="G995" s="2">
        <v>2004</v>
      </c>
      <c r="H995">
        <v>2021</v>
      </c>
      <c r="I995" s="2">
        <v>17</v>
      </c>
      <c r="J995" s="7">
        <v>67817</v>
      </c>
      <c r="K995" t="s">
        <v>204</v>
      </c>
      <c r="L995">
        <v>7</v>
      </c>
      <c r="M995" t="s">
        <v>39</v>
      </c>
      <c r="N995" t="s">
        <v>40</v>
      </c>
      <c r="O995" t="s">
        <v>63</v>
      </c>
      <c r="P995" t="s">
        <v>1489</v>
      </c>
      <c r="Q995" s="7">
        <f t="shared" si="30"/>
        <v>813804</v>
      </c>
      <c r="R995" s="7">
        <f t="shared" si="31"/>
        <v>6781.7000000000007</v>
      </c>
    </row>
    <row r="996" spans="1:18" x14ac:dyDescent="0.35">
      <c r="A996" s="5">
        <v>990</v>
      </c>
      <c r="B996" t="s">
        <v>279</v>
      </c>
      <c r="C996" t="s">
        <v>1470</v>
      </c>
      <c r="D996" t="s">
        <v>1485</v>
      </c>
      <c r="E996" t="s">
        <v>85</v>
      </c>
      <c r="F996" s="1">
        <v>37839</v>
      </c>
      <c r="G996" s="2">
        <v>2003</v>
      </c>
      <c r="H996">
        <v>2021</v>
      </c>
      <c r="I996" s="2">
        <v>18</v>
      </c>
      <c r="J996" s="7">
        <v>76229</v>
      </c>
      <c r="K996" t="s">
        <v>115</v>
      </c>
      <c r="L996">
        <v>4</v>
      </c>
      <c r="M996" t="s">
        <v>55</v>
      </c>
      <c r="N996" t="s">
        <v>17</v>
      </c>
      <c r="O996" t="s">
        <v>41</v>
      </c>
      <c r="P996" t="s">
        <v>1489</v>
      </c>
      <c r="Q996" s="7">
        <f t="shared" si="30"/>
        <v>914748</v>
      </c>
      <c r="R996" s="7">
        <f t="shared" si="31"/>
        <v>7622.9000000000005</v>
      </c>
    </row>
    <row r="997" spans="1:18" x14ac:dyDescent="0.35">
      <c r="A997" s="5">
        <v>991</v>
      </c>
      <c r="B997" t="s">
        <v>788</v>
      </c>
      <c r="C997" t="s">
        <v>1471</v>
      </c>
      <c r="D997" t="s">
        <v>1486</v>
      </c>
      <c r="E997" t="s">
        <v>94</v>
      </c>
      <c r="F997" s="1">
        <v>44908</v>
      </c>
      <c r="G997" s="2">
        <v>2009</v>
      </c>
      <c r="H997">
        <v>2021</v>
      </c>
      <c r="I997" s="2">
        <v>12</v>
      </c>
      <c r="J997" s="7">
        <v>62286</v>
      </c>
      <c r="K997" t="s">
        <v>226</v>
      </c>
      <c r="L997">
        <v>2</v>
      </c>
      <c r="M997" t="s">
        <v>16</v>
      </c>
      <c r="N997" t="s">
        <v>17</v>
      </c>
      <c r="O997" t="s">
        <v>18</v>
      </c>
      <c r="P997" t="s">
        <v>1489</v>
      </c>
      <c r="Q997" s="7">
        <f t="shared" si="30"/>
        <v>747432</v>
      </c>
      <c r="R997" s="7">
        <f t="shared" si="31"/>
        <v>6228.6</v>
      </c>
    </row>
    <row r="998" spans="1:18" x14ac:dyDescent="0.35">
      <c r="A998" s="5">
        <v>992</v>
      </c>
      <c r="B998" t="s">
        <v>667</v>
      </c>
      <c r="C998" t="s">
        <v>1472</v>
      </c>
      <c r="D998" t="s">
        <v>1485</v>
      </c>
      <c r="E998" t="s">
        <v>148</v>
      </c>
      <c r="F998" s="1">
        <v>39020</v>
      </c>
      <c r="G998" s="2">
        <v>2006</v>
      </c>
      <c r="H998">
        <v>2021</v>
      </c>
      <c r="I998" s="2">
        <v>15</v>
      </c>
      <c r="J998" s="7">
        <v>121713</v>
      </c>
      <c r="K998" t="s">
        <v>242</v>
      </c>
      <c r="L998">
        <v>5</v>
      </c>
      <c r="M998" t="s">
        <v>91</v>
      </c>
      <c r="N998" t="s">
        <v>40</v>
      </c>
      <c r="O998" t="s">
        <v>112</v>
      </c>
      <c r="P998" t="s">
        <v>1489</v>
      </c>
      <c r="Q998" s="7">
        <f t="shared" si="30"/>
        <v>1460556</v>
      </c>
      <c r="R998" s="7">
        <f t="shared" si="31"/>
        <v>12171.300000000001</v>
      </c>
    </row>
    <row r="999" spans="1:18" x14ac:dyDescent="0.35">
      <c r="A999" s="5">
        <v>993</v>
      </c>
      <c r="B999" t="s">
        <v>483</v>
      </c>
      <c r="C999" t="s">
        <v>1473</v>
      </c>
      <c r="D999" t="s">
        <v>1486</v>
      </c>
      <c r="E999" t="s">
        <v>122</v>
      </c>
      <c r="F999" s="1">
        <v>44627</v>
      </c>
      <c r="G999" s="2">
        <v>2009</v>
      </c>
      <c r="H999">
        <v>2021</v>
      </c>
      <c r="I999" s="2">
        <v>12</v>
      </c>
      <c r="J999" s="7">
        <v>139486</v>
      </c>
      <c r="K999" t="s">
        <v>223</v>
      </c>
      <c r="L999">
        <v>7</v>
      </c>
      <c r="M999" t="s">
        <v>39</v>
      </c>
      <c r="N999" t="s">
        <v>40</v>
      </c>
      <c r="O999" t="s">
        <v>123</v>
      </c>
      <c r="P999" t="s">
        <v>1489</v>
      </c>
      <c r="Q999" s="7">
        <f t="shared" si="30"/>
        <v>1673832</v>
      </c>
      <c r="R999" s="7">
        <f t="shared" si="31"/>
        <v>13948.6</v>
      </c>
    </row>
    <row r="1000" spans="1:18" x14ac:dyDescent="0.35">
      <c r="A1000" s="5">
        <v>994</v>
      </c>
      <c r="B1000" t="s">
        <v>273</v>
      </c>
      <c r="C1000" t="s">
        <v>1474</v>
      </c>
      <c r="D1000" t="s">
        <v>1486</v>
      </c>
      <c r="E1000" t="s">
        <v>203</v>
      </c>
      <c r="F1000" s="1">
        <v>37558</v>
      </c>
      <c r="G1000" s="2">
        <v>2002</v>
      </c>
      <c r="H1000">
        <v>2021</v>
      </c>
      <c r="I1000" s="2">
        <v>19</v>
      </c>
      <c r="J1000" s="7">
        <v>141375</v>
      </c>
      <c r="K1000" t="s">
        <v>33</v>
      </c>
      <c r="L1000">
        <v>7</v>
      </c>
      <c r="M1000" t="s">
        <v>39</v>
      </c>
      <c r="N1000" t="s">
        <v>40</v>
      </c>
      <c r="O1000" t="s">
        <v>41</v>
      </c>
      <c r="P1000" t="s">
        <v>1489</v>
      </c>
      <c r="Q1000" s="7">
        <f t="shared" si="30"/>
        <v>1696500</v>
      </c>
      <c r="R1000" s="7">
        <f t="shared" si="31"/>
        <v>14137.5</v>
      </c>
    </row>
    <row r="1001" spans="1:18" x14ac:dyDescent="0.35">
      <c r="A1001" s="5">
        <v>995</v>
      </c>
      <c r="B1001" t="s">
        <v>1437</v>
      </c>
      <c r="C1001" t="s">
        <v>1475</v>
      </c>
      <c r="D1001" t="s">
        <v>1486</v>
      </c>
      <c r="E1001" t="s">
        <v>32</v>
      </c>
      <c r="F1001" s="1">
        <v>45021</v>
      </c>
      <c r="G1001" s="2">
        <v>2010</v>
      </c>
      <c r="H1001">
        <v>2021</v>
      </c>
      <c r="I1001" s="3">
        <v>11</v>
      </c>
      <c r="J1001" s="7">
        <v>83404</v>
      </c>
      <c r="K1001" t="s">
        <v>386</v>
      </c>
      <c r="L1001">
        <v>2</v>
      </c>
      <c r="M1001" t="s">
        <v>16</v>
      </c>
      <c r="N1001" t="s">
        <v>17</v>
      </c>
      <c r="O1001" t="s">
        <v>34</v>
      </c>
      <c r="P1001" t="s">
        <v>1489</v>
      </c>
      <c r="Q1001" s="7">
        <f t="shared" si="30"/>
        <v>1000848</v>
      </c>
      <c r="R1001" s="7">
        <f t="shared" si="31"/>
        <v>8340.4</v>
      </c>
    </row>
    <row r="1002" spans="1:18" x14ac:dyDescent="0.35">
      <c r="A1002" s="5">
        <v>996</v>
      </c>
      <c r="B1002" t="s">
        <v>56</v>
      </c>
      <c r="C1002" t="s">
        <v>1476</v>
      </c>
      <c r="D1002" t="s">
        <v>1486</v>
      </c>
      <c r="E1002" t="s">
        <v>79</v>
      </c>
      <c r="F1002" s="1">
        <v>46343</v>
      </c>
      <c r="G1002" s="2">
        <v>2013</v>
      </c>
      <c r="H1002">
        <v>2021</v>
      </c>
      <c r="I1002" s="2">
        <v>8</v>
      </c>
      <c r="J1002" s="7">
        <v>78433</v>
      </c>
      <c r="K1002" t="s">
        <v>562</v>
      </c>
      <c r="L1002">
        <v>7</v>
      </c>
      <c r="M1002" t="s">
        <v>39</v>
      </c>
      <c r="N1002" t="s">
        <v>40</v>
      </c>
      <c r="O1002" t="s">
        <v>41</v>
      </c>
      <c r="P1002" t="s">
        <v>1489</v>
      </c>
      <c r="Q1002" s="7">
        <f t="shared" si="30"/>
        <v>941196</v>
      </c>
      <c r="R1002" s="7">
        <f t="shared" si="31"/>
        <v>7843.3</v>
      </c>
    </row>
    <row r="1003" spans="1:18" x14ac:dyDescent="0.35">
      <c r="A1003" s="5">
        <v>997</v>
      </c>
      <c r="B1003" t="s">
        <v>457</v>
      </c>
      <c r="C1003" t="s">
        <v>1477</v>
      </c>
      <c r="D1003" t="s">
        <v>1486</v>
      </c>
      <c r="E1003" t="s">
        <v>14</v>
      </c>
      <c r="F1003" s="1">
        <v>43937</v>
      </c>
      <c r="G1003" s="2">
        <v>2007</v>
      </c>
      <c r="H1003">
        <v>2021</v>
      </c>
      <c r="I1003" s="2">
        <v>14</v>
      </c>
      <c r="J1003" s="7">
        <v>120138</v>
      </c>
      <c r="K1003" t="s">
        <v>306</v>
      </c>
      <c r="L1003">
        <v>1</v>
      </c>
      <c r="M1003" t="s">
        <v>46</v>
      </c>
      <c r="N1003" t="s">
        <v>17</v>
      </c>
      <c r="O1003" t="s">
        <v>18</v>
      </c>
      <c r="P1003" t="s">
        <v>1489</v>
      </c>
      <c r="Q1003" s="7">
        <f t="shared" si="30"/>
        <v>1441656</v>
      </c>
      <c r="R1003" s="7">
        <f t="shared" si="31"/>
        <v>12013.800000000001</v>
      </c>
    </row>
    <row r="1004" spans="1:18" x14ac:dyDescent="0.35">
      <c r="A1004" s="5">
        <v>998</v>
      </c>
      <c r="B1004" t="s">
        <v>560</v>
      </c>
      <c r="C1004" t="s">
        <v>1478</v>
      </c>
      <c r="D1004" t="s">
        <v>1486</v>
      </c>
      <c r="E1004" t="s">
        <v>79</v>
      </c>
      <c r="F1004" s="1">
        <v>44970</v>
      </c>
      <c r="G1004" s="2">
        <v>2010</v>
      </c>
      <c r="H1004">
        <v>2021</v>
      </c>
      <c r="I1004" s="2">
        <v>11</v>
      </c>
      <c r="J1004" s="7">
        <v>60363</v>
      </c>
      <c r="K1004" t="s">
        <v>617</v>
      </c>
      <c r="L1004">
        <v>1</v>
      </c>
      <c r="M1004" t="s">
        <v>46</v>
      </c>
      <c r="N1004" t="s">
        <v>17</v>
      </c>
      <c r="O1004" t="s">
        <v>41</v>
      </c>
      <c r="P1004" t="s">
        <v>1489</v>
      </c>
      <c r="Q1004" s="7">
        <f t="shared" si="30"/>
        <v>724356</v>
      </c>
      <c r="R1004" s="7">
        <f t="shared" si="31"/>
        <v>6036.3</v>
      </c>
    </row>
    <row r="1005" spans="1:18" x14ac:dyDescent="0.35">
      <c r="A1005" s="5">
        <v>999</v>
      </c>
      <c r="B1005" t="s">
        <v>154</v>
      </c>
      <c r="C1005" t="s">
        <v>1479</v>
      </c>
      <c r="D1005" t="s">
        <v>1485</v>
      </c>
      <c r="E1005" t="s">
        <v>100</v>
      </c>
      <c r="F1005" s="1">
        <v>38252</v>
      </c>
      <c r="G1005" s="2">
        <v>2004</v>
      </c>
      <c r="H1005">
        <v>2021</v>
      </c>
      <c r="I1005" s="2">
        <v>17</v>
      </c>
      <c r="J1005" s="7">
        <v>48050</v>
      </c>
      <c r="K1005" t="s">
        <v>336</v>
      </c>
      <c r="L1005">
        <v>2</v>
      </c>
      <c r="M1005" t="s">
        <v>16</v>
      </c>
      <c r="N1005" t="s">
        <v>17</v>
      </c>
      <c r="O1005" t="s">
        <v>29</v>
      </c>
      <c r="P1005" t="s">
        <v>1489</v>
      </c>
      <c r="Q1005" s="7">
        <f t="shared" si="30"/>
        <v>576600</v>
      </c>
      <c r="R1005" s="7">
        <f t="shared" si="31"/>
        <v>4805</v>
      </c>
    </row>
    <row r="1006" spans="1:18" x14ac:dyDescent="0.35">
      <c r="A1006" s="5">
        <v>1000</v>
      </c>
      <c r="B1006" t="s">
        <v>532</v>
      </c>
      <c r="C1006" t="s">
        <v>1480</v>
      </c>
      <c r="D1006" t="s">
        <v>1485</v>
      </c>
      <c r="E1006" t="s">
        <v>73</v>
      </c>
      <c r="F1006" s="1">
        <v>37932</v>
      </c>
      <c r="G1006" s="2">
        <v>2003</v>
      </c>
      <c r="H1006">
        <v>2021</v>
      </c>
      <c r="I1006" s="2">
        <v>18</v>
      </c>
      <c r="J1006" s="7">
        <v>148687</v>
      </c>
      <c r="K1006" t="s">
        <v>321</v>
      </c>
      <c r="L1006">
        <v>3</v>
      </c>
      <c r="M1006" t="s">
        <v>28</v>
      </c>
      <c r="N1006" t="s">
        <v>17</v>
      </c>
      <c r="O1006" t="s">
        <v>41</v>
      </c>
      <c r="P1006" t="s">
        <v>1489</v>
      </c>
      <c r="Q1006" s="7">
        <f t="shared" si="30"/>
        <v>1784244</v>
      </c>
      <c r="R1006" s="7">
        <f t="shared" si="31"/>
        <v>14868.7</v>
      </c>
    </row>
    <row r="1007" spans="1:18" x14ac:dyDescent="0.35">
      <c r="A1007" s="5" t="s">
        <v>1482</v>
      </c>
      <c r="D1007">
        <f>SUBTOTAL(103,EMP_TABLE[Sex])</f>
        <v>1000</v>
      </c>
      <c r="J1007"/>
      <c r="O1007">
        <f>SUBTOTAL(103,EMP_TABLE[Divisions])</f>
        <v>1000</v>
      </c>
    </row>
  </sheetData>
  <conditionalFormatting sqref="B7:B1006">
    <cfRule type="expression" dxfId="4" priority="1">
      <formula>$D7="F"</formula>
    </cfRule>
    <cfRule type="expression" dxfId="3" priority="3">
      <formula>$D7="M"</formula>
    </cfRule>
  </conditionalFormatting>
  <conditionalFormatting sqref="D7:D1006">
    <cfRule type="expression" dxfId="2" priority="5">
      <formula>$D7="M"</formula>
    </cfRule>
    <cfRule type="expression" dxfId="1" priority="6">
      <formula>$D7="F"</formula>
    </cfRule>
  </conditionalFormatting>
  <conditionalFormatting sqref="J7:J1006">
    <cfRule type="expression" dxfId="0" priority="8">
      <formula>$M$3&lt;$J7</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Wrong Entry" error="Please choose from options only." promptTitle="Given choice" prompt="Select only from status options" xr:uid="{8925A997-74DE-408C-8A1A-2C45EE85077D}">
          <x14:formula1>
            <xm:f>'Reference sheet '!$A$14:$A$16</xm:f>
          </x14:formula1>
          <xm:sqref>P7:P1006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50A8-B332-4108-B610-1382C7C4198B}">
  <dimension ref="A1:O1002"/>
  <sheetViews>
    <sheetView zoomScale="90" zoomScaleNormal="90" workbookViewId="0">
      <pane xSplit="1" ySplit="1" topLeftCell="D2" activePane="bottomRight" state="frozenSplit"/>
      <selection activeCell="F1004" sqref="F1004"/>
      <selection pane="topRight" activeCell="F1004" sqref="F1004"/>
      <selection pane="bottomLeft" activeCell="F1004" sqref="F1004"/>
      <selection pane="bottomRight" activeCell="M13" sqref="M13"/>
    </sheetView>
  </sheetViews>
  <sheetFormatPr defaultRowHeight="18" x14ac:dyDescent="0.35"/>
  <cols>
    <col min="1" max="1" width="6.33203125" style="8" customWidth="1"/>
    <col min="2" max="2" width="12.88671875" customWidth="1"/>
    <col min="3" max="3" width="25.44140625" customWidth="1"/>
    <col min="4" max="4" width="7.77734375" customWidth="1"/>
    <col min="5" max="5" width="14.5546875" customWidth="1"/>
    <col min="6" max="6" width="13.109375" customWidth="1"/>
    <col min="7" max="7" width="13.33203125" customWidth="1"/>
    <col min="8" max="8" width="12.21875" style="7" bestFit="1" customWidth="1"/>
    <col min="9" max="9" width="33.109375" customWidth="1"/>
    <col min="10" max="10" width="14.33203125" customWidth="1"/>
    <col min="11" max="11" width="10.6640625" customWidth="1"/>
    <col min="12" max="12" width="18.44140625" customWidth="1"/>
    <col min="14" max="14" width="16.109375" customWidth="1"/>
    <col min="15" max="15" width="12.109375" bestFit="1" customWidth="1"/>
  </cols>
  <sheetData>
    <row r="1" spans="1:15" x14ac:dyDescent="0.35">
      <c r="A1" s="5" t="s">
        <v>0</v>
      </c>
      <c r="B1" s="4" t="s">
        <v>1</v>
      </c>
      <c r="C1" s="4" t="s">
        <v>2</v>
      </c>
      <c r="D1" s="4" t="s">
        <v>1487</v>
      </c>
      <c r="E1" s="4" t="s">
        <v>3</v>
      </c>
      <c r="F1" s="4" t="s">
        <v>4</v>
      </c>
      <c r="G1" s="27" t="s">
        <v>6</v>
      </c>
      <c r="H1" s="25" t="s">
        <v>7</v>
      </c>
      <c r="I1" s="4" t="s">
        <v>8</v>
      </c>
      <c r="J1" s="4" t="s">
        <v>9</v>
      </c>
      <c r="K1" s="4" t="s">
        <v>10</v>
      </c>
      <c r="L1" s="4" t="s">
        <v>11</v>
      </c>
      <c r="M1" s="4" t="s">
        <v>1488</v>
      </c>
      <c r="N1" s="4" t="s">
        <v>1492</v>
      </c>
      <c r="O1" s="4" t="s">
        <v>1493</v>
      </c>
    </row>
    <row r="2" spans="1:15" x14ac:dyDescent="0.35">
      <c r="A2" s="5">
        <v>1</v>
      </c>
      <c r="B2" t="s">
        <v>12</v>
      </c>
      <c r="C2" t="s">
        <v>13</v>
      </c>
      <c r="D2" t="s">
        <v>1486</v>
      </c>
      <c r="E2" t="s">
        <v>14</v>
      </c>
      <c r="F2" s="1">
        <v>44836</v>
      </c>
      <c r="G2" s="28">
        <v>12</v>
      </c>
      <c r="H2" s="26">
        <v>67470</v>
      </c>
      <c r="I2" t="s">
        <v>15</v>
      </c>
      <c r="J2" t="s">
        <v>16</v>
      </c>
      <c r="K2" t="s">
        <v>17</v>
      </c>
      <c r="L2" t="s">
        <v>18</v>
      </c>
      <c r="M2" t="s">
        <v>1489</v>
      </c>
      <c r="N2" s="7">
        <f t="shared" ref="N2:N65" si="0">H2*12</f>
        <v>809640</v>
      </c>
      <c r="O2" s="7">
        <f t="shared" ref="O2:O65" si="1">H2*10%</f>
        <v>6747</v>
      </c>
    </row>
    <row r="3" spans="1:15" x14ac:dyDescent="0.35">
      <c r="A3" s="5">
        <v>2</v>
      </c>
      <c r="B3" t="s">
        <v>19</v>
      </c>
      <c r="C3" t="s">
        <v>20</v>
      </c>
      <c r="D3" t="s">
        <v>1485</v>
      </c>
      <c r="E3" t="s">
        <v>21</v>
      </c>
      <c r="F3" s="1">
        <v>39538</v>
      </c>
      <c r="G3" s="28">
        <v>13</v>
      </c>
      <c r="H3" s="26">
        <v>71869</v>
      </c>
      <c r="I3" t="s">
        <v>22</v>
      </c>
      <c r="J3" t="s">
        <v>16</v>
      </c>
      <c r="K3" t="s">
        <v>17</v>
      </c>
      <c r="L3" t="s">
        <v>23</v>
      </c>
      <c r="M3" t="s">
        <v>1490</v>
      </c>
      <c r="N3" s="7">
        <f t="shared" si="0"/>
        <v>862428</v>
      </c>
      <c r="O3" s="7">
        <f t="shared" si="1"/>
        <v>7186.9000000000005</v>
      </c>
    </row>
    <row r="4" spans="1:15" x14ac:dyDescent="0.35">
      <c r="A4" s="5">
        <v>3</v>
      </c>
      <c r="B4" t="s">
        <v>24</v>
      </c>
      <c r="C4" t="s">
        <v>25</v>
      </c>
      <c r="D4" t="s">
        <v>1485</v>
      </c>
      <c r="E4" t="s">
        <v>26</v>
      </c>
      <c r="F4" s="1">
        <v>40006</v>
      </c>
      <c r="G4" s="28">
        <v>12</v>
      </c>
      <c r="H4" s="26">
        <v>101768</v>
      </c>
      <c r="I4" t="s">
        <v>27</v>
      </c>
      <c r="J4" t="s">
        <v>28</v>
      </c>
      <c r="K4" t="s">
        <v>17</v>
      </c>
      <c r="L4" t="s">
        <v>29</v>
      </c>
      <c r="M4" t="s">
        <v>1491</v>
      </c>
      <c r="N4" s="7">
        <f t="shared" si="0"/>
        <v>1221216</v>
      </c>
      <c r="O4" s="7">
        <f t="shared" si="1"/>
        <v>10176.800000000001</v>
      </c>
    </row>
    <row r="5" spans="1:15" x14ac:dyDescent="0.35">
      <c r="A5" s="5">
        <v>4</v>
      </c>
      <c r="B5" t="s">
        <v>30</v>
      </c>
      <c r="C5" t="s">
        <v>31</v>
      </c>
      <c r="D5" t="s">
        <v>1486</v>
      </c>
      <c r="E5" t="s">
        <v>32</v>
      </c>
      <c r="F5" s="1">
        <v>46746</v>
      </c>
      <c r="G5" s="28">
        <v>7</v>
      </c>
      <c r="H5" s="26">
        <v>96897</v>
      </c>
      <c r="I5" t="s">
        <v>33</v>
      </c>
      <c r="J5" t="s">
        <v>28</v>
      </c>
      <c r="K5" t="s">
        <v>17</v>
      </c>
      <c r="L5" t="s">
        <v>34</v>
      </c>
      <c r="M5" t="s">
        <v>1490</v>
      </c>
      <c r="N5" s="7">
        <f t="shared" si="0"/>
        <v>1162764</v>
      </c>
      <c r="O5" s="7">
        <f t="shared" si="1"/>
        <v>9689.7000000000007</v>
      </c>
    </row>
    <row r="6" spans="1:15" s="11" customFormat="1" x14ac:dyDescent="0.35">
      <c r="A6" s="5">
        <v>5</v>
      </c>
      <c r="B6" t="s">
        <v>35</v>
      </c>
      <c r="C6" t="s">
        <v>36</v>
      </c>
      <c r="D6" t="s">
        <v>1486</v>
      </c>
      <c r="E6" t="s">
        <v>37</v>
      </c>
      <c r="F6" s="1">
        <v>37518</v>
      </c>
      <c r="G6" s="28">
        <v>19</v>
      </c>
      <c r="H6" s="26">
        <v>63702</v>
      </c>
      <c r="I6" t="s">
        <v>38</v>
      </c>
      <c r="J6" t="s">
        <v>39</v>
      </c>
      <c r="K6" t="s">
        <v>40</v>
      </c>
      <c r="L6" t="s">
        <v>41</v>
      </c>
      <c r="M6" t="s">
        <v>1489</v>
      </c>
      <c r="N6" s="7">
        <f t="shared" si="0"/>
        <v>764424</v>
      </c>
      <c r="O6" s="7">
        <f t="shared" si="1"/>
        <v>6370.2000000000007</v>
      </c>
    </row>
    <row r="7" spans="1:15" x14ac:dyDescent="0.35">
      <c r="A7" s="5">
        <v>6</v>
      </c>
      <c r="B7" t="s">
        <v>42</v>
      </c>
      <c r="C7" t="s">
        <v>43</v>
      </c>
      <c r="D7" t="s">
        <v>1485</v>
      </c>
      <c r="E7" t="s">
        <v>44</v>
      </c>
      <c r="F7" s="1">
        <v>41507</v>
      </c>
      <c r="G7" s="28">
        <v>8</v>
      </c>
      <c r="H7" s="26">
        <v>118497</v>
      </c>
      <c r="I7" t="s">
        <v>45</v>
      </c>
      <c r="J7" t="s">
        <v>46</v>
      </c>
      <c r="K7" t="s">
        <v>17</v>
      </c>
      <c r="L7" t="s">
        <v>29</v>
      </c>
      <c r="M7" t="s">
        <v>1489</v>
      </c>
      <c r="N7" s="7">
        <f t="shared" si="0"/>
        <v>1421964</v>
      </c>
      <c r="O7" s="7">
        <f t="shared" si="1"/>
        <v>11849.7</v>
      </c>
    </row>
    <row r="8" spans="1:15" x14ac:dyDescent="0.35">
      <c r="A8" s="5">
        <v>7</v>
      </c>
      <c r="B8" t="s">
        <v>47</v>
      </c>
      <c r="C8" t="s">
        <v>48</v>
      </c>
      <c r="D8" t="s">
        <v>1485</v>
      </c>
      <c r="E8" t="s">
        <v>14</v>
      </c>
      <c r="F8" s="1">
        <v>38851</v>
      </c>
      <c r="G8" s="28">
        <v>15</v>
      </c>
      <c r="H8" s="26">
        <v>65889</v>
      </c>
      <c r="I8" t="s">
        <v>49</v>
      </c>
      <c r="J8" t="s">
        <v>50</v>
      </c>
      <c r="K8" t="s">
        <v>40</v>
      </c>
      <c r="L8" t="s">
        <v>18</v>
      </c>
      <c r="M8" t="s">
        <v>1489</v>
      </c>
      <c r="N8" s="7">
        <f t="shared" si="0"/>
        <v>790668</v>
      </c>
      <c r="O8" s="7">
        <f t="shared" si="1"/>
        <v>6588.9000000000005</v>
      </c>
    </row>
    <row r="9" spans="1:15" x14ac:dyDescent="0.35">
      <c r="A9" s="5">
        <v>8</v>
      </c>
      <c r="B9" t="s">
        <v>51</v>
      </c>
      <c r="C9" t="s">
        <v>52</v>
      </c>
      <c r="D9" t="s">
        <v>1486</v>
      </c>
      <c r="E9" t="s">
        <v>53</v>
      </c>
      <c r="F9" s="1">
        <v>37845</v>
      </c>
      <c r="G9" s="28">
        <v>18</v>
      </c>
      <c r="H9" s="26">
        <v>84427</v>
      </c>
      <c r="I9" t="s">
        <v>54</v>
      </c>
      <c r="J9" t="s">
        <v>55</v>
      </c>
      <c r="K9" t="s">
        <v>17</v>
      </c>
      <c r="L9" t="s">
        <v>23</v>
      </c>
      <c r="M9" t="s">
        <v>1489</v>
      </c>
      <c r="N9" s="7">
        <f t="shared" si="0"/>
        <v>1013124</v>
      </c>
      <c r="O9" s="7">
        <f t="shared" si="1"/>
        <v>8442.7000000000007</v>
      </c>
    </row>
    <row r="10" spans="1:15" x14ac:dyDescent="0.35">
      <c r="A10" s="5">
        <v>9</v>
      </c>
      <c r="B10" t="s">
        <v>56</v>
      </c>
      <c r="C10" t="s">
        <v>57</v>
      </c>
      <c r="D10" t="s">
        <v>1485</v>
      </c>
      <c r="E10" t="s">
        <v>32</v>
      </c>
      <c r="F10" s="1">
        <v>38602</v>
      </c>
      <c r="G10" s="28">
        <v>16</v>
      </c>
      <c r="H10" s="26">
        <v>108657</v>
      </c>
      <c r="I10" t="s">
        <v>58</v>
      </c>
      <c r="J10" t="s">
        <v>16</v>
      </c>
      <c r="K10" t="s">
        <v>17</v>
      </c>
      <c r="L10" t="s">
        <v>34</v>
      </c>
      <c r="M10" t="s">
        <v>1489</v>
      </c>
      <c r="N10" s="7">
        <f t="shared" si="0"/>
        <v>1303884</v>
      </c>
      <c r="O10" s="7">
        <f t="shared" si="1"/>
        <v>10865.7</v>
      </c>
    </row>
    <row r="11" spans="1:15" x14ac:dyDescent="0.35">
      <c r="A11" s="5">
        <v>10</v>
      </c>
      <c r="B11" t="s">
        <v>59</v>
      </c>
      <c r="C11" t="s">
        <v>60</v>
      </c>
      <c r="D11" t="s">
        <v>1485</v>
      </c>
      <c r="E11" t="s">
        <v>61</v>
      </c>
      <c r="F11" s="1">
        <v>41346</v>
      </c>
      <c r="G11" s="28">
        <v>8</v>
      </c>
      <c r="H11" s="26">
        <v>108093</v>
      </c>
      <c r="I11" t="s">
        <v>62</v>
      </c>
      <c r="J11" t="s">
        <v>46</v>
      </c>
      <c r="K11" t="s">
        <v>17</v>
      </c>
      <c r="L11" t="s">
        <v>63</v>
      </c>
      <c r="M11" t="s">
        <v>1490</v>
      </c>
      <c r="N11" s="7">
        <f t="shared" si="0"/>
        <v>1297116</v>
      </c>
      <c r="O11" s="7">
        <f t="shared" si="1"/>
        <v>10809.300000000001</v>
      </c>
    </row>
    <row r="12" spans="1:15" x14ac:dyDescent="0.35">
      <c r="A12" s="5">
        <v>11</v>
      </c>
      <c r="B12" t="s">
        <v>64</v>
      </c>
      <c r="C12" t="s">
        <v>65</v>
      </c>
      <c r="D12" t="s">
        <v>1486</v>
      </c>
      <c r="E12" t="s">
        <v>32</v>
      </c>
      <c r="F12" s="1">
        <v>37952</v>
      </c>
      <c r="G12" s="28">
        <v>18</v>
      </c>
      <c r="H12" s="26">
        <v>121966</v>
      </c>
      <c r="I12" t="s">
        <v>66</v>
      </c>
      <c r="J12" t="s">
        <v>39</v>
      </c>
      <c r="K12" t="s">
        <v>40</v>
      </c>
      <c r="L12" t="s">
        <v>34</v>
      </c>
      <c r="M12" t="s">
        <v>1490</v>
      </c>
      <c r="N12" s="7">
        <f t="shared" si="0"/>
        <v>1463592</v>
      </c>
      <c r="O12" s="7">
        <f t="shared" si="1"/>
        <v>12196.6</v>
      </c>
    </row>
    <row r="13" spans="1:15" x14ac:dyDescent="0.35">
      <c r="A13" s="5">
        <v>12</v>
      </c>
      <c r="B13" t="s">
        <v>67</v>
      </c>
      <c r="C13" t="s">
        <v>68</v>
      </c>
      <c r="D13" t="s">
        <v>1485</v>
      </c>
      <c r="E13" t="s">
        <v>69</v>
      </c>
      <c r="F13" s="1">
        <v>37656</v>
      </c>
      <c r="G13" s="28">
        <v>18</v>
      </c>
      <c r="H13" s="26">
        <v>44179</v>
      </c>
      <c r="I13" t="s">
        <v>70</v>
      </c>
      <c r="J13" t="s">
        <v>39</v>
      </c>
      <c r="K13" t="s">
        <v>40</v>
      </c>
      <c r="L13" t="s">
        <v>41</v>
      </c>
      <c r="M13" t="s">
        <v>1491</v>
      </c>
      <c r="N13" s="7">
        <f t="shared" si="0"/>
        <v>530148</v>
      </c>
      <c r="O13" s="7">
        <f t="shared" si="1"/>
        <v>4417.9000000000005</v>
      </c>
    </row>
    <row r="14" spans="1:15" x14ac:dyDescent="0.35">
      <c r="A14" s="5">
        <v>13</v>
      </c>
      <c r="B14" t="s">
        <v>71</v>
      </c>
      <c r="C14" t="s">
        <v>72</v>
      </c>
      <c r="D14" t="s">
        <v>1485</v>
      </c>
      <c r="E14" t="s">
        <v>73</v>
      </c>
      <c r="F14" s="1">
        <v>37542</v>
      </c>
      <c r="G14" s="28">
        <v>19</v>
      </c>
      <c r="H14" s="26">
        <v>85227</v>
      </c>
      <c r="I14" t="s">
        <v>74</v>
      </c>
      <c r="J14" t="s">
        <v>28</v>
      </c>
      <c r="K14" t="s">
        <v>17</v>
      </c>
      <c r="L14" t="s">
        <v>41</v>
      </c>
      <c r="M14" t="s">
        <v>1490</v>
      </c>
      <c r="N14" s="7">
        <f t="shared" si="0"/>
        <v>1022724</v>
      </c>
      <c r="O14" s="7">
        <f t="shared" si="1"/>
        <v>8522.7000000000007</v>
      </c>
    </row>
    <row r="15" spans="1:15" x14ac:dyDescent="0.35">
      <c r="A15" s="5">
        <v>14</v>
      </c>
      <c r="B15" t="s">
        <v>75</v>
      </c>
      <c r="C15" t="s">
        <v>76</v>
      </c>
      <c r="D15" t="s">
        <v>1486</v>
      </c>
      <c r="E15" t="s">
        <v>14</v>
      </c>
      <c r="F15" s="1">
        <v>39012</v>
      </c>
      <c r="G15" s="28">
        <v>15</v>
      </c>
      <c r="H15" s="26">
        <v>59763</v>
      </c>
      <c r="I15" t="s">
        <v>77</v>
      </c>
      <c r="J15" t="s">
        <v>55</v>
      </c>
      <c r="K15" t="s">
        <v>17</v>
      </c>
      <c r="L15" t="s">
        <v>18</v>
      </c>
      <c r="M15" t="s">
        <v>1490</v>
      </c>
      <c r="N15" s="7">
        <f t="shared" si="0"/>
        <v>717156</v>
      </c>
      <c r="O15" s="7">
        <f t="shared" si="1"/>
        <v>5976.3</v>
      </c>
    </row>
    <row r="16" spans="1:15" x14ac:dyDescent="0.35">
      <c r="A16" s="5">
        <v>15</v>
      </c>
      <c r="B16" t="s">
        <v>64</v>
      </c>
      <c r="C16" t="s">
        <v>78</v>
      </c>
      <c r="D16" t="s">
        <v>1486</v>
      </c>
      <c r="E16" t="s">
        <v>79</v>
      </c>
      <c r="F16" s="1">
        <v>43894</v>
      </c>
      <c r="G16" s="28">
        <v>14</v>
      </c>
      <c r="H16" s="26">
        <v>141139</v>
      </c>
      <c r="I16" t="s">
        <v>66</v>
      </c>
      <c r="J16" t="s">
        <v>39</v>
      </c>
      <c r="K16" t="s">
        <v>40</v>
      </c>
      <c r="L16" t="s">
        <v>41</v>
      </c>
      <c r="M16" t="s">
        <v>1489</v>
      </c>
      <c r="N16" s="7">
        <f t="shared" si="0"/>
        <v>1693668</v>
      </c>
      <c r="O16" s="7">
        <f t="shared" si="1"/>
        <v>14113.900000000001</v>
      </c>
    </row>
    <row r="17" spans="1:15" x14ac:dyDescent="0.35">
      <c r="A17" s="5">
        <v>16</v>
      </c>
      <c r="B17" t="s">
        <v>80</v>
      </c>
      <c r="C17" t="s">
        <v>81</v>
      </c>
      <c r="D17" t="s">
        <v>1486</v>
      </c>
      <c r="E17" t="s">
        <v>73</v>
      </c>
      <c r="F17" s="1">
        <v>44269</v>
      </c>
      <c r="G17" s="28">
        <v>13</v>
      </c>
      <c r="H17" s="26">
        <v>106659</v>
      </c>
      <c r="I17" t="s">
        <v>82</v>
      </c>
      <c r="J17" t="s">
        <v>46</v>
      </c>
      <c r="K17" t="s">
        <v>17</v>
      </c>
      <c r="L17" t="s">
        <v>41</v>
      </c>
      <c r="M17" t="s">
        <v>1489</v>
      </c>
      <c r="N17" s="7">
        <f t="shared" si="0"/>
        <v>1279908</v>
      </c>
      <c r="O17" s="7">
        <f t="shared" si="1"/>
        <v>10665.900000000001</v>
      </c>
    </row>
    <row r="18" spans="1:15" x14ac:dyDescent="0.35">
      <c r="A18" s="5">
        <v>17</v>
      </c>
      <c r="B18" t="s">
        <v>83</v>
      </c>
      <c r="C18" t="s">
        <v>84</v>
      </c>
      <c r="D18" t="s">
        <v>1486</v>
      </c>
      <c r="E18" t="s">
        <v>85</v>
      </c>
      <c r="F18" s="1">
        <v>45416</v>
      </c>
      <c r="G18" s="28">
        <v>10</v>
      </c>
      <c r="H18" s="26">
        <v>148952</v>
      </c>
      <c r="I18" t="s">
        <v>86</v>
      </c>
      <c r="J18" t="s">
        <v>50</v>
      </c>
      <c r="K18" t="s">
        <v>40</v>
      </c>
      <c r="L18" t="s">
        <v>41</v>
      </c>
      <c r="M18" t="s">
        <v>1489</v>
      </c>
      <c r="N18" s="7">
        <f t="shared" si="0"/>
        <v>1787424</v>
      </c>
      <c r="O18" s="7">
        <f t="shared" si="1"/>
        <v>14895.2</v>
      </c>
    </row>
    <row r="19" spans="1:15" x14ac:dyDescent="0.35">
      <c r="A19" s="5">
        <v>18</v>
      </c>
      <c r="B19" t="s">
        <v>87</v>
      </c>
      <c r="C19" t="s">
        <v>88</v>
      </c>
      <c r="D19" t="s">
        <v>1485</v>
      </c>
      <c r="E19" t="s">
        <v>89</v>
      </c>
      <c r="F19" s="1">
        <v>41946</v>
      </c>
      <c r="G19" s="28">
        <v>7</v>
      </c>
      <c r="H19" s="26">
        <v>93804</v>
      </c>
      <c r="I19" t="s">
        <v>90</v>
      </c>
      <c r="J19" t="s">
        <v>91</v>
      </c>
      <c r="K19" t="s">
        <v>40</v>
      </c>
      <c r="L19" t="s">
        <v>41</v>
      </c>
      <c r="M19" t="s">
        <v>1489</v>
      </c>
      <c r="N19" s="7">
        <f t="shared" si="0"/>
        <v>1125648</v>
      </c>
      <c r="O19" s="7">
        <f t="shared" si="1"/>
        <v>9380.4</v>
      </c>
    </row>
    <row r="20" spans="1:15" x14ac:dyDescent="0.35">
      <c r="A20" s="5">
        <v>19</v>
      </c>
      <c r="B20" t="s">
        <v>92</v>
      </c>
      <c r="C20" t="s">
        <v>93</v>
      </c>
      <c r="D20" t="s">
        <v>1485</v>
      </c>
      <c r="E20" t="s">
        <v>94</v>
      </c>
      <c r="F20" s="1">
        <v>38252</v>
      </c>
      <c r="G20" s="28">
        <v>17</v>
      </c>
      <c r="H20" s="26">
        <v>109890</v>
      </c>
      <c r="I20" t="s">
        <v>95</v>
      </c>
      <c r="J20" t="s">
        <v>28</v>
      </c>
      <c r="K20" t="s">
        <v>17</v>
      </c>
      <c r="L20" t="s">
        <v>18</v>
      </c>
      <c r="M20" t="s">
        <v>1490</v>
      </c>
      <c r="N20" s="7">
        <f t="shared" si="0"/>
        <v>1318680</v>
      </c>
      <c r="O20" s="7">
        <f t="shared" si="1"/>
        <v>10989</v>
      </c>
    </row>
    <row r="21" spans="1:15" x14ac:dyDescent="0.35">
      <c r="A21" s="5">
        <v>20</v>
      </c>
      <c r="B21" t="s">
        <v>24</v>
      </c>
      <c r="C21" t="s">
        <v>96</v>
      </c>
      <c r="D21" t="s">
        <v>1486</v>
      </c>
      <c r="E21" t="s">
        <v>61</v>
      </c>
      <c r="F21" s="1">
        <v>44157</v>
      </c>
      <c r="G21" s="28">
        <v>14</v>
      </c>
      <c r="H21" s="26">
        <v>115274</v>
      </c>
      <c r="I21" t="s">
        <v>97</v>
      </c>
      <c r="J21" t="s">
        <v>91</v>
      </c>
      <c r="K21" t="s">
        <v>40</v>
      </c>
      <c r="L21" t="s">
        <v>63</v>
      </c>
      <c r="M21" t="s">
        <v>1489</v>
      </c>
      <c r="N21" s="7">
        <f t="shared" si="0"/>
        <v>1383288</v>
      </c>
      <c r="O21" s="7">
        <f t="shared" si="1"/>
        <v>11527.400000000001</v>
      </c>
    </row>
    <row r="22" spans="1:15" x14ac:dyDescent="0.35">
      <c r="A22" s="5">
        <v>21</v>
      </c>
      <c r="B22" t="s">
        <v>98</v>
      </c>
      <c r="C22" t="s">
        <v>99</v>
      </c>
      <c r="D22" t="s">
        <v>1486</v>
      </c>
      <c r="E22" t="s">
        <v>100</v>
      </c>
      <c r="F22" s="1">
        <v>38576</v>
      </c>
      <c r="G22" s="28">
        <v>16</v>
      </c>
      <c r="H22" s="26">
        <v>78052</v>
      </c>
      <c r="I22" t="s">
        <v>101</v>
      </c>
      <c r="J22" t="s">
        <v>28</v>
      </c>
      <c r="K22" t="s">
        <v>17</v>
      </c>
      <c r="L22" t="s">
        <v>29</v>
      </c>
      <c r="M22" t="s">
        <v>1489</v>
      </c>
      <c r="N22" s="7">
        <f t="shared" si="0"/>
        <v>936624</v>
      </c>
      <c r="O22" s="7">
        <f t="shared" si="1"/>
        <v>7805.2000000000007</v>
      </c>
    </row>
    <row r="23" spans="1:15" x14ac:dyDescent="0.35">
      <c r="A23" s="5">
        <v>22</v>
      </c>
      <c r="B23" t="s">
        <v>102</v>
      </c>
      <c r="C23" t="s">
        <v>103</v>
      </c>
      <c r="D23" t="s">
        <v>1485</v>
      </c>
      <c r="E23" t="s">
        <v>26</v>
      </c>
      <c r="F23" s="1">
        <v>40903</v>
      </c>
      <c r="G23" s="28">
        <v>10</v>
      </c>
      <c r="H23" s="26">
        <v>144724</v>
      </c>
      <c r="I23" t="s">
        <v>104</v>
      </c>
      <c r="J23" t="s">
        <v>16</v>
      </c>
      <c r="K23" t="s">
        <v>17</v>
      </c>
      <c r="L23" t="s">
        <v>29</v>
      </c>
      <c r="M23" t="s">
        <v>1489</v>
      </c>
      <c r="N23" s="7">
        <f t="shared" si="0"/>
        <v>1736688</v>
      </c>
      <c r="O23" s="7">
        <f t="shared" si="1"/>
        <v>14472.400000000001</v>
      </c>
    </row>
    <row r="24" spans="1:15" x14ac:dyDescent="0.35">
      <c r="A24" s="5">
        <v>23</v>
      </c>
      <c r="B24" t="s">
        <v>105</v>
      </c>
      <c r="C24" t="s">
        <v>106</v>
      </c>
      <c r="D24" t="s">
        <v>1486</v>
      </c>
      <c r="E24" t="s">
        <v>32</v>
      </c>
      <c r="F24" s="1">
        <v>36993</v>
      </c>
      <c r="G24" s="28">
        <v>20</v>
      </c>
      <c r="H24" s="26">
        <v>126103</v>
      </c>
      <c r="I24" t="s">
        <v>107</v>
      </c>
      <c r="J24" t="s">
        <v>55</v>
      </c>
      <c r="K24" t="s">
        <v>17</v>
      </c>
      <c r="L24" t="s">
        <v>34</v>
      </c>
      <c r="M24" t="s">
        <v>1489</v>
      </c>
      <c r="N24" s="7">
        <f t="shared" si="0"/>
        <v>1513236</v>
      </c>
      <c r="O24" s="7">
        <f t="shared" si="1"/>
        <v>12610.300000000001</v>
      </c>
    </row>
    <row r="25" spans="1:15" x14ac:dyDescent="0.35">
      <c r="A25" s="5">
        <v>24</v>
      </c>
      <c r="B25" t="s">
        <v>108</v>
      </c>
      <c r="C25" t="s">
        <v>109</v>
      </c>
      <c r="D25" t="s">
        <v>1485</v>
      </c>
      <c r="E25" t="s">
        <v>110</v>
      </c>
      <c r="F25" s="1">
        <v>38897</v>
      </c>
      <c r="G25" s="28">
        <v>15</v>
      </c>
      <c r="H25" s="26">
        <v>144965</v>
      </c>
      <c r="I25" t="s">
        <v>111</v>
      </c>
      <c r="J25" t="s">
        <v>16</v>
      </c>
      <c r="K25" t="s">
        <v>17</v>
      </c>
      <c r="L25" t="s">
        <v>112</v>
      </c>
      <c r="M25" t="s">
        <v>1489</v>
      </c>
      <c r="N25" s="7">
        <f t="shared" si="0"/>
        <v>1739580</v>
      </c>
      <c r="O25" s="7">
        <f t="shared" si="1"/>
        <v>14496.5</v>
      </c>
    </row>
    <row r="26" spans="1:15" x14ac:dyDescent="0.35">
      <c r="A26" s="5">
        <v>25</v>
      </c>
      <c r="B26" t="s">
        <v>113</v>
      </c>
      <c r="C26" t="s">
        <v>114</v>
      </c>
      <c r="D26" t="s">
        <v>1485</v>
      </c>
      <c r="E26" t="s">
        <v>53</v>
      </c>
      <c r="F26" s="1">
        <v>38142</v>
      </c>
      <c r="G26" s="28">
        <v>17</v>
      </c>
      <c r="H26" s="26">
        <v>70613</v>
      </c>
      <c r="I26" t="s">
        <v>115</v>
      </c>
      <c r="J26" t="s">
        <v>46</v>
      </c>
      <c r="K26" t="s">
        <v>17</v>
      </c>
      <c r="L26" t="s">
        <v>23</v>
      </c>
      <c r="M26" t="s">
        <v>1489</v>
      </c>
      <c r="N26" s="7">
        <f t="shared" si="0"/>
        <v>847356</v>
      </c>
      <c r="O26" s="7">
        <f t="shared" si="1"/>
        <v>7061.3</v>
      </c>
    </row>
    <row r="27" spans="1:15" x14ac:dyDescent="0.35">
      <c r="A27" s="5">
        <v>26</v>
      </c>
      <c r="B27" t="s">
        <v>116</v>
      </c>
      <c r="C27" t="s">
        <v>117</v>
      </c>
      <c r="D27" t="s">
        <v>1486</v>
      </c>
      <c r="E27" t="s">
        <v>89</v>
      </c>
      <c r="F27" s="1">
        <v>45442</v>
      </c>
      <c r="G27" s="28">
        <v>10</v>
      </c>
      <c r="H27" s="26">
        <v>90746</v>
      </c>
      <c r="I27" t="s">
        <v>49</v>
      </c>
      <c r="J27" t="s">
        <v>16</v>
      </c>
      <c r="K27" t="s">
        <v>17</v>
      </c>
      <c r="L27" t="s">
        <v>41</v>
      </c>
      <c r="M27" t="s">
        <v>1489</v>
      </c>
      <c r="N27" s="7">
        <f t="shared" si="0"/>
        <v>1088952</v>
      </c>
      <c r="O27" s="7">
        <f t="shared" si="1"/>
        <v>9074.6</v>
      </c>
    </row>
    <row r="28" spans="1:15" x14ac:dyDescent="0.35">
      <c r="A28" s="5">
        <v>27</v>
      </c>
      <c r="B28" t="s">
        <v>118</v>
      </c>
      <c r="C28" t="s">
        <v>119</v>
      </c>
      <c r="D28" t="s">
        <v>1486</v>
      </c>
      <c r="E28" t="s">
        <v>89</v>
      </c>
      <c r="F28" s="1">
        <v>38498</v>
      </c>
      <c r="G28" s="28">
        <v>16</v>
      </c>
      <c r="H28" s="26">
        <v>78698</v>
      </c>
      <c r="I28" t="s">
        <v>45</v>
      </c>
      <c r="J28" t="s">
        <v>16</v>
      </c>
      <c r="K28" t="s">
        <v>17</v>
      </c>
      <c r="L28" t="s">
        <v>41</v>
      </c>
      <c r="M28" t="s">
        <v>1491</v>
      </c>
      <c r="N28" s="7">
        <f t="shared" si="0"/>
        <v>944376</v>
      </c>
      <c r="O28" s="7">
        <f t="shared" si="1"/>
        <v>7869.8</v>
      </c>
    </row>
    <row r="29" spans="1:15" x14ac:dyDescent="0.35">
      <c r="A29" s="5">
        <v>28</v>
      </c>
      <c r="B29" t="s">
        <v>120</v>
      </c>
      <c r="C29" t="s">
        <v>121</v>
      </c>
      <c r="D29" t="s">
        <v>1486</v>
      </c>
      <c r="E29" t="s">
        <v>122</v>
      </c>
      <c r="F29" s="1">
        <v>44257</v>
      </c>
      <c r="G29" s="28">
        <v>13</v>
      </c>
      <c r="H29" s="26">
        <v>63336</v>
      </c>
      <c r="I29" t="s">
        <v>62</v>
      </c>
      <c r="J29" t="s">
        <v>55</v>
      </c>
      <c r="K29" t="s">
        <v>17</v>
      </c>
      <c r="L29" t="s">
        <v>123</v>
      </c>
      <c r="M29" t="s">
        <v>1489</v>
      </c>
      <c r="N29" s="7">
        <f t="shared" si="0"/>
        <v>760032</v>
      </c>
      <c r="O29" s="7">
        <f t="shared" si="1"/>
        <v>6333.6</v>
      </c>
    </row>
    <row r="30" spans="1:15" x14ac:dyDescent="0.35">
      <c r="A30" s="5">
        <v>29</v>
      </c>
      <c r="B30" t="s">
        <v>124</v>
      </c>
      <c r="C30" t="s">
        <v>125</v>
      </c>
      <c r="D30" t="s">
        <v>1486</v>
      </c>
      <c r="E30" t="s">
        <v>69</v>
      </c>
      <c r="F30" s="1">
        <v>46208</v>
      </c>
      <c r="G30" s="28">
        <v>8</v>
      </c>
      <c r="H30" s="26">
        <v>95436</v>
      </c>
      <c r="I30" t="s">
        <v>126</v>
      </c>
      <c r="J30" t="s">
        <v>28</v>
      </c>
      <c r="K30" t="s">
        <v>17</v>
      </c>
      <c r="L30" t="s">
        <v>41</v>
      </c>
      <c r="M30" t="s">
        <v>1489</v>
      </c>
      <c r="N30" s="7">
        <f t="shared" si="0"/>
        <v>1145232</v>
      </c>
      <c r="O30" s="7">
        <f t="shared" si="1"/>
        <v>9543.6</v>
      </c>
    </row>
    <row r="31" spans="1:15" x14ac:dyDescent="0.35">
      <c r="A31" s="5">
        <v>30</v>
      </c>
      <c r="B31" t="s">
        <v>127</v>
      </c>
      <c r="C31" t="s">
        <v>128</v>
      </c>
      <c r="D31" t="s">
        <v>1485</v>
      </c>
      <c r="E31" t="s">
        <v>129</v>
      </c>
      <c r="F31" s="1">
        <v>40956</v>
      </c>
      <c r="G31" s="28">
        <v>9</v>
      </c>
      <c r="H31" s="26">
        <v>83144</v>
      </c>
      <c r="I31" t="s">
        <v>130</v>
      </c>
      <c r="J31" t="s">
        <v>16</v>
      </c>
      <c r="K31" t="s">
        <v>17</v>
      </c>
      <c r="L31" t="s">
        <v>41</v>
      </c>
      <c r="M31" t="s">
        <v>1489</v>
      </c>
      <c r="N31" s="7">
        <f t="shared" si="0"/>
        <v>997728</v>
      </c>
      <c r="O31" s="7">
        <f t="shared" si="1"/>
        <v>8314.4</v>
      </c>
    </row>
    <row r="32" spans="1:15" x14ac:dyDescent="0.35">
      <c r="A32" s="5">
        <v>31</v>
      </c>
      <c r="B32" t="s">
        <v>131</v>
      </c>
      <c r="C32" t="s">
        <v>132</v>
      </c>
      <c r="D32" t="s">
        <v>1486</v>
      </c>
      <c r="E32" t="s">
        <v>44</v>
      </c>
      <c r="F32" s="1">
        <v>45951</v>
      </c>
      <c r="G32" s="28">
        <v>9</v>
      </c>
      <c r="H32" s="26">
        <v>113507</v>
      </c>
      <c r="I32" t="s">
        <v>133</v>
      </c>
      <c r="J32" t="s">
        <v>39</v>
      </c>
      <c r="K32" t="s">
        <v>40</v>
      </c>
      <c r="L32" t="s">
        <v>29</v>
      </c>
      <c r="M32" t="s">
        <v>1489</v>
      </c>
      <c r="N32" s="7">
        <f t="shared" si="0"/>
        <v>1362084</v>
      </c>
      <c r="O32" s="7">
        <f t="shared" si="1"/>
        <v>11350.7</v>
      </c>
    </row>
    <row r="33" spans="1:15" x14ac:dyDescent="0.35">
      <c r="A33" s="5">
        <v>32</v>
      </c>
      <c r="B33" t="s">
        <v>134</v>
      </c>
      <c r="C33" t="s">
        <v>135</v>
      </c>
      <c r="D33" t="s">
        <v>1485</v>
      </c>
      <c r="E33" t="s">
        <v>79</v>
      </c>
      <c r="F33" s="1">
        <v>41736</v>
      </c>
      <c r="G33" s="28">
        <v>7</v>
      </c>
      <c r="H33" s="26">
        <v>78245</v>
      </c>
      <c r="I33" t="s">
        <v>136</v>
      </c>
      <c r="J33" t="s">
        <v>50</v>
      </c>
      <c r="K33" t="s">
        <v>40</v>
      </c>
      <c r="L33" t="s">
        <v>41</v>
      </c>
      <c r="M33" t="s">
        <v>1489</v>
      </c>
      <c r="N33" s="7">
        <f t="shared" si="0"/>
        <v>938940</v>
      </c>
      <c r="O33" s="7">
        <f t="shared" si="1"/>
        <v>7824.5</v>
      </c>
    </row>
    <row r="34" spans="1:15" x14ac:dyDescent="0.35">
      <c r="A34" s="5">
        <v>33</v>
      </c>
      <c r="B34" t="s">
        <v>137</v>
      </c>
      <c r="C34" t="s">
        <v>138</v>
      </c>
      <c r="D34" t="s">
        <v>1485</v>
      </c>
      <c r="E34" t="s">
        <v>61</v>
      </c>
      <c r="F34" s="1">
        <v>36606</v>
      </c>
      <c r="G34" s="28">
        <v>21</v>
      </c>
      <c r="H34" s="26">
        <v>87057</v>
      </c>
      <c r="I34" t="s">
        <v>139</v>
      </c>
      <c r="J34" t="s">
        <v>46</v>
      </c>
      <c r="K34" t="s">
        <v>17</v>
      </c>
      <c r="L34" t="s">
        <v>63</v>
      </c>
      <c r="M34" t="s">
        <v>1489</v>
      </c>
      <c r="N34" s="7">
        <f t="shared" si="0"/>
        <v>1044684</v>
      </c>
      <c r="O34" s="7">
        <f t="shared" si="1"/>
        <v>8705.7000000000007</v>
      </c>
    </row>
    <row r="35" spans="1:15" x14ac:dyDescent="0.35">
      <c r="A35" s="5">
        <v>34</v>
      </c>
      <c r="B35" t="s">
        <v>140</v>
      </c>
      <c r="C35" t="s">
        <v>141</v>
      </c>
      <c r="D35" t="s">
        <v>1485</v>
      </c>
      <c r="E35" t="s">
        <v>61</v>
      </c>
      <c r="F35" s="1">
        <v>37588</v>
      </c>
      <c r="G35" s="28">
        <v>19</v>
      </c>
      <c r="H35" s="26">
        <v>120579</v>
      </c>
      <c r="I35" t="s">
        <v>142</v>
      </c>
      <c r="J35" t="s">
        <v>50</v>
      </c>
      <c r="K35" t="s">
        <v>40</v>
      </c>
      <c r="L35" t="s">
        <v>63</v>
      </c>
      <c r="M35" t="s">
        <v>1489</v>
      </c>
      <c r="N35" s="7">
        <f t="shared" si="0"/>
        <v>1446948</v>
      </c>
      <c r="O35" s="7">
        <f t="shared" si="1"/>
        <v>12057.900000000001</v>
      </c>
    </row>
    <row r="36" spans="1:15" x14ac:dyDescent="0.35">
      <c r="A36" s="5">
        <v>35</v>
      </c>
      <c r="B36" t="s">
        <v>143</v>
      </c>
      <c r="C36" t="s">
        <v>144</v>
      </c>
      <c r="D36" t="s">
        <v>1486</v>
      </c>
      <c r="E36" t="s">
        <v>122</v>
      </c>
      <c r="F36" s="1">
        <v>46186</v>
      </c>
      <c r="G36" s="28">
        <v>8</v>
      </c>
      <c r="H36" s="26">
        <v>94884</v>
      </c>
      <c r="I36" t="s">
        <v>145</v>
      </c>
      <c r="J36" t="s">
        <v>39</v>
      </c>
      <c r="K36" t="s">
        <v>40</v>
      </c>
      <c r="L36" t="s">
        <v>123</v>
      </c>
      <c r="M36" t="s">
        <v>1489</v>
      </c>
      <c r="N36" s="7">
        <f t="shared" si="0"/>
        <v>1138608</v>
      </c>
      <c r="O36" s="7">
        <f t="shared" si="1"/>
        <v>9488.4</v>
      </c>
    </row>
    <row r="37" spans="1:15" x14ac:dyDescent="0.35">
      <c r="A37" s="5">
        <v>36</v>
      </c>
      <c r="B37" t="s">
        <v>146</v>
      </c>
      <c r="C37" t="s">
        <v>147</v>
      </c>
      <c r="D37" t="s">
        <v>1485</v>
      </c>
      <c r="E37" t="s">
        <v>148</v>
      </c>
      <c r="F37" s="1">
        <v>39810</v>
      </c>
      <c r="G37" s="28">
        <v>13</v>
      </c>
      <c r="H37" s="26">
        <v>107222</v>
      </c>
      <c r="I37" t="s">
        <v>149</v>
      </c>
      <c r="J37" t="s">
        <v>28</v>
      </c>
      <c r="K37" t="s">
        <v>17</v>
      </c>
      <c r="L37" t="s">
        <v>112</v>
      </c>
      <c r="M37" t="s">
        <v>1489</v>
      </c>
      <c r="N37" s="7">
        <f t="shared" si="0"/>
        <v>1286664</v>
      </c>
      <c r="O37" s="7">
        <f t="shared" si="1"/>
        <v>10722.2</v>
      </c>
    </row>
    <row r="38" spans="1:15" x14ac:dyDescent="0.35">
      <c r="A38" s="5">
        <v>37</v>
      </c>
      <c r="B38" t="s">
        <v>150</v>
      </c>
      <c r="C38" t="s">
        <v>151</v>
      </c>
      <c r="D38" t="s">
        <v>1486</v>
      </c>
      <c r="E38" t="s">
        <v>89</v>
      </c>
      <c r="F38" s="1">
        <v>36666</v>
      </c>
      <c r="G38" s="28">
        <v>21</v>
      </c>
      <c r="H38" s="26">
        <v>61739</v>
      </c>
      <c r="I38" t="s">
        <v>126</v>
      </c>
      <c r="J38" t="s">
        <v>46</v>
      </c>
      <c r="K38" t="s">
        <v>17</v>
      </c>
      <c r="L38" t="s">
        <v>41</v>
      </c>
      <c r="M38" t="s">
        <v>1490</v>
      </c>
      <c r="N38" s="7">
        <f t="shared" si="0"/>
        <v>740868</v>
      </c>
      <c r="O38" s="7">
        <f t="shared" si="1"/>
        <v>6173.9000000000005</v>
      </c>
    </row>
    <row r="39" spans="1:15" x14ac:dyDescent="0.35">
      <c r="A39" s="5">
        <v>38</v>
      </c>
      <c r="B39" t="s">
        <v>47</v>
      </c>
      <c r="C39" t="s">
        <v>152</v>
      </c>
      <c r="D39" t="s">
        <v>1486</v>
      </c>
      <c r="E39" t="s">
        <v>110</v>
      </c>
      <c r="F39" s="1">
        <v>45682</v>
      </c>
      <c r="G39" s="28">
        <v>9</v>
      </c>
      <c r="H39" s="26">
        <v>82026</v>
      </c>
      <c r="I39" t="s">
        <v>153</v>
      </c>
      <c r="J39" t="s">
        <v>16</v>
      </c>
      <c r="K39" t="s">
        <v>17</v>
      </c>
      <c r="L39" t="s">
        <v>112</v>
      </c>
      <c r="M39" t="s">
        <v>1491</v>
      </c>
      <c r="N39" s="7">
        <f t="shared" si="0"/>
        <v>984312</v>
      </c>
      <c r="O39" s="7">
        <f t="shared" si="1"/>
        <v>8202.6</v>
      </c>
    </row>
    <row r="40" spans="1:15" x14ac:dyDescent="0.35">
      <c r="A40" s="5">
        <v>39</v>
      </c>
      <c r="B40" t="s">
        <v>154</v>
      </c>
      <c r="C40" t="s">
        <v>155</v>
      </c>
      <c r="D40" t="s">
        <v>1485</v>
      </c>
      <c r="E40" t="s">
        <v>73</v>
      </c>
      <c r="F40" s="1">
        <v>40726</v>
      </c>
      <c r="G40" s="28">
        <v>10</v>
      </c>
      <c r="H40" s="26">
        <v>79339</v>
      </c>
      <c r="I40" t="s">
        <v>156</v>
      </c>
      <c r="J40" t="s">
        <v>46</v>
      </c>
      <c r="K40" t="s">
        <v>17</v>
      </c>
      <c r="L40" t="s">
        <v>41</v>
      </c>
      <c r="M40" t="s">
        <v>1489</v>
      </c>
      <c r="N40" s="7">
        <f t="shared" si="0"/>
        <v>952068</v>
      </c>
      <c r="O40" s="7">
        <f t="shared" si="1"/>
        <v>7933.9000000000005</v>
      </c>
    </row>
    <row r="41" spans="1:15" x14ac:dyDescent="0.35">
      <c r="A41" s="5">
        <v>40</v>
      </c>
      <c r="B41" t="s">
        <v>157</v>
      </c>
      <c r="C41" t="s">
        <v>158</v>
      </c>
      <c r="D41" t="s">
        <v>1486</v>
      </c>
      <c r="E41" t="s">
        <v>69</v>
      </c>
      <c r="F41" s="1">
        <v>45524</v>
      </c>
      <c r="G41" s="28">
        <v>10</v>
      </c>
      <c r="H41" s="26">
        <v>76809</v>
      </c>
      <c r="I41" t="s">
        <v>126</v>
      </c>
      <c r="J41" t="s">
        <v>50</v>
      </c>
      <c r="K41" t="s">
        <v>40</v>
      </c>
      <c r="L41" t="s">
        <v>41</v>
      </c>
      <c r="M41" t="s">
        <v>1489</v>
      </c>
      <c r="N41" s="7">
        <f t="shared" si="0"/>
        <v>921708</v>
      </c>
      <c r="O41" s="7">
        <f t="shared" si="1"/>
        <v>7680.9000000000005</v>
      </c>
    </row>
    <row r="42" spans="1:15" x14ac:dyDescent="0.35">
      <c r="A42" s="5">
        <v>41</v>
      </c>
      <c r="B42" t="s">
        <v>159</v>
      </c>
      <c r="C42" t="s">
        <v>160</v>
      </c>
      <c r="D42" t="s">
        <v>1486</v>
      </c>
      <c r="E42" t="s">
        <v>73</v>
      </c>
      <c r="F42" s="1">
        <v>37021</v>
      </c>
      <c r="G42" s="28">
        <v>20</v>
      </c>
      <c r="H42" s="26">
        <v>89680</v>
      </c>
      <c r="I42" t="s">
        <v>82</v>
      </c>
      <c r="J42" t="s">
        <v>50</v>
      </c>
      <c r="K42" t="s">
        <v>40</v>
      </c>
      <c r="L42" t="s">
        <v>41</v>
      </c>
      <c r="M42" t="s">
        <v>1489</v>
      </c>
      <c r="N42" s="7">
        <f t="shared" si="0"/>
        <v>1076160</v>
      </c>
      <c r="O42" s="7">
        <f t="shared" si="1"/>
        <v>8968</v>
      </c>
    </row>
    <row r="43" spans="1:15" x14ac:dyDescent="0.35">
      <c r="A43" s="5">
        <v>42</v>
      </c>
      <c r="B43" t="s">
        <v>161</v>
      </c>
      <c r="C43" t="s">
        <v>162</v>
      </c>
      <c r="D43" t="s">
        <v>1485</v>
      </c>
      <c r="E43" t="s">
        <v>14</v>
      </c>
      <c r="F43" s="1">
        <v>39539</v>
      </c>
      <c r="G43" s="28">
        <v>13</v>
      </c>
      <c r="H43" s="26">
        <v>125668</v>
      </c>
      <c r="I43" t="s">
        <v>45</v>
      </c>
      <c r="J43" t="s">
        <v>39</v>
      </c>
      <c r="K43" t="s">
        <v>40</v>
      </c>
      <c r="L43" t="s">
        <v>18</v>
      </c>
      <c r="M43" t="s">
        <v>1489</v>
      </c>
      <c r="N43" s="7">
        <f t="shared" si="0"/>
        <v>1508016</v>
      </c>
      <c r="O43" s="7">
        <f t="shared" si="1"/>
        <v>12566.800000000001</v>
      </c>
    </row>
    <row r="44" spans="1:15" x14ac:dyDescent="0.35">
      <c r="A44" s="5">
        <v>43</v>
      </c>
      <c r="B44" t="s">
        <v>163</v>
      </c>
      <c r="C44" t="s">
        <v>164</v>
      </c>
      <c r="D44" t="s">
        <v>1485</v>
      </c>
      <c r="E44" t="s">
        <v>21</v>
      </c>
      <c r="F44" s="1">
        <v>39962</v>
      </c>
      <c r="G44" s="28">
        <v>12</v>
      </c>
      <c r="H44" s="26">
        <v>82960</v>
      </c>
      <c r="I44" t="s">
        <v>130</v>
      </c>
      <c r="J44" t="s">
        <v>50</v>
      </c>
      <c r="K44" t="s">
        <v>40</v>
      </c>
      <c r="L44" t="s">
        <v>23</v>
      </c>
      <c r="M44" t="s">
        <v>1489</v>
      </c>
      <c r="N44" s="7">
        <f t="shared" si="0"/>
        <v>995520</v>
      </c>
      <c r="O44" s="7">
        <f t="shared" si="1"/>
        <v>8296</v>
      </c>
    </row>
    <row r="45" spans="1:15" x14ac:dyDescent="0.35">
      <c r="A45" s="5">
        <v>44</v>
      </c>
      <c r="B45" t="s">
        <v>165</v>
      </c>
      <c r="C45" t="s">
        <v>166</v>
      </c>
      <c r="D45" t="s">
        <v>1485</v>
      </c>
      <c r="E45" t="s">
        <v>61</v>
      </c>
      <c r="F45" s="1">
        <v>41629</v>
      </c>
      <c r="G45" s="28">
        <v>8</v>
      </c>
      <c r="H45" s="26">
        <v>113857</v>
      </c>
      <c r="I45" t="s">
        <v>167</v>
      </c>
      <c r="J45" t="s">
        <v>16</v>
      </c>
      <c r="K45" t="s">
        <v>17</v>
      </c>
      <c r="L45" t="s">
        <v>63</v>
      </c>
      <c r="M45" t="s">
        <v>1489</v>
      </c>
      <c r="N45" s="7">
        <f t="shared" si="0"/>
        <v>1366284</v>
      </c>
      <c r="O45" s="7">
        <f t="shared" si="1"/>
        <v>11385.7</v>
      </c>
    </row>
    <row r="46" spans="1:15" x14ac:dyDescent="0.35">
      <c r="A46" s="5">
        <v>45</v>
      </c>
      <c r="B46" t="s">
        <v>87</v>
      </c>
      <c r="C46" t="s">
        <v>168</v>
      </c>
      <c r="D46" t="s">
        <v>1485</v>
      </c>
      <c r="E46" t="s">
        <v>26</v>
      </c>
      <c r="F46" s="1">
        <v>37280</v>
      </c>
      <c r="G46" s="28">
        <v>19</v>
      </c>
      <c r="H46" s="26">
        <v>108378</v>
      </c>
      <c r="I46" t="s">
        <v>169</v>
      </c>
      <c r="J46" t="s">
        <v>39</v>
      </c>
      <c r="K46" t="s">
        <v>40</v>
      </c>
      <c r="L46" t="s">
        <v>29</v>
      </c>
      <c r="M46" t="s">
        <v>1489</v>
      </c>
      <c r="N46" s="7">
        <f t="shared" si="0"/>
        <v>1300536</v>
      </c>
      <c r="O46" s="7">
        <f t="shared" si="1"/>
        <v>10837.800000000001</v>
      </c>
    </row>
    <row r="47" spans="1:15" x14ac:dyDescent="0.35">
      <c r="A47" s="5">
        <v>46</v>
      </c>
      <c r="B47" t="s">
        <v>170</v>
      </c>
      <c r="C47" t="s">
        <v>171</v>
      </c>
      <c r="D47" t="s">
        <v>1485</v>
      </c>
      <c r="E47" t="s">
        <v>148</v>
      </c>
      <c r="F47" s="1">
        <v>40888</v>
      </c>
      <c r="G47" s="28">
        <v>10</v>
      </c>
      <c r="H47" s="26">
        <v>133424</v>
      </c>
      <c r="I47" t="s">
        <v>172</v>
      </c>
      <c r="J47" t="s">
        <v>39</v>
      </c>
      <c r="K47" t="s">
        <v>40</v>
      </c>
      <c r="L47" t="s">
        <v>112</v>
      </c>
      <c r="M47" t="s">
        <v>1489</v>
      </c>
      <c r="N47" s="7">
        <f t="shared" si="0"/>
        <v>1601088</v>
      </c>
      <c r="O47" s="7">
        <f t="shared" si="1"/>
        <v>13342.400000000001</v>
      </c>
    </row>
    <row r="48" spans="1:15" x14ac:dyDescent="0.35">
      <c r="A48" s="5">
        <v>47</v>
      </c>
      <c r="B48" t="s">
        <v>173</v>
      </c>
      <c r="C48" t="s">
        <v>174</v>
      </c>
      <c r="D48" t="s">
        <v>1486</v>
      </c>
      <c r="E48" t="s">
        <v>69</v>
      </c>
      <c r="F48" s="1">
        <v>46264</v>
      </c>
      <c r="G48" s="28">
        <v>8</v>
      </c>
      <c r="H48" s="26">
        <v>42797</v>
      </c>
      <c r="I48" t="s">
        <v>38</v>
      </c>
      <c r="J48" t="s">
        <v>91</v>
      </c>
      <c r="K48" t="s">
        <v>40</v>
      </c>
      <c r="L48" t="s">
        <v>41</v>
      </c>
      <c r="M48" t="s">
        <v>1489</v>
      </c>
      <c r="N48" s="7">
        <f t="shared" si="0"/>
        <v>513564</v>
      </c>
      <c r="O48" s="7">
        <f t="shared" si="1"/>
        <v>4279.7</v>
      </c>
    </row>
    <row r="49" spans="1:15" x14ac:dyDescent="0.35">
      <c r="A49" s="5">
        <v>48</v>
      </c>
      <c r="B49" t="s">
        <v>175</v>
      </c>
      <c r="C49" t="s">
        <v>176</v>
      </c>
      <c r="D49" t="s">
        <v>1485</v>
      </c>
      <c r="E49" t="s">
        <v>14</v>
      </c>
      <c r="F49" s="1">
        <v>38103</v>
      </c>
      <c r="G49" s="28">
        <v>17</v>
      </c>
      <c r="H49" s="26">
        <v>134940</v>
      </c>
      <c r="I49" t="s">
        <v>22</v>
      </c>
      <c r="J49" t="s">
        <v>55</v>
      </c>
      <c r="K49" t="s">
        <v>17</v>
      </c>
      <c r="L49" t="s">
        <v>18</v>
      </c>
      <c r="M49" t="s">
        <v>1490</v>
      </c>
      <c r="N49" s="7">
        <f t="shared" si="0"/>
        <v>1619280</v>
      </c>
      <c r="O49" s="7">
        <f t="shared" si="1"/>
        <v>13494</v>
      </c>
    </row>
    <row r="50" spans="1:15" x14ac:dyDescent="0.35">
      <c r="A50" s="5">
        <v>49</v>
      </c>
      <c r="B50" t="s">
        <v>177</v>
      </c>
      <c r="C50" t="s">
        <v>178</v>
      </c>
      <c r="D50" t="s">
        <v>1485</v>
      </c>
      <c r="E50" t="s">
        <v>89</v>
      </c>
      <c r="F50" s="1">
        <v>39803</v>
      </c>
      <c r="G50" s="28">
        <v>13</v>
      </c>
      <c r="H50" s="26">
        <v>119471</v>
      </c>
      <c r="I50" t="s">
        <v>179</v>
      </c>
      <c r="J50" t="s">
        <v>50</v>
      </c>
      <c r="K50" t="s">
        <v>40</v>
      </c>
      <c r="L50" t="s">
        <v>41</v>
      </c>
      <c r="M50" t="s">
        <v>1490</v>
      </c>
      <c r="N50" s="7">
        <f t="shared" si="0"/>
        <v>1433652</v>
      </c>
      <c r="O50" s="7">
        <f t="shared" si="1"/>
        <v>11947.1</v>
      </c>
    </row>
    <row r="51" spans="1:15" x14ac:dyDescent="0.35">
      <c r="A51" s="5">
        <v>50</v>
      </c>
      <c r="B51" t="s">
        <v>19</v>
      </c>
      <c r="C51" t="s">
        <v>180</v>
      </c>
      <c r="D51" t="s">
        <v>1486</v>
      </c>
      <c r="E51" t="s">
        <v>26</v>
      </c>
      <c r="F51" s="1">
        <v>45001</v>
      </c>
      <c r="G51" s="28">
        <v>11</v>
      </c>
      <c r="H51" s="26">
        <v>89969</v>
      </c>
      <c r="I51" t="s">
        <v>181</v>
      </c>
      <c r="J51" t="s">
        <v>55</v>
      </c>
      <c r="K51" t="s">
        <v>17</v>
      </c>
      <c r="L51" t="s">
        <v>29</v>
      </c>
      <c r="M51" t="s">
        <v>1489</v>
      </c>
      <c r="N51" s="7">
        <f t="shared" si="0"/>
        <v>1079628</v>
      </c>
      <c r="O51" s="7">
        <f t="shared" si="1"/>
        <v>8996.9</v>
      </c>
    </row>
    <row r="52" spans="1:15" x14ac:dyDescent="0.35">
      <c r="A52" s="5">
        <v>51</v>
      </c>
      <c r="B52" t="s">
        <v>182</v>
      </c>
      <c r="C52" t="s">
        <v>183</v>
      </c>
      <c r="D52" t="s">
        <v>1485</v>
      </c>
      <c r="E52" t="s">
        <v>73</v>
      </c>
      <c r="F52" s="1">
        <v>38986</v>
      </c>
      <c r="G52" s="28">
        <v>15</v>
      </c>
      <c r="H52" s="26">
        <v>106281</v>
      </c>
      <c r="I52" t="s">
        <v>107</v>
      </c>
      <c r="J52" t="s">
        <v>28</v>
      </c>
      <c r="K52" t="s">
        <v>17</v>
      </c>
      <c r="L52" t="s">
        <v>41</v>
      </c>
      <c r="M52" t="s">
        <v>1489</v>
      </c>
      <c r="N52" s="7">
        <f t="shared" si="0"/>
        <v>1275372</v>
      </c>
      <c r="O52" s="7">
        <f t="shared" si="1"/>
        <v>10628.1</v>
      </c>
    </row>
    <row r="53" spans="1:15" x14ac:dyDescent="0.35">
      <c r="A53" s="5">
        <v>52</v>
      </c>
      <c r="B53" t="s">
        <v>184</v>
      </c>
      <c r="C53" t="s">
        <v>185</v>
      </c>
      <c r="D53" t="s">
        <v>1486</v>
      </c>
      <c r="E53" t="s">
        <v>85</v>
      </c>
      <c r="F53" s="1">
        <v>37525</v>
      </c>
      <c r="G53" s="28">
        <v>19</v>
      </c>
      <c r="H53" s="26">
        <v>141678</v>
      </c>
      <c r="I53" t="s">
        <v>186</v>
      </c>
      <c r="J53" t="s">
        <v>28</v>
      </c>
      <c r="K53" t="s">
        <v>17</v>
      </c>
      <c r="L53" t="s">
        <v>41</v>
      </c>
      <c r="M53" t="s">
        <v>1489</v>
      </c>
      <c r="N53" s="7">
        <f t="shared" si="0"/>
        <v>1700136</v>
      </c>
      <c r="O53" s="7">
        <f t="shared" si="1"/>
        <v>14167.800000000001</v>
      </c>
    </row>
    <row r="54" spans="1:15" x14ac:dyDescent="0.35">
      <c r="A54" s="5">
        <v>53</v>
      </c>
      <c r="B54" t="s">
        <v>187</v>
      </c>
      <c r="C54" t="s">
        <v>188</v>
      </c>
      <c r="D54" t="s">
        <v>1485</v>
      </c>
      <c r="E54" t="s">
        <v>14</v>
      </c>
      <c r="F54" s="1">
        <v>39613</v>
      </c>
      <c r="G54" s="28">
        <v>13</v>
      </c>
      <c r="H54" s="26">
        <v>110839</v>
      </c>
      <c r="I54" t="s">
        <v>189</v>
      </c>
      <c r="J54" t="s">
        <v>46</v>
      </c>
      <c r="K54" t="s">
        <v>17</v>
      </c>
      <c r="L54" t="s">
        <v>18</v>
      </c>
      <c r="M54" t="s">
        <v>1489</v>
      </c>
      <c r="N54" s="7">
        <f t="shared" si="0"/>
        <v>1330068</v>
      </c>
      <c r="O54" s="7">
        <f t="shared" si="1"/>
        <v>11083.900000000001</v>
      </c>
    </row>
    <row r="55" spans="1:15" x14ac:dyDescent="0.35">
      <c r="A55" s="5">
        <v>54</v>
      </c>
      <c r="B55" t="s">
        <v>140</v>
      </c>
      <c r="C55" t="s">
        <v>190</v>
      </c>
      <c r="D55" t="s">
        <v>1486</v>
      </c>
      <c r="E55" t="s">
        <v>53</v>
      </c>
      <c r="F55" s="1">
        <v>36996</v>
      </c>
      <c r="G55" s="28">
        <v>20</v>
      </c>
      <c r="H55" s="26">
        <v>84275</v>
      </c>
      <c r="I55" t="s">
        <v>191</v>
      </c>
      <c r="J55" t="s">
        <v>91</v>
      </c>
      <c r="K55" t="s">
        <v>40</v>
      </c>
      <c r="L55" t="s">
        <v>23</v>
      </c>
      <c r="M55" t="s">
        <v>1489</v>
      </c>
      <c r="N55" s="7">
        <f t="shared" si="0"/>
        <v>1011300</v>
      </c>
      <c r="O55" s="7">
        <f t="shared" si="1"/>
        <v>8427.5</v>
      </c>
    </row>
    <row r="56" spans="1:15" x14ac:dyDescent="0.35">
      <c r="A56" s="5">
        <v>55</v>
      </c>
      <c r="B56" t="s">
        <v>192</v>
      </c>
      <c r="C56" t="s">
        <v>193</v>
      </c>
      <c r="D56" t="s">
        <v>1485</v>
      </c>
      <c r="E56" t="s">
        <v>26</v>
      </c>
      <c r="F56" s="1">
        <v>38098</v>
      </c>
      <c r="G56" s="28">
        <v>17</v>
      </c>
      <c r="H56" s="26">
        <v>71363</v>
      </c>
      <c r="I56" t="s">
        <v>194</v>
      </c>
      <c r="J56" t="s">
        <v>28</v>
      </c>
      <c r="K56" t="s">
        <v>17</v>
      </c>
      <c r="L56" t="s">
        <v>29</v>
      </c>
      <c r="M56" t="s">
        <v>1489</v>
      </c>
      <c r="N56" s="7">
        <f t="shared" si="0"/>
        <v>856356</v>
      </c>
      <c r="O56" s="7">
        <f t="shared" si="1"/>
        <v>7136.3</v>
      </c>
    </row>
    <row r="57" spans="1:15" x14ac:dyDescent="0.35">
      <c r="A57" s="5">
        <v>56</v>
      </c>
      <c r="B57" t="s">
        <v>161</v>
      </c>
      <c r="C57" t="s">
        <v>195</v>
      </c>
      <c r="D57" t="s">
        <v>1485</v>
      </c>
      <c r="E57" t="s">
        <v>110</v>
      </c>
      <c r="F57" s="1">
        <v>37592</v>
      </c>
      <c r="G57" s="28">
        <v>19</v>
      </c>
      <c r="H57" s="26">
        <v>93680</v>
      </c>
      <c r="I57" t="s">
        <v>196</v>
      </c>
      <c r="J57" t="s">
        <v>28</v>
      </c>
      <c r="K57" t="s">
        <v>17</v>
      </c>
      <c r="L57" t="s">
        <v>112</v>
      </c>
      <c r="M57" t="s">
        <v>1490</v>
      </c>
      <c r="N57" s="7">
        <f t="shared" si="0"/>
        <v>1124160</v>
      </c>
      <c r="O57" s="7">
        <f t="shared" si="1"/>
        <v>9368</v>
      </c>
    </row>
    <row r="58" spans="1:15" x14ac:dyDescent="0.35">
      <c r="A58" s="5">
        <v>57</v>
      </c>
      <c r="B58" t="s">
        <v>159</v>
      </c>
      <c r="C58" t="s">
        <v>197</v>
      </c>
      <c r="D58" t="s">
        <v>1486</v>
      </c>
      <c r="E58" t="s">
        <v>148</v>
      </c>
      <c r="F58" s="1">
        <v>36850</v>
      </c>
      <c r="G58" s="28">
        <v>21</v>
      </c>
      <c r="H58" s="26">
        <v>73755</v>
      </c>
      <c r="I58" t="s">
        <v>90</v>
      </c>
      <c r="J58" t="s">
        <v>28</v>
      </c>
      <c r="K58" t="s">
        <v>17</v>
      </c>
      <c r="L58" t="s">
        <v>112</v>
      </c>
      <c r="M58" t="s">
        <v>1490</v>
      </c>
      <c r="N58" s="7">
        <f t="shared" si="0"/>
        <v>885060</v>
      </c>
      <c r="O58" s="7">
        <f t="shared" si="1"/>
        <v>7375.5</v>
      </c>
    </row>
    <row r="59" spans="1:15" x14ac:dyDescent="0.35">
      <c r="A59" s="5">
        <v>58</v>
      </c>
      <c r="B59" t="s">
        <v>198</v>
      </c>
      <c r="C59" t="s">
        <v>199</v>
      </c>
      <c r="D59" t="s">
        <v>1485</v>
      </c>
      <c r="E59" t="s">
        <v>79</v>
      </c>
      <c r="F59" s="1">
        <v>39143</v>
      </c>
      <c r="G59" s="28">
        <v>14</v>
      </c>
      <c r="H59" s="26">
        <v>68857</v>
      </c>
      <c r="I59" t="s">
        <v>200</v>
      </c>
      <c r="J59" t="s">
        <v>16</v>
      </c>
      <c r="K59" t="s">
        <v>17</v>
      </c>
      <c r="L59" t="s">
        <v>41</v>
      </c>
      <c r="M59" t="s">
        <v>1490</v>
      </c>
      <c r="N59" s="7">
        <f t="shared" si="0"/>
        <v>826284</v>
      </c>
      <c r="O59" s="7">
        <f t="shared" si="1"/>
        <v>6885.7000000000007</v>
      </c>
    </row>
    <row r="60" spans="1:15" x14ac:dyDescent="0.35">
      <c r="A60" s="5">
        <v>59</v>
      </c>
      <c r="B60" t="s">
        <v>201</v>
      </c>
      <c r="C60" t="s">
        <v>202</v>
      </c>
      <c r="D60" t="s">
        <v>1486</v>
      </c>
      <c r="E60" t="s">
        <v>203</v>
      </c>
      <c r="F60" s="1">
        <v>37334</v>
      </c>
      <c r="G60" s="28">
        <v>19</v>
      </c>
      <c r="H60" s="26">
        <v>48360</v>
      </c>
      <c r="I60" t="s">
        <v>204</v>
      </c>
      <c r="J60" t="s">
        <v>50</v>
      </c>
      <c r="K60" t="s">
        <v>40</v>
      </c>
      <c r="L60" t="s">
        <v>41</v>
      </c>
      <c r="M60" t="s">
        <v>1490</v>
      </c>
      <c r="N60" s="7">
        <f t="shared" si="0"/>
        <v>580320</v>
      </c>
      <c r="O60" s="7">
        <f t="shared" si="1"/>
        <v>4836</v>
      </c>
    </row>
    <row r="61" spans="1:15" x14ac:dyDescent="0.35">
      <c r="A61" s="5">
        <v>60</v>
      </c>
      <c r="B61" t="s">
        <v>205</v>
      </c>
      <c r="C61" t="s">
        <v>206</v>
      </c>
      <c r="D61" t="s">
        <v>1485</v>
      </c>
      <c r="E61" t="s">
        <v>148</v>
      </c>
      <c r="F61" s="1">
        <v>38183</v>
      </c>
      <c r="G61" s="28">
        <v>17</v>
      </c>
      <c r="H61" s="26">
        <v>104896</v>
      </c>
      <c r="I61" t="s">
        <v>22</v>
      </c>
      <c r="J61" t="s">
        <v>91</v>
      </c>
      <c r="K61" t="s">
        <v>40</v>
      </c>
      <c r="L61" t="s">
        <v>112</v>
      </c>
      <c r="M61" t="s">
        <v>1490</v>
      </c>
      <c r="N61" s="7">
        <f t="shared" si="0"/>
        <v>1258752</v>
      </c>
      <c r="O61" s="7">
        <f t="shared" si="1"/>
        <v>10489.6</v>
      </c>
    </row>
    <row r="62" spans="1:15" x14ac:dyDescent="0.35">
      <c r="A62" s="5">
        <v>61</v>
      </c>
      <c r="B62" t="s">
        <v>207</v>
      </c>
      <c r="C62" t="s">
        <v>208</v>
      </c>
      <c r="D62" t="s">
        <v>1486</v>
      </c>
      <c r="E62" t="s">
        <v>44</v>
      </c>
      <c r="F62" s="1">
        <v>44783</v>
      </c>
      <c r="G62" s="28">
        <v>12</v>
      </c>
      <c r="H62" s="26">
        <v>81870</v>
      </c>
      <c r="I62" t="s">
        <v>209</v>
      </c>
      <c r="J62" t="s">
        <v>39</v>
      </c>
      <c r="K62" t="s">
        <v>40</v>
      </c>
      <c r="L62" t="s">
        <v>29</v>
      </c>
      <c r="M62" t="s">
        <v>1489</v>
      </c>
      <c r="N62" s="7">
        <f t="shared" si="0"/>
        <v>982440</v>
      </c>
      <c r="O62" s="7">
        <f t="shared" si="1"/>
        <v>8187</v>
      </c>
    </row>
    <row r="63" spans="1:15" x14ac:dyDescent="0.35">
      <c r="A63" s="5">
        <v>62</v>
      </c>
      <c r="B63" t="s">
        <v>210</v>
      </c>
      <c r="C63" t="s">
        <v>211</v>
      </c>
      <c r="D63" t="s">
        <v>1485</v>
      </c>
      <c r="E63" t="s">
        <v>26</v>
      </c>
      <c r="F63" s="1">
        <v>39231</v>
      </c>
      <c r="G63" s="28">
        <v>14</v>
      </c>
      <c r="H63" s="26">
        <v>69936</v>
      </c>
      <c r="I63" t="s">
        <v>181</v>
      </c>
      <c r="J63" t="s">
        <v>39</v>
      </c>
      <c r="K63" t="s">
        <v>40</v>
      </c>
      <c r="L63" t="s">
        <v>29</v>
      </c>
      <c r="M63" t="s">
        <v>1489</v>
      </c>
      <c r="N63" s="7">
        <f t="shared" si="0"/>
        <v>839232</v>
      </c>
      <c r="O63" s="7">
        <f t="shared" si="1"/>
        <v>6993.6</v>
      </c>
    </row>
    <row r="64" spans="1:15" x14ac:dyDescent="0.35">
      <c r="A64" s="5">
        <v>63</v>
      </c>
      <c r="B64" t="s">
        <v>212</v>
      </c>
      <c r="C64" t="s">
        <v>213</v>
      </c>
      <c r="D64" t="s">
        <v>1486</v>
      </c>
      <c r="E64" t="s">
        <v>37</v>
      </c>
      <c r="F64" s="1">
        <v>44176</v>
      </c>
      <c r="G64" s="28">
        <v>14</v>
      </c>
      <c r="H64" s="26">
        <v>138844</v>
      </c>
      <c r="I64" t="s">
        <v>214</v>
      </c>
      <c r="J64" t="s">
        <v>50</v>
      </c>
      <c r="K64" t="s">
        <v>40</v>
      </c>
      <c r="L64" t="s">
        <v>41</v>
      </c>
      <c r="M64" t="s">
        <v>1489</v>
      </c>
      <c r="N64" s="7">
        <f t="shared" si="0"/>
        <v>1666128</v>
      </c>
      <c r="O64" s="7">
        <f t="shared" si="1"/>
        <v>13884.400000000001</v>
      </c>
    </row>
    <row r="65" spans="1:15" x14ac:dyDescent="0.35">
      <c r="A65" s="5">
        <v>64</v>
      </c>
      <c r="B65" t="s">
        <v>215</v>
      </c>
      <c r="C65" t="s">
        <v>216</v>
      </c>
      <c r="D65" t="s">
        <v>1485</v>
      </c>
      <c r="E65" t="s">
        <v>110</v>
      </c>
      <c r="F65" s="1">
        <v>40859</v>
      </c>
      <c r="G65" s="28">
        <v>10</v>
      </c>
      <c r="H65" s="26">
        <v>139796</v>
      </c>
      <c r="I65" t="s">
        <v>217</v>
      </c>
      <c r="J65" t="s">
        <v>46</v>
      </c>
      <c r="K65" t="s">
        <v>17</v>
      </c>
      <c r="L65" t="s">
        <v>112</v>
      </c>
      <c r="M65" t="s">
        <v>1489</v>
      </c>
      <c r="N65" s="7">
        <f t="shared" si="0"/>
        <v>1677552</v>
      </c>
      <c r="O65" s="7">
        <f t="shared" si="1"/>
        <v>13979.6</v>
      </c>
    </row>
    <row r="66" spans="1:15" x14ac:dyDescent="0.35">
      <c r="A66" s="5">
        <v>65</v>
      </c>
      <c r="B66" t="s">
        <v>218</v>
      </c>
      <c r="C66" t="s">
        <v>219</v>
      </c>
      <c r="D66" t="s">
        <v>1486</v>
      </c>
      <c r="E66" t="s">
        <v>26</v>
      </c>
      <c r="F66" s="1">
        <v>36552</v>
      </c>
      <c r="G66" s="28">
        <v>21</v>
      </c>
      <c r="H66" s="26">
        <v>86939</v>
      </c>
      <c r="I66" t="s">
        <v>220</v>
      </c>
      <c r="J66" t="s">
        <v>28</v>
      </c>
      <c r="K66" t="s">
        <v>17</v>
      </c>
      <c r="L66" t="s">
        <v>29</v>
      </c>
      <c r="M66" t="s">
        <v>1491</v>
      </c>
      <c r="N66" s="7">
        <f t="shared" ref="N66:N129" si="2">H66*12</f>
        <v>1043268</v>
      </c>
      <c r="O66" s="7">
        <f t="shared" ref="O66:O129" si="3">H66*10%</f>
        <v>8693.9</v>
      </c>
    </row>
    <row r="67" spans="1:15" x14ac:dyDescent="0.35">
      <c r="A67" s="5">
        <v>66</v>
      </c>
      <c r="B67" t="s">
        <v>221</v>
      </c>
      <c r="C67" t="s">
        <v>222</v>
      </c>
      <c r="D67" t="s">
        <v>1485</v>
      </c>
      <c r="E67" t="s">
        <v>129</v>
      </c>
      <c r="F67" s="1">
        <v>37891</v>
      </c>
      <c r="G67" s="28">
        <v>18</v>
      </c>
      <c r="H67" s="26">
        <v>141949</v>
      </c>
      <c r="I67" t="s">
        <v>223</v>
      </c>
      <c r="J67" t="s">
        <v>55</v>
      </c>
      <c r="K67" t="s">
        <v>17</v>
      </c>
      <c r="L67" t="s">
        <v>41</v>
      </c>
      <c r="M67" t="s">
        <v>1489</v>
      </c>
      <c r="N67" s="7">
        <f t="shared" si="2"/>
        <v>1703388</v>
      </c>
      <c r="O67" s="7">
        <f t="shared" si="3"/>
        <v>14194.900000000001</v>
      </c>
    </row>
    <row r="68" spans="1:15" x14ac:dyDescent="0.35">
      <c r="A68" s="5">
        <v>67</v>
      </c>
      <c r="B68" t="s">
        <v>224</v>
      </c>
      <c r="C68" t="s">
        <v>225</v>
      </c>
      <c r="D68" t="s">
        <v>1486</v>
      </c>
      <c r="E68" t="s">
        <v>37</v>
      </c>
      <c r="F68" s="1">
        <v>38207</v>
      </c>
      <c r="G68" s="28">
        <v>17</v>
      </c>
      <c r="H68" s="26">
        <v>114200</v>
      </c>
      <c r="I68" t="s">
        <v>226</v>
      </c>
      <c r="J68" t="s">
        <v>39</v>
      </c>
      <c r="K68" t="s">
        <v>40</v>
      </c>
      <c r="L68" t="s">
        <v>41</v>
      </c>
      <c r="M68" t="s">
        <v>1489</v>
      </c>
      <c r="N68" s="7">
        <f t="shared" si="2"/>
        <v>1370400</v>
      </c>
      <c r="O68" s="7">
        <f t="shared" si="3"/>
        <v>11420</v>
      </c>
    </row>
    <row r="69" spans="1:15" x14ac:dyDescent="0.35">
      <c r="A69" s="5">
        <v>68</v>
      </c>
      <c r="B69" t="s">
        <v>187</v>
      </c>
      <c r="C69" t="s">
        <v>227</v>
      </c>
      <c r="D69" t="s">
        <v>1485</v>
      </c>
      <c r="E69" t="s">
        <v>129</v>
      </c>
      <c r="F69" s="1">
        <v>41154</v>
      </c>
      <c r="G69" s="28">
        <v>9</v>
      </c>
      <c r="H69" s="26">
        <v>121378</v>
      </c>
      <c r="I69" t="s">
        <v>228</v>
      </c>
      <c r="J69" t="s">
        <v>39</v>
      </c>
      <c r="K69" t="s">
        <v>40</v>
      </c>
      <c r="L69" t="s">
        <v>41</v>
      </c>
      <c r="M69" t="s">
        <v>1489</v>
      </c>
      <c r="N69" s="7">
        <f t="shared" si="2"/>
        <v>1456536</v>
      </c>
      <c r="O69" s="7">
        <f t="shared" si="3"/>
        <v>12137.800000000001</v>
      </c>
    </row>
    <row r="70" spans="1:15" x14ac:dyDescent="0.35">
      <c r="A70" s="5">
        <v>69</v>
      </c>
      <c r="B70" t="s">
        <v>229</v>
      </c>
      <c r="C70" t="s">
        <v>230</v>
      </c>
      <c r="D70" t="s">
        <v>1485</v>
      </c>
      <c r="E70" t="s">
        <v>53</v>
      </c>
      <c r="F70" s="1">
        <v>36760</v>
      </c>
      <c r="G70" s="28">
        <v>21</v>
      </c>
      <c r="H70" s="26">
        <v>148144</v>
      </c>
      <c r="I70" t="s">
        <v>70</v>
      </c>
      <c r="J70" t="s">
        <v>55</v>
      </c>
      <c r="K70" t="s">
        <v>17</v>
      </c>
      <c r="L70" t="s">
        <v>23</v>
      </c>
      <c r="M70" t="s">
        <v>1490</v>
      </c>
      <c r="N70" s="7">
        <f t="shared" si="2"/>
        <v>1777728</v>
      </c>
      <c r="O70" s="7">
        <f t="shared" si="3"/>
        <v>14814.400000000001</v>
      </c>
    </row>
    <row r="71" spans="1:15" x14ac:dyDescent="0.35">
      <c r="A71" s="5">
        <v>70</v>
      </c>
      <c r="B71" t="s">
        <v>218</v>
      </c>
      <c r="C71" t="s">
        <v>231</v>
      </c>
      <c r="D71" t="s">
        <v>1486</v>
      </c>
      <c r="E71" t="s">
        <v>79</v>
      </c>
      <c r="F71" s="1">
        <v>38304</v>
      </c>
      <c r="G71" s="28">
        <v>17</v>
      </c>
      <c r="H71" s="26">
        <v>93839</v>
      </c>
      <c r="I71" t="s">
        <v>232</v>
      </c>
      <c r="J71" t="s">
        <v>16</v>
      </c>
      <c r="K71" t="s">
        <v>17</v>
      </c>
      <c r="L71" t="s">
        <v>41</v>
      </c>
      <c r="M71" t="s">
        <v>1490</v>
      </c>
      <c r="N71" s="7">
        <f t="shared" si="2"/>
        <v>1126068</v>
      </c>
      <c r="O71" s="7">
        <f t="shared" si="3"/>
        <v>9383.9</v>
      </c>
    </row>
    <row r="72" spans="1:15" x14ac:dyDescent="0.35">
      <c r="A72" s="5">
        <v>71</v>
      </c>
      <c r="B72" t="s">
        <v>233</v>
      </c>
      <c r="C72" t="s">
        <v>234</v>
      </c>
      <c r="D72" t="s">
        <v>1485</v>
      </c>
      <c r="E72" t="s">
        <v>73</v>
      </c>
      <c r="F72" s="1">
        <v>37549</v>
      </c>
      <c r="G72" s="28">
        <v>19</v>
      </c>
      <c r="H72" s="26">
        <v>77285</v>
      </c>
      <c r="I72" t="s">
        <v>235</v>
      </c>
      <c r="J72" t="s">
        <v>50</v>
      </c>
      <c r="K72" t="s">
        <v>40</v>
      </c>
      <c r="L72" t="s">
        <v>41</v>
      </c>
      <c r="M72" t="s">
        <v>1490</v>
      </c>
      <c r="N72" s="7">
        <f t="shared" si="2"/>
        <v>927420</v>
      </c>
      <c r="O72" s="7">
        <f t="shared" si="3"/>
        <v>7728.5</v>
      </c>
    </row>
    <row r="73" spans="1:15" x14ac:dyDescent="0.35">
      <c r="A73" s="5">
        <v>72</v>
      </c>
      <c r="B73" t="s">
        <v>236</v>
      </c>
      <c r="C73" t="s">
        <v>237</v>
      </c>
      <c r="D73" t="s">
        <v>1486</v>
      </c>
      <c r="E73" t="s">
        <v>238</v>
      </c>
      <c r="F73" s="1">
        <v>37542</v>
      </c>
      <c r="G73" s="28">
        <v>19</v>
      </c>
      <c r="H73" s="26">
        <v>135688</v>
      </c>
      <c r="I73" t="s">
        <v>239</v>
      </c>
      <c r="J73" t="s">
        <v>55</v>
      </c>
      <c r="K73" t="s">
        <v>17</v>
      </c>
      <c r="L73" t="s">
        <v>63</v>
      </c>
      <c r="M73" t="s">
        <v>1490</v>
      </c>
      <c r="N73" s="7">
        <f t="shared" si="2"/>
        <v>1628256</v>
      </c>
      <c r="O73" s="7">
        <f t="shared" si="3"/>
        <v>13568.800000000001</v>
      </c>
    </row>
    <row r="74" spans="1:15" x14ac:dyDescent="0.35">
      <c r="A74" s="5">
        <v>73</v>
      </c>
      <c r="B74" t="s">
        <v>240</v>
      </c>
      <c r="C74" t="s">
        <v>241</v>
      </c>
      <c r="D74" t="s">
        <v>1485</v>
      </c>
      <c r="E74" t="s">
        <v>21</v>
      </c>
      <c r="F74" s="1">
        <v>37349</v>
      </c>
      <c r="G74" s="28">
        <v>19</v>
      </c>
      <c r="H74" s="26">
        <v>78828</v>
      </c>
      <c r="I74" t="s">
        <v>242</v>
      </c>
      <c r="J74" t="s">
        <v>16</v>
      </c>
      <c r="K74" t="s">
        <v>17</v>
      </c>
      <c r="L74" t="s">
        <v>23</v>
      </c>
      <c r="M74" t="s">
        <v>1490</v>
      </c>
      <c r="N74" s="7">
        <f t="shared" si="2"/>
        <v>945936</v>
      </c>
      <c r="O74" s="7">
        <f t="shared" si="3"/>
        <v>7882.8</v>
      </c>
    </row>
    <row r="75" spans="1:15" x14ac:dyDescent="0.35">
      <c r="A75" s="5">
        <v>74</v>
      </c>
      <c r="B75" t="s">
        <v>243</v>
      </c>
      <c r="C75" t="s">
        <v>244</v>
      </c>
      <c r="D75" t="s">
        <v>1486</v>
      </c>
      <c r="E75" t="s">
        <v>89</v>
      </c>
      <c r="F75" s="1">
        <v>36718</v>
      </c>
      <c r="G75" s="28">
        <v>21</v>
      </c>
      <c r="H75" s="26">
        <v>47206</v>
      </c>
      <c r="I75" t="s">
        <v>245</v>
      </c>
      <c r="J75" t="s">
        <v>28</v>
      </c>
      <c r="K75" t="s">
        <v>17</v>
      </c>
      <c r="L75" t="s">
        <v>41</v>
      </c>
      <c r="M75" t="s">
        <v>1489</v>
      </c>
      <c r="N75" s="7">
        <f t="shared" si="2"/>
        <v>566472</v>
      </c>
      <c r="O75" s="7">
        <f t="shared" si="3"/>
        <v>4720.6000000000004</v>
      </c>
    </row>
    <row r="76" spans="1:15" x14ac:dyDescent="0.35">
      <c r="A76" s="5">
        <v>75</v>
      </c>
      <c r="B76" t="s">
        <v>59</v>
      </c>
      <c r="C76" t="s">
        <v>246</v>
      </c>
      <c r="D76" t="s">
        <v>1486</v>
      </c>
      <c r="E76" t="s">
        <v>148</v>
      </c>
      <c r="F76" s="1">
        <v>46301</v>
      </c>
      <c r="G76" s="28">
        <v>8</v>
      </c>
      <c r="H76" s="26">
        <v>78157</v>
      </c>
      <c r="I76" t="s">
        <v>247</v>
      </c>
      <c r="J76" t="s">
        <v>46</v>
      </c>
      <c r="K76" t="s">
        <v>17</v>
      </c>
      <c r="L76" t="s">
        <v>112</v>
      </c>
      <c r="M76" t="s">
        <v>1489</v>
      </c>
      <c r="N76" s="7">
        <f t="shared" si="2"/>
        <v>937884</v>
      </c>
      <c r="O76" s="7">
        <f t="shared" si="3"/>
        <v>7815.7000000000007</v>
      </c>
    </row>
    <row r="77" spans="1:15" x14ac:dyDescent="0.35">
      <c r="A77" s="5">
        <v>76</v>
      </c>
      <c r="B77" t="s">
        <v>248</v>
      </c>
      <c r="C77" t="s">
        <v>249</v>
      </c>
      <c r="D77" t="s">
        <v>1486</v>
      </c>
      <c r="E77" t="s">
        <v>94</v>
      </c>
      <c r="F77" s="1">
        <v>36730</v>
      </c>
      <c r="G77" s="28">
        <v>21</v>
      </c>
      <c r="H77" s="26">
        <v>49296</v>
      </c>
      <c r="I77" t="s">
        <v>250</v>
      </c>
      <c r="J77" t="s">
        <v>50</v>
      </c>
      <c r="K77" t="s">
        <v>40</v>
      </c>
      <c r="L77" t="s">
        <v>18</v>
      </c>
      <c r="M77" t="s">
        <v>1489</v>
      </c>
      <c r="N77" s="7">
        <f t="shared" si="2"/>
        <v>591552</v>
      </c>
      <c r="O77" s="7">
        <f t="shared" si="3"/>
        <v>4929.6000000000004</v>
      </c>
    </row>
    <row r="78" spans="1:15" x14ac:dyDescent="0.35">
      <c r="A78" s="5">
        <v>77</v>
      </c>
      <c r="B78" t="s">
        <v>251</v>
      </c>
      <c r="C78" t="s">
        <v>252</v>
      </c>
      <c r="D78" t="s">
        <v>1485</v>
      </c>
      <c r="E78" t="s">
        <v>44</v>
      </c>
      <c r="F78" s="1">
        <v>41312</v>
      </c>
      <c r="G78" s="28">
        <v>8</v>
      </c>
      <c r="H78" s="26">
        <v>139061</v>
      </c>
      <c r="I78" t="s">
        <v>253</v>
      </c>
      <c r="J78" t="s">
        <v>28</v>
      </c>
      <c r="K78" t="s">
        <v>17</v>
      </c>
      <c r="L78" t="s">
        <v>29</v>
      </c>
      <c r="M78" t="s">
        <v>1490</v>
      </c>
      <c r="N78" s="7">
        <f t="shared" si="2"/>
        <v>1668732</v>
      </c>
      <c r="O78" s="7">
        <f t="shared" si="3"/>
        <v>13906.1</v>
      </c>
    </row>
    <row r="79" spans="1:15" x14ac:dyDescent="0.35">
      <c r="A79" s="5">
        <v>78</v>
      </c>
      <c r="B79" t="s">
        <v>80</v>
      </c>
      <c r="C79" t="s">
        <v>254</v>
      </c>
      <c r="D79" t="s">
        <v>1486</v>
      </c>
      <c r="E79" t="s">
        <v>79</v>
      </c>
      <c r="F79" s="1">
        <v>38611</v>
      </c>
      <c r="G79" s="28">
        <v>16</v>
      </c>
      <c r="H79" s="26">
        <v>114989</v>
      </c>
      <c r="I79" t="s">
        <v>104</v>
      </c>
      <c r="J79" t="s">
        <v>28</v>
      </c>
      <c r="K79" t="s">
        <v>17</v>
      </c>
      <c r="L79" t="s">
        <v>41</v>
      </c>
      <c r="M79" t="s">
        <v>1489</v>
      </c>
      <c r="N79" s="7">
        <f t="shared" si="2"/>
        <v>1379868</v>
      </c>
      <c r="O79" s="7">
        <f t="shared" si="3"/>
        <v>11498.900000000001</v>
      </c>
    </row>
    <row r="80" spans="1:15" x14ac:dyDescent="0.35">
      <c r="A80" s="5">
        <v>79</v>
      </c>
      <c r="B80" t="s">
        <v>255</v>
      </c>
      <c r="C80" t="s">
        <v>256</v>
      </c>
      <c r="D80" t="s">
        <v>1485</v>
      </c>
      <c r="E80" t="s">
        <v>69</v>
      </c>
      <c r="F80" s="1">
        <v>37514</v>
      </c>
      <c r="G80" s="28">
        <v>19</v>
      </c>
      <c r="H80" s="26">
        <v>88345</v>
      </c>
      <c r="I80" t="s">
        <v>172</v>
      </c>
      <c r="J80" t="s">
        <v>50</v>
      </c>
      <c r="K80" t="s">
        <v>40</v>
      </c>
      <c r="L80" t="s">
        <v>41</v>
      </c>
      <c r="M80" t="s">
        <v>1489</v>
      </c>
      <c r="N80" s="7">
        <f t="shared" si="2"/>
        <v>1060140</v>
      </c>
      <c r="O80" s="7">
        <f t="shared" si="3"/>
        <v>8834.5</v>
      </c>
    </row>
    <row r="81" spans="1:15" x14ac:dyDescent="0.35">
      <c r="A81" s="5">
        <v>80</v>
      </c>
      <c r="B81" t="s">
        <v>257</v>
      </c>
      <c r="C81" t="s">
        <v>258</v>
      </c>
      <c r="D81" t="s">
        <v>1485</v>
      </c>
      <c r="E81" t="s">
        <v>238</v>
      </c>
      <c r="F81" s="1">
        <v>37146</v>
      </c>
      <c r="G81" s="28">
        <v>20</v>
      </c>
      <c r="H81" s="26">
        <v>114647</v>
      </c>
      <c r="I81" t="s">
        <v>179</v>
      </c>
      <c r="J81" t="s">
        <v>91</v>
      </c>
      <c r="K81" t="s">
        <v>40</v>
      </c>
      <c r="L81" t="s">
        <v>63</v>
      </c>
      <c r="M81" t="s">
        <v>1489</v>
      </c>
      <c r="N81" s="7">
        <f t="shared" si="2"/>
        <v>1375764</v>
      </c>
      <c r="O81" s="7">
        <f t="shared" si="3"/>
        <v>11464.7</v>
      </c>
    </row>
    <row r="82" spans="1:15" x14ac:dyDescent="0.35">
      <c r="A82" s="5">
        <v>81</v>
      </c>
      <c r="B82" t="s">
        <v>259</v>
      </c>
      <c r="C82" t="s">
        <v>260</v>
      </c>
      <c r="D82" t="s">
        <v>1485</v>
      </c>
      <c r="E82" t="s">
        <v>148</v>
      </c>
      <c r="F82" s="1">
        <v>38192</v>
      </c>
      <c r="G82" s="28">
        <v>17</v>
      </c>
      <c r="H82" s="26">
        <v>118514</v>
      </c>
      <c r="I82" t="s">
        <v>261</v>
      </c>
      <c r="J82" t="s">
        <v>91</v>
      </c>
      <c r="K82" t="s">
        <v>40</v>
      </c>
      <c r="L82" t="s">
        <v>112</v>
      </c>
      <c r="M82" t="s">
        <v>1489</v>
      </c>
      <c r="N82" s="7">
        <f t="shared" si="2"/>
        <v>1422168</v>
      </c>
      <c r="O82" s="7">
        <f t="shared" si="3"/>
        <v>11851.400000000001</v>
      </c>
    </row>
    <row r="83" spans="1:15" x14ac:dyDescent="0.35">
      <c r="A83" s="5">
        <v>82</v>
      </c>
      <c r="B83" t="s">
        <v>262</v>
      </c>
      <c r="C83" t="s">
        <v>263</v>
      </c>
      <c r="D83" t="s">
        <v>1486</v>
      </c>
      <c r="E83" t="s">
        <v>89</v>
      </c>
      <c r="F83" s="1">
        <v>37752</v>
      </c>
      <c r="G83" s="28">
        <v>18</v>
      </c>
      <c r="H83" s="26">
        <v>93712</v>
      </c>
      <c r="I83" t="s">
        <v>172</v>
      </c>
      <c r="J83" t="s">
        <v>39</v>
      </c>
      <c r="K83" t="s">
        <v>40</v>
      </c>
      <c r="L83" t="s">
        <v>41</v>
      </c>
      <c r="M83" t="s">
        <v>1489</v>
      </c>
      <c r="N83" s="7">
        <f t="shared" si="2"/>
        <v>1124544</v>
      </c>
      <c r="O83" s="7">
        <f t="shared" si="3"/>
        <v>9371.2000000000007</v>
      </c>
    </row>
    <row r="84" spans="1:15" x14ac:dyDescent="0.35">
      <c r="A84" s="5">
        <v>83</v>
      </c>
      <c r="B84" t="s">
        <v>264</v>
      </c>
      <c r="C84" t="s">
        <v>265</v>
      </c>
      <c r="D84" t="s">
        <v>1485</v>
      </c>
      <c r="E84" t="s">
        <v>100</v>
      </c>
      <c r="F84" s="1">
        <v>39935</v>
      </c>
      <c r="G84" s="28">
        <v>12</v>
      </c>
      <c r="H84" s="26">
        <v>86373</v>
      </c>
      <c r="I84" t="s">
        <v>74</v>
      </c>
      <c r="J84" t="s">
        <v>39</v>
      </c>
      <c r="K84" t="s">
        <v>40</v>
      </c>
      <c r="L84" t="s">
        <v>29</v>
      </c>
      <c r="M84" t="s">
        <v>1489</v>
      </c>
      <c r="N84" s="7">
        <f t="shared" si="2"/>
        <v>1036476</v>
      </c>
      <c r="O84" s="7">
        <f t="shared" si="3"/>
        <v>8637.3000000000011</v>
      </c>
    </row>
    <row r="85" spans="1:15" x14ac:dyDescent="0.35">
      <c r="A85" s="5">
        <v>84</v>
      </c>
      <c r="B85" t="s">
        <v>266</v>
      </c>
      <c r="C85" t="s">
        <v>267</v>
      </c>
      <c r="D85" t="s">
        <v>1485</v>
      </c>
      <c r="E85" t="s">
        <v>85</v>
      </c>
      <c r="F85" s="1">
        <v>41302</v>
      </c>
      <c r="G85" s="28">
        <v>8</v>
      </c>
      <c r="H85" s="26">
        <v>122110</v>
      </c>
      <c r="I85" t="s">
        <v>15</v>
      </c>
      <c r="J85" t="s">
        <v>50</v>
      </c>
      <c r="K85" t="s">
        <v>40</v>
      </c>
      <c r="L85" t="s">
        <v>41</v>
      </c>
      <c r="M85" t="s">
        <v>1491</v>
      </c>
      <c r="N85" s="7">
        <f t="shared" si="2"/>
        <v>1465320</v>
      </c>
      <c r="O85" s="7">
        <f t="shared" si="3"/>
        <v>12211</v>
      </c>
    </row>
    <row r="86" spans="1:15" x14ac:dyDescent="0.35">
      <c r="A86" s="5">
        <v>85</v>
      </c>
      <c r="B86" t="s">
        <v>268</v>
      </c>
      <c r="C86" t="s">
        <v>269</v>
      </c>
      <c r="D86" t="s">
        <v>1486</v>
      </c>
      <c r="E86" t="s">
        <v>79</v>
      </c>
      <c r="F86" s="1">
        <v>38802</v>
      </c>
      <c r="G86" s="28">
        <v>15</v>
      </c>
      <c r="H86" s="26">
        <v>95542</v>
      </c>
      <c r="I86" t="s">
        <v>153</v>
      </c>
      <c r="J86" t="s">
        <v>16</v>
      </c>
      <c r="K86" t="s">
        <v>17</v>
      </c>
      <c r="L86" t="s">
        <v>41</v>
      </c>
      <c r="M86" t="s">
        <v>1489</v>
      </c>
      <c r="N86" s="7">
        <f t="shared" si="2"/>
        <v>1146504</v>
      </c>
      <c r="O86" s="7">
        <f t="shared" si="3"/>
        <v>9554.2000000000007</v>
      </c>
    </row>
    <row r="87" spans="1:15" x14ac:dyDescent="0.35">
      <c r="A87" s="5">
        <v>86</v>
      </c>
      <c r="B87" t="s">
        <v>270</v>
      </c>
      <c r="C87" t="s">
        <v>271</v>
      </c>
      <c r="D87" t="s">
        <v>1486</v>
      </c>
      <c r="E87" t="s">
        <v>148</v>
      </c>
      <c r="F87" s="1">
        <v>46167</v>
      </c>
      <c r="G87" s="28">
        <v>8</v>
      </c>
      <c r="H87" s="26">
        <v>131392</v>
      </c>
      <c r="I87" t="s">
        <v>272</v>
      </c>
      <c r="J87" t="s">
        <v>16</v>
      </c>
      <c r="K87" t="s">
        <v>17</v>
      </c>
      <c r="L87" t="s">
        <v>112</v>
      </c>
      <c r="M87" t="s">
        <v>1489</v>
      </c>
      <c r="N87" s="7">
        <f t="shared" si="2"/>
        <v>1576704</v>
      </c>
      <c r="O87" s="7">
        <f t="shared" si="3"/>
        <v>13139.2</v>
      </c>
    </row>
    <row r="88" spans="1:15" x14ac:dyDescent="0.35">
      <c r="A88" s="5">
        <v>87</v>
      </c>
      <c r="B88" t="s">
        <v>273</v>
      </c>
      <c r="C88" t="s">
        <v>274</v>
      </c>
      <c r="D88" t="s">
        <v>1485</v>
      </c>
      <c r="E88" t="s">
        <v>238</v>
      </c>
      <c r="F88" s="1">
        <v>40474</v>
      </c>
      <c r="G88" s="28">
        <v>11</v>
      </c>
      <c r="H88" s="26">
        <v>98401</v>
      </c>
      <c r="I88" t="s">
        <v>97</v>
      </c>
      <c r="J88" t="s">
        <v>46</v>
      </c>
      <c r="K88" t="s">
        <v>17</v>
      </c>
      <c r="L88" t="s">
        <v>63</v>
      </c>
      <c r="M88" t="s">
        <v>1489</v>
      </c>
      <c r="N88" s="7">
        <f t="shared" si="2"/>
        <v>1180812</v>
      </c>
      <c r="O88" s="7">
        <f t="shared" si="3"/>
        <v>9840.1</v>
      </c>
    </row>
    <row r="89" spans="1:15" x14ac:dyDescent="0.35">
      <c r="A89" s="5">
        <v>88</v>
      </c>
      <c r="B89" t="s">
        <v>275</v>
      </c>
      <c r="C89" t="s">
        <v>276</v>
      </c>
      <c r="D89" t="s">
        <v>1486</v>
      </c>
      <c r="E89" t="s">
        <v>44</v>
      </c>
      <c r="F89" s="1">
        <v>38249</v>
      </c>
      <c r="G89" s="28">
        <v>17</v>
      </c>
      <c r="H89" s="26">
        <v>103806</v>
      </c>
      <c r="I89" t="s">
        <v>277</v>
      </c>
      <c r="J89" t="s">
        <v>28</v>
      </c>
      <c r="K89" t="s">
        <v>17</v>
      </c>
      <c r="L89" t="s">
        <v>29</v>
      </c>
      <c r="M89" t="s">
        <v>1489</v>
      </c>
      <c r="N89" s="7">
        <f t="shared" si="2"/>
        <v>1245672</v>
      </c>
      <c r="O89" s="7">
        <f t="shared" si="3"/>
        <v>10380.6</v>
      </c>
    </row>
    <row r="90" spans="1:15" x14ac:dyDescent="0.35">
      <c r="A90" s="5">
        <v>89</v>
      </c>
      <c r="B90" t="s">
        <v>75</v>
      </c>
      <c r="C90" t="s">
        <v>278</v>
      </c>
      <c r="D90" t="s">
        <v>1485</v>
      </c>
      <c r="E90" t="s">
        <v>203</v>
      </c>
      <c r="F90" s="1">
        <v>41739</v>
      </c>
      <c r="G90" s="28">
        <v>7</v>
      </c>
      <c r="H90" s="26">
        <v>73686</v>
      </c>
      <c r="I90" t="s">
        <v>220</v>
      </c>
      <c r="J90" t="s">
        <v>16</v>
      </c>
      <c r="K90" t="s">
        <v>17</v>
      </c>
      <c r="L90" t="s">
        <v>41</v>
      </c>
      <c r="M90" t="s">
        <v>1491</v>
      </c>
      <c r="N90" s="7">
        <f t="shared" si="2"/>
        <v>884232</v>
      </c>
      <c r="O90" s="7">
        <f t="shared" si="3"/>
        <v>7368.6</v>
      </c>
    </row>
    <row r="91" spans="1:15" x14ac:dyDescent="0.35">
      <c r="A91" s="5">
        <v>90</v>
      </c>
      <c r="B91" t="s">
        <v>279</v>
      </c>
      <c r="C91" t="s">
        <v>280</v>
      </c>
      <c r="D91" t="s">
        <v>1485</v>
      </c>
      <c r="E91" t="s">
        <v>79</v>
      </c>
      <c r="F91" s="1">
        <v>40850</v>
      </c>
      <c r="G91" s="28">
        <v>10</v>
      </c>
      <c r="H91" s="26">
        <v>55002</v>
      </c>
      <c r="I91" t="s">
        <v>281</v>
      </c>
      <c r="J91" t="s">
        <v>50</v>
      </c>
      <c r="K91" t="s">
        <v>40</v>
      </c>
      <c r="L91" t="s">
        <v>41</v>
      </c>
      <c r="M91" t="s">
        <v>1489</v>
      </c>
      <c r="N91" s="7">
        <f t="shared" si="2"/>
        <v>660024</v>
      </c>
      <c r="O91" s="7">
        <f t="shared" si="3"/>
        <v>5500.2000000000007</v>
      </c>
    </row>
    <row r="92" spans="1:15" x14ac:dyDescent="0.35">
      <c r="A92" s="5">
        <v>91</v>
      </c>
      <c r="B92" t="s">
        <v>282</v>
      </c>
      <c r="C92" t="s">
        <v>283</v>
      </c>
      <c r="D92" t="s">
        <v>1485</v>
      </c>
      <c r="E92" t="s">
        <v>73</v>
      </c>
      <c r="F92" s="1">
        <v>38418</v>
      </c>
      <c r="G92" s="28">
        <v>16</v>
      </c>
      <c r="H92" s="26">
        <v>65216</v>
      </c>
      <c r="I92" t="s">
        <v>204</v>
      </c>
      <c r="J92" t="s">
        <v>55</v>
      </c>
      <c r="K92" t="s">
        <v>17</v>
      </c>
      <c r="L92" t="s">
        <v>41</v>
      </c>
      <c r="M92" t="s">
        <v>1489</v>
      </c>
      <c r="N92" s="7">
        <f t="shared" si="2"/>
        <v>782592</v>
      </c>
      <c r="O92" s="7">
        <f t="shared" si="3"/>
        <v>6521.6</v>
      </c>
    </row>
    <row r="93" spans="1:15" x14ac:dyDescent="0.35">
      <c r="A93" s="5">
        <v>92</v>
      </c>
      <c r="B93" t="s">
        <v>284</v>
      </c>
      <c r="C93" t="s">
        <v>285</v>
      </c>
      <c r="D93" t="s">
        <v>1486</v>
      </c>
      <c r="E93" t="s">
        <v>26</v>
      </c>
      <c r="F93" s="1">
        <v>45099</v>
      </c>
      <c r="G93" s="28">
        <v>11</v>
      </c>
      <c r="H93" s="26">
        <v>113231</v>
      </c>
      <c r="I93" t="s">
        <v>181</v>
      </c>
      <c r="J93" t="s">
        <v>39</v>
      </c>
      <c r="K93" t="s">
        <v>40</v>
      </c>
      <c r="L93" t="s">
        <v>29</v>
      </c>
      <c r="M93" t="s">
        <v>1489</v>
      </c>
      <c r="N93" s="7">
        <f t="shared" si="2"/>
        <v>1358772</v>
      </c>
      <c r="O93" s="7">
        <f t="shared" si="3"/>
        <v>11323.1</v>
      </c>
    </row>
    <row r="94" spans="1:15" x14ac:dyDescent="0.35">
      <c r="A94" s="5">
        <v>93</v>
      </c>
      <c r="B94" t="s">
        <v>236</v>
      </c>
      <c r="C94" t="s">
        <v>286</v>
      </c>
      <c r="D94" t="s">
        <v>1486</v>
      </c>
      <c r="E94" t="s">
        <v>94</v>
      </c>
      <c r="F94" s="1">
        <v>46480</v>
      </c>
      <c r="G94" s="28">
        <v>7</v>
      </c>
      <c r="H94" s="26">
        <v>125847</v>
      </c>
      <c r="I94" t="s">
        <v>287</v>
      </c>
      <c r="J94" t="s">
        <v>91</v>
      </c>
      <c r="K94" t="s">
        <v>40</v>
      </c>
      <c r="L94" t="s">
        <v>18</v>
      </c>
      <c r="M94" t="s">
        <v>1489</v>
      </c>
      <c r="N94" s="7">
        <f t="shared" si="2"/>
        <v>1510164</v>
      </c>
      <c r="O94" s="7">
        <f t="shared" si="3"/>
        <v>12584.7</v>
      </c>
    </row>
    <row r="95" spans="1:15" x14ac:dyDescent="0.35">
      <c r="A95" s="5">
        <v>94</v>
      </c>
      <c r="B95" t="s">
        <v>288</v>
      </c>
      <c r="C95" t="s">
        <v>289</v>
      </c>
      <c r="D95" t="s">
        <v>1486</v>
      </c>
      <c r="E95" t="s">
        <v>238</v>
      </c>
      <c r="F95" s="1">
        <v>36677</v>
      </c>
      <c r="G95" s="28">
        <v>21</v>
      </c>
      <c r="H95" s="26">
        <v>140430</v>
      </c>
      <c r="I95" t="s">
        <v>290</v>
      </c>
      <c r="J95" t="s">
        <v>16</v>
      </c>
      <c r="K95" t="s">
        <v>17</v>
      </c>
      <c r="L95" t="s">
        <v>63</v>
      </c>
      <c r="M95" t="s">
        <v>1489</v>
      </c>
      <c r="N95" s="7">
        <f t="shared" si="2"/>
        <v>1685160</v>
      </c>
      <c r="O95" s="7">
        <f t="shared" si="3"/>
        <v>14043</v>
      </c>
    </row>
    <row r="96" spans="1:15" x14ac:dyDescent="0.35">
      <c r="A96" s="5">
        <v>95</v>
      </c>
      <c r="B96" t="s">
        <v>291</v>
      </c>
      <c r="C96" t="s">
        <v>292</v>
      </c>
      <c r="D96" t="s">
        <v>1485</v>
      </c>
      <c r="E96" t="s">
        <v>61</v>
      </c>
      <c r="F96" s="1">
        <v>41584</v>
      </c>
      <c r="G96" s="28">
        <v>8</v>
      </c>
      <c r="H96" s="26">
        <v>117105</v>
      </c>
      <c r="I96" t="s">
        <v>97</v>
      </c>
      <c r="J96" t="s">
        <v>91</v>
      </c>
      <c r="K96" t="s">
        <v>40</v>
      </c>
      <c r="L96" t="s">
        <v>63</v>
      </c>
      <c r="M96" t="s">
        <v>1489</v>
      </c>
      <c r="N96" s="7">
        <f t="shared" si="2"/>
        <v>1405260</v>
      </c>
      <c r="O96" s="7">
        <f t="shared" si="3"/>
        <v>11710.5</v>
      </c>
    </row>
    <row r="97" spans="1:15" x14ac:dyDescent="0.35">
      <c r="A97" s="5">
        <v>96</v>
      </c>
      <c r="B97" t="s">
        <v>293</v>
      </c>
      <c r="C97" t="s">
        <v>294</v>
      </c>
      <c r="D97" t="s">
        <v>1485</v>
      </c>
      <c r="E97" t="s">
        <v>129</v>
      </c>
      <c r="F97" s="1">
        <v>38038</v>
      </c>
      <c r="G97" s="28">
        <v>17</v>
      </c>
      <c r="H97" s="26">
        <v>96673</v>
      </c>
      <c r="I97" t="s">
        <v>277</v>
      </c>
      <c r="J97" t="s">
        <v>46</v>
      </c>
      <c r="K97" t="s">
        <v>17</v>
      </c>
      <c r="L97" t="s">
        <v>41</v>
      </c>
      <c r="M97" t="s">
        <v>1489</v>
      </c>
      <c r="N97" s="7">
        <f t="shared" si="2"/>
        <v>1160076</v>
      </c>
      <c r="O97" s="7">
        <f t="shared" si="3"/>
        <v>9667.3000000000011</v>
      </c>
    </row>
    <row r="98" spans="1:15" x14ac:dyDescent="0.35">
      <c r="A98" s="5">
        <v>97</v>
      </c>
      <c r="B98" t="s">
        <v>268</v>
      </c>
      <c r="C98" t="s">
        <v>295</v>
      </c>
      <c r="D98" t="s">
        <v>1486</v>
      </c>
      <c r="E98" t="s">
        <v>79</v>
      </c>
      <c r="F98" s="1">
        <v>46095</v>
      </c>
      <c r="G98" s="28">
        <v>8</v>
      </c>
      <c r="H98" s="26">
        <v>79267</v>
      </c>
      <c r="I98" t="s">
        <v>97</v>
      </c>
      <c r="J98" t="s">
        <v>39</v>
      </c>
      <c r="K98" t="s">
        <v>40</v>
      </c>
      <c r="L98" t="s">
        <v>41</v>
      </c>
      <c r="M98" t="s">
        <v>1489</v>
      </c>
      <c r="N98" s="7">
        <f t="shared" si="2"/>
        <v>951204</v>
      </c>
      <c r="O98" s="7">
        <f t="shared" si="3"/>
        <v>7926.7000000000007</v>
      </c>
    </row>
    <row r="99" spans="1:15" x14ac:dyDescent="0.35">
      <c r="A99" s="5">
        <v>98</v>
      </c>
      <c r="B99" t="s">
        <v>296</v>
      </c>
      <c r="C99" t="s">
        <v>297</v>
      </c>
      <c r="D99" t="s">
        <v>1486</v>
      </c>
      <c r="E99" t="s">
        <v>85</v>
      </c>
      <c r="F99" s="1">
        <v>44115</v>
      </c>
      <c r="G99" s="28">
        <v>14</v>
      </c>
      <c r="H99" s="26">
        <v>109154</v>
      </c>
      <c r="I99" t="s">
        <v>133</v>
      </c>
      <c r="J99" t="s">
        <v>55</v>
      </c>
      <c r="K99" t="s">
        <v>17</v>
      </c>
      <c r="L99" t="s">
        <v>41</v>
      </c>
      <c r="M99" t="s">
        <v>1491</v>
      </c>
      <c r="N99" s="7">
        <f t="shared" si="2"/>
        <v>1309848</v>
      </c>
      <c r="O99" s="7">
        <f t="shared" si="3"/>
        <v>10915.400000000001</v>
      </c>
    </row>
    <row r="100" spans="1:15" x14ac:dyDescent="0.35">
      <c r="A100" s="5">
        <v>99</v>
      </c>
      <c r="B100" t="s">
        <v>240</v>
      </c>
      <c r="C100" t="s">
        <v>298</v>
      </c>
      <c r="D100" t="s">
        <v>1486</v>
      </c>
      <c r="E100" t="s">
        <v>122</v>
      </c>
      <c r="F100" s="1">
        <v>37370</v>
      </c>
      <c r="G100" s="28">
        <v>19</v>
      </c>
      <c r="H100" s="26">
        <v>138815</v>
      </c>
      <c r="I100" t="s">
        <v>299</v>
      </c>
      <c r="J100" t="s">
        <v>28</v>
      </c>
      <c r="K100" t="s">
        <v>17</v>
      </c>
      <c r="L100" t="s">
        <v>123</v>
      </c>
      <c r="M100" t="s">
        <v>1489</v>
      </c>
      <c r="N100" s="7">
        <f t="shared" si="2"/>
        <v>1665780</v>
      </c>
      <c r="O100" s="7">
        <f t="shared" si="3"/>
        <v>13881.5</v>
      </c>
    </row>
    <row r="101" spans="1:15" x14ac:dyDescent="0.35">
      <c r="A101" s="5">
        <v>100</v>
      </c>
      <c r="B101" t="s">
        <v>300</v>
      </c>
      <c r="C101" t="s">
        <v>301</v>
      </c>
      <c r="D101" t="s">
        <v>1485</v>
      </c>
      <c r="E101" t="s">
        <v>21</v>
      </c>
      <c r="F101" s="1">
        <v>39297</v>
      </c>
      <c r="G101" s="28">
        <v>14</v>
      </c>
      <c r="H101" s="26">
        <v>68210</v>
      </c>
      <c r="I101" t="s">
        <v>204</v>
      </c>
      <c r="J101" t="s">
        <v>55</v>
      </c>
      <c r="K101" t="s">
        <v>17</v>
      </c>
      <c r="L101" t="s">
        <v>23</v>
      </c>
      <c r="M101" t="s">
        <v>1489</v>
      </c>
      <c r="N101" s="7">
        <f t="shared" si="2"/>
        <v>818520</v>
      </c>
      <c r="O101" s="7">
        <f t="shared" si="3"/>
        <v>6821</v>
      </c>
    </row>
    <row r="102" spans="1:15" x14ac:dyDescent="0.35">
      <c r="A102" s="5">
        <v>101</v>
      </c>
      <c r="B102" t="s">
        <v>302</v>
      </c>
      <c r="C102" t="s">
        <v>303</v>
      </c>
      <c r="D102" t="s">
        <v>1485</v>
      </c>
      <c r="E102" t="s">
        <v>79</v>
      </c>
      <c r="F102" s="1">
        <v>37576</v>
      </c>
      <c r="G102" s="28">
        <v>19</v>
      </c>
      <c r="H102" s="26">
        <v>137281</v>
      </c>
      <c r="I102" t="s">
        <v>95</v>
      </c>
      <c r="J102" t="s">
        <v>28</v>
      </c>
      <c r="K102" t="s">
        <v>17</v>
      </c>
      <c r="L102" t="s">
        <v>41</v>
      </c>
      <c r="M102" t="s">
        <v>1489</v>
      </c>
      <c r="N102" s="7">
        <f t="shared" si="2"/>
        <v>1647372</v>
      </c>
      <c r="O102" s="7">
        <f t="shared" si="3"/>
        <v>13728.1</v>
      </c>
    </row>
    <row r="103" spans="1:15" x14ac:dyDescent="0.35">
      <c r="A103" s="5">
        <v>102</v>
      </c>
      <c r="B103" t="s">
        <v>304</v>
      </c>
      <c r="C103" t="s">
        <v>305</v>
      </c>
      <c r="D103" t="s">
        <v>1485</v>
      </c>
      <c r="E103" t="s">
        <v>203</v>
      </c>
      <c r="F103" s="1">
        <v>39669</v>
      </c>
      <c r="G103" s="28">
        <v>13</v>
      </c>
      <c r="H103" s="26">
        <v>114970</v>
      </c>
      <c r="I103" t="s">
        <v>306</v>
      </c>
      <c r="J103" t="s">
        <v>16</v>
      </c>
      <c r="K103" t="s">
        <v>17</v>
      </c>
      <c r="L103" t="s">
        <v>41</v>
      </c>
      <c r="M103" t="s">
        <v>1489</v>
      </c>
      <c r="N103" s="7">
        <f t="shared" si="2"/>
        <v>1379640</v>
      </c>
      <c r="O103" s="7">
        <f t="shared" si="3"/>
        <v>11497</v>
      </c>
    </row>
    <row r="104" spans="1:15" x14ac:dyDescent="0.35">
      <c r="A104" s="5">
        <v>103</v>
      </c>
      <c r="B104" t="s">
        <v>140</v>
      </c>
      <c r="C104" t="s">
        <v>307</v>
      </c>
      <c r="D104" t="s">
        <v>1485</v>
      </c>
      <c r="E104" t="s">
        <v>26</v>
      </c>
      <c r="F104" s="1">
        <v>37821</v>
      </c>
      <c r="G104" s="28">
        <v>18</v>
      </c>
      <c r="H104" s="26">
        <v>126001</v>
      </c>
      <c r="I104" t="s">
        <v>15</v>
      </c>
      <c r="J104" t="s">
        <v>50</v>
      </c>
      <c r="K104" t="s">
        <v>40</v>
      </c>
      <c r="L104" t="s">
        <v>29</v>
      </c>
      <c r="M104" t="s">
        <v>1491</v>
      </c>
      <c r="N104" s="7">
        <f t="shared" si="2"/>
        <v>1512012</v>
      </c>
      <c r="O104" s="7">
        <f t="shared" si="3"/>
        <v>12600.1</v>
      </c>
    </row>
    <row r="105" spans="1:15" x14ac:dyDescent="0.35">
      <c r="A105" s="5">
        <v>104</v>
      </c>
      <c r="B105" t="s">
        <v>308</v>
      </c>
      <c r="C105" t="s">
        <v>309</v>
      </c>
      <c r="D105" t="s">
        <v>1485</v>
      </c>
      <c r="E105" t="s">
        <v>37</v>
      </c>
      <c r="F105" s="1">
        <v>37880</v>
      </c>
      <c r="G105" s="28">
        <v>18</v>
      </c>
      <c r="H105" s="26">
        <v>78736</v>
      </c>
      <c r="I105" t="s">
        <v>310</v>
      </c>
      <c r="J105" t="s">
        <v>50</v>
      </c>
      <c r="K105" t="s">
        <v>40</v>
      </c>
      <c r="L105" t="s">
        <v>41</v>
      </c>
      <c r="M105" t="s">
        <v>1489</v>
      </c>
      <c r="N105" s="7">
        <f t="shared" si="2"/>
        <v>944832</v>
      </c>
      <c r="O105" s="7">
        <f t="shared" si="3"/>
        <v>7873.6</v>
      </c>
    </row>
    <row r="106" spans="1:15" x14ac:dyDescent="0.35">
      <c r="A106" s="5">
        <v>105</v>
      </c>
      <c r="B106" t="s">
        <v>212</v>
      </c>
      <c r="C106" t="s">
        <v>311</v>
      </c>
      <c r="D106" t="s">
        <v>1485</v>
      </c>
      <c r="E106" t="s">
        <v>312</v>
      </c>
      <c r="F106" s="1">
        <v>40072</v>
      </c>
      <c r="G106" s="28">
        <v>12</v>
      </c>
      <c r="H106" s="26">
        <v>80830</v>
      </c>
      <c r="I106" t="s">
        <v>313</v>
      </c>
      <c r="J106" t="s">
        <v>55</v>
      </c>
      <c r="K106" t="s">
        <v>17</v>
      </c>
      <c r="L106" t="s">
        <v>41</v>
      </c>
      <c r="M106" t="s">
        <v>1489</v>
      </c>
      <c r="N106" s="7">
        <f t="shared" si="2"/>
        <v>969960</v>
      </c>
      <c r="O106" s="7">
        <f t="shared" si="3"/>
        <v>8083</v>
      </c>
    </row>
    <row r="107" spans="1:15" x14ac:dyDescent="0.35">
      <c r="A107" s="5">
        <v>106</v>
      </c>
      <c r="B107" t="s">
        <v>314</v>
      </c>
      <c r="C107" t="s">
        <v>315</v>
      </c>
      <c r="D107" t="s">
        <v>1485</v>
      </c>
      <c r="E107" t="s">
        <v>85</v>
      </c>
      <c r="F107" s="1">
        <v>40031</v>
      </c>
      <c r="G107" s="28">
        <v>12</v>
      </c>
      <c r="H107" s="26">
        <v>47879</v>
      </c>
      <c r="I107" t="s">
        <v>223</v>
      </c>
      <c r="J107" t="s">
        <v>91</v>
      </c>
      <c r="K107" t="s">
        <v>40</v>
      </c>
      <c r="L107" t="s">
        <v>41</v>
      </c>
      <c r="M107" t="s">
        <v>1489</v>
      </c>
      <c r="N107" s="7">
        <f t="shared" si="2"/>
        <v>574548</v>
      </c>
      <c r="O107" s="7">
        <f t="shared" si="3"/>
        <v>4787.9000000000005</v>
      </c>
    </row>
    <row r="108" spans="1:15" x14ac:dyDescent="0.35">
      <c r="A108" s="5">
        <v>107</v>
      </c>
      <c r="B108" t="s">
        <v>316</v>
      </c>
      <c r="C108" t="s">
        <v>317</v>
      </c>
      <c r="D108" t="s">
        <v>1486</v>
      </c>
      <c r="E108" t="s">
        <v>14</v>
      </c>
      <c r="F108" s="1">
        <v>38077</v>
      </c>
      <c r="G108" s="28">
        <v>17</v>
      </c>
      <c r="H108" s="26">
        <v>132634</v>
      </c>
      <c r="I108" t="s">
        <v>156</v>
      </c>
      <c r="J108" t="s">
        <v>16</v>
      </c>
      <c r="K108" t="s">
        <v>17</v>
      </c>
      <c r="L108" t="s">
        <v>18</v>
      </c>
      <c r="M108" t="s">
        <v>1489</v>
      </c>
      <c r="N108" s="7">
        <f t="shared" si="2"/>
        <v>1591608</v>
      </c>
      <c r="O108" s="7">
        <f t="shared" si="3"/>
        <v>13263.400000000001</v>
      </c>
    </row>
    <row r="109" spans="1:15" x14ac:dyDescent="0.35">
      <c r="A109" s="5">
        <v>108</v>
      </c>
      <c r="B109" t="s">
        <v>318</v>
      </c>
      <c r="C109" t="s">
        <v>319</v>
      </c>
      <c r="D109" t="s">
        <v>1485</v>
      </c>
      <c r="E109" t="s">
        <v>69</v>
      </c>
      <c r="F109" s="1">
        <v>38547</v>
      </c>
      <c r="G109" s="28">
        <v>16</v>
      </c>
      <c r="H109" s="26">
        <v>68344</v>
      </c>
      <c r="I109" t="s">
        <v>290</v>
      </c>
      <c r="J109" t="s">
        <v>39</v>
      </c>
      <c r="K109" t="s">
        <v>40</v>
      </c>
      <c r="L109" t="s">
        <v>41</v>
      </c>
      <c r="M109" t="s">
        <v>1491</v>
      </c>
      <c r="N109" s="7">
        <f t="shared" si="2"/>
        <v>820128</v>
      </c>
      <c r="O109" s="7">
        <f t="shared" si="3"/>
        <v>6834.4000000000005</v>
      </c>
    </row>
    <row r="110" spans="1:15" x14ac:dyDescent="0.35">
      <c r="A110" s="5">
        <v>109</v>
      </c>
      <c r="B110" t="s">
        <v>296</v>
      </c>
      <c r="C110" t="s">
        <v>320</v>
      </c>
      <c r="D110" t="s">
        <v>1486</v>
      </c>
      <c r="E110" t="s">
        <v>69</v>
      </c>
      <c r="F110" s="1">
        <v>44118</v>
      </c>
      <c r="G110" s="28">
        <v>14</v>
      </c>
      <c r="H110" s="26">
        <v>147868</v>
      </c>
      <c r="I110" t="s">
        <v>321</v>
      </c>
      <c r="J110" t="s">
        <v>50</v>
      </c>
      <c r="K110" t="s">
        <v>40</v>
      </c>
      <c r="L110" t="s">
        <v>41</v>
      </c>
      <c r="M110" t="s">
        <v>1489</v>
      </c>
      <c r="N110" s="7">
        <f t="shared" si="2"/>
        <v>1774416</v>
      </c>
      <c r="O110" s="7">
        <f t="shared" si="3"/>
        <v>14786.800000000001</v>
      </c>
    </row>
    <row r="111" spans="1:15" x14ac:dyDescent="0.35">
      <c r="A111" s="5">
        <v>110</v>
      </c>
      <c r="B111" t="s">
        <v>322</v>
      </c>
      <c r="C111" t="s">
        <v>323</v>
      </c>
      <c r="D111" t="s">
        <v>1485</v>
      </c>
      <c r="E111" t="s">
        <v>122</v>
      </c>
      <c r="F111" s="1">
        <v>40648</v>
      </c>
      <c r="G111" s="28">
        <v>10</v>
      </c>
      <c r="H111" s="26">
        <v>67255</v>
      </c>
      <c r="I111" t="s">
        <v>324</v>
      </c>
      <c r="J111" t="s">
        <v>55</v>
      </c>
      <c r="K111" t="s">
        <v>17</v>
      </c>
      <c r="L111" t="s">
        <v>123</v>
      </c>
      <c r="M111" t="s">
        <v>1489</v>
      </c>
      <c r="N111" s="7">
        <f t="shared" si="2"/>
        <v>807060</v>
      </c>
      <c r="O111" s="7">
        <f t="shared" si="3"/>
        <v>6725.5</v>
      </c>
    </row>
    <row r="112" spans="1:15" x14ac:dyDescent="0.35">
      <c r="A112" s="5">
        <v>111</v>
      </c>
      <c r="B112" t="s">
        <v>325</v>
      </c>
      <c r="C112" t="s">
        <v>326</v>
      </c>
      <c r="D112" t="s">
        <v>1486</v>
      </c>
      <c r="E112" t="s">
        <v>14</v>
      </c>
      <c r="F112" s="1">
        <v>45821</v>
      </c>
      <c r="G112" s="28">
        <v>9</v>
      </c>
      <c r="H112" s="26">
        <v>47494</v>
      </c>
      <c r="I112" t="s">
        <v>327</v>
      </c>
      <c r="J112" t="s">
        <v>50</v>
      </c>
      <c r="K112" t="s">
        <v>40</v>
      </c>
      <c r="L112" t="s">
        <v>18</v>
      </c>
      <c r="M112" t="s">
        <v>1489</v>
      </c>
      <c r="N112" s="7">
        <f t="shared" si="2"/>
        <v>569928</v>
      </c>
      <c r="O112" s="7">
        <f t="shared" si="3"/>
        <v>4749.4000000000005</v>
      </c>
    </row>
    <row r="113" spans="1:15" x14ac:dyDescent="0.35">
      <c r="A113" s="5">
        <v>112</v>
      </c>
      <c r="B113" t="s">
        <v>328</v>
      </c>
      <c r="C113" t="s">
        <v>329</v>
      </c>
      <c r="D113" t="s">
        <v>1486</v>
      </c>
      <c r="E113" t="s">
        <v>61</v>
      </c>
      <c r="F113" s="1">
        <v>46222</v>
      </c>
      <c r="G113" s="28">
        <v>8</v>
      </c>
      <c r="H113" s="26">
        <v>127645</v>
      </c>
      <c r="I113" t="s">
        <v>330</v>
      </c>
      <c r="J113" t="s">
        <v>46</v>
      </c>
      <c r="K113" t="s">
        <v>17</v>
      </c>
      <c r="L113" t="s">
        <v>63</v>
      </c>
      <c r="M113" t="s">
        <v>1489</v>
      </c>
      <c r="N113" s="7">
        <f t="shared" si="2"/>
        <v>1531740</v>
      </c>
      <c r="O113" s="7">
        <f t="shared" si="3"/>
        <v>12764.5</v>
      </c>
    </row>
    <row r="114" spans="1:15" x14ac:dyDescent="0.35">
      <c r="A114" s="5">
        <v>113</v>
      </c>
      <c r="B114" t="s">
        <v>331</v>
      </c>
      <c r="C114" t="s">
        <v>332</v>
      </c>
      <c r="D114" t="s">
        <v>1485</v>
      </c>
      <c r="E114" t="s">
        <v>73</v>
      </c>
      <c r="F114" s="1">
        <v>36586</v>
      </c>
      <c r="G114" s="28">
        <v>21</v>
      </c>
      <c r="H114" s="26">
        <v>54413</v>
      </c>
      <c r="I114" t="s">
        <v>235</v>
      </c>
      <c r="J114" t="s">
        <v>91</v>
      </c>
      <c r="K114" t="s">
        <v>40</v>
      </c>
      <c r="L114" t="s">
        <v>41</v>
      </c>
      <c r="M114" t="s">
        <v>1489</v>
      </c>
      <c r="N114" s="7">
        <f t="shared" si="2"/>
        <v>652956</v>
      </c>
      <c r="O114" s="7">
        <f t="shared" si="3"/>
        <v>5441.3</v>
      </c>
    </row>
    <row r="115" spans="1:15" x14ac:dyDescent="0.35">
      <c r="A115" s="5">
        <v>114</v>
      </c>
      <c r="B115" t="s">
        <v>333</v>
      </c>
      <c r="C115" t="s">
        <v>334</v>
      </c>
      <c r="D115" t="s">
        <v>1485</v>
      </c>
      <c r="E115" t="s">
        <v>37</v>
      </c>
      <c r="F115" s="1">
        <v>41249</v>
      </c>
      <c r="G115" s="28">
        <v>9</v>
      </c>
      <c r="H115" s="26">
        <v>136790</v>
      </c>
      <c r="I115" t="s">
        <v>136</v>
      </c>
      <c r="J115" t="s">
        <v>16</v>
      </c>
      <c r="K115" t="s">
        <v>17</v>
      </c>
      <c r="L115" t="s">
        <v>41</v>
      </c>
      <c r="M115" t="s">
        <v>1491</v>
      </c>
      <c r="N115" s="7">
        <f t="shared" si="2"/>
        <v>1641480</v>
      </c>
      <c r="O115" s="7">
        <f t="shared" si="3"/>
        <v>13679</v>
      </c>
    </row>
    <row r="116" spans="1:15" x14ac:dyDescent="0.35">
      <c r="A116" s="5">
        <v>115</v>
      </c>
      <c r="B116" t="s">
        <v>87</v>
      </c>
      <c r="C116" t="s">
        <v>335</v>
      </c>
      <c r="D116" t="s">
        <v>1486</v>
      </c>
      <c r="E116" t="s">
        <v>69</v>
      </c>
      <c r="F116" s="1">
        <v>44012</v>
      </c>
      <c r="G116" s="28">
        <v>14</v>
      </c>
      <c r="H116" s="26">
        <v>58420</v>
      </c>
      <c r="I116" t="s">
        <v>336</v>
      </c>
      <c r="J116" t="s">
        <v>46</v>
      </c>
      <c r="K116" t="s">
        <v>17</v>
      </c>
      <c r="L116" t="s">
        <v>41</v>
      </c>
      <c r="M116" t="s">
        <v>1489</v>
      </c>
      <c r="N116" s="7">
        <f t="shared" si="2"/>
        <v>701040</v>
      </c>
      <c r="O116" s="7">
        <f t="shared" si="3"/>
        <v>5842</v>
      </c>
    </row>
    <row r="117" spans="1:15" x14ac:dyDescent="0.35">
      <c r="A117" s="5">
        <v>116</v>
      </c>
      <c r="B117" t="s">
        <v>337</v>
      </c>
      <c r="C117" t="s">
        <v>338</v>
      </c>
      <c r="D117" t="s">
        <v>1485</v>
      </c>
      <c r="E117" t="s">
        <v>100</v>
      </c>
      <c r="F117" s="1">
        <v>37273</v>
      </c>
      <c r="G117" s="28">
        <v>19</v>
      </c>
      <c r="H117" s="26">
        <v>73813</v>
      </c>
      <c r="I117" t="s">
        <v>209</v>
      </c>
      <c r="J117" t="s">
        <v>28</v>
      </c>
      <c r="K117" t="s">
        <v>17</v>
      </c>
      <c r="L117" t="s">
        <v>29</v>
      </c>
      <c r="M117" t="s">
        <v>1489</v>
      </c>
      <c r="N117" s="7">
        <f t="shared" si="2"/>
        <v>885756</v>
      </c>
      <c r="O117" s="7">
        <f t="shared" si="3"/>
        <v>7381.3</v>
      </c>
    </row>
    <row r="118" spans="1:15" x14ac:dyDescent="0.35">
      <c r="A118" s="5">
        <v>117</v>
      </c>
      <c r="B118" t="s">
        <v>339</v>
      </c>
      <c r="C118" t="s">
        <v>340</v>
      </c>
      <c r="D118" t="s">
        <v>1485</v>
      </c>
      <c r="E118" t="s">
        <v>61</v>
      </c>
      <c r="F118" s="1">
        <v>41184</v>
      </c>
      <c r="G118" s="28">
        <v>9</v>
      </c>
      <c r="H118" s="26">
        <v>49644</v>
      </c>
      <c r="I118" t="s">
        <v>107</v>
      </c>
      <c r="J118" t="s">
        <v>55</v>
      </c>
      <c r="K118" t="s">
        <v>17</v>
      </c>
      <c r="L118" t="s">
        <v>63</v>
      </c>
      <c r="M118" t="s">
        <v>1489</v>
      </c>
      <c r="N118" s="7">
        <f t="shared" si="2"/>
        <v>595728</v>
      </c>
      <c r="O118" s="7">
        <f t="shared" si="3"/>
        <v>4964.4000000000005</v>
      </c>
    </row>
    <row r="119" spans="1:15" x14ac:dyDescent="0.35">
      <c r="A119" s="5">
        <v>118</v>
      </c>
      <c r="B119" t="s">
        <v>341</v>
      </c>
      <c r="C119" t="s">
        <v>342</v>
      </c>
      <c r="D119" t="s">
        <v>1485</v>
      </c>
      <c r="E119" t="s">
        <v>26</v>
      </c>
      <c r="F119" s="1">
        <v>40059</v>
      </c>
      <c r="G119" s="28">
        <v>12</v>
      </c>
      <c r="H119" s="26">
        <v>87134</v>
      </c>
      <c r="I119" t="s">
        <v>139</v>
      </c>
      <c r="J119" t="s">
        <v>28</v>
      </c>
      <c r="K119" t="s">
        <v>17</v>
      </c>
      <c r="L119" t="s">
        <v>29</v>
      </c>
      <c r="M119" t="s">
        <v>1489</v>
      </c>
      <c r="N119" s="7">
        <f t="shared" si="2"/>
        <v>1045608</v>
      </c>
      <c r="O119" s="7">
        <f t="shared" si="3"/>
        <v>8713.4</v>
      </c>
    </row>
    <row r="120" spans="1:15" x14ac:dyDescent="0.35">
      <c r="A120" s="5">
        <v>119</v>
      </c>
      <c r="B120" t="s">
        <v>243</v>
      </c>
      <c r="C120" t="s">
        <v>343</v>
      </c>
      <c r="D120" t="s">
        <v>1486</v>
      </c>
      <c r="E120" t="s">
        <v>69</v>
      </c>
      <c r="F120" s="1">
        <v>44475</v>
      </c>
      <c r="G120" s="28">
        <v>13</v>
      </c>
      <c r="H120" s="26">
        <v>148408</v>
      </c>
      <c r="I120" t="s">
        <v>344</v>
      </c>
      <c r="J120" t="s">
        <v>28</v>
      </c>
      <c r="K120" t="s">
        <v>17</v>
      </c>
      <c r="L120" t="s">
        <v>41</v>
      </c>
      <c r="M120" t="s">
        <v>1489</v>
      </c>
      <c r="N120" s="7">
        <f t="shared" si="2"/>
        <v>1780896</v>
      </c>
      <c r="O120" s="7">
        <f t="shared" si="3"/>
        <v>14840.800000000001</v>
      </c>
    </row>
    <row r="121" spans="1:15" x14ac:dyDescent="0.35">
      <c r="A121" s="5">
        <v>120</v>
      </c>
      <c r="B121" t="s">
        <v>345</v>
      </c>
      <c r="C121" t="s">
        <v>346</v>
      </c>
      <c r="D121" t="s">
        <v>1486</v>
      </c>
      <c r="E121" t="s">
        <v>53</v>
      </c>
      <c r="F121" s="1">
        <v>44219</v>
      </c>
      <c r="G121" s="28">
        <v>13</v>
      </c>
      <c r="H121" s="26">
        <v>77335</v>
      </c>
      <c r="I121" t="s">
        <v>287</v>
      </c>
      <c r="J121" t="s">
        <v>55</v>
      </c>
      <c r="K121" t="s">
        <v>17</v>
      </c>
      <c r="L121" t="s">
        <v>23</v>
      </c>
      <c r="M121" t="s">
        <v>1491</v>
      </c>
      <c r="N121" s="7">
        <f t="shared" si="2"/>
        <v>928020</v>
      </c>
      <c r="O121" s="7">
        <f t="shared" si="3"/>
        <v>7733.5</v>
      </c>
    </row>
    <row r="122" spans="1:15" x14ac:dyDescent="0.35">
      <c r="A122" s="5">
        <v>121</v>
      </c>
      <c r="B122" t="s">
        <v>347</v>
      </c>
      <c r="C122" t="s">
        <v>348</v>
      </c>
      <c r="D122" t="s">
        <v>1486</v>
      </c>
      <c r="E122" t="s">
        <v>21</v>
      </c>
      <c r="F122" s="1">
        <v>44048</v>
      </c>
      <c r="G122" s="28">
        <v>14</v>
      </c>
      <c r="H122" s="26">
        <v>131409</v>
      </c>
      <c r="I122" t="s">
        <v>349</v>
      </c>
      <c r="J122" t="s">
        <v>39</v>
      </c>
      <c r="K122" t="s">
        <v>40</v>
      </c>
      <c r="L122" t="s">
        <v>23</v>
      </c>
      <c r="M122" t="s">
        <v>1489</v>
      </c>
      <c r="N122" s="7">
        <f t="shared" si="2"/>
        <v>1576908</v>
      </c>
      <c r="O122" s="7">
        <f t="shared" si="3"/>
        <v>13140.900000000001</v>
      </c>
    </row>
    <row r="123" spans="1:15" x14ac:dyDescent="0.35">
      <c r="A123" s="5">
        <v>122</v>
      </c>
      <c r="B123" t="s">
        <v>350</v>
      </c>
      <c r="C123" t="s">
        <v>351</v>
      </c>
      <c r="D123" t="s">
        <v>1485</v>
      </c>
      <c r="E123" t="s">
        <v>73</v>
      </c>
      <c r="F123" s="1">
        <v>36948</v>
      </c>
      <c r="G123" s="28">
        <v>20</v>
      </c>
      <c r="H123" s="26">
        <v>77530</v>
      </c>
      <c r="I123" t="s">
        <v>145</v>
      </c>
      <c r="J123" t="s">
        <v>46</v>
      </c>
      <c r="K123" t="s">
        <v>17</v>
      </c>
      <c r="L123" t="s">
        <v>41</v>
      </c>
      <c r="M123" t="s">
        <v>1489</v>
      </c>
      <c r="N123" s="7">
        <f t="shared" si="2"/>
        <v>930360</v>
      </c>
      <c r="O123" s="7">
        <f t="shared" si="3"/>
        <v>7753</v>
      </c>
    </row>
    <row r="124" spans="1:15" x14ac:dyDescent="0.35">
      <c r="A124" s="5">
        <v>123</v>
      </c>
      <c r="B124" t="s">
        <v>352</v>
      </c>
      <c r="C124" t="s">
        <v>353</v>
      </c>
      <c r="D124" t="s">
        <v>1486</v>
      </c>
      <c r="E124" t="s">
        <v>110</v>
      </c>
      <c r="F124" s="1">
        <v>37372</v>
      </c>
      <c r="G124" s="28">
        <v>19</v>
      </c>
      <c r="H124" s="26">
        <v>101875</v>
      </c>
      <c r="I124" t="s">
        <v>115</v>
      </c>
      <c r="J124" t="s">
        <v>55</v>
      </c>
      <c r="K124" t="s">
        <v>17</v>
      </c>
      <c r="L124" t="s">
        <v>112</v>
      </c>
      <c r="M124" t="s">
        <v>1489</v>
      </c>
      <c r="N124" s="7">
        <f t="shared" si="2"/>
        <v>1222500</v>
      </c>
      <c r="O124" s="7">
        <f t="shared" si="3"/>
        <v>10187.5</v>
      </c>
    </row>
    <row r="125" spans="1:15" x14ac:dyDescent="0.35">
      <c r="A125" s="5">
        <v>124</v>
      </c>
      <c r="B125" t="s">
        <v>354</v>
      </c>
      <c r="C125" t="s">
        <v>355</v>
      </c>
      <c r="D125" t="s">
        <v>1486</v>
      </c>
      <c r="E125" t="s">
        <v>37</v>
      </c>
      <c r="F125" s="1">
        <v>38693</v>
      </c>
      <c r="G125" s="28">
        <v>16</v>
      </c>
      <c r="H125" s="26">
        <v>144028</v>
      </c>
      <c r="I125" t="s">
        <v>45</v>
      </c>
      <c r="J125" t="s">
        <v>50</v>
      </c>
      <c r="K125" t="s">
        <v>40</v>
      </c>
      <c r="L125" t="s">
        <v>41</v>
      </c>
      <c r="M125" t="s">
        <v>1489</v>
      </c>
      <c r="N125" s="7">
        <f t="shared" si="2"/>
        <v>1728336</v>
      </c>
      <c r="O125" s="7">
        <f t="shared" si="3"/>
        <v>14402.800000000001</v>
      </c>
    </row>
    <row r="126" spans="1:15" x14ac:dyDescent="0.35">
      <c r="A126" s="5">
        <v>125</v>
      </c>
      <c r="B126" t="s">
        <v>356</v>
      </c>
      <c r="C126" t="s">
        <v>357</v>
      </c>
      <c r="D126" t="s">
        <v>1486</v>
      </c>
      <c r="E126" t="s">
        <v>61</v>
      </c>
      <c r="F126" s="1">
        <v>45782</v>
      </c>
      <c r="G126" s="28">
        <v>9</v>
      </c>
      <c r="H126" s="26">
        <v>140708</v>
      </c>
      <c r="I126" t="s">
        <v>153</v>
      </c>
      <c r="J126" t="s">
        <v>46</v>
      </c>
      <c r="K126" t="s">
        <v>17</v>
      </c>
      <c r="L126" t="s">
        <v>63</v>
      </c>
      <c r="M126" t="s">
        <v>1491</v>
      </c>
      <c r="N126" s="7">
        <f t="shared" si="2"/>
        <v>1688496</v>
      </c>
      <c r="O126" s="7">
        <f t="shared" si="3"/>
        <v>14070.800000000001</v>
      </c>
    </row>
    <row r="127" spans="1:15" x14ac:dyDescent="0.35">
      <c r="A127" s="5">
        <v>126</v>
      </c>
      <c r="B127" t="s">
        <v>358</v>
      </c>
      <c r="C127" t="s">
        <v>359</v>
      </c>
      <c r="D127" t="s">
        <v>1485</v>
      </c>
      <c r="E127" t="s">
        <v>312</v>
      </c>
      <c r="F127" s="1">
        <v>41466</v>
      </c>
      <c r="G127" s="28">
        <v>8</v>
      </c>
      <c r="H127" s="26">
        <v>79172</v>
      </c>
      <c r="I127" t="s">
        <v>360</v>
      </c>
      <c r="J127" t="s">
        <v>39</v>
      </c>
      <c r="K127" t="s">
        <v>40</v>
      </c>
      <c r="L127" t="s">
        <v>41</v>
      </c>
      <c r="M127" t="s">
        <v>1489</v>
      </c>
      <c r="N127" s="7">
        <f t="shared" si="2"/>
        <v>950064</v>
      </c>
      <c r="O127" s="7">
        <f t="shared" si="3"/>
        <v>7917.2000000000007</v>
      </c>
    </row>
    <row r="128" spans="1:15" x14ac:dyDescent="0.35">
      <c r="A128" s="5">
        <v>127</v>
      </c>
      <c r="B128" t="s">
        <v>361</v>
      </c>
      <c r="C128" t="s">
        <v>362</v>
      </c>
      <c r="D128" t="s">
        <v>1486</v>
      </c>
      <c r="E128" t="s">
        <v>148</v>
      </c>
      <c r="F128" s="1">
        <v>36664</v>
      </c>
      <c r="G128" s="28">
        <v>21</v>
      </c>
      <c r="H128" s="26">
        <v>144639</v>
      </c>
      <c r="I128" t="s">
        <v>97</v>
      </c>
      <c r="J128" t="s">
        <v>39</v>
      </c>
      <c r="K128" t="s">
        <v>40</v>
      </c>
      <c r="L128" t="s">
        <v>112</v>
      </c>
      <c r="M128" t="s">
        <v>1489</v>
      </c>
      <c r="N128" s="7">
        <f t="shared" si="2"/>
        <v>1735668</v>
      </c>
      <c r="O128" s="7">
        <f t="shared" si="3"/>
        <v>14463.900000000001</v>
      </c>
    </row>
    <row r="129" spans="1:15" x14ac:dyDescent="0.35">
      <c r="A129" s="5">
        <v>128</v>
      </c>
      <c r="B129" t="s">
        <v>363</v>
      </c>
      <c r="C129" t="s">
        <v>364</v>
      </c>
      <c r="D129" t="s">
        <v>1485</v>
      </c>
      <c r="E129" t="s">
        <v>14</v>
      </c>
      <c r="F129" s="1">
        <v>37704</v>
      </c>
      <c r="G129" s="28">
        <v>18</v>
      </c>
      <c r="H129" s="26">
        <v>109449</v>
      </c>
      <c r="I129" t="s">
        <v>365</v>
      </c>
      <c r="J129" t="s">
        <v>39</v>
      </c>
      <c r="K129" t="s">
        <v>40</v>
      </c>
      <c r="L129" t="s">
        <v>18</v>
      </c>
      <c r="M129" t="s">
        <v>1489</v>
      </c>
      <c r="N129" s="7">
        <f t="shared" si="2"/>
        <v>1313388</v>
      </c>
      <c r="O129" s="7">
        <f t="shared" si="3"/>
        <v>10944.900000000001</v>
      </c>
    </row>
    <row r="130" spans="1:15" x14ac:dyDescent="0.35">
      <c r="A130" s="5">
        <v>129</v>
      </c>
      <c r="B130" t="s">
        <v>248</v>
      </c>
      <c r="C130" t="s">
        <v>366</v>
      </c>
      <c r="D130" t="s">
        <v>1486</v>
      </c>
      <c r="E130" t="s">
        <v>14</v>
      </c>
      <c r="F130" s="1">
        <v>39005</v>
      </c>
      <c r="G130" s="28">
        <v>15</v>
      </c>
      <c r="H130" s="26">
        <v>108441</v>
      </c>
      <c r="I130" t="s">
        <v>153</v>
      </c>
      <c r="J130" t="s">
        <v>50</v>
      </c>
      <c r="K130" t="s">
        <v>40</v>
      </c>
      <c r="L130" t="s">
        <v>18</v>
      </c>
      <c r="M130" t="s">
        <v>1489</v>
      </c>
      <c r="N130" s="7">
        <f t="shared" ref="N130:N193" si="4">H130*12</f>
        <v>1301292</v>
      </c>
      <c r="O130" s="7">
        <f t="shared" ref="O130:O193" si="5">H130*10%</f>
        <v>10844.1</v>
      </c>
    </row>
    <row r="131" spans="1:15" x14ac:dyDescent="0.35">
      <c r="A131" s="5">
        <v>130</v>
      </c>
      <c r="B131" t="s">
        <v>367</v>
      </c>
      <c r="C131" t="s">
        <v>368</v>
      </c>
      <c r="D131" t="s">
        <v>1486</v>
      </c>
      <c r="E131" t="s">
        <v>79</v>
      </c>
      <c r="F131" s="1">
        <v>44380</v>
      </c>
      <c r="G131" s="28">
        <v>13</v>
      </c>
      <c r="H131" s="26">
        <v>145692</v>
      </c>
      <c r="I131" t="s">
        <v>27</v>
      </c>
      <c r="J131" t="s">
        <v>91</v>
      </c>
      <c r="K131" t="s">
        <v>40</v>
      </c>
      <c r="L131" t="s">
        <v>41</v>
      </c>
      <c r="M131" t="s">
        <v>1489</v>
      </c>
      <c r="N131" s="7">
        <f t="shared" si="4"/>
        <v>1748304</v>
      </c>
      <c r="O131" s="7">
        <f t="shared" si="5"/>
        <v>14569.2</v>
      </c>
    </row>
    <row r="132" spans="1:15" x14ac:dyDescent="0.35">
      <c r="A132" s="5">
        <v>131</v>
      </c>
      <c r="B132" t="s">
        <v>12</v>
      </c>
      <c r="C132" t="s">
        <v>369</v>
      </c>
      <c r="D132" t="s">
        <v>1485</v>
      </c>
      <c r="E132" t="s">
        <v>312</v>
      </c>
      <c r="F132" s="1">
        <v>36580</v>
      </c>
      <c r="G132" s="28">
        <v>21</v>
      </c>
      <c r="H132" s="26">
        <v>120377</v>
      </c>
      <c r="I132" t="s">
        <v>370</v>
      </c>
      <c r="J132" t="s">
        <v>55</v>
      </c>
      <c r="K132" t="s">
        <v>17</v>
      </c>
      <c r="L132" t="s">
        <v>41</v>
      </c>
      <c r="M132" t="s">
        <v>1489</v>
      </c>
      <c r="N132" s="7">
        <f t="shared" si="4"/>
        <v>1444524</v>
      </c>
      <c r="O132" s="7">
        <f t="shared" si="5"/>
        <v>12037.7</v>
      </c>
    </row>
    <row r="133" spans="1:15" x14ac:dyDescent="0.35">
      <c r="A133" s="5">
        <v>132</v>
      </c>
      <c r="B133" t="s">
        <v>371</v>
      </c>
      <c r="C133" t="s">
        <v>372</v>
      </c>
      <c r="D133" t="s">
        <v>1486</v>
      </c>
      <c r="E133" t="s">
        <v>89</v>
      </c>
      <c r="F133" s="1">
        <v>37755</v>
      </c>
      <c r="G133" s="28">
        <v>18</v>
      </c>
      <c r="H133" s="26">
        <v>63929</v>
      </c>
      <c r="I133" t="s">
        <v>281</v>
      </c>
      <c r="J133" t="s">
        <v>91</v>
      </c>
      <c r="K133" t="s">
        <v>40</v>
      </c>
      <c r="L133" t="s">
        <v>41</v>
      </c>
      <c r="M133" t="s">
        <v>1489</v>
      </c>
      <c r="N133" s="7">
        <f t="shared" si="4"/>
        <v>767148</v>
      </c>
      <c r="O133" s="7">
        <f t="shared" si="5"/>
        <v>6392.9000000000005</v>
      </c>
    </row>
    <row r="134" spans="1:15" x14ac:dyDescent="0.35">
      <c r="A134" s="5">
        <v>133</v>
      </c>
      <c r="B134" t="s">
        <v>270</v>
      </c>
      <c r="C134" t="s">
        <v>373</v>
      </c>
      <c r="D134" t="s">
        <v>1485</v>
      </c>
      <c r="E134" t="s">
        <v>79</v>
      </c>
      <c r="F134" s="1">
        <v>36923</v>
      </c>
      <c r="G134" s="28">
        <v>20</v>
      </c>
      <c r="H134" s="26">
        <v>124853</v>
      </c>
      <c r="I134" t="s">
        <v>374</v>
      </c>
      <c r="J134" t="s">
        <v>16</v>
      </c>
      <c r="K134" t="s">
        <v>17</v>
      </c>
      <c r="L134" t="s">
        <v>41</v>
      </c>
      <c r="M134" t="s">
        <v>1489</v>
      </c>
      <c r="N134" s="7">
        <f t="shared" si="4"/>
        <v>1498236</v>
      </c>
      <c r="O134" s="7">
        <f t="shared" si="5"/>
        <v>12485.300000000001</v>
      </c>
    </row>
    <row r="135" spans="1:15" x14ac:dyDescent="0.35">
      <c r="A135" s="5">
        <v>134</v>
      </c>
      <c r="B135" t="s">
        <v>375</v>
      </c>
      <c r="C135" t="s">
        <v>376</v>
      </c>
      <c r="D135" t="s">
        <v>1486</v>
      </c>
      <c r="E135" t="s">
        <v>148</v>
      </c>
      <c r="F135" s="1">
        <v>45080</v>
      </c>
      <c r="G135" s="28">
        <v>11</v>
      </c>
      <c r="H135" s="26">
        <v>99854</v>
      </c>
      <c r="I135" t="s">
        <v>191</v>
      </c>
      <c r="J135" t="s">
        <v>50</v>
      </c>
      <c r="K135" t="s">
        <v>40</v>
      </c>
      <c r="L135" t="s">
        <v>112</v>
      </c>
      <c r="M135" t="s">
        <v>1489</v>
      </c>
      <c r="N135" s="7">
        <f t="shared" si="4"/>
        <v>1198248</v>
      </c>
      <c r="O135" s="7">
        <f t="shared" si="5"/>
        <v>9985.4000000000015</v>
      </c>
    </row>
    <row r="136" spans="1:15" x14ac:dyDescent="0.35">
      <c r="A136" s="5">
        <v>135</v>
      </c>
      <c r="B136" t="s">
        <v>377</v>
      </c>
      <c r="C136" t="s">
        <v>378</v>
      </c>
      <c r="D136" t="s">
        <v>1486</v>
      </c>
      <c r="E136" t="s">
        <v>85</v>
      </c>
      <c r="F136" s="1">
        <v>46245</v>
      </c>
      <c r="G136" s="28">
        <v>8</v>
      </c>
      <c r="H136" s="26">
        <v>58675</v>
      </c>
      <c r="I136" t="s">
        <v>349</v>
      </c>
      <c r="J136" t="s">
        <v>28</v>
      </c>
      <c r="K136" t="s">
        <v>17</v>
      </c>
      <c r="L136" t="s">
        <v>41</v>
      </c>
      <c r="M136" t="s">
        <v>1490</v>
      </c>
      <c r="N136" s="7">
        <f t="shared" si="4"/>
        <v>704100</v>
      </c>
      <c r="O136" s="7">
        <f t="shared" si="5"/>
        <v>5867.5</v>
      </c>
    </row>
    <row r="137" spans="1:15" x14ac:dyDescent="0.35">
      <c r="A137" s="5">
        <v>136</v>
      </c>
      <c r="B137" t="s">
        <v>379</v>
      </c>
      <c r="C137" t="s">
        <v>380</v>
      </c>
      <c r="D137" t="s">
        <v>1486</v>
      </c>
      <c r="E137" t="s">
        <v>129</v>
      </c>
      <c r="F137" s="1">
        <v>43967</v>
      </c>
      <c r="G137" s="28">
        <v>14</v>
      </c>
      <c r="H137" s="26">
        <v>50060</v>
      </c>
      <c r="I137" t="s">
        <v>381</v>
      </c>
      <c r="J137" t="s">
        <v>46</v>
      </c>
      <c r="K137" t="s">
        <v>17</v>
      </c>
      <c r="L137" t="s">
        <v>41</v>
      </c>
      <c r="M137" t="s">
        <v>1489</v>
      </c>
      <c r="N137" s="7">
        <f t="shared" si="4"/>
        <v>600720</v>
      </c>
      <c r="O137" s="7">
        <f t="shared" si="5"/>
        <v>5006</v>
      </c>
    </row>
    <row r="138" spans="1:15" x14ac:dyDescent="0.35">
      <c r="A138" s="5">
        <v>137</v>
      </c>
      <c r="B138" t="s">
        <v>165</v>
      </c>
      <c r="C138" t="s">
        <v>382</v>
      </c>
      <c r="D138" t="s">
        <v>1486</v>
      </c>
      <c r="E138" t="s">
        <v>21</v>
      </c>
      <c r="F138" s="1">
        <v>46608</v>
      </c>
      <c r="G138" s="28">
        <v>7</v>
      </c>
      <c r="H138" s="26">
        <v>72748</v>
      </c>
      <c r="I138" t="s">
        <v>313</v>
      </c>
      <c r="J138" t="s">
        <v>28</v>
      </c>
      <c r="K138" t="s">
        <v>17</v>
      </c>
      <c r="L138" t="s">
        <v>23</v>
      </c>
      <c r="M138" t="s">
        <v>1491</v>
      </c>
      <c r="N138" s="7">
        <f t="shared" si="4"/>
        <v>872976</v>
      </c>
      <c r="O138" s="7">
        <f t="shared" si="5"/>
        <v>7274.8</v>
      </c>
    </row>
    <row r="139" spans="1:15" x14ac:dyDescent="0.35">
      <c r="A139" s="5">
        <v>138</v>
      </c>
      <c r="B139" t="s">
        <v>371</v>
      </c>
      <c r="C139" t="s">
        <v>383</v>
      </c>
      <c r="D139" t="s">
        <v>1485</v>
      </c>
      <c r="E139" t="s">
        <v>94</v>
      </c>
      <c r="F139" s="1">
        <v>38596</v>
      </c>
      <c r="G139" s="28">
        <v>16</v>
      </c>
      <c r="H139" s="26">
        <v>71082</v>
      </c>
      <c r="I139" t="s">
        <v>324</v>
      </c>
      <c r="J139" t="s">
        <v>39</v>
      </c>
      <c r="K139" t="s">
        <v>40</v>
      </c>
      <c r="L139" t="s">
        <v>18</v>
      </c>
      <c r="M139" t="s">
        <v>1490</v>
      </c>
      <c r="N139" s="7">
        <f t="shared" si="4"/>
        <v>852984</v>
      </c>
      <c r="O139" s="7">
        <f t="shared" si="5"/>
        <v>7108.2000000000007</v>
      </c>
    </row>
    <row r="140" spans="1:15" x14ac:dyDescent="0.35">
      <c r="A140" s="5">
        <v>139</v>
      </c>
      <c r="B140" t="s">
        <v>384</v>
      </c>
      <c r="C140" t="s">
        <v>385</v>
      </c>
      <c r="D140" t="s">
        <v>1485</v>
      </c>
      <c r="E140" t="s">
        <v>32</v>
      </c>
      <c r="F140" s="1">
        <v>40916</v>
      </c>
      <c r="G140" s="28">
        <v>9</v>
      </c>
      <c r="H140" s="26">
        <v>119773</v>
      </c>
      <c r="I140" t="s">
        <v>386</v>
      </c>
      <c r="J140" t="s">
        <v>28</v>
      </c>
      <c r="K140" t="s">
        <v>17</v>
      </c>
      <c r="L140" t="s">
        <v>34</v>
      </c>
      <c r="M140" t="s">
        <v>1489</v>
      </c>
      <c r="N140" s="7">
        <f t="shared" si="4"/>
        <v>1437276</v>
      </c>
      <c r="O140" s="7">
        <f t="shared" si="5"/>
        <v>11977.300000000001</v>
      </c>
    </row>
    <row r="141" spans="1:15" x14ac:dyDescent="0.35">
      <c r="A141" s="5">
        <v>140</v>
      </c>
      <c r="B141" t="s">
        <v>387</v>
      </c>
      <c r="C141" t="s">
        <v>388</v>
      </c>
      <c r="D141" t="s">
        <v>1485</v>
      </c>
      <c r="E141" t="s">
        <v>14</v>
      </c>
      <c r="F141" s="1">
        <v>36913</v>
      </c>
      <c r="G141" s="28">
        <v>20</v>
      </c>
      <c r="H141" s="26">
        <v>82358</v>
      </c>
      <c r="I141" t="s">
        <v>200</v>
      </c>
      <c r="J141" t="s">
        <v>55</v>
      </c>
      <c r="K141" t="s">
        <v>17</v>
      </c>
      <c r="L141" t="s">
        <v>18</v>
      </c>
      <c r="M141" t="s">
        <v>1489</v>
      </c>
      <c r="N141" s="7">
        <f t="shared" si="4"/>
        <v>988296</v>
      </c>
      <c r="O141" s="7">
        <f t="shared" si="5"/>
        <v>8235.8000000000011</v>
      </c>
    </row>
    <row r="142" spans="1:15" x14ac:dyDescent="0.35">
      <c r="A142" s="5">
        <v>141</v>
      </c>
      <c r="B142" t="s">
        <v>47</v>
      </c>
      <c r="C142" t="s">
        <v>389</v>
      </c>
      <c r="D142" t="s">
        <v>1485</v>
      </c>
      <c r="E142" t="s">
        <v>79</v>
      </c>
      <c r="F142" s="1">
        <v>38698</v>
      </c>
      <c r="G142" s="28">
        <v>16</v>
      </c>
      <c r="H142" s="26">
        <v>145575</v>
      </c>
      <c r="I142" t="s">
        <v>196</v>
      </c>
      <c r="J142" t="s">
        <v>46</v>
      </c>
      <c r="K142" t="s">
        <v>17</v>
      </c>
      <c r="L142" t="s">
        <v>41</v>
      </c>
      <c r="M142" t="s">
        <v>1489</v>
      </c>
      <c r="N142" s="7">
        <f t="shared" si="4"/>
        <v>1746900</v>
      </c>
      <c r="O142" s="7">
        <f t="shared" si="5"/>
        <v>14557.5</v>
      </c>
    </row>
    <row r="143" spans="1:15" x14ac:dyDescent="0.35">
      <c r="A143" s="5">
        <v>142</v>
      </c>
      <c r="B143" t="s">
        <v>358</v>
      </c>
      <c r="C143" t="s">
        <v>390</v>
      </c>
      <c r="D143" t="s">
        <v>1485</v>
      </c>
      <c r="E143" t="s">
        <v>100</v>
      </c>
      <c r="F143" s="1">
        <v>40153</v>
      </c>
      <c r="G143" s="28">
        <v>12</v>
      </c>
      <c r="H143" s="26">
        <v>105810</v>
      </c>
      <c r="I143" t="s">
        <v>391</v>
      </c>
      <c r="J143" t="s">
        <v>91</v>
      </c>
      <c r="K143" t="s">
        <v>40</v>
      </c>
      <c r="L143" t="s">
        <v>29</v>
      </c>
      <c r="M143" t="s">
        <v>1490</v>
      </c>
      <c r="N143" s="7">
        <f t="shared" si="4"/>
        <v>1269720</v>
      </c>
      <c r="O143" s="7">
        <f t="shared" si="5"/>
        <v>10581</v>
      </c>
    </row>
    <row r="144" spans="1:15" x14ac:dyDescent="0.35">
      <c r="A144" s="5">
        <v>143</v>
      </c>
      <c r="B144" t="s">
        <v>392</v>
      </c>
      <c r="C144" t="s">
        <v>393</v>
      </c>
      <c r="D144" t="s">
        <v>1485</v>
      </c>
      <c r="E144" t="s">
        <v>44</v>
      </c>
      <c r="F144" s="1">
        <v>41765</v>
      </c>
      <c r="G144" s="28">
        <v>7</v>
      </c>
      <c r="H144" s="26">
        <v>58805</v>
      </c>
      <c r="I144" t="s">
        <v>394</v>
      </c>
      <c r="J144" t="s">
        <v>46</v>
      </c>
      <c r="K144" t="s">
        <v>17</v>
      </c>
      <c r="L144" t="s">
        <v>29</v>
      </c>
      <c r="M144" t="s">
        <v>1490</v>
      </c>
      <c r="N144" s="7">
        <f t="shared" si="4"/>
        <v>705660</v>
      </c>
      <c r="O144" s="7">
        <f t="shared" si="5"/>
        <v>5880.5</v>
      </c>
    </row>
    <row r="145" spans="1:15" x14ac:dyDescent="0.35">
      <c r="A145" s="5">
        <v>144</v>
      </c>
      <c r="B145" t="s">
        <v>395</v>
      </c>
      <c r="C145" t="s">
        <v>396</v>
      </c>
      <c r="D145" t="s">
        <v>1486</v>
      </c>
      <c r="E145" t="s">
        <v>73</v>
      </c>
      <c r="F145" s="1">
        <v>44538</v>
      </c>
      <c r="G145" s="28">
        <v>13</v>
      </c>
      <c r="H145" s="26">
        <v>112837</v>
      </c>
      <c r="I145" t="s">
        <v>397</v>
      </c>
      <c r="J145" t="s">
        <v>91</v>
      </c>
      <c r="K145" t="s">
        <v>40</v>
      </c>
      <c r="L145" t="s">
        <v>41</v>
      </c>
      <c r="M145" t="s">
        <v>1489</v>
      </c>
      <c r="N145" s="7">
        <f t="shared" si="4"/>
        <v>1354044</v>
      </c>
      <c r="O145" s="7">
        <f t="shared" si="5"/>
        <v>11283.7</v>
      </c>
    </row>
    <row r="146" spans="1:15" x14ac:dyDescent="0.35">
      <c r="A146" s="5">
        <v>145</v>
      </c>
      <c r="B146" t="s">
        <v>92</v>
      </c>
      <c r="C146" t="s">
        <v>398</v>
      </c>
      <c r="D146" t="s">
        <v>1486</v>
      </c>
      <c r="E146" t="s">
        <v>73</v>
      </c>
      <c r="F146" s="1">
        <v>46126</v>
      </c>
      <c r="G146" s="28">
        <v>8</v>
      </c>
      <c r="H146" s="26">
        <v>125914</v>
      </c>
      <c r="I146" t="s">
        <v>172</v>
      </c>
      <c r="J146" t="s">
        <v>50</v>
      </c>
      <c r="K146" t="s">
        <v>40</v>
      </c>
      <c r="L146" t="s">
        <v>41</v>
      </c>
      <c r="M146" t="s">
        <v>1489</v>
      </c>
      <c r="N146" s="7">
        <f t="shared" si="4"/>
        <v>1510968</v>
      </c>
      <c r="O146" s="7">
        <f t="shared" si="5"/>
        <v>12591.400000000001</v>
      </c>
    </row>
    <row r="147" spans="1:15" x14ac:dyDescent="0.35">
      <c r="A147" s="5">
        <v>146</v>
      </c>
      <c r="B147" t="s">
        <v>399</v>
      </c>
      <c r="C147" t="s">
        <v>400</v>
      </c>
      <c r="D147" t="s">
        <v>1485</v>
      </c>
      <c r="E147" t="s">
        <v>61</v>
      </c>
      <c r="F147" s="1">
        <v>39848</v>
      </c>
      <c r="G147" s="28">
        <v>12</v>
      </c>
      <c r="H147" s="26">
        <v>133281</v>
      </c>
      <c r="I147" t="s">
        <v>401</v>
      </c>
      <c r="J147" t="s">
        <v>50</v>
      </c>
      <c r="K147" t="s">
        <v>40</v>
      </c>
      <c r="L147" t="s">
        <v>63</v>
      </c>
      <c r="M147" t="s">
        <v>1490</v>
      </c>
      <c r="N147" s="7">
        <f t="shared" si="4"/>
        <v>1599372</v>
      </c>
      <c r="O147" s="7">
        <f t="shared" si="5"/>
        <v>13328.1</v>
      </c>
    </row>
    <row r="148" spans="1:15" x14ac:dyDescent="0.35">
      <c r="A148" s="5">
        <v>147</v>
      </c>
      <c r="B148" t="s">
        <v>402</v>
      </c>
      <c r="C148" t="s">
        <v>403</v>
      </c>
      <c r="D148" t="s">
        <v>1486</v>
      </c>
      <c r="E148" t="s">
        <v>238</v>
      </c>
      <c r="F148" s="1">
        <v>45936</v>
      </c>
      <c r="G148" s="28">
        <v>9</v>
      </c>
      <c r="H148" s="26">
        <v>96169</v>
      </c>
      <c r="I148" t="s">
        <v>156</v>
      </c>
      <c r="J148" t="s">
        <v>46</v>
      </c>
      <c r="K148" t="s">
        <v>17</v>
      </c>
      <c r="L148" t="s">
        <v>63</v>
      </c>
      <c r="M148" t="s">
        <v>1490</v>
      </c>
      <c r="N148" s="7">
        <f t="shared" si="4"/>
        <v>1154028</v>
      </c>
      <c r="O148" s="7">
        <f t="shared" si="5"/>
        <v>9616.9</v>
      </c>
    </row>
    <row r="149" spans="1:15" x14ac:dyDescent="0.35">
      <c r="A149" s="5">
        <v>148</v>
      </c>
      <c r="B149" t="s">
        <v>404</v>
      </c>
      <c r="C149" t="s">
        <v>405</v>
      </c>
      <c r="D149" t="s">
        <v>1485</v>
      </c>
      <c r="E149" t="s">
        <v>61</v>
      </c>
      <c r="F149" s="1">
        <v>41403</v>
      </c>
      <c r="G149" s="28">
        <v>8</v>
      </c>
      <c r="H149" s="26">
        <v>146970</v>
      </c>
      <c r="I149" t="s">
        <v>406</v>
      </c>
      <c r="J149" t="s">
        <v>28</v>
      </c>
      <c r="K149" t="s">
        <v>17</v>
      </c>
      <c r="L149" t="s">
        <v>63</v>
      </c>
      <c r="M149" t="s">
        <v>1490</v>
      </c>
      <c r="N149" s="7">
        <f t="shared" si="4"/>
        <v>1763640</v>
      </c>
      <c r="O149" s="7">
        <f t="shared" si="5"/>
        <v>14697</v>
      </c>
    </row>
    <row r="150" spans="1:15" x14ac:dyDescent="0.35">
      <c r="A150" s="5">
        <v>149</v>
      </c>
      <c r="B150" t="s">
        <v>407</v>
      </c>
      <c r="C150" t="s">
        <v>408</v>
      </c>
      <c r="D150" t="s">
        <v>1486</v>
      </c>
      <c r="E150" t="s">
        <v>53</v>
      </c>
      <c r="F150" s="1">
        <v>44319</v>
      </c>
      <c r="G150" s="28">
        <v>13</v>
      </c>
      <c r="H150" s="26">
        <v>76352</v>
      </c>
      <c r="I150" t="s">
        <v>409</v>
      </c>
      <c r="J150" t="s">
        <v>55</v>
      </c>
      <c r="K150" t="s">
        <v>17</v>
      </c>
      <c r="L150" t="s">
        <v>23</v>
      </c>
      <c r="M150" t="s">
        <v>1490</v>
      </c>
      <c r="N150" s="7">
        <f t="shared" si="4"/>
        <v>916224</v>
      </c>
      <c r="O150" s="7">
        <f t="shared" si="5"/>
        <v>7635.2000000000007</v>
      </c>
    </row>
    <row r="151" spans="1:15" x14ac:dyDescent="0.35">
      <c r="A151" s="5">
        <v>150</v>
      </c>
      <c r="B151" t="s">
        <v>410</v>
      </c>
      <c r="C151" t="s">
        <v>411</v>
      </c>
      <c r="D151" t="s">
        <v>1485</v>
      </c>
      <c r="E151" t="s">
        <v>203</v>
      </c>
      <c r="F151" s="1">
        <v>39005</v>
      </c>
      <c r="G151" s="28">
        <v>15</v>
      </c>
      <c r="H151" s="26">
        <v>128748</v>
      </c>
      <c r="I151" t="s">
        <v>82</v>
      </c>
      <c r="J151" t="s">
        <v>46</v>
      </c>
      <c r="K151" t="s">
        <v>17</v>
      </c>
      <c r="L151" t="s">
        <v>41</v>
      </c>
      <c r="M151" t="s">
        <v>1490</v>
      </c>
      <c r="N151" s="7">
        <f t="shared" si="4"/>
        <v>1544976</v>
      </c>
      <c r="O151" s="7">
        <f t="shared" si="5"/>
        <v>12874.800000000001</v>
      </c>
    </row>
    <row r="152" spans="1:15" x14ac:dyDescent="0.35">
      <c r="A152" s="5">
        <v>151</v>
      </c>
      <c r="B152" t="s">
        <v>412</v>
      </c>
      <c r="C152" t="s">
        <v>413</v>
      </c>
      <c r="D152" t="s">
        <v>1485</v>
      </c>
      <c r="E152" t="s">
        <v>122</v>
      </c>
      <c r="F152" s="1">
        <v>40764</v>
      </c>
      <c r="G152" s="28">
        <v>10</v>
      </c>
      <c r="H152" s="26">
        <v>50066</v>
      </c>
      <c r="I152" t="s">
        <v>235</v>
      </c>
      <c r="J152" t="s">
        <v>46</v>
      </c>
      <c r="K152" t="s">
        <v>17</v>
      </c>
      <c r="L152" t="s">
        <v>123</v>
      </c>
      <c r="M152" t="s">
        <v>1490</v>
      </c>
      <c r="N152" s="7">
        <f t="shared" si="4"/>
        <v>600792</v>
      </c>
      <c r="O152" s="7">
        <f t="shared" si="5"/>
        <v>5006.6000000000004</v>
      </c>
    </row>
    <row r="153" spans="1:15" x14ac:dyDescent="0.35">
      <c r="A153" s="5">
        <v>152</v>
      </c>
      <c r="B153" t="s">
        <v>414</v>
      </c>
      <c r="C153" t="s">
        <v>415</v>
      </c>
      <c r="D153" t="s">
        <v>1485</v>
      </c>
      <c r="E153" t="s">
        <v>238</v>
      </c>
      <c r="F153" s="1">
        <v>40746</v>
      </c>
      <c r="G153" s="28">
        <v>10</v>
      </c>
      <c r="H153" s="26">
        <v>105319</v>
      </c>
      <c r="I153" t="s">
        <v>74</v>
      </c>
      <c r="J153" t="s">
        <v>55</v>
      </c>
      <c r="K153" t="s">
        <v>17</v>
      </c>
      <c r="L153" t="s">
        <v>63</v>
      </c>
      <c r="M153" t="s">
        <v>1490</v>
      </c>
      <c r="N153" s="7">
        <f t="shared" si="4"/>
        <v>1263828</v>
      </c>
      <c r="O153" s="7">
        <f t="shared" si="5"/>
        <v>10531.900000000001</v>
      </c>
    </row>
    <row r="154" spans="1:15" x14ac:dyDescent="0.35">
      <c r="A154" s="5">
        <v>153</v>
      </c>
      <c r="B154" t="s">
        <v>416</v>
      </c>
      <c r="C154" t="s">
        <v>417</v>
      </c>
      <c r="D154" t="s">
        <v>1485</v>
      </c>
      <c r="E154" t="s">
        <v>89</v>
      </c>
      <c r="F154" s="1">
        <v>37924</v>
      </c>
      <c r="G154" s="28">
        <v>18</v>
      </c>
      <c r="H154" s="26">
        <v>110622</v>
      </c>
      <c r="I154" t="s">
        <v>418</v>
      </c>
      <c r="J154" t="s">
        <v>55</v>
      </c>
      <c r="K154" t="s">
        <v>17</v>
      </c>
      <c r="L154" t="s">
        <v>41</v>
      </c>
      <c r="M154" t="s">
        <v>1490</v>
      </c>
      <c r="N154" s="7">
        <f t="shared" si="4"/>
        <v>1327464</v>
      </c>
      <c r="O154" s="7">
        <f t="shared" si="5"/>
        <v>11062.2</v>
      </c>
    </row>
    <row r="155" spans="1:15" x14ac:dyDescent="0.35">
      <c r="A155" s="5">
        <v>154</v>
      </c>
      <c r="B155" t="s">
        <v>419</v>
      </c>
      <c r="C155" t="s">
        <v>420</v>
      </c>
      <c r="D155" t="s">
        <v>1486</v>
      </c>
      <c r="E155" t="s">
        <v>94</v>
      </c>
      <c r="F155" s="1">
        <v>44850</v>
      </c>
      <c r="G155" s="28">
        <v>12</v>
      </c>
      <c r="H155" s="26">
        <v>87422</v>
      </c>
      <c r="I155" t="s">
        <v>327</v>
      </c>
      <c r="J155" t="s">
        <v>39</v>
      </c>
      <c r="K155" t="s">
        <v>40</v>
      </c>
      <c r="L155" t="s">
        <v>18</v>
      </c>
      <c r="M155" t="s">
        <v>1490</v>
      </c>
      <c r="N155" s="7">
        <f t="shared" si="4"/>
        <v>1049064</v>
      </c>
      <c r="O155" s="7">
        <f t="shared" si="5"/>
        <v>8742.2000000000007</v>
      </c>
    </row>
    <row r="156" spans="1:15" x14ac:dyDescent="0.35">
      <c r="A156" s="5">
        <v>155</v>
      </c>
      <c r="B156" t="s">
        <v>421</v>
      </c>
      <c r="C156" t="s">
        <v>422</v>
      </c>
      <c r="D156" t="s">
        <v>1485</v>
      </c>
      <c r="E156" t="s">
        <v>122</v>
      </c>
      <c r="F156" s="1">
        <v>39331</v>
      </c>
      <c r="G156" s="28">
        <v>14</v>
      </c>
      <c r="H156" s="26">
        <v>45456</v>
      </c>
      <c r="I156" t="s">
        <v>287</v>
      </c>
      <c r="J156" t="s">
        <v>46</v>
      </c>
      <c r="K156" t="s">
        <v>17</v>
      </c>
      <c r="L156" t="s">
        <v>123</v>
      </c>
      <c r="M156" t="s">
        <v>1490</v>
      </c>
      <c r="N156" s="7">
        <f t="shared" si="4"/>
        <v>545472</v>
      </c>
      <c r="O156" s="7">
        <f t="shared" si="5"/>
        <v>4545.6000000000004</v>
      </c>
    </row>
    <row r="157" spans="1:15" x14ac:dyDescent="0.35">
      <c r="A157" s="5">
        <v>156</v>
      </c>
      <c r="B157" t="s">
        <v>423</v>
      </c>
      <c r="C157" t="s">
        <v>424</v>
      </c>
      <c r="D157" t="s">
        <v>1485</v>
      </c>
      <c r="E157" t="s">
        <v>100</v>
      </c>
      <c r="F157" s="1">
        <v>38128</v>
      </c>
      <c r="G157" s="28">
        <v>17</v>
      </c>
      <c r="H157" s="26">
        <v>52298</v>
      </c>
      <c r="I157" t="s">
        <v>425</v>
      </c>
      <c r="J157" t="s">
        <v>39</v>
      </c>
      <c r="K157" t="s">
        <v>40</v>
      </c>
      <c r="L157" t="s">
        <v>29</v>
      </c>
      <c r="M157" t="s">
        <v>1490</v>
      </c>
      <c r="N157" s="7">
        <f t="shared" si="4"/>
        <v>627576</v>
      </c>
      <c r="O157" s="7">
        <f t="shared" si="5"/>
        <v>5229.8</v>
      </c>
    </row>
    <row r="158" spans="1:15" x14ac:dyDescent="0.35">
      <c r="A158" s="5">
        <v>157</v>
      </c>
      <c r="B158" t="s">
        <v>426</v>
      </c>
      <c r="C158" t="s">
        <v>427</v>
      </c>
      <c r="D158" t="s">
        <v>1485</v>
      </c>
      <c r="E158" t="s">
        <v>312</v>
      </c>
      <c r="F158" s="1">
        <v>39216</v>
      </c>
      <c r="G158" s="28">
        <v>14</v>
      </c>
      <c r="H158" s="26">
        <v>131252</v>
      </c>
      <c r="I158" t="s">
        <v>130</v>
      </c>
      <c r="J158" t="s">
        <v>46</v>
      </c>
      <c r="K158" t="s">
        <v>17</v>
      </c>
      <c r="L158" t="s">
        <v>41</v>
      </c>
      <c r="M158" t="s">
        <v>1490</v>
      </c>
      <c r="N158" s="7">
        <f t="shared" si="4"/>
        <v>1575024</v>
      </c>
      <c r="O158" s="7">
        <f t="shared" si="5"/>
        <v>13125.2</v>
      </c>
    </row>
    <row r="159" spans="1:15" x14ac:dyDescent="0.35">
      <c r="A159" s="5">
        <v>158</v>
      </c>
      <c r="B159" t="s">
        <v>354</v>
      </c>
      <c r="C159" t="s">
        <v>428</v>
      </c>
      <c r="D159" t="s">
        <v>1485</v>
      </c>
      <c r="E159" t="s">
        <v>110</v>
      </c>
      <c r="F159" s="1">
        <v>36945</v>
      </c>
      <c r="G159" s="28">
        <v>20</v>
      </c>
      <c r="H159" s="26">
        <v>128766</v>
      </c>
      <c r="I159" t="s">
        <v>33</v>
      </c>
      <c r="J159" t="s">
        <v>16</v>
      </c>
      <c r="K159" t="s">
        <v>17</v>
      </c>
      <c r="L159" t="s">
        <v>112</v>
      </c>
      <c r="M159" t="s">
        <v>1490</v>
      </c>
      <c r="N159" s="7">
        <f t="shared" si="4"/>
        <v>1545192</v>
      </c>
      <c r="O159" s="7">
        <f t="shared" si="5"/>
        <v>12876.6</v>
      </c>
    </row>
    <row r="160" spans="1:15" x14ac:dyDescent="0.35">
      <c r="A160" s="5">
        <v>159</v>
      </c>
      <c r="B160" t="s">
        <v>375</v>
      </c>
      <c r="C160" t="s">
        <v>429</v>
      </c>
      <c r="D160" t="s">
        <v>1485</v>
      </c>
      <c r="E160" t="s">
        <v>44</v>
      </c>
      <c r="F160" s="1">
        <v>40068</v>
      </c>
      <c r="G160" s="28">
        <v>12</v>
      </c>
      <c r="H160" s="26">
        <v>138179</v>
      </c>
      <c r="I160" t="s">
        <v>430</v>
      </c>
      <c r="J160" t="s">
        <v>28</v>
      </c>
      <c r="K160" t="s">
        <v>17</v>
      </c>
      <c r="L160" t="s">
        <v>29</v>
      </c>
      <c r="M160" t="s">
        <v>1490</v>
      </c>
      <c r="N160" s="7">
        <f t="shared" si="4"/>
        <v>1658148</v>
      </c>
      <c r="O160" s="7">
        <f t="shared" si="5"/>
        <v>13817.900000000001</v>
      </c>
    </row>
    <row r="161" spans="1:15" x14ac:dyDescent="0.35">
      <c r="A161" s="5">
        <v>160</v>
      </c>
      <c r="B161" t="s">
        <v>392</v>
      </c>
      <c r="C161" t="s">
        <v>431</v>
      </c>
      <c r="D161" t="s">
        <v>1486</v>
      </c>
      <c r="E161" t="s">
        <v>100</v>
      </c>
      <c r="F161" s="1">
        <v>37794</v>
      </c>
      <c r="G161" s="28">
        <v>18</v>
      </c>
      <c r="H161" s="26">
        <v>85012</v>
      </c>
      <c r="I161" t="s">
        <v>310</v>
      </c>
      <c r="J161" t="s">
        <v>46</v>
      </c>
      <c r="K161" t="s">
        <v>17</v>
      </c>
      <c r="L161" t="s">
        <v>29</v>
      </c>
      <c r="M161" t="s">
        <v>1490</v>
      </c>
      <c r="N161" s="7">
        <f t="shared" si="4"/>
        <v>1020144</v>
      </c>
      <c r="O161" s="7">
        <f t="shared" si="5"/>
        <v>8501.2000000000007</v>
      </c>
    </row>
    <row r="162" spans="1:15" x14ac:dyDescent="0.35">
      <c r="A162" s="5">
        <v>161</v>
      </c>
      <c r="B162" t="s">
        <v>150</v>
      </c>
      <c r="C162" t="s">
        <v>432</v>
      </c>
      <c r="D162" t="s">
        <v>1485</v>
      </c>
      <c r="E162" t="s">
        <v>203</v>
      </c>
      <c r="F162" s="1">
        <v>37127</v>
      </c>
      <c r="G162" s="28">
        <v>20</v>
      </c>
      <c r="H162" s="26">
        <v>131479</v>
      </c>
      <c r="I162" t="s">
        <v>290</v>
      </c>
      <c r="J162" t="s">
        <v>39</v>
      </c>
      <c r="K162" t="s">
        <v>40</v>
      </c>
      <c r="L162" t="s">
        <v>41</v>
      </c>
      <c r="M162" t="s">
        <v>1490</v>
      </c>
      <c r="N162" s="7">
        <f t="shared" si="4"/>
        <v>1577748</v>
      </c>
      <c r="O162" s="7">
        <f t="shared" si="5"/>
        <v>13147.900000000001</v>
      </c>
    </row>
    <row r="163" spans="1:15" x14ac:dyDescent="0.35">
      <c r="A163" s="5">
        <v>162</v>
      </c>
      <c r="B163" t="s">
        <v>433</v>
      </c>
      <c r="C163" t="s">
        <v>434</v>
      </c>
      <c r="D163" t="s">
        <v>1486</v>
      </c>
      <c r="E163" t="s">
        <v>203</v>
      </c>
      <c r="F163" s="1">
        <v>38714</v>
      </c>
      <c r="G163" s="28">
        <v>16</v>
      </c>
      <c r="H163" s="26">
        <v>103182</v>
      </c>
      <c r="I163" t="s">
        <v>277</v>
      </c>
      <c r="J163" t="s">
        <v>16</v>
      </c>
      <c r="K163" t="s">
        <v>17</v>
      </c>
      <c r="L163" t="s">
        <v>41</v>
      </c>
      <c r="M163" t="s">
        <v>1490</v>
      </c>
      <c r="N163" s="7">
        <f t="shared" si="4"/>
        <v>1238184</v>
      </c>
      <c r="O163" s="7">
        <f t="shared" si="5"/>
        <v>10318.200000000001</v>
      </c>
    </row>
    <row r="164" spans="1:15" x14ac:dyDescent="0.35">
      <c r="A164" s="5">
        <v>163</v>
      </c>
      <c r="B164" t="s">
        <v>435</v>
      </c>
      <c r="C164" t="s">
        <v>436</v>
      </c>
      <c r="D164" t="s">
        <v>1485</v>
      </c>
      <c r="E164" t="s">
        <v>110</v>
      </c>
      <c r="F164" s="1">
        <v>36684</v>
      </c>
      <c r="G164" s="28">
        <v>21</v>
      </c>
      <c r="H164" s="26">
        <v>96996</v>
      </c>
      <c r="I164" t="s">
        <v>437</v>
      </c>
      <c r="J164" t="s">
        <v>55</v>
      </c>
      <c r="K164" t="s">
        <v>17</v>
      </c>
      <c r="L164" t="s">
        <v>112</v>
      </c>
      <c r="M164" t="s">
        <v>1490</v>
      </c>
      <c r="N164" s="7">
        <f t="shared" si="4"/>
        <v>1163952</v>
      </c>
      <c r="O164" s="7">
        <f t="shared" si="5"/>
        <v>9699.6</v>
      </c>
    </row>
    <row r="165" spans="1:15" x14ac:dyDescent="0.35">
      <c r="A165" s="5">
        <v>164</v>
      </c>
      <c r="B165" t="s">
        <v>435</v>
      </c>
      <c r="C165" t="s">
        <v>438</v>
      </c>
      <c r="D165" t="s">
        <v>1486</v>
      </c>
      <c r="E165" t="s">
        <v>14</v>
      </c>
      <c r="F165" s="1">
        <v>44438</v>
      </c>
      <c r="G165" s="28">
        <v>13</v>
      </c>
      <c r="H165" s="26">
        <v>106607</v>
      </c>
      <c r="I165" t="s">
        <v>189</v>
      </c>
      <c r="J165" t="s">
        <v>16</v>
      </c>
      <c r="K165" t="s">
        <v>17</v>
      </c>
      <c r="L165" t="s">
        <v>18</v>
      </c>
      <c r="M165" t="s">
        <v>1490</v>
      </c>
      <c r="N165" s="7">
        <f t="shared" si="4"/>
        <v>1279284</v>
      </c>
      <c r="O165" s="7">
        <f t="shared" si="5"/>
        <v>10660.7</v>
      </c>
    </row>
    <row r="166" spans="1:15" x14ac:dyDescent="0.35">
      <c r="A166" s="5">
        <v>165</v>
      </c>
      <c r="B166" t="s">
        <v>439</v>
      </c>
      <c r="C166" t="s">
        <v>440</v>
      </c>
      <c r="D166" t="s">
        <v>1485</v>
      </c>
      <c r="E166" t="s">
        <v>26</v>
      </c>
      <c r="F166" s="1">
        <v>41248</v>
      </c>
      <c r="G166" s="28">
        <v>9</v>
      </c>
      <c r="H166" s="26">
        <v>130993</v>
      </c>
      <c r="I166" t="s">
        <v>441</v>
      </c>
      <c r="J166" t="s">
        <v>16</v>
      </c>
      <c r="K166" t="s">
        <v>17</v>
      </c>
      <c r="L166" t="s">
        <v>29</v>
      </c>
      <c r="M166" t="s">
        <v>1490</v>
      </c>
      <c r="N166" s="7">
        <f t="shared" si="4"/>
        <v>1571916</v>
      </c>
      <c r="O166" s="7">
        <f t="shared" si="5"/>
        <v>13099.300000000001</v>
      </c>
    </row>
    <row r="167" spans="1:15" x14ac:dyDescent="0.35">
      <c r="A167" s="5">
        <v>166</v>
      </c>
      <c r="B167" t="s">
        <v>407</v>
      </c>
      <c r="C167" t="s">
        <v>442</v>
      </c>
      <c r="D167" t="s">
        <v>1485</v>
      </c>
      <c r="E167" t="s">
        <v>100</v>
      </c>
      <c r="F167" s="1">
        <v>38781</v>
      </c>
      <c r="G167" s="28">
        <v>15</v>
      </c>
      <c r="H167" s="26">
        <v>87097</v>
      </c>
      <c r="I167" t="s">
        <v>418</v>
      </c>
      <c r="J167" t="s">
        <v>39</v>
      </c>
      <c r="K167" t="s">
        <v>40</v>
      </c>
      <c r="L167" t="s">
        <v>29</v>
      </c>
      <c r="M167" t="s">
        <v>1490</v>
      </c>
      <c r="N167" s="7">
        <f t="shared" si="4"/>
        <v>1045164</v>
      </c>
      <c r="O167" s="7">
        <f t="shared" si="5"/>
        <v>8709.7000000000007</v>
      </c>
    </row>
    <row r="168" spans="1:15" x14ac:dyDescent="0.35">
      <c r="A168" s="5">
        <v>167</v>
      </c>
      <c r="B168" t="s">
        <v>443</v>
      </c>
      <c r="C168" t="s">
        <v>444</v>
      </c>
      <c r="D168" t="s">
        <v>1485</v>
      </c>
      <c r="E168" t="s">
        <v>148</v>
      </c>
      <c r="F168" s="1">
        <v>41299</v>
      </c>
      <c r="G168" s="28">
        <v>8</v>
      </c>
      <c r="H168" s="26">
        <v>131961</v>
      </c>
      <c r="I168" t="s">
        <v>330</v>
      </c>
      <c r="J168" t="s">
        <v>55</v>
      </c>
      <c r="K168" t="s">
        <v>17</v>
      </c>
      <c r="L168" t="s">
        <v>112</v>
      </c>
      <c r="M168" t="s">
        <v>1490</v>
      </c>
      <c r="N168" s="7">
        <f t="shared" si="4"/>
        <v>1583532</v>
      </c>
      <c r="O168" s="7">
        <f t="shared" si="5"/>
        <v>13196.1</v>
      </c>
    </row>
    <row r="169" spans="1:15" x14ac:dyDescent="0.35">
      <c r="A169" s="5">
        <v>168</v>
      </c>
      <c r="B169" t="s">
        <v>445</v>
      </c>
      <c r="C169" t="s">
        <v>446</v>
      </c>
      <c r="D169" t="s">
        <v>1486</v>
      </c>
      <c r="E169" t="s">
        <v>32</v>
      </c>
      <c r="F169" s="1">
        <v>46547</v>
      </c>
      <c r="G169" s="28">
        <v>7</v>
      </c>
      <c r="H169" s="26">
        <v>88093</v>
      </c>
      <c r="I169" t="s">
        <v>179</v>
      </c>
      <c r="J169" t="s">
        <v>39</v>
      </c>
      <c r="K169" t="s">
        <v>40</v>
      </c>
      <c r="L169" t="s">
        <v>34</v>
      </c>
      <c r="M169" t="s">
        <v>1490</v>
      </c>
      <c r="N169" s="7">
        <f t="shared" si="4"/>
        <v>1057116</v>
      </c>
      <c r="O169" s="7">
        <f t="shared" si="5"/>
        <v>8809.3000000000011</v>
      </c>
    </row>
    <row r="170" spans="1:15" x14ac:dyDescent="0.35">
      <c r="A170" s="5">
        <v>169</v>
      </c>
      <c r="B170" t="s">
        <v>404</v>
      </c>
      <c r="C170" t="s">
        <v>447</v>
      </c>
      <c r="D170" t="s">
        <v>1485</v>
      </c>
      <c r="E170" t="s">
        <v>61</v>
      </c>
      <c r="F170" s="1">
        <v>40536</v>
      </c>
      <c r="G170" s="28">
        <v>11</v>
      </c>
      <c r="H170" s="26">
        <v>41898</v>
      </c>
      <c r="I170" t="s">
        <v>220</v>
      </c>
      <c r="J170" t="s">
        <v>50</v>
      </c>
      <c r="K170" t="s">
        <v>40</v>
      </c>
      <c r="L170" t="s">
        <v>63</v>
      </c>
      <c r="M170" t="s">
        <v>1490</v>
      </c>
      <c r="N170" s="7">
        <f t="shared" si="4"/>
        <v>502776</v>
      </c>
      <c r="O170" s="7">
        <f t="shared" si="5"/>
        <v>4189.8</v>
      </c>
    </row>
    <row r="171" spans="1:15" x14ac:dyDescent="0.35">
      <c r="A171" s="5">
        <v>170</v>
      </c>
      <c r="B171" t="s">
        <v>270</v>
      </c>
      <c r="C171" t="s">
        <v>448</v>
      </c>
      <c r="D171" t="s">
        <v>1485</v>
      </c>
      <c r="E171" t="s">
        <v>94</v>
      </c>
      <c r="F171" s="1">
        <v>38166</v>
      </c>
      <c r="G171" s="28">
        <v>17</v>
      </c>
      <c r="H171" s="26">
        <v>52808</v>
      </c>
      <c r="I171" t="s">
        <v>449</v>
      </c>
      <c r="J171" t="s">
        <v>16</v>
      </c>
      <c r="K171" t="s">
        <v>17</v>
      </c>
      <c r="L171" t="s">
        <v>18</v>
      </c>
      <c r="M171" t="s">
        <v>1490</v>
      </c>
      <c r="N171" s="7">
        <f t="shared" si="4"/>
        <v>633696</v>
      </c>
      <c r="O171" s="7">
        <f t="shared" si="5"/>
        <v>5280.8</v>
      </c>
    </row>
    <row r="172" spans="1:15" x14ac:dyDescent="0.35">
      <c r="A172" s="5">
        <v>171</v>
      </c>
      <c r="B172" t="s">
        <v>51</v>
      </c>
      <c r="C172" t="s">
        <v>450</v>
      </c>
      <c r="D172" t="s">
        <v>1486</v>
      </c>
      <c r="E172" t="s">
        <v>61</v>
      </c>
      <c r="F172" s="1">
        <v>38257</v>
      </c>
      <c r="G172" s="28">
        <v>17</v>
      </c>
      <c r="H172" s="26">
        <v>110912</v>
      </c>
      <c r="I172" t="s">
        <v>451</v>
      </c>
      <c r="J172" t="s">
        <v>91</v>
      </c>
      <c r="K172" t="s">
        <v>40</v>
      </c>
      <c r="L172" t="s">
        <v>63</v>
      </c>
      <c r="M172" t="s">
        <v>1490</v>
      </c>
      <c r="N172" s="7">
        <f t="shared" si="4"/>
        <v>1330944</v>
      </c>
      <c r="O172" s="7">
        <f t="shared" si="5"/>
        <v>11091.2</v>
      </c>
    </row>
    <row r="173" spans="1:15" x14ac:dyDescent="0.35">
      <c r="A173" s="5">
        <v>172</v>
      </c>
      <c r="B173" t="s">
        <v>452</v>
      </c>
      <c r="C173" t="s">
        <v>453</v>
      </c>
      <c r="D173" t="s">
        <v>1485</v>
      </c>
      <c r="E173" t="s">
        <v>122</v>
      </c>
      <c r="F173" s="1">
        <v>40061</v>
      </c>
      <c r="G173" s="28">
        <v>12</v>
      </c>
      <c r="H173" s="26">
        <v>101520</v>
      </c>
      <c r="I173" t="s">
        <v>454</v>
      </c>
      <c r="J173" t="s">
        <v>46</v>
      </c>
      <c r="K173" t="s">
        <v>17</v>
      </c>
      <c r="L173" t="s">
        <v>123</v>
      </c>
      <c r="M173" t="s">
        <v>1490</v>
      </c>
      <c r="N173" s="7">
        <f t="shared" si="4"/>
        <v>1218240</v>
      </c>
      <c r="O173" s="7">
        <f t="shared" si="5"/>
        <v>10152</v>
      </c>
    </row>
    <row r="174" spans="1:15" x14ac:dyDescent="0.35">
      <c r="A174" s="5">
        <v>173</v>
      </c>
      <c r="B174" t="s">
        <v>341</v>
      </c>
      <c r="C174" t="s">
        <v>455</v>
      </c>
      <c r="D174" t="s">
        <v>1486</v>
      </c>
      <c r="E174" t="s">
        <v>122</v>
      </c>
      <c r="F174" s="1">
        <v>38677</v>
      </c>
      <c r="G174" s="28">
        <v>16</v>
      </c>
      <c r="H174" s="26">
        <v>55633</v>
      </c>
      <c r="I174" t="s">
        <v>456</v>
      </c>
      <c r="J174" t="s">
        <v>46</v>
      </c>
      <c r="K174" t="s">
        <v>17</v>
      </c>
      <c r="L174" t="s">
        <v>123</v>
      </c>
      <c r="M174" t="s">
        <v>1490</v>
      </c>
      <c r="N174" s="7">
        <f t="shared" si="4"/>
        <v>667596</v>
      </c>
      <c r="O174" s="7">
        <f t="shared" si="5"/>
        <v>5563.3</v>
      </c>
    </row>
    <row r="175" spans="1:15" x14ac:dyDescent="0.35">
      <c r="A175" s="5">
        <v>174</v>
      </c>
      <c r="B175" t="s">
        <v>457</v>
      </c>
      <c r="C175" t="s">
        <v>458</v>
      </c>
      <c r="D175" t="s">
        <v>1486</v>
      </c>
      <c r="E175" t="s">
        <v>122</v>
      </c>
      <c r="F175" s="1">
        <v>45207</v>
      </c>
      <c r="G175" s="28">
        <v>11</v>
      </c>
      <c r="H175" s="26">
        <v>91561</v>
      </c>
      <c r="I175" t="s">
        <v>459</v>
      </c>
      <c r="J175" t="s">
        <v>39</v>
      </c>
      <c r="K175" t="s">
        <v>40</v>
      </c>
      <c r="L175" t="s">
        <v>123</v>
      </c>
      <c r="M175" t="s">
        <v>1490</v>
      </c>
      <c r="N175" s="7">
        <f t="shared" si="4"/>
        <v>1098732</v>
      </c>
      <c r="O175" s="7">
        <f t="shared" si="5"/>
        <v>9156.1</v>
      </c>
    </row>
    <row r="176" spans="1:15" x14ac:dyDescent="0.35">
      <c r="A176" s="5">
        <v>175</v>
      </c>
      <c r="B176" t="s">
        <v>251</v>
      </c>
      <c r="C176" t="s">
        <v>460</v>
      </c>
      <c r="D176" t="s">
        <v>1485</v>
      </c>
      <c r="E176" t="s">
        <v>37</v>
      </c>
      <c r="F176" s="1">
        <v>41585</v>
      </c>
      <c r="G176" s="28">
        <v>8</v>
      </c>
      <c r="H176" s="26">
        <v>77307</v>
      </c>
      <c r="I176" t="s">
        <v>461</v>
      </c>
      <c r="J176" t="s">
        <v>39</v>
      </c>
      <c r="K176" t="s">
        <v>40</v>
      </c>
      <c r="L176" t="s">
        <v>41</v>
      </c>
      <c r="M176" t="s">
        <v>1490</v>
      </c>
      <c r="N176" s="7">
        <f t="shared" si="4"/>
        <v>927684</v>
      </c>
      <c r="O176" s="7">
        <f t="shared" si="5"/>
        <v>7730.7000000000007</v>
      </c>
    </row>
    <row r="177" spans="1:15" x14ac:dyDescent="0.35">
      <c r="A177" s="5">
        <v>176</v>
      </c>
      <c r="B177" t="s">
        <v>462</v>
      </c>
      <c r="C177" t="s">
        <v>463</v>
      </c>
      <c r="D177" t="s">
        <v>1485</v>
      </c>
      <c r="E177" t="s">
        <v>69</v>
      </c>
      <c r="F177" s="1">
        <v>41196</v>
      </c>
      <c r="G177" s="28">
        <v>9</v>
      </c>
      <c r="H177" s="26">
        <v>67942</v>
      </c>
      <c r="I177" t="s">
        <v>22</v>
      </c>
      <c r="J177" t="s">
        <v>50</v>
      </c>
      <c r="K177" t="s">
        <v>40</v>
      </c>
      <c r="L177" t="s">
        <v>41</v>
      </c>
      <c r="M177" t="s">
        <v>1490</v>
      </c>
      <c r="N177" s="7">
        <f t="shared" si="4"/>
        <v>815304</v>
      </c>
      <c r="O177" s="7">
        <f t="shared" si="5"/>
        <v>6794.2000000000007</v>
      </c>
    </row>
    <row r="178" spans="1:15" x14ac:dyDescent="0.35">
      <c r="A178" s="5">
        <v>177</v>
      </c>
      <c r="B178" t="s">
        <v>163</v>
      </c>
      <c r="C178" t="s">
        <v>464</v>
      </c>
      <c r="D178" t="s">
        <v>1486</v>
      </c>
      <c r="E178" t="s">
        <v>69</v>
      </c>
      <c r="F178" s="1">
        <v>44457</v>
      </c>
      <c r="G178" s="28">
        <v>13</v>
      </c>
      <c r="H178" s="26">
        <v>80397</v>
      </c>
      <c r="I178" t="s">
        <v>74</v>
      </c>
      <c r="J178" t="s">
        <v>46</v>
      </c>
      <c r="K178" t="s">
        <v>17</v>
      </c>
      <c r="L178" t="s">
        <v>41</v>
      </c>
      <c r="M178" t="s">
        <v>1490</v>
      </c>
      <c r="N178" s="7">
        <f t="shared" si="4"/>
        <v>964764</v>
      </c>
      <c r="O178" s="7">
        <f t="shared" si="5"/>
        <v>8039.7000000000007</v>
      </c>
    </row>
    <row r="179" spans="1:15" x14ac:dyDescent="0.35">
      <c r="A179" s="5">
        <v>178</v>
      </c>
      <c r="B179" t="s">
        <v>465</v>
      </c>
      <c r="C179" t="s">
        <v>466</v>
      </c>
      <c r="D179" t="s">
        <v>1486</v>
      </c>
      <c r="E179" t="s">
        <v>21</v>
      </c>
      <c r="F179" s="1">
        <v>37669</v>
      </c>
      <c r="G179" s="28">
        <v>18</v>
      </c>
      <c r="H179" s="26">
        <v>78157</v>
      </c>
      <c r="I179" t="s">
        <v>145</v>
      </c>
      <c r="J179" t="s">
        <v>46</v>
      </c>
      <c r="K179" t="s">
        <v>17</v>
      </c>
      <c r="L179" t="s">
        <v>23</v>
      </c>
      <c r="M179" t="s">
        <v>1490</v>
      </c>
      <c r="N179" s="7">
        <f t="shared" si="4"/>
        <v>937884</v>
      </c>
      <c r="O179" s="7">
        <f t="shared" si="5"/>
        <v>7815.7000000000007</v>
      </c>
    </row>
    <row r="180" spans="1:15" x14ac:dyDescent="0.35">
      <c r="A180" s="5">
        <v>179</v>
      </c>
      <c r="B180" t="s">
        <v>457</v>
      </c>
      <c r="C180" t="s">
        <v>467</v>
      </c>
      <c r="D180" t="s">
        <v>1486</v>
      </c>
      <c r="E180" t="s">
        <v>110</v>
      </c>
      <c r="F180" s="1">
        <v>38015</v>
      </c>
      <c r="G180" s="28">
        <v>17</v>
      </c>
      <c r="H180" s="26">
        <v>121836</v>
      </c>
      <c r="I180" t="s">
        <v>196</v>
      </c>
      <c r="J180" t="s">
        <v>39</v>
      </c>
      <c r="K180" t="s">
        <v>40</v>
      </c>
      <c r="L180" t="s">
        <v>112</v>
      </c>
      <c r="M180" t="s">
        <v>1490</v>
      </c>
      <c r="N180" s="7">
        <f t="shared" si="4"/>
        <v>1462032</v>
      </c>
      <c r="O180" s="7">
        <f t="shared" si="5"/>
        <v>12183.6</v>
      </c>
    </row>
    <row r="181" spans="1:15" x14ac:dyDescent="0.35">
      <c r="A181" s="5">
        <v>180</v>
      </c>
      <c r="B181" t="s">
        <v>47</v>
      </c>
      <c r="C181" t="s">
        <v>468</v>
      </c>
      <c r="D181" t="s">
        <v>1485</v>
      </c>
      <c r="E181" t="s">
        <v>148</v>
      </c>
      <c r="F181" s="1">
        <v>39760</v>
      </c>
      <c r="G181" s="28">
        <v>13</v>
      </c>
      <c r="H181" s="26">
        <v>76063</v>
      </c>
      <c r="I181" t="s">
        <v>469</v>
      </c>
      <c r="J181" t="s">
        <v>50</v>
      </c>
      <c r="K181" t="s">
        <v>40</v>
      </c>
      <c r="L181" t="s">
        <v>112</v>
      </c>
      <c r="M181" t="s">
        <v>1490</v>
      </c>
      <c r="N181" s="7">
        <f t="shared" si="4"/>
        <v>912756</v>
      </c>
      <c r="O181" s="7">
        <f t="shared" si="5"/>
        <v>7606.3</v>
      </c>
    </row>
    <row r="182" spans="1:15" x14ac:dyDescent="0.35">
      <c r="A182" s="5">
        <v>181</v>
      </c>
      <c r="B182" t="s">
        <v>470</v>
      </c>
      <c r="C182" t="s">
        <v>471</v>
      </c>
      <c r="D182" t="s">
        <v>1486</v>
      </c>
      <c r="E182" t="s">
        <v>110</v>
      </c>
      <c r="F182" s="1">
        <v>37013</v>
      </c>
      <c r="G182" s="28">
        <v>20</v>
      </c>
      <c r="H182" s="26">
        <v>56923</v>
      </c>
      <c r="I182" t="s">
        <v>472</v>
      </c>
      <c r="J182" t="s">
        <v>16</v>
      </c>
      <c r="K182" t="s">
        <v>17</v>
      </c>
      <c r="L182" t="s">
        <v>112</v>
      </c>
      <c r="M182" t="s">
        <v>1490</v>
      </c>
      <c r="N182" s="7">
        <f t="shared" si="4"/>
        <v>683076</v>
      </c>
      <c r="O182" s="7">
        <f t="shared" si="5"/>
        <v>5692.3</v>
      </c>
    </row>
    <row r="183" spans="1:15" x14ac:dyDescent="0.35">
      <c r="A183" s="5">
        <v>182</v>
      </c>
      <c r="B183" t="s">
        <v>275</v>
      </c>
      <c r="C183" t="s">
        <v>473</v>
      </c>
      <c r="D183" t="s">
        <v>1486</v>
      </c>
      <c r="E183" t="s">
        <v>100</v>
      </c>
      <c r="F183" s="1">
        <v>44655</v>
      </c>
      <c r="G183" s="28">
        <v>12</v>
      </c>
      <c r="H183" s="26">
        <v>76932</v>
      </c>
      <c r="I183" t="s">
        <v>330</v>
      </c>
      <c r="J183" t="s">
        <v>91</v>
      </c>
      <c r="K183" t="s">
        <v>40</v>
      </c>
      <c r="L183" t="s">
        <v>29</v>
      </c>
      <c r="M183" t="s">
        <v>1490</v>
      </c>
      <c r="N183" s="7">
        <f t="shared" si="4"/>
        <v>923184</v>
      </c>
      <c r="O183" s="7">
        <f t="shared" si="5"/>
        <v>7693.2000000000007</v>
      </c>
    </row>
    <row r="184" spans="1:15" x14ac:dyDescent="0.35">
      <c r="A184" s="5">
        <v>183</v>
      </c>
      <c r="B184" t="s">
        <v>474</v>
      </c>
      <c r="C184" t="s">
        <v>475</v>
      </c>
      <c r="D184" t="s">
        <v>1486</v>
      </c>
      <c r="E184" t="s">
        <v>79</v>
      </c>
      <c r="F184" s="1">
        <v>37471</v>
      </c>
      <c r="G184" s="28">
        <v>19</v>
      </c>
      <c r="H184" s="26">
        <v>64410</v>
      </c>
      <c r="I184" t="s">
        <v>107</v>
      </c>
      <c r="J184" t="s">
        <v>16</v>
      </c>
      <c r="K184" t="s">
        <v>17</v>
      </c>
      <c r="L184" t="s">
        <v>41</v>
      </c>
      <c r="M184" t="s">
        <v>1490</v>
      </c>
      <c r="N184" s="7">
        <f t="shared" si="4"/>
        <v>772920</v>
      </c>
      <c r="O184" s="7">
        <f t="shared" si="5"/>
        <v>6441</v>
      </c>
    </row>
    <row r="185" spans="1:15" x14ac:dyDescent="0.35">
      <c r="A185" s="5">
        <v>184</v>
      </c>
      <c r="B185" t="s">
        <v>207</v>
      </c>
      <c r="C185" t="s">
        <v>476</v>
      </c>
      <c r="D185" t="s">
        <v>1486</v>
      </c>
      <c r="E185" t="s">
        <v>122</v>
      </c>
      <c r="F185" s="1">
        <v>44229</v>
      </c>
      <c r="G185" s="28">
        <v>13</v>
      </c>
      <c r="H185" s="26">
        <v>111873</v>
      </c>
      <c r="I185" t="s">
        <v>149</v>
      </c>
      <c r="J185" t="s">
        <v>16</v>
      </c>
      <c r="K185" t="s">
        <v>17</v>
      </c>
      <c r="L185" t="s">
        <v>123</v>
      </c>
      <c r="M185" t="s">
        <v>1490</v>
      </c>
      <c r="N185" s="7">
        <f t="shared" si="4"/>
        <v>1342476</v>
      </c>
      <c r="O185" s="7">
        <f t="shared" si="5"/>
        <v>11187.300000000001</v>
      </c>
    </row>
    <row r="186" spans="1:15" x14ac:dyDescent="0.35">
      <c r="A186" s="5">
        <v>185</v>
      </c>
      <c r="B186" t="s">
        <v>207</v>
      </c>
      <c r="C186" t="s">
        <v>477</v>
      </c>
      <c r="D186" t="s">
        <v>1486</v>
      </c>
      <c r="E186" t="s">
        <v>69</v>
      </c>
      <c r="F186" s="1">
        <v>37156</v>
      </c>
      <c r="G186" s="28">
        <v>20</v>
      </c>
      <c r="H186" s="26">
        <v>74648</v>
      </c>
      <c r="I186" t="s">
        <v>478</v>
      </c>
      <c r="J186" t="s">
        <v>16</v>
      </c>
      <c r="K186" t="s">
        <v>17</v>
      </c>
      <c r="L186" t="s">
        <v>41</v>
      </c>
      <c r="M186" t="s">
        <v>1490</v>
      </c>
      <c r="N186" s="7">
        <f t="shared" si="4"/>
        <v>895776</v>
      </c>
      <c r="O186" s="7">
        <f t="shared" si="5"/>
        <v>7464.8</v>
      </c>
    </row>
    <row r="187" spans="1:15" x14ac:dyDescent="0.35">
      <c r="A187" s="5">
        <v>186</v>
      </c>
      <c r="B187" t="s">
        <v>412</v>
      </c>
      <c r="C187" t="s">
        <v>479</v>
      </c>
      <c r="D187" t="s">
        <v>1486</v>
      </c>
      <c r="E187" t="s">
        <v>53</v>
      </c>
      <c r="F187" s="1">
        <v>45552</v>
      </c>
      <c r="G187" s="28">
        <v>10</v>
      </c>
      <c r="H187" s="26">
        <v>144991</v>
      </c>
      <c r="I187" t="s">
        <v>349</v>
      </c>
      <c r="J187" t="s">
        <v>39</v>
      </c>
      <c r="K187" t="s">
        <v>40</v>
      </c>
      <c r="L187" t="s">
        <v>23</v>
      </c>
      <c r="M187" t="s">
        <v>1490</v>
      </c>
      <c r="N187" s="7">
        <f t="shared" si="4"/>
        <v>1739892</v>
      </c>
      <c r="O187" s="7">
        <f t="shared" si="5"/>
        <v>14499.1</v>
      </c>
    </row>
    <row r="188" spans="1:15" x14ac:dyDescent="0.35">
      <c r="A188" s="5">
        <v>187</v>
      </c>
      <c r="B188" t="s">
        <v>480</v>
      </c>
      <c r="C188" t="s">
        <v>481</v>
      </c>
      <c r="D188" t="s">
        <v>1486</v>
      </c>
      <c r="E188" t="s">
        <v>148</v>
      </c>
      <c r="F188" s="1">
        <v>38660</v>
      </c>
      <c r="G188" s="28">
        <v>16</v>
      </c>
      <c r="H188" s="26">
        <v>107407</v>
      </c>
      <c r="I188" t="s">
        <v>272</v>
      </c>
      <c r="J188" t="s">
        <v>28</v>
      </c>
      <c r="K188" t="s">
        <v>17</v>
      </c>
      <c r="L188" t="s">
        <v>112</v>
      </c>
      <c r="M188" t="s">
        <v>1490</v>
      </c>
      <c r="N188" s="7">
        <f t="shared" si="4"/>
        <v>1288884</v>
      </c>
      <c r="O188" s="7">
        <f t="shared" si="5"/>
        <v>10740.7</v>
      </c>
    </row>
    <row r="189" spans="1:15" x14ac:dyDescent="0.35">
      <c r="A189" s="5">
        <v>188</v>
      </c>
      <c r="B189" t="s">
        <v>379</v>
      </c>
      <c r="C189" t="s">
        <v>482</v>
      </c>
      <c r="D189" t="s">
        <v>1485</v>
      </c>
      <c r="E189" t="s">
        <v>37</v>
      </c>
      <c r="F189" s="1">
        <v>40985</v>
      </c>
      <c r="G189" s="28">
        <v>9</v>
      </c>
      <c r="H189" s="26">
        <v>120225</v>
      </c>
      <c r="I189" t="s">
        <v>179</v>
      </c>
      <c r="J189" t="s">
        <v>39</v>
      </c>
      <c r="K189" t="s">
        <v>40</v>
      </c>
      <c r="L189" t="s">
        <v>41</v>
      </c>
      <c r="M189" t="s">
        <v>1490</v>
      </c>
      <c r="N189" s="7">
        <f t="shared" si="4"/>
        <v>1442700</v>
      </c>
      <c r="O189" s="7">
        <f t="shared" si="5"/>
        <v>12022.5</v>
      </c>
    </row>
    <row r="190" spans="1:15" x14ac:dyDescent="0.35">
      <c r="A190" s="5">
        <v>189</v>
      </c>
      <c r="B190" t="s">
        <v>483</v>
      </c>
      <c r="C190" t="s">
        <v>484</v>
      </c>
      <c r="D190" t="s">
        <v>1485</v>
      </c>
      <c r="E190" t="s">
        <v>89</v>
      </c>
      <c r="F190" s="1">
        <v>41975</v>
      </c>
      <c r="G190" s="28">
        <v>7</v>
      </c>
      <c r="H190" s="26">
        <v>122272</v>
      </c>
      <c r="I190" t="s">
        <v>253</v>
      </c>
      <c r="J190" t="s">
        <v>16</v>
      </c>
      <c r="K190" t="s">
        <v>17</v>
      </c>
      <c r="L190" t="s">
        <v>41</v>
      </c>
      <c r="M190" t="s">
        <v>1490</v>
      </c>
      <c r="N190" s="7">
        <f t="shared" si="4"/>
        <v>1467264</v>
      </c>
      <c r="O190" s="7">
        <f t="shared" si="5"/>
        <v>12227.2</v>
      </c>
    </row>
    <row r="191" spans="1:15" x14ac:dyDescent="0.35">
      <c r="A191" s="5">
        <v>190</v>
      </c>
      <c r="B191" t="s">
        <v>485</v>
      </c>
      <c r="C191" t="s">
        <v>486</v>
      </c>
      <c r="D191" t="s">
        <v>1486</v>
      </c>
      <c r="E191" t="s">
        <v>203</v>
      </c>
      <c r="F191" s="1">
        <v>37573</v>
      </c>
      <c r="G191" s="28">
        <v>19</v>
      </c>
      <c r="H191" s="26">
        <v>120577</v>
      </c>
      <c r="I191" t="s">
        <v>487</v>
      </c>
      <c r="J191" t="s">
        <v>46</v>
      </c>
      <c r="K191" t="s">
        <v>17</v>
      </c>
      <c r="L191" t="s">
        <v>41</v>
      </c>
      <c r="M191" t="s">
        <v>1490</v>
      </c>
      <c r="N191" s="7">
        <f t="shared" si="4"/>
        <v>1446924</v>
      </c>
      <c r="O191" s="7">
        <f t="shared" si="5"/>
        <v>12057.7</v>
      </c>
    </row>
    <row r="192" spans="1:15" x14ac:dyDescent="0.35">
      <c r="A192" s="5">
        <v>191</v>
      </c>
      <c r="B192" t="s">
        <v>488</v>
      </c>
      <c r="C192" t="s">
        <v>489</v>
      </c>
      <c r="D192" t="s">
        <v>1486</v>
      </c>
      <c r="E192" t="s">
        <v>94</v>
      </c>
      <c r="F192" s="1">
        <v>44315</v>
      </c>
      <c r="G192" s="28">
        <v>13</v>
      </c>
      <c r="H192" s="26">
        <v>148986</v>
      </c>
      <c r="I192" t="s">
        <v>490</v>
      </c>
      <c r="J192" t="s">
        <v>46</v>
      </c>
      <c r="K192" t="s">
        <v>17</v>
      </c>
      <c r="L192" t="s">
        <v>18</v>
      </c>
      <c r="M192" t="s">
        <v>1490</v>
      </c>
      <c r="N192" s="7">
        <f t="shared" si="4"/>
        <v>1787832</v>
      </c>
      <c r="O192" s="7">
        <f t="shared" si="5"/>
        <v>14898.6</v>
      </c>
    </row>
    <row r="193" spans="1:15" x14ac:dyDescent="0.35">
      <c r="A193" s="5">
        <v>192</v>
      </c>
      <c r="B193" t="s">
        <v>491</v>
      </c>
      <c r="C193" t="s">
        <v>492</v>
      </c>
      <c r="D193" t="s">
        <v>1485</v>
      </c>
      <c r="E193" t="s">
        <v>79</v>
      </c>
      <c r="F193" s="1">
        <v>36566</v>
      </c>
      <c r="G193" s="28">
        <v>21</v>
      </c>
      <c r="H193" s="26">
        <v>101855</v>
      </c>
      <c r="I193" t="s">
        <v>493</v>
      </c>
      <c r="J193" t="s">
        <v>55</v>
      </c>
      <c r="K193" t="s">
        <v>17</v>
      </c>
      <c r="L193" t="s">
        <v>41</v>
      </c>
      <c r="M193" t="s">
        <v>1490</v>
      </c>
      <c r="N193" s="7">
        <f t="shared" si="4"/>
        <v>1222260</v>
      </c>
      <c r="O193" s="7">
        <f t="shared" si="5"/>
        <v>10185.5</v>
      </c>
    </row>
    <row r="194" spans="1:15" x14ac:dyDescent="0.35">
      <c r="A194" s="5">
        <v>193</v>
      </c>
      <c r="B194" t="s">
        <v>494</v>
      </c>
      <c r="C194" t="s">
        <v>495</v>
      </c>
      <c r="D194" t="s">
        <v>1486</v>
      </c>
      <c r="E194" t="s">
        <v>100</v>
      </c>
      <c r="F194" s="1">
        <v>38765</v>
      </c>
      <c r="G194" s="28">
        <v>15</v>
      </c>
      <c r="H194" s="26">
        <v>140850</v>
      </c>
      <c r="I194" t="s">
        <v>310</v>
      </c>
      <c r="J194" t="s">
        <v>55</v>
      </c>
      <c r="K194" t="s">
        <v>17</v>
      </c>
      <c r="L194" t="s">
        <v>29</v>
      </c>
      <c r="M194" t="s">
        <v>1490</v>
      </c>
      <c r="N194" s="7">
        <f t="shared" ref="N194:N257" si="6">H194*12</f>
        <v>1690200</v>
      </c>
      <c r="O194" s="7">
        <f t="shared" ref="O194:O257" si="7">H194*10%</f>
        <v>14085</v>
      </c>
    </row>
    <row r="195" spans="1:15" x14ac:dyDescent="0.35">
      <c r="A195" s="5">
        <v>194</v>
      </c>
      <c r="B195" t="s">
        <v>350</v>
      </c>
      <c r="C195" t="s">
        <v>496</v>
      </c>
      <c r="D195" t="s">
        <v>1485</v>
      </c>
      <c r="E195" t="s">
        <v>53</v>
      </c>
      <c r="F195" s="1">
        <v>38749</v>
      </c>
      <c r="G195" s="28">
        <v>15</v>
      </c>
      <c r="H195" s="26">
        <v>142516</v>
      </c>
      <c r="I195" t="s">
        <v>497</v>
      </c>
      <c r="J195" t="s">
        <v>46</v>
      </c>
      <c r="K195" t="s">
        <v>17</v>
      </c>
      <c r="L195" t="s">
        <v>23</v>
      </c>
      <c r="M195" t="s">
        <v>1490</v>
      </c>
      <c r="N195" s="7">
        <f t="shared" si="6"/>
        <v>1710192</v>
      </c>
      <c r="O195" s="7">
        <f t="shared" si="7"/>
        <v>14251.6</v>
      </c>
    </row>
    <row r="196" spans="1:15" x14ac:dyDescent="0.35">
      <c r="A196" s="5">
        <v>195</v>
      </c>
      <c r="B196" t="s">
        <v>407</v>
      </c>
      <c r="C196" t="s">
        <v>498</v>
      </c>
      <c r="D196" t="s">
        <v>1485</v>
      </c>
      <c r="E196" t="s">
        <v>312</v>
      </c>
      <c r="F196" s="1">
        <v>41222</v>
      </c>
      <c r="G196" s="28">
        <v>9</v>
      </c>
      <c r="H196" s="26">
        <v>48829</v>
      </c>
      <c r="I196" t="s">
        <v>133</v>
      </c>
      <c r="J196" t="s">
        <v>46</v>
      </c>
      <c r="K196" t="s">
        <v>17</v>
      </c>
      <c r="L196" t="s">
        <v>41</v>
      </c>
      <c r="M196" t="s">
        <v>1490</v>
      </c>
      <c r="N196" s="7">
        <f t="shared" si="6"/>
        <v>585948</v>
      </c>
      <c r="O196" s="7">
        <f t="shared" si="7"/>
        <v>4882.9000000000005</v>
      </c>
    </row>
    <row r="197" spans="1:15" x14ac:dyDescent="0.35">
      <c r="A197" s="5">
        <v>196</v>
      </c>
      <c r="B197" t="s">
        <v>64</v>
      </c>
      <c r="C197" t="s">
        <v>499</v>
      </c>
      <c r="D197" t="s">
        <v>1485</v>
      </c>
      <c r="E197" t="s">
        <v>148</v>
      </c>
      <c r="F197" s="1">
        <v>38976</v>
      </c>
      <c r="G197" s="28">
        <v>15</v>
      </c>
      <c r="H197" s="26">
        <v>81270</v>
      </c>
      <c r="I197" t="s">
        <v>500</v>
      </c>
      <c r="J197" t="s">
        <v>46</v>
      </c>
      <c r="K197" t="s">
        <v>17</v>
      </c>
      <c r="L197" t="s">
        <v>112</v>
      </c>
      <c r="M197" t="s">
        <v>1490</v>
      </c>
      <c r="N197" s="7">
        <f t="shared" si="6"/>
        <v>975240</v>
      </c>
      <c r="O197" s="7">
        <f t="shared" si="7"/>
        <v>8127</v>
      </c>
    </row>
    <row r="198" spans="1:15" x14ac:dyDescent="0.35">
      <c r="A198" s="5">
        <v>197</v>
      </c>
      <c r="B198" t="s">
        <v>423</v>
      </c>
      <c r="C198" t="s">
        <v>501</v>
      </c>
      <c r="D198" t="s">
        <v>1486</v>
      </c>
      <c r="E198" t="s">
        <v>129</v>
      </c>
      <c r="F198" s="1">
        <v>45294</v>
      </c>
      <c r="G198" s="28">
        <v>10</v>
      </c>
      <c r="H198" s="26">
        <v>130097</v>
      </c>
      <c r="I198" t="s">
        <v>217</v>
      </c>
      <c r="J198" t="s">
        <v>91</v>
      </c>
      <c r="K198" t="s">
        <v>40</v>
      </c>
      <c r="L198" t="s">
        <v>41</v>
      </c>
      <c r="M198" t="s">
        <v>1490</v>
      </c>
      <c r="N198" s="7">
        <f t="shared" si="6"/>
        <v>1561164</v>
      </c>
      <c r="O198" s="7">
        <f t="shared" si="7"/>
        <v>13009.7</v>
      </c>
    </row>
    <row r="199" spans="1:15" x14ac:dyDescent="0.35">
      <c r="A199" s="5">
        <v>198</v>
      </c>
      <c r="B199" t="s">
        <v>404</v>
      </c>
      <c r="C199" t="s">
        <v>502</v>
      </c>
      <c r="D199" t="s">
        <v>1486</v>
      </c>
      <c r="E199" t="s">
        <v>100</v>
      </c>
      <c r="F199" s="1">
        <v>36549</v>
      </c>
      <c r="G199" s="28">
        <v>21</v>
      </c>
      <c r="H199" s="26">
        <v>117905</v>
      </c>
      <c r="I199" t="s">
        <v>49</v>
      </c>
      <c r="J199" t="s">
        <v>55</v>
      </c>
      <c r="K199" t="s">
        <v>17</v>
      </c>
      <c r="L199" t="s">
        <v>29</v>
      </c>
      <c r="M199" t="s">
        <v>1490</v>
      </c>
      <c r="N199" s="7">
        <f t="shared" si="6"/>
        <v>1414860</v>
      </c>
      <c r="O199" s="7">
        <f t="shared" si="7"/>
        <v>11790.5</v>
      </c>
    </row>
    <row r="200" spans="1:15" x14ac:dyDescent="0.35">
      <c r="A200" s="5">
        <v>199</v>
      </c>
      <c r="B200" t="s">
        <v>140</v>
      </c>
      <c r="C200" t="s">
        <v>503</v>
      </c>
      <c r="D200" t="s">
        <v>1486</v>
      </c>
      <c r="E200" t="s">
        <v>312</v>
      </c>
      <c r="F200" s="1">
        <v>45242</v>
      </c>
      <c r="G200" s="28">
        <v>11</v>
      </c>
      <c r="H200" s="26">
        <v>142483</v>
      </c>
      <c r="I200" t="s">
        <v>472</v>
      </c>
      <c r="J200" t="s">
        <v>28</v>
      </c>
      <c r="K200" t="s">
        <v>17</v>
      </c>
      <c r="L200" t="s">
        <v>41</v>
      </c>
      <c r="M200" t="s">
        <v>1490</v>
      </c>
      <c r="N200" s="7">
        <f t="shared" si="6"/>
        <v>1709796</v>
      </c>
      <c r="O200" s="7">
        <f t="shared" si="7"/>
        <v>14248.300000000001</v>
      </c>
    </row>
    <row r="201" spans="1:15" x14ac:dyDescent="0.35">
      <c r="A201" s="5">
        <v>200</v>
      </c>
      <c r="B201" t="s">
        <v>264</v>
      </c>
      <c r="C201" t="s">
        <v>504</v>
      </c>
      <c r="D201" t="s">
        <v>1485</v>
      </c>
      <c r="E201" t="s">
        <v>61</v>
      </c>
      <c r="F201" s="1">
        <v>38250</v>
      </c>
      <c r="G201" s="28">
        <v>17</v>
      </c>
      <c r="H201" s="26">
        <v>89633</v>
      </c>
      <c r="I201" t="s">
        <v>101</v>
      </c>
      <c r="J201" t="s">
        <v>55</v>
      </c>
      <c r="K201" t="s">
        <v>17</v>
      </c>
      <c r="L201" t="s">
        <v>63</v>
      </c>
      <c r="M201" t="s">
        <v>1489</v>
      </c>
      <c r="N201" s="7">
        <f t="shared" si="6"/>
        <v>1075596</v>
      </c>
      <c r="O201" s="7">
        <f t="shared" si="7"/>
        <v>8963.3000000000011</v>
      </c>
    </row>
    <row r="202" spans="1:15" x14ac:dyDescent="0.35">
      <c r="A202" s="5">
        <v>201</v>
      </c>
      <c r="B202" t="s">
        <v>505</v>
      </c>
      <c r="C202" t="s">
        <v>506</v>
      </c>
      <c r="D202" t="s">
        <v>1485</v>
      </c>
      <c r="E202" t="s">
        <v>89</v>
      </c>
      <c r="F202" s="1">
        <v>39890</v>
      </c>
      <c r="G202" s="28">
        <v>12</v>
      </c>
      <c r="H202" s="26">
        <v>48684</v>
      </c>
      <c r="I202" t="s">
        <v>111</v>
      </c>
      <c r="J202" t="s">
        <v>50</v>
      </c>
      <c r="K202" t="s">
        <v>40</v>
      </c>
      <c r="L202" t="s">
        <v>41</v>
      </c>
      <c r="M202" t="s">
        <v>1489</v>
      </c>
      <c r="N202" s="7">
        <f t="shared" si="6"/>
        <v>584208</v>
      </c>
      <c r="O202" s="7">
        <f t="shared" si="7"/>
        <v>4868.4000000000005</v>
      </c>
    </row>
    <row r="203" spans="1:15" x14ac:dyDescent="0.35">
      <c r="A203" s="5">
        <v>202</v>
      </c>
      <c r="B203" t="s">
        <v>328</v>
      </c>
      <c r="C203" t="s">
        <v>507</v>
      </c>
      <c r="D203" t="s">
        <v>1486</v>
      </c>
      <c r="E203" t="s">
        <v>26</v>
      </c>
      <c r="F203" s="1">
        <v>38009</v>
      </c>
      <c r="G203" s="28">
        <v>17</v>
      </c>
      <c r="H203" s="26">
        <v>91932</v>
      </c>
      <c r="I203" t="s">
        <v>425</v>
      </c>
      <c r="J203" t="s">
        <v>46</v>
      </c>
      <c r="K203" t="s">
        <v>17</v>
      </c>
      <c r="L203" t="s">
        <v>29</v>
      </c>
      <c r="M203" t="s">
        <v>1489</v>
      </c>
      <c r="N203" s="7">
        <f t="shared" si="6"/>
        <v>1103184</v>
      </c>
      <c r="O203" s="7">
        <f t="shared" si="7"/>
        <v>9193.2000000000007</v>
      </c>
    </row>
    <row r="204" spans="1:15" x14ac:dyDescent="0.35">
      <c r="A204" s="5">
        <v>203</v>
      </c>
      <c r="B204" t="s">
        <v>508</v>
      </c>
      <c r="C204" t="s">
        <v>509</v>
      </c>
      <c r="D204" t="s">
        <v>1486</v>
      </c>
      <c r="E204" t="s">
        <v>37</v>
      </c>
      <c r="F204" s="1">
        <v>38632</v>
      </c>
      <c r="G204" s="28">
        <v>16</v>
      </c>
      <c r="H204" s="26">
        <v>112004</v>
      </c>
      <c r="I204" t="s">
        <v>510</v>
      </c>
      <c r="J204" t="s">
        <v>39</v>
      </c>
      <c r="K204" t="s">
        <v>40</v>
      </c>
      <c r="L204" t="s">
        <v>41</v>
      </c>
      <c r="M204" t="s">
        <v>1489</v>
      </c>
      <c r="N204" s="7">
        <f t="shared" si="6"/>
        <v>1344048</v>
      </c>
      <c r="O204" s="7">
        <f t="shared" si="7"/>
        <v>11200.400000000001</v>
      </c>
    </row>
    <row r="205" spans="1:15" x14ac:dyDescent="0.35">
      <c r="A205" s="5">
        <v>204</v>
      </c>
      <c r="B205" t="s">
        <v>485</v>
      </c>
      <c r="C205" t="s">
        <v>511</v>
      </c>
      <c r="D205" t="s">
        <v>1486</v>
      </c>
      <c r="E205" t="s">
        <v>129</v>
      </c>
      <c r="F205" s="1">
        <v>36794</v>
      </c>
      <c r="G205" s="28">
        <v>21</v>
      </c>
      <c r="H205" s="26">
        <v>116013</v>
      </c>
      <c r="I205" t="s">
        <v>220</v>
      </c>
      <c r="J205" t="s">
        <v>55</v>
      </c>
      <c r="K205" t="s">
        <v>17</v>
      </c>
      <c r="L205" t="s">
        <v>41</v>
      </c>
      <c r="M205" t="s">
        <v>1489</v>
      </c>
      <c r="N205" s="7">
        <f t="shared" si="6"/>
        <v>1392156</v>
      </c>
      <c r="O205" s="7">
        <f t="shared" si="7"/>
        <v>11601.300000000001</v>
      </c>
    </row>
    <row r="206" spans="1:15" x14ac:dyDescent="0.35">
      <c r="A206" s="5">
        <v>205</v>
      </c>
      <c r="B206" t="s">
        <v>512</v>
      </c>
      <c r="C206" t="s">
        <v>513</v>
      </c>
      <c r="D206" t="s">
        <v>1486</v>
      </c>
      <c r="E206" t="s">
        <v>79</v>
      </c>
      <c r="F206" s="1">
        <v>44449</v>
      </c>
      <c r="G206" s="28">
        <v>13</v>
      </c>
      <c r="H206" s="26">
        <v>109058</v>
      </c>
      <c r="I206" t="s">
        <v>287</v>
      </c>
      <c r="J206" t="s">
        <v>39</v>
      </c>
      <c r="K206" t="s">
        <v>40</v>
      </c>
      <c r="L206" t="s">
        <v>41</v>
      </c>
      <c r="M206" t="s">
        <v>1489</v>
      </c>
      <c r="N206" s="7">
        <f t="shared" si="6"/>
        <v>1308696</v>
      </c>
      <c r="O206" s="7">
        <f t="shared" si="7"/>
        <v>10905.800000000001</v>
      </c>
    </row>
    <row r="207" spans="1:15" x14ac:dyDescent="0.35">
      <c r="A207" s="5">
        <v>206</v>
      </c>
      <c r="B207" t="s">
        <v>514</v>
      </c>
      <c r="C207" t="s">
        <v>515</v>
      </c>
      <c r="D207" t="s">
        <v>1485</v>
      </c>
      <c r="E207" t="s">
        <v>53</v>
      </c>
      <c r="F207" s="1">
        <v>41035</v>
      </c>
      <c r="G207" s="28">
        <v>9</v>
      </c>
      <c r="H207" s="26">
        <v>61992</v>
      </c>
      <c r="I207" t="s">
        <v>62</v>
      </c>
      <c r="J207" t="s">
        <v>55</v>
      </c>
      <c r="K207" t="s">
        <v>17</v>
      </c>
      <c r="L207" t="s">
        <v>23</v>
      </c>
      <c r="M207" t="s">
        <v>1489</v>
      </c>
      <c r="N207" s="7">
        <f t="shared" si="6"/>
        <v>743904</v>
      </c>
      <c r="O207" s="7">
        <f t="shared" si="7"/>
        <v>6199.2000000000007</v>
      </c>
    </row>
    <row r="208" spans="1:15" x14ac:dyDescent="0.35">
      <c r="A208" s="5">
        <v>207</v>
      </c>
      <c r="B208" t="s">
        <v>51</v>
      </c>
      <c r="C208" t="s">
        <v>516</v>
      </c>
      <c r="D208" t="s">
        <v>1486</v>
      </c>
      <c r="E208" t="s">
        <v>61</v>
      </c>
      <c r="F208" s="1">
        <v>44471</v>
      </c>
      <c r="G208" s="28">
        <v>13</v>
      </c>
      <c r="H208" s="26">
        <v>129527</v>
      </c>
      <c r="I208" t="s">
        <v>517</v>
      </c>
      <c r="J208" t="s">
        <v>16</v>
      </c>
      <c r="K208" t="s">
        <v>17</v>
      </c>
      <c r="L208" t="s">
        <v>63</v>
      </c>
      <c r="M208" t="s">
        <v>1489</v>
      </c>
      <c r="N208" s="7">
        <f t="shared" si="6"/>
        <v>1554324</v>
      </c>
      <c r="O208" s="7">
        <f t="shared" si="7"/>
        <v>12952.7</v>
      </c>
    </row>
    <row r="209" spans="1:15" x14ac:dyDescent="0.35">
      <c r="A209" s="5">
        <v>208</v>
      </c>
      <c r="B209" t="s">
        <v>262</v>
      </c>
      <c r="C209" t="s">
        <v>518</v>
      </c>
      <c r="D209" t="s">
        <v>1486</v>
      </c>
      <c r="E209" t="s">
        <v>37</v>
      </c>
      <c r="F209" s="1">
        <v>37240</v>
      </c>
      <c r="G209" s="28">
        <v>20</v>
      </c>
      <c r="H209" s="26">
        <v>67746</v>
      </c>
      <c r="I209" t="s">
        <v>242</v>
      </c>
      <c r="J209" t="s">
        <v>16</v>
      </c>
      <c r="K209" t="s">
        <v>17</v>
      </c>
      <c r="L209" t="s">
        <v>41</v>
      </c>
      <c r="M209" t="s">
        <v>1489</v>
      </c>
      <c r="N209" s="7">
        <f t="shared" si="6"/>
        <v>812952</v>
      </c>
      <c r="O209" s="7">
        <f t="shared" si="7"/>
        <v>6774.6</v>
      </c>
    </row>
    <row r="210" spans="1:15" x14ac:dyDescent="0.35">
      <c r="A210" s="5">
        <v>209</v>
      </c>
      <c r="B210" t="s">
        <v>519</v>
      </c>
      <c r="C210" t="s">
        <v>520</v>
      </c>
      <c r="D210" t="s">
        <v>1485</v>
      </c>
      <c r="E210" t="s">
        <v>122</v>
      </c>
      <c r="F210" s="1">
        <v>40251</v>
      </c>
      <c r="G210" s="28">
        <v>11</v>
      </c>
      <c r="H210" s="26">
        <v>104530</v>
      </c>
      <c r="I210" t="s">
        <v>191</v>
      </c>
      <c r="J210" t="s">
        <v>16</v>
      </c>
      <c r="K210" t="s">
        <v>17</v>
      </c>
      <c r="L210" t="s">
        <v>123</v>
      </c>
      <c r="M210" t="s">
        <v>1489</v>
      </c>
      <c r="N210" s="7">
        <f t="shared" si="6"/>
        <v>1254360</v>
      </c>
      <c r="O210" s="7">
        <f t="shared" si="7"/>
        <v>10453</v>
      </c>
    </row>
    <row r="211" spans="1:15" x14ac:dyDescent="0.35">
      <c r="A211" s="5">
        <v>210</v>
      </c>
      <c r="B211" t="s">
        <v>521</v>
      </c>
      <c r="C211" t="s">
        <v>522</v>
      </c>
      <c r="D211" t="s">
        <v>1486</v>
      </c>
      <c r="E211" t="s">
        <v>238</v>
      </c>
      <c r="F211" s="1">
        <v>44213</v>
      </c>
      <c r="G211" s="28">
        <v>13</v>
      </c>
      <c r="H211" s="26">
        <v>42759</v>
      </c>
      <c r="I211" t="s">
        <v>472</v>
      </c>
      <c r="J211" t="s">
        <v>55</v>
      </c>
      <c r="K211" t="s">
        <v>17</v>
      </c>
      <c r="L211" t="s">
        <v>63</v>
      </c>
      <c r="M211" t="s">
        <v>1489</v>
      </c>
      <c r="N211" s="7">
        <f t="shared" si="6"/>
        <v>513108</v>
      </c>
      <c r="O211" s="7">
        <f t="shared" si="7"/>
        <v>4275.9000000000005</v>
      </c>
    </row>
    <row r="212" spans="1:15" x14ac:dyDescent="0.35">
      <c r="A212" s="5">
        <v>211</v>
      </c>
      <c r="B212" t="s">
        <v>523</v>
      </c>
      <c r="C212" t="s">
        <v>524</v>
      </c>
      <c r="D212" t="s">
        <v>1486</v>
      </c>
      <c r="E212" t="s">
        <v>85</v>
      </c>
      <c r="F212" s="1">
        <v>45347</v>
      </c>
      <c r="G212" s="28">
        <v>10</v>
      </c>
      <c r="H212" s="26">
        <v>43097</v>
      </c>
      <c r="I212" t="s">
        <v>360</v>
      </c>
      <c r="J212" t="s">
        <v>16</v>
      </c>
      <c r="K212" t="s">
        <v>17</v>
      </c>
      <c r="L212" t="s">
        <v>41</v>
      </c>
      <c r="M212" t="s">
        <v>1489</v>
      </c>
      <c r="N212" s="7">
        <f t="shared" si="6"/>
        <v>517164</v>
      </c>
      <c r="O212" s="7">
        <f t="shared" si="7"/>
        <v>4309.7</v>
      </c>
    </row>
    <row r="213" spans="1:15" x14ac:dyDescent="0.35">
      <c r="A213" s="5">
        <v>212</v>
      </c>
      <c r="B213" t="s">
        <v>304</v>
      </c>
      <c r="C213" t="s">
        <v>525</v>
      </c>
      <c r="D213" t="s">
        <v>1486</v>
      </c>
      <c r="E213" t="s">
        <v>148</v>
      </c>
      <c r="F213" s="1">
        <v>38678</v>
      </c>
      <c r="G213" s="28">
        <v>16</v>
      </c>
      <c r="H213" s="26">
        <v>123936</v>
      </c>
      <c r="I213" t="s">
        <v>510</v>
      </c>
      <c r="J213" t="s">
        <v>46</v>
      </c>
      <c r="K213" t="s">
        <v>17</v>
      </c>
      <c r="L213" t="s">
        <v>112</v>
      </c>
      <c r="M213" t="s">
        <v>1489</v>
      </c>
      <c r="N213" s="7">
        <f t="shared" si="6"/>
        <v>1487232</v>
      </c>
      <c r="O213" s="7">
        <f t="shared" si="7"/>
        <v>12393.6</v>
      </c>
    </row>
    <row r="214" spans="1:15" x14ac:dyDescent="0.35">
      <c r="A214" s="5">
        <v>213</v>
      </c>
      <c r="B214" t="s">
        <v>279</v>
      </c>
      <c r="C214" t="s">
        <v>526</v>
      </c>
      <c r="D214" t="s">
        <v>1485</v>
      </c>
      <c r="E214" t="s">
        <v>44</v>
      </c>
      <c r="F214" s="1">
        <v>39049</v>
      </c>
      <c r="G214" s="28">
        <v>15</v>
      </c>
      <c r="H214" s="26">
        <v>128239</v>
      </c>
      <c r="I214" t="s">
        <v>527</v>
      </c>
      <c r="J214" t="s">
        <v>50</v>
      </c>
      <c r="K214" t="s">
        <v>40</v>
      </c>
      <c r="L214" t="s">
        <v>29</v>
      </c>
      <c r="M214" t="s">
        <v>1489</v>
      </c>
      <c r="N214" s="7">
        <f t="shared" si="6"/>
        <v>1538868</v>
      </c>
      <c r="O214" s="7">
        <f t="shared" si="7"/>
        <v>12823.900000000001</v>
      </c>
    </row>
    <row r="215" spans="1:15" x14ac:dyDescent="0.35">
      <c r="A215" s="5">
        <v>214</v>
      </c>
      <c r="B215" t="s">
        <v>528</v>
      </c>
      <c r="C215" t="s">
        <v>529</v>
      </c>
      <c r="D215" t="s">
        <v>1485</v>
      </c>
      <c r="E215" t="s">
        <v>14</v>
      </c>
      <c r="F215" s="1">
        <v>37925</v>
      </c>
      <c r="G215" s="28">
        <v>18</v>
      </c>
      <c r="H215" s="26">
        <v>66084</v>
      </c>
      <c r="I215" t="s">
        <v>169</v>
      </c>
      <c r="J215" t="s">
        <v>50</v>
      </c>
      <c r="K215" t="s">
        <v>40</v>
      </c>
      <c r="L215" t="s">
        <v>18</v>
      </c>
      <c r="M215" t="s">
        <v>1489</v>
      </c>
      <c r="N215" s="7">
        <f t="shared" si="6"/>
        <v>793008</v>
      </c>
      <c r="O215" s="7">
        <f t="shared" si="7"/>
        <v>6608.4000000000005</v>
      </c>
    </row>
    <row r="216" spans="1:15" x14ac:dyDescent="0.35">
      <c r="A216" s="5">
        <v>215</v>
      </c>
      <c r="B216" t="s">
        <v>530</v>
      </c>
      <c r="C216" t="s">
        <v>531</v>
      </c>
      <c r="D216" t="s">
        <v>1485</v>
      </c>
      <c r="E216" t="s">
        <v>79</v>
      </c>
      <c r="F216" s="1">
        <v>39886</v>
      </c>
      <c r="G216" s="28">
        <v>12</v>
      </c>
      <c r="H216" s="26">
        <v>106729</v>
      </c>
      <c r="I216" t="s">
        <v>209</v>
      </c>
      <c r="J216" t="s">
        <v>91</v>
      </c>
      <c r="K216" t="s">
        <v>40</v>
      </c>
      <c r="L216" t="s">
        <v>41</v>
      </c>
      <c r="M216" t="s">
        <v>1489</v>
      </c>
      <c r="N216" s="7">
        <f t="shared" si="6"/>
        <v>1280748</v>
      </c>
      <c r="O216" s="7">
        <f t="shared" si="7"/>
        <v>10672.900000000001</v>
      </c>
    </row>
    <row r="217" spans="1:15" x14ac:dyDescent="0.35">
      <c r="A217" s="5">
        <v>216</v>
      </c>
      <c r="B217" t="s">
        <v>532</v>
      </c>
      <c r="C217" t="s">
        <v>533</v>
      </c>
      <c r="D217" t="s">
        <v>1485</v>
      </c>
      <c r="E217" t="s">
        <v>32</v>
      </c>
      <c r="F217" s="1">
        <v>39887</v>
      </c>
      <c r="G217" s="28">
        <v>12</v>
      </c>
      <c r="H217" s="26">
        <v>87269</v>
      </c>
      <c r="I217" t="s">
        <v>321</v>
      </c>
      <c r="J217" t="s">
        <v>55</v>
      </c>
      <c r="K217" t="s">
        <v>17</v>
      </c>
      <c r="L217" t="s">
        <v>34</v>
      </c>
      <c r="M217" t="s">
        <v>1489</v>
      </c>
      <c r="N217" s="7">
        <f t="shared" si="6"/>
        <v>1047228</v>
      </c>
      <c r="O217" s="7">
        <f t="shared" si="7"/>
        <v>8726.9</v>
      </c>
    </row>
    <row r="218" spans="1:15" x14ac:dyDescent="0.35">
      <c r="A218" s="5">
        <v>217</v>
      </c>
      <c r="B218" t="s">
        <v>210</v>
      </c>
      <c r="C218" t="s">
        <v>534</v>
      </c>
      <c r="D218" t="s">
        <v>1485</v>
      </c>
      <c r="E218" t="s">
        <v>89</v>
      </c>
      <c r="F218" s="1">
        <v>38322</v>
      </c>
      <c r="G218" s="28">
        <v>17</v>
      </c>
      <c r="H218" s="26">
        <v>128765</v>
      </c>
      <c r="I218" t="s">
        <v>247</v>
      </c>
      <c r="J218" t="s">
        <v>16</v>
      </c>
      <c r="K218" t="s">
        <v>17</v>
      </c>
      <c r="L218" t="s">
        <v>41</v>
      </c>
      <c r="M218" t="s">
        <v>1489</v>
      </c>
      <c r="N218" s="7">
        <f t="shared" si="6"/>
        <v>1545180</v>
      </c>
      <c r="O218" s="7">
        <f t="shared" si="7"/>
        <v>12876.5</v>
      </c>
    </row>
    <row r="219" spans="1:15" x14ac:dyDescent="0.35">
      <c r="A219" s="5">
        <v>218</v>
      </c>
      <c r="B219" t="s">
        <v>192</v>
      </c>
      <c r="C219" t="s">
        <v>535</v>
      </c>
      <c r="D219" t="s">
        <v>1485</v>
      </c>
      <c r="E219" t="s">
        <v>79</v>
      </c>
      <c r="F219" s="1">
        <v>37766</v>
      </c>
      <c r="G219" s="28">
        <v>18</v>
      </c>
      <c r="H219" s="26">
        <v>104671</v>
      </c>
      <c r="I219" t="s">
        <v>191</v>
      </c>
      <c r="J219" t="s">
        <v>39</v>
      </c>
      <c r="K219" t="s">
        <v>40</v>
      </c>
      <c r="L219" t="s">
        <v>41</v>
      </c>
      <c r="M219" t="s">
        <v>1489</v>
      </c>
      <c r="N219" s="7">
        <f t="shared" si="6"/>
        <v>1256052</v>
      </c>
      <c r="O219" s="7">
        <f t="shared" si="7"/>
        <v>10467.1</v>
      </c>
    </row>
    <row r="220" spans="1:15" x14ac:dyDescent="0.35">
      <c r="A220" s="5">
        <v>219</v>
      </c>
      <c r="B220" t="s">
        <v>474</v>
      </c>
      <c r="C220" t="s">
        <v>536</v>
      </c>
      <c r="D220" t="s">
        <v>1485</v>
      </c>
      <c r="E220" t="s">
        <v>312</v>
      </c>
      <c r="F220" s="1">
        <v>40664</v>
      </c>
      <c r="G220" s="28">
        <v>10</v>
      </c>
      <c r="H220" s="26">
        <v>55073</v>
      </c>
      <c r="I220" t="s">
        <v>537</v>
      </c>
      <c r="J220" t="s">
        <v>55</v>
      </c>
      <c r="K220" t="s">
        <v>17</v>
      </c>
      <c r="L220" t="s">
        <v>41</v>
      </c>
      <c r="M220" t="s">
        <v>1489</v>
      </c>
      <c r="N220" s="7">
        <f t="shared" si="6"/>
        <v>660876</v>
      </c>
      <c r="O220" s="7">
        <f t="shared" si="7"/>
        <v>5507.3</v>
      </c>
    </row>
    <row r="221" spans="1:15" x14ac:dyDescent="0.35">
      <c r="A221" s="5">
        <v>220</v>
      </c>
      <c r="B221" t="s">
        <v>35</v>
      </c>
      <c r="C221" t="s">
        <v>538</v>
      </c>
      <c r="D221" t="s">
        <v>1486</v>
      </c>
      <c r="E221" t="s">
        <v>148</v>
      </c>
      <c r="F221" s="1">
        <v>44156</v>
      </c>
      <c r="G221" s="28">
        <v>14</v>
      </c>
      <c r="H221" s="26">
        <v>146256</v>
      </c>
      <c r="I221" t="s">
        <v>539</v>
      </c>
      <c r="J221" t="s">
        <v>46</v>
      </c>
      <c r="K221" t="s">
        <v>17</v>
      </c>
      <c r="L221" t="s">
        <v>112</v>
      </c>
      <c r="M221" t="s">
        <v>1489</v>
      </c>
      <c r="N221" s="7">
        <f t="shared" si="6"/>
        <v>1755072</v>
      </c>
      <c r="O221" s="7">
        <f t="shared" si="7"/>
        <v>14625.6</v>
      </c>
    </row>
    <row r="222" spans="1:15" x14ac:dyDescent="0.35">
      <c r="A222" s="5">
        <v>221</v>
      </c>
      <c r="B222" t="s">
        <v>410</v>
      </c>
      <c r="C222" t="s">
        <v>540</v>
      </c>
      <c r="D222" t="s">
        <v>1486</v>
      </c>
      <c r="E222" t="s">
        <v>89</v>
      </c>
      <c r="F222" s="1">
        <v>38367</v>
      </c>
      <c r="G222" s="28">
        <v>16</v>
      </c>
      <c r="H222" s="26">
        <v>55077</v>
      </c>
      <c r="I222" t="s">
        <v>204</v>
      </c>
      <c r="J222" t="s">
        <v>39</v>
      </c>
      <c r="K222" t="s">
        <v>40</v>
      </c>
      <c r="L222" t="s">
        <v>41</v>
      </c>
      <c r="M222" t="s">
        <v>1489</v>
      </c>
      <c r="N222" s="7">
        <f t="shared" si="6"/>
        <v>660924</v>
      </c>
      <c r="O222" s="7">
        <f t="shared" si="7"/>
        <v>5507.7000000000007</v>
      </c>
    </row>
    <row r="223" spans="1:15" x14ac:dyDescent="0.35">
      <c r="A223" s="5">
        <v>222</v>
      </c>
      <c r="B223" t="s">
        <v>184</v>
      </c>
      <c r="C223" t="s">
        <v>541</v>
      </c>
      <c r="D223" t="s">
        <v>1486</v>
      </c>
      <c r="E223" t="s">
        <v>37</v>
      </c>
      <c r="F223" s="1">
        <v>45393</v>
      </c>
      <c r="G223" s="28">
        <v>10</v>
      </c>
      <c r="H223" s="26">
        <v>124215</v>
      </c>
      <c r="I223" t="s">
        <v>27</v>
      </c>
      <c r="J223" t="s">
        <v>16</v>
      </c>
      <c r="K223" t="s">
        <v>17</v>
      </c>
      <c r="L223" t="s">
        <v>41</v>
      </c>
      <c r="M223" t="s">
        <v>1489</v>
      </c>
      <c r="N223" s="7">
        <f t="shared" si="6"/>
        <v>1490580</v>
      </c>
      <c r="O223" s="7">
        <f t="shared" si="7"/>
        <v>12421.5</v>
      </c>
    </row>
    <row r="224" spans="1:15" x14ac:dyDescent="0.35">
      <c r="A224" s="5">
        <v>223</v>
      </c>
      <c r="B224" t="s">
        <v>363</v>
      </c>
      <c r="C224" t="s">
        <v>542</v>
      </c>
      <c r="D224" t="s">
        <v>1485</v>
      </c>
      <c r="E224" t="s">
        <v>14</v>
      </c>
      <c r="F224" s="1">
        <v>39566</v>
      </c>
      <c r="G224" s="28">
        <v>13</v>
      </c>
      <c r="H224" s="26">
        <v>105444</v>
      </c>
      <c r="I224" t="s">
        <v>543</v>
      </c>
      <c r="J224" t="s">
        <v>50</v>
      </c>
      <c r="K224" t="s">
        <v>40</v>
      </c>
      <c r="L224" t="s">
        <v>18</v>
      </c>
      <c r="M224" t="s">
        <v>1489</v>
      </c>
      <c r="N224" s="7">
        <f t="shared" si="6"/>
        <v>1265328</v>
      </c>
      <c r="O224" s="7">
        <f t="shared" si="7"/>
        <v>10544.400000000001</v>
      </c>
    </row>
    <row r="225" spans="1:15" x14ac:dyDescent="0.35">
      <c r="A225" s="5">
        <v>224</v>
      </c>
      <c r="B225" t="s">
        <v>544</v>
      </c>
      <c r="C225" t="s">
        <v>545</v>
      </c>
      <c r="D225" t="s">
        <v>1486</v>
      </c>
      <c r="E225" t="s">
        <v>21</v>
      </c>
      <c r="F225" s="1">
        <v>45047</v>
      </c>
      <c r="G225" s="28">
        <v>11</v>
      </c>
      <c r="H225" s="26">
        <v>141513</v>
      </c>
      <c r="I225" t="s">
        <v>546</v>
      </c>
      <c r="J225" t="s">
        <v>46</v>
      </c>
      <c r="K225" t="s">
        <v>17</v>
      </c>
      <c r="L225" t="s">
        <v>23</v>
      </c>
      <c r="M225" t="s">
        <v>1489</v>
      </c>
      <c r="N225" s="7">
        <f t="shared" si="6"/>
        <v>1698156</v>
      </c>
      <c r="O225" s="7">
        <f t="shared" si="7"/>
        <v>14151.300000000001</v>
      </c>
    </row>
    <row r="226" spans="1:15" x14ac:dyDescent="0.35">
      <c r="A226" s="5">
        <v>225</v>
      </c>
      <c r="B226" t="s">
        <v>519</v>
      </c>
      <c r="C226" t="s">
        <v>547</v>
      </c>
      <c r="D226" t="s">
        <v>1486</v>
      </c>
      <c r="E226" t="s">
        <v>312</v>
      </c>
      <c r="F226" s="1">
        <v>44268</v>
      </c>
      <c r="G226" s="28">
        <v>13</v>
      </c>
      <c r="H226" s="26">
        <v>97623</v>
      </c>
      <c r="I226" t="s">
        <v>349</v>
      </c>
      <c r="J226" t="s">
        <v>46</v>
      </c>
      <c r="K226" t="s">
        <v>17</v>
      </c>
      <c r="L226" t="s">
        <v>41</v>
      </c>
      <c r="M226" t="s">
        <v>1489</v>
      </c>
      <c r="N226" s="7">
        <f t="shared" si="6"/>
        <v>1171476</v>
      </c>
      <c r="O226" s="7">
        <f t="shared" si="7"/>
        <v>9762.3000000000011</v>
      </c>
    </row>
    <row r="227" spans="1:15" x14ac:dyDescent="0.35">
      <c r="A227" s="5">
        <v>226</v>
      </c>
      <c r="B227" t="s">
        <v>548</v>
      </c>
      <c r="C227" t="s">
        <v>549</v>
      </c>
      <c r="D227" t="s">
        <v>1485</v>
      </c>
      <c r="E227" t="s">
        <v>203</v>
      </c>
      <c r="F227" s="1">
        <v>38668</v>
      </c>
      <c r="G227" s="28">
        <v>16</v>
      </c>
      <c r="H227" s="26">
        <v>106833</v>
      </c>
      <c r="I227" t="s">
        <v>204</v>
      </c>
      <c r="J227" t="s">
        <v>39</v>
      </c>
      <c r="K227" t="s">
        <v>40</v>
      </c>
      <c r="L227" t="s">
        <v>41</v>
      </c>
      <c r="M227" t="s">
        <v>1489</v>
      </c>
      <c r="N227" s="7">
        <f t="shared" si="6"/>
        <v>1281996</v>
      </c>
      <c r="O227" s="7">
        <f t="shared" si="7"/>
        <v>10683.300000000001</v>
      </c>
    </row>
    <row r="228" spans="1:15" x14ac:dyDescent="0.35">
      <c r="A228" s="5">
        <v>227</v>
      </c>
      <c r="B228" t="s">
        <v>302</v>
      </c>
      <c r="C228" t="s">
        <v>550</v>
      </c>
      <c r="D228" t="s">
        <v>1486</v>
      </c>
      <c r="E228" t="s">
        <v>129</v>
      </c>
      <c r="F228" s="1">
        <v>38825</v>
      </c>
      <c r="G228" s="28">
        <v>15</v>
      </c>
      <c r="H228" s="26">
        <v>69045</v>
      </c>
      <c r="I228" t="s">
        <v>551</v>
      </c>
      <c r="J228" t="s">
        <v>16</v>
      </c>
      <c r="K228" t="s">
        <v>17</v>
      </c>
      <c r="L228" t="s">
        <v>41</v>
      </c>
      <c r="M228" t="s">
        <v>1489</v>
      </c>
      <c r="N228" s="7">
        <f t="shared" si="6"/>
        <v>828540</v>
      </c>
      <c r="O228" s="7">
        <f t="shared" si="7"/>
        <v>6904.5</v>
      </c>
    </row>
    <row r="229" spans="1:15" x14ac:dyDescent="0.35">
      <c r="A229" s="5">
        <v>228</v>
      </c>
      <c r="B229" t="s">
        <v>243</v>
      </c>
      <c r="C229" t="s">
        <v>552</v>
      </c>
      <c r="D229" t="s">
        <v>1485</v>
      </c>
      <c r="E229" t="s">
        <v>148</v>
      </c>
      <c r="F229" s="1">
        <v>39633</v>
      </c>
      <c r="G229" s="28">
        <v>13</v>
      </c>
      <c r="H229" s="26">
        <v>113311</v>
      </c>
      <c r="I229" t="s">
        <v>245</v>
      </c>
      <c r="J229" t="s">
        <v>16</v>
      </c>
      <c r="K229" t="s">
        <v>17</v>
      </c>
      <c r="L229" t="s">
        <v>112</v>
      </c>
      <c r="M229" t="s">
        <v>1489</v>
      </c>
      <c r="N229" s="7">
        <f t="shared" si="6"/>
        <v>1359732</v>
      </c>
      <c r="O229" s="7">
        <f t="shared" si="7"/>
        <v>11331.1</v>
      </c>
    </row>
    <row r="230" spans="1:15" x14ac:dyDescent="0.35">
      <c r="A230" s="5">
        <v>229</v>
      </c>
      <c r="B230" t="s">
        <v>553</v>
      </c>
      <c r="C230" t="s">
        <v>554</v>
      </c>
      <c r="D230" t="s">
        <v>1486</v>
      </c>
      <c r="E230" t="s">
        <v>148</v>
      </c>
      <c r="F230" s="1">
        <v>46328</v>
      </c>
      <c r="G230" s="28">
        <v>8</v>
      </c>
      <c r="H230" s="26">
        <v>116301</v>
      </c>
      <c r="I230" t="s">
        <v>186</v>
      </c>
      <c r="J230" t="s">
        <v>28</v>
      </c>
      <c r="K230" t="s">
        <v>17</v>
      </c>
      <c r="L230" t="s">
        <v>112</v>
      </c>
      <c r="M230" t="s">
        <v>1491</v>
      </c>
      <c r="N230" s="7">
        <f t="shared" si="6"/>
        <v>1395612</v>
      </c>
      <c r="O230" s="7">
        <f t="shared" si="7"/>
        <v>11630.1</v>
      </c>
    </row>
    <row r="231" spans="1:15" x14ac:dyDescent="0.35">
      <c r="A231" s="5">
        <v>230</v>
      </c>
      <c r="B231" t="s">
        <v>555</v>
      </c>
      <c r="C231" t="s">
        <v>556</v>
      </c>
      <c r="D231" t="s">
        <v>1486</v>
      </c>
      <c r="E231" t="s">
        <v>100</v>
      </c>
      <c r="F231" s="1">
        <v>38722</v>
      </c>
      <c r="G231" s="28">
        <v>15</v>
      </c>
      <c r="H231" s="26">
        <v>138459</v>
      </c>
      <c r="I231" t="s">
        <v>500</v>
      </c>
      <c r="J231" t="s">
        <v>46</v>
      </c>
      <c r="K231" t="s">
        <v>17</v>
      </c>
      <c r="L231" t="s">
        <v>29</v>
      </c>
      <c r="M231" t="s">
        <v>1491</v>
      </c>
      <c r="N231" s="7">
        <f t="shared" si="6"/>
        <v>1661508</v>
      </c>
      <c r="O231" s="7">
        <f t="shared" si="7"/>
        <v>13845.900000000001</v>
      </c>
    </row>
    <row r="232" spans="1:15" x14ac:dyDescent="0.35">
      <c r="A232" s="5">
        <v>231</v>
      </c>
      <c r="B232" t="s">
        <v>92</v>
      </c>
      <c r="C232" t="s">
        <v>557</v>
      </c>
      <c r="D232" t="s">
        <v>1486</v>
      </c>
      <c r="E232" t="s">
        <v>69</v>
      </c>
      <c r="F232" s="1">
        <v>38536</v>
      </c>
      <c r="G232" s="28">
        <v>16</v>
      </c>
      <c r="H232" s="26">
        <v>87800</v>
      </c>
      <c r="I232" t="s">
        <v>58</v>
      </c>
      <c r="J232" t="s">
        <v>39</v>
      </c>
      <c r="K232" t="s">
        <v>40</v>
      </c>
      <c r="L232" t="s">
        <v>41</v>
      </c>
      <c r="M232" t="s">
        <v>1491</v>
      </c>
      <c r="N232" s="7">
        <f t="shared" si="6"/>
        <v>1053600</v>
      </c>
      <c r="O232" s="7">
        <f t="shared" si="7"/>
        <v>8780</v>
      </c>
    </row>
    <row r="233" spans="1:15" x14ac:dyDescent="0.35">
      <c r="A233" s="5">
        <v>232</v>
      </c>
      <c r="B233" t="s">
        <v>519</v>
      </c>
      <c r="C233" t="s">
        <v>558</v>
      </c>
      <c r="D233" t="s">
        <v>1486</v>
      </c>
      <c r="E233" t="s">
        <v>85</v>
      </c>
      <c r="F233" s="1">
        <v>36673</v>
      </c>
      <c r="G233" s="28">
        <v>21</v>
      </c>
      <c r="H233" s="26">
        <v>52572</v>
      </c>
      <c r="I233" t="s">
        <v>74</v>
      </c>
      <c r="J233" t="s">
        <v>39</v>
      </c>
      <c r="K233" t="s">
        <v>40</v>
      </c>
      <c r="L233" t="s">
        <v>41</v>
      </c>
      <c r="M233" t="s">
        <v>1491</v>
      </c>
      <c r="N233" s="7">
        <f t="shared" si="6"/>
        <v>630864</v>
      </c>
      <c r="O233" s="7">
        <f t="shared" si="7"/>
        <v>5257.2000000000007</v>
      </c>
    </row>
    <row r="234" spans="1:15" x14ac:dyDescent="0.35">
      <c r="A234" s="5">
        <v>233</v>
      </c>
      <c r="B234" t="s">
        <v>548</v>
      </c>
      <c r="C234" t="s">
        <v>559</v>
      </c>
      <c r="D234" t="s">
        <v>1485</v>
      </c>
      <c r="E234" t="s">
        <v>94</v>
      </c>
      <c r="F234" s="1">
        <v>39927</v>
      </c>
      <c r="G234" s="28">
        <v>12</v>
      </c>
      <c r="H234" s="26">
        <v>44917</v>
      </c>
      <c r="I234" t="s">
        <v>461</v>
      </c>
      <c r="J234" t="s">
        <v>91</v>
      </c>
      <c r="K234" t="s">
        <v>40</v>
      </c>
      <c r="L234" t="s">
        <v>18</v>
      </c>
      <c r="M234" t="s">
        <v>1491</v>
      </c>
      <c r="N234" s="7">
        <f t="shared" si="6"/>
        <v>539004</v>
      </c>
      <c r="O234" s="7">
        <f t="shared" si="7"/>
        <v>4491.7</v>
      </c>
    </row>
    <row r="235" spans="1:15" x14ac:dyDescent="0.35">
      <c r="A235" s="5">
        <v>234</v>
      </c>
      <c r="B235" t="s">
        <v>560</v>
      </c>
      <c r="C235" t="s">
        <v>561</v>
      </c>
      <c r="D235" t="s">
        <v>1486</v>
      </c>
      <c r="E235" t="s">
        <v>312</v>
      </c>
      <c r="F235" s="1">
        <v>44959</v>
      </c>
      <c r="G235" s="28">
        <v>11</v>
      </c>
      <c r="H235" s="26">
        <v>110896</v>
      </c>
      <c r="I235" t="s">
        <v>562</v>
      </c>
      <c r="J235" t="s">
        <v>16</v>
      </c>
      <c r="K235" t="s">
        <v>17</v>
      </c>
      <c r="L235" t="s">
        <v>41</v>
      </c>
      <c r="M235" t="s">
        <v>1491</v>
      </c>
      <c r="N235" s="7">
        <f t="shared" si="6"/>
        <v>1330752</v>
      </c>
      <c r="O235" s="7">
        <f t="shared" si="7"/>
        <v>11089.6</v>
      </c>
    </row>
    <row r="236" spans="1:15" x14ac:dyDescent="0.35">
      <c r="A236" s="5">
        <v>235</v>
      </c>
      <c r="B236" t="s">
        <v>352</v>
      </c>
      <c r="C236" t="s">
        <v>563</v>
      </c>
      <c r="D236" t="s">
        <v>1485</v>
      </c>
      <c r="E236" t="s">
        <v>122</v>
      </c>
      <c r="F236" s="1">
        <v>37247</v>
      </c>
      <c r="G236" s="28">
        <v>20</v>
      </c>
      <c r="H236" s="26">
        <v>108970</v>
      </c>
      <c r="I236" t="s">
        <v>290</v>
      </c>
      <c r="J236" t="s">
        <v>16</v>
      </c>
      <c r="K236" t="s">
        <v>17</v>
      </c>
      <c r="L236" t="s">
        <v>123</v>
      </c>
      <c r="M236" t="s">
        <v>1491</v>
      </c>
      <c r="N236" s="7">
        <f t="shared" si="6"/>
        <v>1307640</v>
      </c>
      <c r="O236" s="7">
        <f t="shared" si="7"/>
        <v>10897</v>
      </c>
    </row>
    <row r="237" spans="1:15" x14ac:dyDescent="0.35">
      <c r="A237" s="5">
        <v>236</v>
      </c>
      <c r="B237" t="s">
        <v>564</v>
      </c>
      <c r="C237" t="s">
        <v>565</v>
      </c>
      <c r="D237" t="s">
        <v>1485</v>
      </c>
      <c r="E237" t="s">
        <v>32</v>
      </c>
      <c r="F237" s="1">
        <v>39930</v>
      </c>
      <c r="G237" s="28">
        <v>12</v>
      </c>
      <c r="H237" s="26">
        <v>83543</v>
      </c>
      <c r="I237" t="s">
        <v>566</v>
      </c>
      <c r="J237" t="s">
        <v>91</v>
      </c>
      <c r="K237" t="s">
        <v>40</v>
      </c>
      <c r="L237" t="s">
        <v>34</v>
      </c>
      <c r="M237" t="s">
        <v>1491</v>
      </c>
      <c r="N237" s="7">
        <f t="shared" si="6"/>
        <v>1002516</v>
      </c>
      <c r="O237" s="7">
        <f t="shared" si="7"/>
        <v>8354.3000000000011</v>
      </c>
    </row>
    <row r="238" spans="1:15" x14ac:dyDescent="0.35">
      <c r="A238" s="5">
        <v>237</v>
      </c>
      <c r="B238" t="s">
        <v>19</v>
      </c>
      <c r="C238" t="s">
        <v>567</v>
      </c>
      <c r="D238" t="s">
        <v>1486</v>
      </c>
      <c r="E238" t="s">
        <v>238</v>
      </c>
      <c r="F238" s="1">
        <v>46217</v>
      </c>
      <c r="G238" s="28">
        <v>8</v>
      </c>
      <c r="H238" s="26">
        <v>63598</v>
      </c>
      <c r="I238" t="s">
        <v>568</v>
      </c>
      <c r="J238" t="s">
        <v>46</v>
      </c>
      <c r="K238" t="s">
        <v>17</v>
      </c>
      <c r="L238" t="s">
        <v>63</v>
      </c>
      <c r="M238" t="s">
        <v>1489</v>
      </c>
      <c r="N238" s="7">
        <f t="shared" si="6"/>
        <v>763176</v>
      </c>
      <c r="O238" s="7">
        <f t="shared" si="7"/>
        <v>6359.8</v>
      </c>
    </row>
    <row r="239" spans="1:15" x14ac:dyDescent="0.35">
      <c r="A239" s="5">
        <v>238</v>
      </c>
      <c r="B239" t="s">
        <v>569</v>
      </c>
      <c r="C239" t="s">
        <v>570</v>
      </c>
      <c r="D239" t="s">
        <v>1485</v>
      </c>
      <c r="E239" t="s">
        <v>61</v>
      </c>
      <c r="F239" s="1">
        <v>41735</v>
      </c>
      <c r="G239" s="28">
        <v>7</v>
      </c>
      <c r="H239" s="26">
        <v>131274</v>
      </c>
      <c r="I239" t="s">
        <v>397</v>
      </c>
      <c r="J239" t="s">
        <v>16</v>
      </c>
      <c r="K239" t="s">
        <v>17</v>
      </c>
      <c r="L239" t="s">
        <v>63</v>
      </c>
      <c r="M239" t="s">
        <v>1489</v>
      </c>
      <c r="N239" s="7">
        <f t="shared" si="6"/>
        <v>1575288</v>
      </c>
      <c r="O239" s="7">
        <f t="shared" si="7"/>
        <v>13127.400000000001</v>
      </c>
    </row>
    <row r="240" spans="1:15" x14ac:dyDescent="0.35">
      <c r="A240" s="5">
        <v>239</v>
      </c>
      <c r="B240" t="s">
        <v>47</v>
      </c>
      <c r="C240" t="s">
        <v>571</v>
      </c>
      <c r="D240" t="s">
        <v>1486</v>
      </c>
      <c r="E240" t="s">
        <v>14</v>
      </c>
      <c r="F240" s="1">
        <v>38399</v>
      </c>
      <c r="G240" s="28">
        <v>16</v>
      </c>
      <c r="H240" s="26">
        <v>149085</v>
      </c>
      <c r="I240" t="s">
        <v>38</v>
      </c>
      <c r="J240" t="s">
        <v>39</v>
      </c>
      <c r="K240" t="s">
        <v>40</v>
      </c>
      <c r="L240" t="s">
        <v>18</v>
      </c>
      <c r="M240" t="s">
        <v>1489</v>
      </c>
      <c r="N240" s="7">
        <f t="shared" si="6"/>
        <v>1789020</v>
      </c>
      <c r="O240" s="7">
        <f t="shared" si="7"/>
        <v>14908.5</v>
      </c>
    </row>
    <row r="241" spans="1:15" x14ac:dyDescent="0.35">
      <c r="A241" s="5">
        <v>240</v>
      </c>
      <c r="B241" t="s">
        <v>572</v>
      </c>
      <c r="C241" t="s">
        <v>573</v>
      </c>
      <c r="D241" t="s">
        <v>1485</v>
      </c>
      <c r="E241" t="s">
        <v>79</v>
      </c>
      <c r="F241" s="1">
        <v>41538</v>
      </c>
      <c r="G241" s="28">
        <v>8</v>
      </c>
      <c r="H241" s="26">
        <v>143223</v>
      </c>
      <c r="I241" t="s">
        <v>574</v>
      </c>
      <c r="J241" t="s">
        <v>50</v>
      </c>
      <c r="K241" t="s">
        <v>40</v>
      </c>
      <c r="L241" t="s">
        <v>41</v>
      </c>
      <c r="M241" t="s">
        <v>1489</v>
      </c>
      <c r="N241" s="7">
        <f t="shared" si="6"/>
        <v>1718676</v>
      </c>
      <c r="O241" s="7">
        <f t="shared" si="7"/>
        <v>14322.300000000001</v>
      </c>
    </row>
    <row r="242" spans="1:15" x14ac:dyDescent="0.35">
      <c r="A242" s="5">
        <v>241</v>
      </c>
      <c r="B242" t="s">
        <v>379</v>
      </c>
      <c r="C242" t="s">
        <v>575</v>
      </c>
      <c r="D242" t="s">
        <v>1486</v>
      </c>
      <c r="E242" t="s">
        <v>69</v>
      </c>
      <c r="F242" s="1">
        <v>45282</v>
      </c>
      <c r="G242" s="28">
        <v>11</v>
      </c>
      <c r="H242" s="26">
        <v>107207</v>
      </c>
      <c r="I242" t="s">
        <v>576</v>
      </c>
      <c r="J242" t="s">
        <v>28</v>
      </c>
      <c r="K242" t="s">
        <v>17</v>
      </c>
      <c r="L242" t="s">
        <v>41</v>
      </c>
      <c r="M242" t="s">
        <v>1489</v>
      </c>
      <c r="N242" s="7">
        <f t="shared" si="6"/>
        <v>1286484</v>
      </c>
      <c r="O242" s="7">
        <f t="shared" si="7"/>
        <v>10720.7</v>
      </c>
    </row>
    <row r="243" spans="1:15" x14ac:dyDescent="0.35">
      <c r="A243" s="5">
        <v>242</v>
      </c>
      <c r="B243" t="s">
        <v>421</v>
      </c>
      <c r="C243" t="s">
        <v>577</v>
      </c>
      <c r="D243" t="s">
        <v>1485</v>
      </c>
      <c r="E243" t="s">
        <v>203</v>
      </c>
      <c r="F243" s="1">
        <v>37955</v>
      </c>
      <c r="G243" s="28">
        <v>18</v>
      </c>
      <c r="H243" s="26">
        <v>137594</v>
      </c>
      <c r="I243" t="s">
        <v>235</v>
      </c>
      <c r="J243" t="s">
        <v>50</v>
      </c>
      <c r="K243" t="s">
        <v>40</v>
      </c>
      <c r="L243" t="s">
        <v>41</v>
      </c>
      <c r="M243" t="s">
        <v>1489</v>
      </c>
      <c r="N243" s="7">
        <f t="shared" si="6"/>
        <v>1651128</v>
      </c>
      <c r="O243" s="7">
        <f t="shared" si="7"/>
        <v>13759.400000000001</v>
      </c>
    </row>
    <row r="244" spans="1:15" x14ac:dyDescent="0.35">
      <c r="A244" s="5">
        <v>243</v>
      </c>
      <c r="B244" t="s">
        <v>392</v>
      </c>
      <c r="C244" t="s">
        <v>578</v>
      </c>
      <c r="D244" t="s">
        <v>1485</v>
      </c>
      <c r="E244" t="s">
        <v>89</v>
      </c>
      <c r="F244" s="1">
        <v>38743</v>
      </c>
      <c r="G244" s="28">
        <v>15</v>
      </c>
      <c r="H244" s="26">
        <v>139845</v>
      </c>
      <c r="I244" t="s">
        <v>242</v>
      </c>
      <c r="J244" t="s">
        <v>55</v>
      </c>
      <c r="K244" t="s">
        <v>17</v>
      </c>
      <c r="L244" t="s">
        <v>41</v>
      </c>
      <c r="M244" t="s">
        <v>1489</v>
      </c>
      <c r="N244" s="7">
        <f t="shared" si="6"/>
        <v>1678140</v>
      </c>
      <c r="O244" s="7">
        <f t="shared" si="7"/>
        <v>13984.5</v>
      </c>
    </row>
    <row r="245" spans="1:15" x14ac:dyDescent="0.35">
      <c r="A245" s="5">
        <v>244</v>
      </c>
      <c r="B245" t="s">
        <v>579</v>
      </c>
      <c r="C245" t="s">
        <v>580</v>
      </c>
      <c r="D245" t="s">
        <v>1486</v>
      </c>
      <c r="E245" t="s">
        <v>21</v>
      </c>
      <c r="F245" s="1">
        <v>45907</v>
      </c>
      <c r="G245" s="28">
        <v>9</v>
      </c>
      <c r="H245" s="26">
        <v>65563</v>
      </c>
      <c r="I245" t="s">
        <v>581</v>
      </c>
      <c r="J245" t="s">
        <v>55</v>
      </c>
      <c r="K245" t="s">
        <v>17</v>
      </c>
      <c r="L245" t="s">
        <v>23</v>
      </c>
      <c r="M245" t="s">
        <v>1489</v>
      </c>
      <c r="N245" s="7">
        <f t="shared" si="6"/>
        <v>786756</v>
      </c>
      <c r="O245" s="7">
        <f t="shared" si="7"/>
        <v>6556.3</v>
      </c>
    </row>
    <row r="246" spans="1:15" x14ac:dyDescent="0.35">
      <c r="A246" s="5">
        <v>245</v>
      </c>
      <c r="B246" t="s">
        <v>75</v>
      </c>
      <c r="C246" t="s">
        <v>582</v>
      </c>
      <c r="D246" t="s">
        <v>1486</v>
      </c>
      <c r="E246" t="s">
        <v>85</v>
      </c>
      <c r="F246" s="1">
        <v>46389</v>
      </c>
      <c r="G246" s="28">
        <v>7</v>
      </c>
      <c r="H246" s="26">
        <v>142988</v>
      </c>
      <c r="I246" t="s">
        <v>583</v>
      </c>
      <c r="J246" t="s">
        <v>50</v>
      </c>
      <c r="K246" t="s">
        <v>40</v>
      </c>
      <c r="L246" t="s">
        <v>41</v>
      </c>
      <c r="M246" t="s">
        <v>1489</v>
      </c>
      <c r="N246" s="7">
        <f t="shared" si="6"/>
        <v>1715856</v>
      </c>
      <c r="O246" s="7">
        <f t="shared" si="7"/>
        <v>14298.800000000001</v>
      </c>
    </row>
    <row r="247" spans="1:15" x14ac:dyDescent="0.35">
      <c r="A247" s="5">
        <v>246</v>
      </c>
      <c r="B247" t="s">
        <v>35</v>
      </c>
      <c r="C247" t="s">
        <v>584</v>
      </c>
      <c r="D247" t="s">
        <v>1486</v>
      </c>
      <c r="E247" t="s">
        <v>100</v>
      </c>
      <c r="F247" s="1">
        <v>36547</v>
      </c>
      <c r="G247" s="28">
        <v>21</v>
      </c>
      <c r="H247" s="26">
        <v>134074</v>
      </c>
      <c r="I247" t="s">
        <v>223</v>
      </c>
      <c r="J247" t="s">
        <v>50</v>
      </c>
      <c r="K247" t="s">
        <v>40</v>
      </c>
      <c r="L247" t="s">
        <v>29</v>
      </c>
      <c r="M247" t="s">
        <v>1489</v>
      </c>
      <c r="N247" s="7">
        <f t="shared" si="6"/>
        <v>1608888</v>
      </c>
      <c r="O247" s="7">
        <f t="shared" si="7"/>
        <v>13407.400000000001</v>
      </c>
    </row>
    <row r="248" spans="1:15" x14ac:dyDescent="0.35">
      <c r="A248" s="5">
        <v>247</v>
      </c>
      <c r="B248" t="s">
        <v>585</v>
      </c>
      <c r="C248" t="s">
        <v>586</v>
      </c>
      <c r="D248" t="s">
        <v>1485</v>
      </c>
      <c r="E248" t="s">
        <v>53</v>
      </c>
      <c r="F248" s="1">
        <v>40199</v>
      </c>
      <c r="G248" s="28">
        <v>11</v>
      </c>
      <c r="H248" s="26">
        <v>80654</v>
      </c>
      <c r="I248" t="s">
        <v>500</v>
      </c>
      <c r="J248" t="s">
        <v>16</v>
      </c>
      <c r="K248" t="s">
        <v>17</v>
      </c>
      <c r="L248" t="s">
        <v>23</v>
      </c>
      <c r="M248" t="s">
        <v>1489</v>
      </c>
      <c r="N248" s="7">
        <f t="shared" si="6"/>
        <v>967848</v>
      </c>
      <c r="O248" s="7">
        <f t="shared" si="7"/>
        <v>8065.4000000000005</v>
      </c>
    </row>
    <row r="249" spans="1:15" x14ac:dyDescent="0.35">
      <c r="A249" s="5">
        <v>248</v>
      </c>
      <c r="B249" t="s">
        <v>587</v>
      </c>
      <c r="C249" t="s">
        <v>588</v>
      </c>
      <c r="D249" t="s">
        <v>1485</v>
      </c>
      <c r="E249" t="s">
        <v>110</v>
      </c>
      <c r="F249" s="1">
        <v>38699</v>
      </c>
      <c r="G249" s="28">
        <v>16</v>
      </c>
      <c r="H249" s="26">
        <v>118834</v>
      </c>
      <c r="I249" t="s">
        <v>310</v>
      </c>
      <c r="J249" t="s">
        <v>50</v>
      </c>
      <c r="K249" t="s">
        <v>40</v>
      </c>
      <c r="L249" t="s">
        <v>112</v>
      </c>
      <c r="M249" t="s">
        <v>1489</v>
      </c>
      <c r="N249" s="7">
        <f t="shared" si="6"/>
        <v>1426008</v>
      </c>
      <c r="O249" s="7">
        <f t="shared" si="7"/>
        <v>11883.400000000001</v>
      </c>
    </row>
    <row r="250" spans="1:15" x14ac:dyDescent="0.35">
      <c r="A250" s="5">
        <v>249</v>
      </c>
      <c r="B250" t="s">
        <v>589</v>
      </c>
      <c r="C250" t="s">
        <v>590</v>
      </c>
      <c r="D250" t="s">
        <v>1485</v>
      </c>
      <c r="E250" t="s">
        <v>85</v>
      </c>
      <c r="F250" s="1">
        <v>41336</v>
      </c>
      <c r="G250" s="28">
        <v>8</v>
      </c>
      <c r="H250" s="26">
        <v>85559</v>
      </c>
      <c r="I250" t="s">
        <v>386</v>
      </c>
      <c r="J250" t="s">
        <v>16</v>
      </c>
      <c r="K250" t="s">
        <v>17</v>
      </c>
      <c r="L250" t="s">
        <v>41</v>
      </c>
      <c r="M250" t="s">
        <v>1489</v>
      </c>
      <c r="N250" s="7">
        <f t="shared" si="6"/>
        <v>1026708</v>
      </c>
      <c r="O250" s="7">
        <f t="shared" si="7"/>
        <v>8555.9</v>
      </c>
    </row>
    <row r="251" spans="1:15" x14ac:dyDescent="0.35">
      <c r="A251" s="5">
        <v>250</v>
      </c>
      <c r="B251" t="s">
        <v>523</v>
      </c>
      <c r="C251" t="s">
        <v>591</v>
      </c>
      <c r="D251" t="s">
        <v>1485</v>
      </c>
      <c r="E251" t="s">
        <v>122</v>
      </c>
      <c r="F251" s="1">
        <v>37149</v>
      </c>
      <c r="G251" s="28">
        <v>20</v>
      </c>
      <c r="H251" s="26">
        <v>84049</v>
      </c>
      <c r="I251" t="s">
        <v>200</v>
      </c>
      <c r="J251" t="s">
        <v>91</v>
      </c>
      <c r="K251" t="s">
        <v>40</v>
      </c>
      <c r="L251" t="s">
        <v>123</v>
      </c>
      <c r="M251" t="s">
        <v>1489</v>
      </c>
      <c r="N251" s="7">
        <f t="shared" si="6"/>
        <v>1008588</v>
      </c>
      <c r="O251" s="7">
        <f t="shared" si="7"/>
        <v>8404.9</v>
      </c>
    </row>
    <row r="252" spans="1:15" x14ac:dyDescent="0.35">
      <c r="A252" s="5">
        <v>251</v>
      </c>
      <c r="B252" t="s">
        <v>592</v>
      </c>
      <c r="C252" t="s">
        <v>593</v>
      </c>
      <c r="D252" t="s">
        <v>1486</v>
      </c>
      <c r="E252" t="s">
        <v>32</v>
      </c>
      <c r="F252" s="1">
        <v>45307</v>
      </c>
      <c r="G252" s="28">
        <v>10</v>
      </c>
      <c r="H252" s="26">
        <v>47439</v>
      </c>
      <c r="I252" t="s">
        <v>220</v>
      </c>
      <c r="J252" t="s">
        <v>39</v>
      </c>
      <c r="K252" t="s">
        <v>40</v>
      </c>
      <c r="L252" t="s">
        <v>34</v>
      </c>
      <c r="M252" t="s">
        <v>1489</v>
      </c>
      <c r="N252" s="7">
        <f t="shared" si="6"/>
        <v>569268</v>
      </c>
      <c r="O252" s="7">
        <f t="shared" si="7"/>
        <v>4743.9000000000005</v>
      </c>
    </row>
    <row r="253" spans="1:15" x14ac:dyDescent="0.35">
      <c r="A253" s="5">
        <v>252</v>
      </c>
      <c r="B253" t="s">
        <v>594</v>
      </c>
      <c r="C253" t="s">
        <v>595</v>
      </c>
      <c r="D253" t="s">
        <v>1485</v>
      </c>
      <c r="E253" t="s">
        <v>44</v>
      </c>
      <c r="F253" s="1">
        <v>36876</v>
      </c>
      <c r="G253" s="28">
        <v>21</v>
      </c>
      <c r="H253" s="26">
        <v>87072</v>
      </c>
      <c r="I253" t="s">
        <v>15</v>
      </c>
      <c r="J253" t="s">
        <v>39</v>
      </c>
      <c r="K253" t="s">
        <v>40</v>
      </c>
      <c r="L253" t="s">
        <v>29</v>
      </c>
      <c r="M253" t="s">
        <v>1489</v>
      </c>
      <c r="N253" s="7">
        <f t="shared" si="6"/>
        <v>1044864</v>
      </c>
      <c r="O253" s="7">
        <f t="shared" si="7"/>
        <v>8707.2000000000007</v>
      </c>
    </row>
    <row r="254" spans="1:15" x14ac:dyDescent="0.35">
      <c r="A254" s="5">
        <v>253</v>
      </c>
      <c r="B254" t="s">
        <v>596</v>
      </c>
      <c r="C254" t="s">
        <v>597</v>
      </c>
      <c r="D254" t="s">
        <v>1486</v>
      </c>
      <c r="E254" t="s">
        <v>14</v>
      </c>
      <c r="F254" s="1">
        <v>37753</v>
      </c>
      <c r="G254" s="28">
        <v>18</v>
      </c>
      <c r="H254" s="26">
        <v>123401</v>
      </c>
      <c r="I254" t="s">
        <v>598</v>
      </c>
      <c r="J254" t="s">
        <v>55</v>
      </c>
      <c r="K254" t="s">
        <v>17</v>
      </c>
      <c r="L254" t="s">
        <v>18</v>
      </c>
      <c r="M254" t="s">
        <v>1489</v>
      </c>
      <c r="N254" s="7">
        <f t="shared" si="6"/>
        <v>1480812</v>
      </c>
      <c r="O254" s="7">
        <f t="shared" si="7"/>
        <v>12340.1</v>
      </c>
    </row>
    <row r="255" spans="1:15" x14ac:dyDescent="0.35">
      <c r="A255" s="5">
        <v>254</v>
      </c>
      <c r="B255" t="s">
        <v>170</v>
      </c>
      <c r="C255" t="s">
        <v>599</v>
      </c>
      <c r="D255" t="s">
        <v>1486</v>
      </c>
      <c r="E255" t="s">
        <v>37</v>
      </c>
      <c r="F255" s="1">
        <v>36983</v>
      </c>
      <c r="G255" s="28">
        <v>20</v>
      </c>
      <c r="H255" s="26">
        <v>131681</v>
      </c>
      <c r="I255" t="s">
        <v>401</v>
      </c>
      <c r="J255" t="s">
        <v>39</v>
      </c>
      <c r="K255" t="s">
        <v>40</v>
      </c>
      <c r="L255" t="s">
        <v>41</v>
      </c>
      <c r="M255" t="s">
        <v>1489</v>
      </c>
      <c r="N255" s="7">
        <f t="shared" si="6"/>
        <v>1580172</v>
      </c>
      <c r="O255" s="7">
        <f t="shared" si="7"/>
        <v>13168.1</v>
      </c>
    </row>
    <row r="256" spans="1:15" x14ac:dyDescent="0.35">
      <c r="A256" s="5">
        <v>255</v>
      </c>
      <c r="B256" t="s">
        <v>600</v>
      </c>
      <c r="C256" t="s">
        <v>601</v>
      </c>
      <c r="D256" t="s">
        <v>1486</v>
      </c>
      <c r="E256" t="s">
        <v>85</v>
      </c>
      <c r="F256" s="1">
        <v>46628</v>
      </c>
      <c r="G256" s="28">
        <v>7</v>
      </c>
      <c r="H256" s="26">
        <v>96118</v>
      </c>
      <c r="I256" t="s">
        <v>472</v>
      </c>
      <c r="J256" t="s">
        <v>91</v>
      </c>
      <c r="K256" t="s">
        <v>40</v>
      </c>
      <c r="L256" t="s">
        <v>41</v>
      </c>
      <c r="M256" t="s">
        <v>1491</v>
      </c>
      <c r="N256" s="7">
        <f t="shared" si="6"/>
        <v>1153416</v>
      </c>
      <c r="O256" s="7">
        <f t="shared" si="7"/>
        <v>9611.8000000000011</v>
      </c>
    </row>
    <row r="257" spans="1:15" x14ac:dyDescent="0.35">
      <c r="A257" s="5">
        <v>256</v>
      </c>
      <c r="B257" t="s">
        <v>602</v>
      </c>
      <c r="C257" t="s">
        <v>603</v>
      </c>
      <c r="D257" t="s">
        <v>1486</v>
      </c>
      <c r="E257" t="s">
        <v>122</v>
      </c>
      <c r="F257" s="1">
        <v>39052</v>
      </c>
      <c r="G257" s="28">
        <v>15</v>
      </c>
      <c r="H257" s="26">
        <v>87816</v>
      </c>
      <c r="I257" t="s">
        <v>604</v>
      </c>
      <c r="J257" t="s">
        <v>16</v>
      </c>
      <c r="K257" t="s">
        <v>17</v>
      </c>
      <c r="L257" t="s">
        <v>123</v>
      </c>
      <c r="M257" t="s">
        <v>1491</v>
      </c>
      <c r="N257" s="7">
        <f t="shared" si="6"/>
        <v>1053792</v>
      </c>
      <c r="O257" s="7">
        <f t="shared" si="7"/>
        <v>8781.6</v>
      </c>
    </row>
    <row r="258" spans="1:15" x14ac:dyDescent="0.35">
      <c r="A258" s="5">
        <v>257</v>
      </c>
      <c r="B258" t="s">
        <v>296</v>
      </c>
      <c r="C258" t="s">
        <v>605</v>
      </c>
      <c r="D258" t="s">
        <v>1486</v>
      </c>
      <c r="E258" t="s">
        <v>89</v>
      </c>
      <c r="F258" s="1">
        <v>45813</v>
      </c>
      <c r="G258" s="28">
        <v>9</v>
      </c>
      <c r="H258" s="26">
        <v>83804</v>
      </c>
      <c r="I258" t="s">
        <v>235</v>
      </c>
      <c r="J258" t="s">
        <v>46</v>
      </c>
      <c r="K258" t="s">
        <v>17</v>
      </c>
      <c r="L258" t="s">
        <v>41</v>
      </c>
      <c r="M258" t="s">
        <v>1491</v>
      </c>
      <c r="N258" s="7">
        <f t="shared" ref="N258:N321" si="8">H258*12</f>
        <v>1005648</v>
      </c>
      <c r="O258" s="7">
        <f t="shared" ref="O258:O321" si="9">H258*10%</f>
        <v>8380.4</v>
      </c>
    </row>
    <row r="259" spans="1:15" x14ac:dyDescent="0.35">
      <c r="A259" s="5">
        <v>258</v>
      </c>
      <c r="B259" t="s">
        <v>71</v>
      </c>
      <c r="C259" t="s">
        <v>606</v>
      </c>
      <c r="D259" t="s">
        <v>1485</v>
      </c>
      <c r="E259" t="s">
        <v>26</v>
      </c>
      <c r="F259" s="1">
        <v>39381</v>
      </c>
      <c r="G259" s="28">
        <v>14</v>
      </c>
      <c r="H259" s="26">
        <v>133612</v>
      </c>
      <c r="I259" t="s">
        <v>459</v>
      </c>
      <c r="J259" t="s">
        <v>55</v>
      </c>
      <c r="K259" t="s">
        <v>17</v>
      </c>
      <c r="L259" t="s">
        <v>29</v>
      </c>
      <c r="M259" t="s">
        <v>1491</v>
      </c>
      <c r="N259" s="7">
        <f t="shared" si="8"/>
        <v>1603344</v>
      </c>
      <c r="O259" s="7">
        <f t="shared" si="9"/>
        <v>13361.2</v>
      </c>
    </row>
    <row r="260" spans="1:15" x14ac:dyDescent="0.35">
      <c r="A260" s="5">
        <v>259</v>
      </c>
      <c r="B260" t="s">
        <v>282</v>
      </c>
      <c r="C260" t="s">
        <v>607</v>
      </c>
      <c r="D260" t="s">
        <v>1486</v>
      </c>
      <c r="E260" t="s">
        <v>14</v>
      </c>
      <c r="F260" s="1">
        <v>45030</v>
      </c>
      <c r="G260" s="28">
        <v>11</v>
      </c>
      <c r="H260" s="26">
        <v>47007</v>
      </c>
      <c r="I260" t="s">
        <v>510</v>
      </c>
      <c r="J260" t="s">
        <v>28</v>
      </c>
      <c r="K260" t="s">
        <v>17</v>
      </c>
      <c r="L260" t="s">
        <v>18</v>
      </c>
      <c r="M260" t="s">
        <v>1491</v>
      </c>
      <c r="N260" s="7">
        <f t="shared" si="8"/>
        <v>564084</v>
      </c>
      <c r="O260" s="7">
        <f t="shared" si="9"/>
        <v>4700.7</v>
      </c>
    </row>
    <row r="261" spans="1:15" x14ac:dyDescent="0.35">
      <c r="A261" s="5">
        <v>260</v>
      </c>
      <c r="B261" t="s">
        <v>608</v>
      </c>
      <c r="C261" t="s">
        <v>609</v>
      </c>
      <c r="D261" t="s">
        <v>1485</v>
      </c>
      <c r="E261" t="s">
        <v>203</v>
      </c>
      <c r="F261" s="1">
        <v>38699</v>
      </c>
      <c r="G261" s="28">
        <v>16</v>
      </c>
      <c r="H261" s="26">
        <v>142967</v>
      </c>
      <c r="I261" t="s">
        <v>610</v>
      </c>
      <c r="J261" t="s">
        <v>91</v>
      </c>
      <c r="K261" t="s">
        <v>40</v>
      </c>
      <c r="L261" t="s">
        <v>41</v>
      </c>
      <c r="M261" t="s">
        <v>1491</v>
      </c>
      <c r="N261" s="7">
        <f t="shared" si="8"/>
        <v>1715604</v>
      </c>
      <c r="O261" s="7">
        <f t="shared" si="9"/>
        <v>14296.7</v>
      </c>
    </row>
    <row r="262" spans="1:15" x14ac:dyDescent="0.35">
      <c r="A262" s="5">
        <v>261</v>
      </c>
      <c r="B262" t="s">
        <v>611</v>
      </c>
      <c r="C262" t="s">
        <v>612</v>
      </c>
      <c r="D262" t="s">
        <v>1486</v>
      </c>
      <c r="E262" t="s">
        <v>85</v>
      </c>
      <c r="F262" s="1">
        <v>45632</v>
      </c>
      <c r="G262" s="28">
        <v>10</v>
      </c>
      <c r="H262" s="26">
        <v>71433</v>
      </c>
      <c r="I262" t="s">
        <v>613</v>
      </c>
      <c r="J262" t="s">
        <v>55</v>
      </c>
      <c r="K262" t="s">
        <v>17</v>
      </c>
      <c r="L262" t="s">
        <v>41</v>
      </c>
      <c r="M262" t="s">
        <v>1489</v>
      </c>
      <c r="N262" s="7">
        <f t="shared" si="8"/>
        <v>857196</v>
      </c>
      <c r="O262" s="7">
        <f t="shared" si="9"/>
        <v>7143.3</v>
      </c>
    </row>
    <row r="263" spans="1:15" x14ac:dyDescent="0.35">
      <c r="A263" s="5">
        <v>262</v>
      </c>
      <c r="B263" t="s">
        <v>614</v>
      </c>
      <c r="C263" t="s">
        <v>615</v>
      </c>
      <c r="D263" t="s">
        <v>1486</v>
      </c>
      <c r="E263" t="s">
        <v>129</v>
      </c>
      <c r="F263" s="1">
        <v>36593</v>
      </c>
      <c r="G263" s="28">
        <v>21</v>
      </c>
      <c r="H263" s="26">
        <v>74191</v>
      </c>
      <c r="I263" t="s">
        <v>115</v>
      </c>
      <c r="J263" t="s">
        <v>46</v>
      </c>
      <c r="K263" t="s">
        <v>17</v>
      </c>
      <c r="L263" t="s">
        <v>41</v>
      </c>
      <c r="M263" t="s">
        <v>1489</v>
      </c>
      <c r="N263" s="7">
        <f t="shared" si="8"/>
        <v>890292</v>
      </c>
      <c r="O263" s="7">
        <f t="shared" si="9"/>
        <v>7419.1</v>
      </c>
    </row>
    <row r="264" spans="1:15" x14ac:dyDescent="0.35">
      <c r="A264" s="5">
        <v>263</v>
      </c>
      <c r="B264" t="s">
        <v>184</v>
      </c>
      <c r="C264" t="s">
        <v>616</v>
      </c>
      <c r="D264" t="s">
        <v>1485</v>
      </c>
      <c r="E264" t="s">
        <v>61</v>
      </c>
      <c r="F264" s="1">
        <v>38381</v>
      </c>
      <c r="G264" s="28">
        <v>16</v>
      </c>
      <c r="H264" s="26">
        <v>109004</v>
      </c>
      <c r="I264" t="s">
        <v>617</v>
      </c>
      <c r="J264" t="s">
        <v>91</v>
      </c>
      <c r="K264" t="s">
        <v>40</v>
      </c>
      <c r="L264" t="s">
        <v>63</v>
      </c>
      <c r="M264" t="s">
        <v>1489</v>
      </c>
      <c r="N264" s="7">
        <f t="shared" si="8"/>
        <v>1308048</v>
      </c>
      <c r="O264" s="7">
        <f t="shared" si="9"/>
        <v>10900.400000000001</v>
      </c>
    </row>
    <row r="265" spans="1:15" x14ac:dyDescent="0.35">
      <c r="A265" s="5">
        <v>264</v>
      </c>
      <c r="B265" t="s">
        <v>404</v>
      </c>
      <c r="C265" t="s">
        <v>618</v>
      </c>
      <c r="D265" t="s">
        <v>1485</v>
      </c>
      <c r="E265" t="s">
        <v>100</v>
      </c>
      <c r="F265" s="1">
        <v>41749</v>
      </c>
      <c r="G265" s="28">
        <v>7</v>
      </c>
      <c r="H265" s="26">
        <v>102211</v>
      </c>
      <c r="I265" t="s">
        <v>290</v>
      </c>
      <c r="J265" t="s">
        <v>28</v>
      </c>
      <c r="K265" t="s">
        <v>17</v>
      </c>
      <c r="L265" t="s">
        <v>29</v>
      </c>
      <c r="M265" t="s">
        <v>1489</v>
      </c>
      <c r="N265" s="7">
        <f t="shared" si="8"/>
        <v>1226532</v>
      </c>
      <c r="O265" s="7">
        <f t="shared" si="9"/>
        <v>10221.1</v>
      </c>
    </row>
    <row r="266" spans="1:15" x14ac:dyDescent="0.35">
      <c r="A266" s="5">
        <v>265</v>
      </c>
      <c r="B266" t="s">
        <v>341</v>
      </c>
      <c r="C266" t="s">
        <v>619</v>
      </c>
      <c r="D266" t="s">
        <v>1485</v>
      </c>
      <c r="E266" t="s">
        <v>14</v>
      </c>
      <c r="F266" s="1">
        <v>36741</v>
      </c>
      <c r="G266" s="28">
        <v>21</v>
      </c>
      <c r="H266" s="26">
        <v>75862</v>
      </c>
      <c r="I266" t="s">
        <v>169</v>
      </c>
      <c r="J266" t="s">
        <v>91</v>
      </c>
      <c r="K266" t="s">
        <v>40</v>
      </c>
      <c r="L266" t="s">
        <v>18</v>
      </c>
      <c r="M266" t="s">
        <v>1489</v>
      </c>
      <c r="N266" s="7">
        <f t="shared" si="8"/>
        <v>910344</v>
      </c>
      <c r="O266" s="7">
        <f t="shared" si="9"/>
        <v>7586.2000000000007</v>
      </c>
    </row>
    <row r="267" spans="1:15" x14ac:dyDescent="0.35">
      <c r="A267" s="5">
        <v>266</v>
      </c>
      <c r="B267" t="s">
        <v>620</v>
      </c>
      <c r="C267" t="s">
        <v>621</v>
      </c>
      <c r="D267" t="s">
        <v>1485</v>
      </c>
      <c r="E267" t="s">
        <v>32</v>
      </c>
      <c r="F267" s="1">
        <v>36590</v>
      </c>
      <c r="G267" s="28">
        <v>21</v>
      </c>
      <c r="H267" s="26">
        <v>61446</v>
      </c>
      <c r="I267" t="s">
        <v>253</v>
      </c>
      <c r="J267" t="s">
        <v>16</v>
      </c>
      <c r="K267" t="s">
        <v>17</v>
      </c>
      <c r="L267" t="s">
        <v>34</v>
      </c>
      <c r="M267" t="s">
        <v>1489</v>
      </c>
      <c r="N267" s="7">
        <f t="shared" si="8"/>
        <v>737352</v>
      </c>
      <c r="O267" s="7">
        <f t="shared" si="9"/>
        <v>6144.6</v>
      </c>
    </row>
    <row r="268" spans="1:15" x14ac:dyDescent="0.35">
      <c r="A268" s="5">
        <v>267</v>
      </c>
      <c r="B268" t="s">
        <v>622</v>
      </c>
      <c r="C268" t="s">
        <v>623</v>
      </c>
      <c r="D268" t="s">
        <v>1485</v>
      </c>
      <c r="E268" t="s">
        <v>89</v>
      </c>
      <c r="F268" s="1">
        <v>40696</v>
      </c>
      <c r="G268" s="28">
        <v>10</v>
      </c>
      <c r="H268" s="26">
        <v>146432</v>
      </c>
      <c r="I268" t="s">
        <v>97</v>
      </c>
      <c r="J268" t="s">
        <v>16</v>
      </c>
      <c r="K268" t="s">
        <v>17</v>
      </c>
      <c r="L268" t="s">
        <v>41</v>
      </c>
      <c r="M268" t="s">
        <v>1489</v>
      </c>
      <c r="N268" s="7">
        <f t="shared" si="8"/>
        <v>1757184</v>
      </c>
      <c r="O268" s="7">
        <f t="shared" si="9"/>
        <v>14643.2</v>
      </c>
    </row>
    <row r="269" spans="1:15" x14ac:dyDescent="0.35">
      <c r="A269" s="5">
        <v>268</v>
      </c>
      <c r="B269" t="s">
        <v>624</v>
      </c>
      <c r="C269" t="s">
        <v>625</v>
      </c>
      <c r="D269" t="s">
        <v>1486</v>
      </c>
      <c r="E269" t="s">
        <v>37</v>
      </c>
      <c r="F269" s="1">
        <v>37305</v>
      </c>
      <c r="G269" s="28">
        <v>19</v>
      </c>
      <c r="H269" s="26">
        <v>50623</v>
      </c>
      <c r="I269" t="s">
        <v>626</v>
      </c>
      <c r="J269" t="s">
        <v>39</v>
      </c>
      <c r="K269" t="s">
        <v>40</v>
      </c>
      <c r="L269" t="s">
        <v>41</v>
      </c>
      <c r="M269" t="s">
        <v>1489</v>
      </c>
      <c r="N269" s="7">
        <f t="shared" si="8"/>
        <v>607476</v>
      </c>
      <c r="O269" s="7">
        <f t="shared" si="9"/>
        <v>5062.3</v>
      </c>
    </row>
    <row r="270" spans="1:15" x14ac:dyDescent="0.35">
      <c r="A270" s="5">
        <v>269</v>
      </c>
      <c r="B270" t="s">
        <v>255</v>
      </c>
      <c r="C270" t="s">
        <v>627</v>
      </c>
      <c r="D270" t="s">
        <v>1485</v>
      </c>
      <c r="E270" t="s">
        <v>148</v>
      </c>
      <c r="F270" s="1">
        <v>41984</v>
      </c>
      <c r="G270" s="28">
        <v>7</v>
      </c>
      <c r="H270" s="26">
        <v>108248</v>
      </c>
      <c r="I270" t="s">
        <v>54</v>
      </c>
      <c r="J270" t="s">
        <v>28</v>
      </c>
      <c r="K270" t="s">
        <v>17</v>
      </c>
      <c r="L270" t="s">
        <v>112</v>
      </c>
      <c r="M270" t="s">
        <v>1489</v>
      </c>
      <c r="N270" s="7">
        <f t="shared" si="8"/>
        <v>1298976</v>
      </c>
      <c r="O270" s="7">
        <f t="shared" si="9"/>
        <v>10824.800000000001</v>
      </c>
    </row>
    <row r="271" spans="1:15" x14ac:dyDescent="0.35">
      <c r="A271" s="5">
        <v>270</v>
      </c>
      <c r="B271" t="s">
        <v>134</v>
      </c>
      <c r="C271" t="s">
        <v>628</v>
      </c>
      <c r="D271" t="s">
        <v>1486</v>
      </c>
      <c r="E271" t="s">
        <v>26</v>
      </c>
      <c r="F271" s="1">
        <v>38570</v>
      </c>
      <c r="G271" s="28">
        <v>16</v>
      </c>
      <c r="H271" s="26">
        <v>120875</v>
      </c>
      <c r="I271" t="s">
        <v>101</v>
      </c>
      <c r="J271" t="s">
        <v>46</v>
      </c>
      <c r="K271" t="s">
        <v>17</v>
      </c>
      <c r="L271" t="s">
        <v>29</v>
      </c>
      <c r="M271" t="s">
        <v>1489</v>
      </c>
      <c r="N271" s="7">
        <f t="shared" si="8"/>
        <v>1450500</v>
      </c>
      <c r="O271" s="7">
        <f t="shared" si="9"/>
        <v>12087.5</v>
      </c>
    </row>
    <row r="272" spans="1:15" x14ac:dyDescent="0.35">
      <c r="A272" s="5">
        <v>271</v>
      </c>
      <c r="B272" t="s">
        <v>218</v>
      </c>
      <c r="C272" t="s">
        <v>629</v>
      </c>
      <c r="D272" t="s">
        <v>1486</v>
      </c>
      <c r="E272" t="s">
        <v>21</v>
      </c>
      <c r="F272" s="1">
        <v>37110</v>
      </c>
      <c r="G272" s="28">
        <v>20</v>
      </c>
      <c r="H272" s="26">
        <v>123843</v>
      </c>
      <c r="I272" t="s">
        <v>226</v>
      </c>
      <c r="J272" t="s">
        <v>39</v>
      </c>
      <c r="K272" t="s">
        <v>40</v>
      </c>
      <c r="L272" t="s">
        <v>23</v>
      </c>
      <c r="M272" t="s">
        <v>1489</v>
      </c>
      <c r="N272" s="7">
        <f t="shared" si="8"/>
        <v>1486116</v>
      </c>
      <c r="O272" s="7">
        <f t="shared" si="9"/>
        <v>12384.300000000001</v>
      </c>
    </row>
    <row r="273" spans="1:15" x14ac:dyDescent="0.35">
      <c r="A273" s="5">
        <v>272</v>
      </c>
      <c r="B273" t="s">
        <v>630</v>
      </c>
      <c r="C273" t="s">
        <v>631</v>
      </c>
      <c r="D273" t="s">
        <v>1485</v>
      </c>
      <c r="E273" t="s">
        <v>238</v>
      </c>
      <c r="F273" s="1">
        <v>41775</v>
      </c>
      <c r="G273" s="28">
        <v>7</v>
      </c>
      <c r="H273" s="26">
        <v>43940</v>
      </c>
      <c r="I273" t="s">
        <v>632</v>
      </c>
      <c r="J273" t="s">
        <v>16</v>
      </c>
      <c r="K273" t="s">
        <v>17</v>
      </c>
      <c r="L273" t="s">
        <v>63</v>
      </c>
      <c r="M273" t="s">
        <v>1489</v>
      </c>
      <c r="N273" s="7">
        <f t="shared" si="8"/>
        <v>527280</v>
      </c>
      <c r="O273" s="7">
        <f t="shared" si="9"/>
        <v>4394</v>
      </c>
    </row>
    <row r="274" spans="1:15" x14ac:dyDescent="0.35">
      <c r="A274" s="5">
        <v>273</v>
      </c>
      <c r="B274" t="s">
        <v>480</v>
      </c>
      <c r="C274" t="s">
        <v>633</v>
      </c>
      <c r="D274" t="s">
        <v>1486</v>
      </c>
      <c r="E274" t="s">
        <v>61</v>
      </c>
      <c r="F274" s="1">
        <v>46028</v>
      </c>
      <c r="G274" s="28">
        <v>8</v>
      </c>
      <c r="H274" s="26">
        <v>142840</v>
      </c>
      <c r="I274" t="s">
        <v>617</v>
      </c>
      <c r="J274" t="s">
        <v>46</v>
      </c>
      <c r="K274" t="s">
        <v>17</v>
      </c>
      <c r="L274" t="s">
        <v>63</v>
      </c>
      <c r="M274" t="s">
        <v>1489</v>
      </c>
      <c r="N274" s="7">
        <f t="shared" si="8"/>
        <v>1714080</v>
      </c>
      <c r="O274" s="7">
        <f t="shared" si="9"/>
        <v>14284</v>
      </c>
    </row>
    <row r="275" spans="1:15" x14ac:dyDescent="0.35">
      <c r="A275" s="5">
        <v>274</v>
      </c>
      <c r="B275" t="s">
        <v>611</v>
      </c>
      <c r="C275" t="s">
        <v>634</v>
      </c>
      <c r="D275" t="s">
        <v>1485</v>
      </c>
      <c r="E275" t="s">
        <v>110</v>
      </c>
      <c r="F275" s="1">
        <v>38930</v>
      </c>
      <c r="G275" s="28">
        <v>15</v>
      </c>
      <c r="H275" s="26">
        <v>125713</v>
      </c>
      <c r="I275" t="s">
        <v>130</v>
      </c>
      <c r="J275" t="s">
        <v>28</v>
      </c>
      <c r="K275" t="s">
        <v>17</v>
      </c>
      <c r="L275" t="s">
        <v>112</v>
      </c>
      <c r="M275" t="s">
        <v>1489</v>
      </c>
      <c r="N275" s="7">
        <f t="shared" si="8"/>
        <v>1508556</v>
      </c>
      <c r="O275" s="7">
        <f t="shared" si="9"/>
        <v>12571.300000000001</v>
      </c>
    </row>
    <row r="276" spans="1:15" x14ac:dyDescent="0.35">
      <c r="A276" s="5">
        <v>275</v>
      </c>
      <c r="B276" t="s">
        <v>302</v>
      </c>
      <c r="C276" t="s">
        <v>635</v>
      </c>
      <c r="D276" t="s">
        <v>1486</v>
      </c>
      <c r="E276" t="s">
        <v>122</v>
      </c>
      <c r="F276" s="1">
        <v>45042</v>
      </c>
      <c r="G276" s="28">
        <v>11</v>
      </c>
      <c r="H276" s="26">
        <v>122219</v>
      </c>
      <c r="I276" t="s">
        <v>636</v>
      </c>
      <c r="J276" t="s">
        <v>50</v>
      </c>
      <c r="K276" t="s">
        <v>40</v>
      </c>
      <c r="L276" t="s">
        <v>123</v>
      </c>
      <c r="M276" t="s">
        <v>1489</v>
      </c>
      <c r="N276" s="7">
        <f t="shared" si="8"/>
        <v>1466628</v>
      </c>
      <c r="O276" s="7">
        <f t="shared" si="9"/>
        <v>12221.900000000001</v>
      </c>
    </row>
    <row r="277" spans="1:15" x14ac:dyDescent="0.35">
      <c r="A277" s="5">
        <v>276</v>
      </c>
      <c r="B277" t="s">
        <v>35</v>
      </c>
      <c r="C277" t="s">
        <v>637</v>
      </c>
      <c r="D277" t="s">
        <v>1486</v>
      </c>
      <c r="E277" t="s">
        <v>94</v>
      </c>
      <c r="F277" s="1">
        <v>36667</v>
      </c>
      <c r="G277" s="28">
        <v>21</v>
      </c>
      <c r="H277" s="26">
        <v>46259</v>
      </c>
      <c r="I277" t="s">
        <v>581</v>
      </c>
      <c r="J277" t="s">
        <v>50</v>
      </c>
      <c r="K277" t="s">
        <v>40</v>
      </c>
      <c r="L277" t="s">
        <v>18</v>
      </c>
      <c r="M277" t="s">
        <v>1489</v>
      </c>
      <c r="N277" s="7">
        <f t="shared" si="8"/>
        <v>555108</v>
      </c>
      <c r="O277" s="7">
        <f t="shared" si="9"/>
        <v>4625.9000000000005</v>
      </c>
    </row>
    <row r="278" spans="1:15" x14ac:dyDescent="0.35">
      <c r="A278" s="5">
        <v>277</v>
      </c>
      <c r="B278" t="s">
        <v>638</v>
      </c>
      <c r="C278" t="s">
        <v>639</v>
      </c>
      <c r="D278" t="s">
        <v>1486</v>
      </c>
      <c r="E278" t="s">
        <v>69</v>
      </c>
      <c r="F278" s="1">
        <v>37816</v>
      </c>
      <c r="G278" s="28">
        <v>18</v>
      </c>
      <c r="H278" s="26">
        <v>142403</v>
      </c>
      <c r="I278" t="s">
        <v>640</v>
      </c>
      <c r="J278" t="s">
        <v>28</v>
      </c>
      <c r="K278" t="s">
        <v>17</v>
      </c>
      <c r="L278" t="s">
        <v>41</v>
      </c>
      <c r="M278" t="s">
        <v>1489</v>
      </c>
      <c r="N278" s="7">
        <f t="shared" si="8"/>
        <v>1708836</v>
      </c>
      <c r="O278" s="7">
        <f t="shared" si="9"/>
        <v>14240.300000000001</v>
      </c>
    </row>
    <row r="279" spans="1:15" x14ac:dyDescent="0.35">
      <c r="A279" s="5">
        <v>278</v>
      </c>
      <c r="B279" t="s">
        <v>284</v>
      </c>
      <c r="C279" t="s">
        <v>641</v>
      </c>
      <c r="D279" t="s">
        <v>1485</v>
      </c>
      <c r="E279" t="s">
        <v>110</v>
      </c>
      <c r="F279" s="1">
        <v>36551</v>
      </c>
      <c r="G279" s="28">
        <v>21</v>
      </c>
      <c r="H279" s="26">
        <v>88165</v>
      </c>
      <c r="I279" t="s">
        <v>145</v>
      </c>
      <c r="J279" t="s">
        <v>55</v>
      </c>
      <c r="K279" t="s">
        <v>17</v>
      </c>
      <c r="L279" t="s">
        <v>112</v>
      </c>
      <c r="M279" t="s">
        <v>1489</v>
      </c>
      <c r="N279" s="7">
        <f t="shared" si="8"/>
        <v>1057980</v>
      </c>
      <c r="O279" s="7">
        <f t="shared" si="9"/>
        <v>8816.5</v>
      </c>
    </row>
    <row r="280" spans="1:15" x14ac:dyDescent="0.35">
      <c r="A280" s="5">
        <v>279</v>
      </c>
      <c r="B280" t="s">
        <v>642</v>
      </c>
      <c r="C280" t="s">
        <v>643</v>
      </c>
      <c r="D280" t="s">
        <v>1485</v>
      </c>
      <c r="E280" t="s">
        <v>110</v>
      </c>
      <c r="F280" s="1">
        <v>39259</v>
      </c>
      <c r="G280" s="28">
        <v>14</v>
      </c>
      <c r="H280" s="26">
        <v>86291</v>
      </c>
      <c r="I280" t="s">
        <v>49</v>
      </c>
      <c r="J280" t="s">
        <v>39</v>
      </c>
      <c r="K280" t="s">
        <v>40</v>
      </c>
      <c r="L280" t="s">
        <v>112</v>
      </c>
      <c r="M280" t="s">
        <v>1489</v>
      </c>
      <c r="N280" s="7">
        <f t="shared" si="8"/>
        <v>1035492</v>
      </c>
      <c r="O280" s="7">
        <f t="shared" si="9"/>
        <v>8629.1</v>
      </c>
    </row>
    <row r="281" spans="1:15" x14ac:dyDescent="0.35">
      <c r="A281" s="5">
        <v>280</v>
      </c>
      <c r="B281" t="s">
        <v>354</v>
      </c>
      <c r="C281" t="s">
        <v>644</v>
      </c>
      <c r="D281" t="s">
        <v>1485</v>
      </c>
      <c r="E281" t="s">
        <v>85</v>
      </c>
      <c r="F281" s="1">
        <v>39603</v>
      </c>
      <c r="G281" s="28">
        <v>13</v>
      </c>
      <c r="H281" s="26">
        <v>139163</v>
      </c>
      <c r="I281" t="s">
        <v>330</v>
      </c>
      <c r="J281" t="s">
        <v>91</v>
      </c>
      <c r="K281" t="s">
        <v>40</v>
      </c>
      <c r="L281" t="s">
        <v>41</v>
      </c>
      <c r="M281" t="s">
        <v>1489</v>
      </c>
      <c r="N281" s="7">
        <f t="shared" si="8"/>
        <v>1669956</v>
      </c>
      <c r="O281" s="7">
        <f t="shared" si="9"/>
        <v>13916.300000000001</v>
      </c>
    </row>
    <row r="282" spans="1:15" x14ac:dyDescent="0.35">
      <c r="A282" s="5">
        <v>281</v>
      </c>
      <c r="B282" t="s">
        <v>645</v>
      </c>
      <c r="C282" t="s">
        <v>646</v>
      </c>
      <c r="D282" t="s">
        <v>1485</v>
      </c>
      <c r="E282" t="s">
        <v>238</v>
      </c>
      <c r="F282" s="1">
        <v>39026</v>
      </c>
      <c r="G282" s="28">
        <v>15</v>
      </c>
      <c r="H282" s="26">
        <v>48892</v>
      </c>
      <c r="I282" t="s">
        <v>277</v>
      </c>
      <c r="J282" t="s">
        <v>46</v>
      </c>
      <c r="K282" t="s">
        <v>17</v>
      </c>
      <c r="L282" t="s">
        <v>63</v>
      </c>
      <c r="M282" t="s">
        <v>1489</v>
      </c>
      <c r="N282" s="7">
        <f t="shared" si="8"/>
        <v>586704</v>
      </c>
      <c r="O282" s="7">
        <f t="shared" si="9"/>
        <v>4889.2</v>
      </c>
    </row>
    <row r="283" spans="1:15" x14ac:dyDescent="0.35">
      <c r="A283" s="5">
        <v>282</v>
      </c>
      <c r="B283" t="s">
        <v>523</v>
      </c>
      <c r="C283" t="s">
        <v>647</v>
      </c>
      <c r="D283" t="s">
        <v>1486</v>
      </c>
      <c r="E283" t="s">
        <v>148</v>
      </c>
      <c r="F283" s="1">
        <v>46745</v>
      </c>
      <c r="G283" s="28">
        <v>7</v>
      </c>
      <c r="H283" s="26">
        <v>120540</v>
      </c>
      <c r="I283" t="s">
        <v>172</v>
      </c>
      <c r="J283" t="s">
        <v>50</v>
      </c>
      <c r="K283" t="s">
        <v>40</v>
      </c>
      <c r="L283" t="s">
        <v>112</v>
      </c>
      <c r="M283" t="s">
        <v>1489</v>
      </c>
      <c r="N283" s="7">
        <f t="shared" si="8"/>
        <v>1446480</v>
      </c>
      <c r="O283" s="7">
        <f t="shared" si="9"/>
        <v>12054</v>
      </c>
    </row>
    <row r="284" spans="1:15" x14ac:dyDescent="0.35">
      <c r="A284" s="5">
        <v>283</v>
      </c>
      <c r="B284" t="s">
        <v>264</v>
      </c>
      <c r="C284" t="s">
        <v>648</v>
      </c>
      <c r="D284" t="s">
        <v>1486</v>
      </c>
      <c r="E284" t="s">
        <v>203</v>
      </c>
      <c r="F284" s="1">
        <v>36598</v>
      </c>
      <c r="G284" s="28">
        <v>21</v>
      </c>
      <c r="H284" s="26">
        <v>47450</v>
      </c>
      <c r="I284" t="s">
        <v>189</v>
      </c>
      <c r="J284" t="s">
        <v>46</v>
      </c>
      <c r="K284" t="s">
        <v>17</v>
      </c>
      <c r="L284" t="s">
        <v>41</v>
      </c>
      <c r="M284" t="s">
        <v>1489</v>
      </c>
      <c r="N284" s="7">
        <f t="shared" si="8"/>
        <v>569400</v>
      </c>
      <c r="O284" s="7">
        <f t="shared" si="9"/>
        <v>4745</v>
      </c>
    </row>
    <row r="285" spans="1:15" x14ac:dyDescent="0.35">
      <c r="A285" s="5">
        <v>284</v>
      </c>
      <c r="B285" t="s">
        <v>30</v>
      </c>
      <c r="C285" t="s">
        <v>649</v>
      </c>
      <c r="D285" t="s">
        <v>1486</v>
      </c>
      <c r="E285" t="s">
        <v>203</v>
      </c>
      <c r="F285" s="1">
        <v>44433</v>
      </c>
      <c r="G285" s="28">
        <v>13</v>
      </c>
      <c r="H285" s="26">
        <v>142255</v>
      </c>
      <c r="I285" t="s">
        <v>126</v>
      </c>
      <c r="J285" t="s">
        <v>55</v>
      </c>
      <c r="K285" t="s">
        <v>17</v>
      </c>
      <c r="L285" t="s">
        <v>41</v>
      </c>
      <c r="M285" t="s">
        <v>1489</v>
      </c>
      <c r="N285" s="7">
        <f t="shared" si="8"/>
        <v>1707060</v>
      </c>
      <c r="O285" s="7">
        <f t="shared" si="9"/>
        <v>14225.5</v>
      </c>
    </row>
    <row r="286" spans="1:15" x14ac:dyDescent="0.35">
      <c r="A286" s="5">
        <v>285</v>
      </c>
      <c r="B286" t="s">
        <v>650</v>
      </c>
      <c r="C286" t="s">
        <v>651</v>
      </c>
      <c r="D286" t="s">
        <v>1485</v>
      </c>
      <c r="E286" t="s">
        <v>110</v>
      </c>
      <c r="F286" s="1">
        <v>36754</v>
      </c>
      <c r="G286" s="28">
        <v>21</v>
      </c>
      <c r="H286" s="26">
        <v>62441</v>
      </c>
      <c r="I286" t="s">
        <v>253</v>
      </c>
      <c r="J286" t="s">
        <v>28</v>
      </c>
      <c r="K286" t="s">
        <v>17</v>
      </c>
      <c r="L286" t="s">
        <v>112</v>
      </c>
      <c r="M286" t="s">
        <v>1489</v>
      </c>
      <c r="N286" s="7">
        <f t="shared" si="8"/>
        <v>749292</v>
      </c>
      <c r="O286" s="7">
        <f t="shared" si="9"/>
        <v>6244.1</v>
      </c>
    </row>
    <row r="287" spans="1:15" x14ac:dyDescent="0.35">
      <c r="A287" s="5">
        <v>286</v>
      </c>
      <c r="B287" t="s">
        <v>652</v>
      </c>
      <c r="C287" t="s">
        <v>653</v>
      </c>
      <c r="D287" t="s">
        <v>1486</v>
      </c>
      <c r="E287" t="s">
        <v>79</v>
      </c>
      <c r="F287" s="1">
        <v>43901</v>
      </c>
      <c r="G287" s="28">
        <v>14</v>
      </c>
      <c r="H287" s="26">
        <v>142529</v>
      </c>
      <c r="I287" t="s">
        <v>145</v>
      </c>
      <c r="J287" t="s">
        <v>16</v>
      </c>
      <c r="K287" t="s">
        <v>17</v>
      </c>
      <c r="L287" t="s">
        <v>41</v>
      </c>
      <c r="M287" t="s">
        <v>1489</v>
      </c>
      <c r="N287" s="7">
        <f t="shared" si="8"/>
        <v>1710348</v>
      </c>
      <c r="O287" s="7">
        <f t="shared" si="9"/>
        <v>14252.900000000001</v>
      </c>
    </row>
    <row r="288" spans="1:15" x14ac:dyDescent="0.35">
      <c r="A288" s="5">
        <v>287</v>
      </c>
      <c r="B288" t="s">
        <v>505</v>
      </c>
      <c r="C288" t="s">
        <v>654</v>
      </c>
      <c r="D288" t="s">
        <v>1486</v>
      </c>
      <c r="E288" t="s">
        <v>129</v>
      </c>
      <c r="F288" s="1">
        <v>45004</v>
      </c>
      <c r="G288" s="28">
        <v>11</v>
      </c>
      <c r="H288" s="26">
        <v>142103</v>
      </c>
      <c r="I288" t="s">
        <v>360</v>
      </c>
      <c r="J288" t="s">
        <v>55</v>
      </c>
      <c r="K288" t="s">
        <v>17</v>
      </c>
      <c r="L288" t="s">
        <v>41</v>
      </c>
      <c r="M288" t="s">
        <v>1489</v>
      </c>
      <c r="N288" s="7">
        <f t="shared" si="8"/>
        <v>1705236</v>
      </c>
      <c r="O288" s="7">
        <f t="shared" si="9"/>
        <v>14210.300000000001</v>
      </c>
    </row>
    <row r="289" spans="1:15" x14ac:dyDescent="0.35">
      <c r="A289" s="5">
        <v>288</v>
      </c>
      <c r="B289" t="s">
        <v>331</v>
      </c>
      <c r="C289" t="s">
        <v>655</v>
      </c>
      <c r="D289" t="s">
        <v>1485</v>
      </c>
      <c r="E289" t="s">
        <v>94</v>
      </c>
      <c r="F289" s="1">
        <v>37479</v>
      </c>
      <c r="G289" s="28">
        <v>19</v>
      </c>
      <c r="H289" s="26">
        <v>102395</v>
      </c>
      <c r="I289" t="s">
        <v>617</v>
      </c>
      <c r="J289" t="s">
        <v>50</v>
      </c>
      <c r="K289" t="s">
        <v>40</v>
      </c>
      <c r="L289" t="s">
        <v>18</v>
      </c>
      <c r="M289" t="s">
        <v>1489</v>
      </c>
      <c r="N289" s="7">
        <f t="shared" si="8"/>
        <v>1228740</v>
      </c>
      <c r="O289" s="7">
        <f t="shared" si="9"/>
        <v>10239.5</v>
      </c>
    </row>
    <row r="290" spans="1:15" x14ac:dyDescent="0.35">
      <c r="A290" s="5">
        <v>289</v>
      </c>
      <c r="B290" t="s">
        <v>404</v>
      </c>
      <c r="C290" t="s">
        <v>656</v>
      </c>
      <c r="D290" t="s">
        <v>1485</v>
      </c>
      <c r="E290" t="s">
        <v>89</v>
      </c>
      <c r="F290" s="1">
        <v>40095</v>
      </c>
      <c r="G290" s="28">
        <v>12</v>
      </c>
      <c r="H290" s="26">
        <v>44593</v>
      </c>
      <c r="I290" t="s">
        <v>640</v>
      </c>
      <c r="J290" t="s">
        <v>16</v>
      </c>
      <c r="K290" t="s">
        <v>17</v>
      </c>
      <c r="L290" t="s">
        <v>41</v>
      </c>
      <c r="M290" t="s">
        <v>1489</v>
      </c>
      <c r="N290" s="7">
        <f t="shared" si="8"/>
        <v>535116</v>
      </c>
      <c r="O290" s="7">
        <f t="shared" si="9"/>
        <v>4459.3</v>
      </c>
    </row>
    <row r="291" spans="1:15" x14ac:dyDescent="0.35">
      <c r="A291" s="5">
        <v>290</v>
      </c>
      <c r="B291" t="s">
        <v>657</v>
      </c>
      <c r="C291" t="s">
        <v>658</v>
      </c>
      <c r="D291" t="s">
        <v>1485</v>
      </c>
      <c r="E291" t="s">
        <v>37</v>
      </c>
      <c r="F291" s="1">
        <v>39122</v>
      </c>
      <c r="G291" s="28">
        <v>14</v>
      </c>
      <c r="H291" s="26">
        <v>120800</v>
      </c>
      <c r="I291" t="s">
        <v>659</v>
      </c>
      <c r="J291" t="s">
        <v>91</v>
      </c>
      <c r="K291" t="s">
        <v>40</v>
      </c>
      <c r="L291" t="s">
        <v>41</v>
      </c>
      <c r="M291" t="s">
        <v>1490</v>
      </c>
      <c r="N291" s="7">
        <f t="shared" si="8"/>
        <v>1449600</v>
      </c>
      <c r="O291" s="7">
        <f t="shared" si="9"/>
        <v>12080</v>
      </c>
    </row>
    <row r="292" spans="1:15" x14ac:dyDescent="0.35">
      <c r="A292" s="5">
        <v>291</v>
      </c>
      <c r="B292" t="s">
        <v>508</v>
      </c>
      <c r="C292" t="s">
        <v>660</v>
      </c>
      <c r="D292" t="s">
        <v>1486</v>
      </c>
      <c r="E292" t="s">
        <v>122</v>
      </c>
      <c r="F292" s="1">
        <v>37951</v>
      </c>
      <c r="G292" s="28">
        <v>18</v>
      </c>
      <c r="H292" s="26">
        <v>121238</v>
      </c>
      <c r="I292" t="s">
        <v>107</v>
      </c>
      <c r="J292" t="s">
        <v>55</v>
      </c>
      <c r="K292" t="s">
        <v>17</v>
      </c>
      <c r="L292" t="s">
        <v>123</v>
      </c>
      <c r="M292" t="s">
        <v>1490</v>
      </c>
      <c r="N292" s="7">
        <f t="shared" si="8"/>
        <v>1454856</v>
      </c>
      <c r="O292" s="7">
        <f t="shared" si="9"/>
        <v>12123.800000000001</v>
      </c>
    </row>
    <row r="293" spans="1:15" x14ac:dyDescent="0.35">
      <c r="A293" s="5">
        <v>292</v>
      </c>
      <c r="B293" t="s">
        <v>284</v>
      </c>
      <c r="C293" t="s">
        <v>661</v>
      </c>
      <c r="D293" t="s">
        <v>1486</v>
      </c>
      <c r="E293" t="s">
        <v>26</v>
      </c>
      <c r="F293" s="1">
        <v>45634</v>
      </c>
      <c r="G293" s="28">
        <v>10</v>
      </c>
      <c r="H293" s="26">
        <v>91296</v>
      </c>
      <c r="I293" t="s">
        <v>194</v>
      </c>
      <c r="J293" t="s">
        <v>50</v>
      </c>
      <c r="K293" t="s">
        <v>40</v>
      </c>
      <c r="L293" t="s">
        <v>29</v>
      </c>
      <c r="M293" t="s">
        <v>1490</v>
      </c>
      <c r="N293" s="7">
        <f t="shared" si="8"/>
        <v>1095552</v>
      </c>
      <c r="O293" s="7">
        <f t="shared" si="9"/>
        <v>9129.6</v>
      </c>
    </row>
    <row r="294" spans="1:15" x14ac:dyDescent="0.35">
      <c r="A294" s="5">
        <v>293</v>
      </c>
      <c r="B294" t="s">
        <v>316</v>
      </c>
      <c r="C294" t="s">
        <v>662</v>
      </c>
      <c r="D294" t="s">
        <v>1486</v>
      </c>
      <c r="E294" t="s">
        <v>203</v>
      </c>
      <c r="F294" s="1">
        <v>45528</v>
      </c>
      <c r="G294" s="28">
        <v>10</v>
      </c>
      <c r="H294" s="26">
        <v>86070</v>
      </c>
      <c r="I294" t="s">
        <v>397</v>
      </c>
      <c r="J294" t="s">
        <v>28</v>
      </c>
      <c r="K294" t="s">
        <v>17</v>
      </c>
      <c r="L294" t="s">
        <v>41</v>
      </c>
      <c r="M294" t="s">
        <v>1490</v>
      </c>
      <c r="N294" s="7">
        <f t="shared" si="8"/>
        <v>1032840</v>
      </c>
      <c r="O294" s="7">
        <f t="shared" si="9"/>
        <v>8607</v>
      </c>
    </row>
    <row r="295" spans="1:15" x14ac:dyDescent="0.35">
      <c r="A295" s="5">
        <v>294</v>
      </c>
      <c r="B295" t="s">
        <v>215</v>
      </c>
      <c r="C295" t="s">
        <v>663</v>
      </c>
      <c r="D295" t="s">
        <v>1486</v>
      </c>
      <c r="E295" t="s">
        <v>61</v>
      </c>
      <c r="F295" s="1">
        <v>44592</v>
      </c>
      <c r="G295" s="28">
        <v>12</v>
      </c>
      <c r="H295" s="26">
        <v>61519</v>
      </c>
      <c r="I295" t="s">
        <v>664</v>
      </c>
      <c r="J295" t="s">
        <v>39</v>
      </c>
      <c r="K295" t="s">
        <v>40</v>
      </c>
      <c r="L295" t="s">
        <v>63</v>
      </c>
      <c r="M295" t="s">
        <v>1490</v>
      </c>
      <c r="N295" s="7">
        <f t="shared" si="8"/>
        <v>738228</v>
      </c>
      <c r="O295" s="7">
        <f t="shared" si="9"/>
        <v>6151.9000000000005</v>
      </c>
    </row>
    <row r="296" spans="1:15" x14ac:dyDescent="0.35">
      <c r="A296" s="5">
        <v>295</v>
      </c>
      <c r="B296" t="s">
        <v>51</v>
      </c>
      <c r="C296" t="s">
        <v>665</v>
      </c>
      <c r="D296" t="s">
        <v>1486</v>
      </c>
      <c r="E296" t="s">
        <v>122</v>
      </c>
      <c r="F296" s="1">
        <v>38615</v>
      </c>
      <c r="G296" s="28">
        <v>16</v>
      </c>
      <c r="H296" s="26">
        <v>47131</v>
      </c>
      <c r="I296" t="s">
        <v>666</v>
      </c>
      <c r="J296" t="s">
        <v>50</v>
      </c>
      <c r="K296" t="s">
        <v>40</v>
      </c>
      <c r="L296" t="s">
        <v>123</v>
      </c>
      <c r="M296" t="s">
        <v>1490</v>
      </c>
      <c r="N296" s="7">
        <f t="shared" si="8"/>
        <v>565572</v>
      </c>
      <c r="O296" s="7">
        <f t="shared" si="9"/>
        <v>4713.1000000000004</v>
      </c>
    </row>
    <row r="297" spans="1:15" x14ac:dyDescent="0.35">
      <c r="A297" s="5">
        <v>296</v>
      </c>
      <c r="B297" t="s">
        <v>667</v>
      </c>
      <c r="C297" t="s">
        <v>668</v>
      </c>
      <c r="D297" t="s">
        <v>1485</v>
      </c>
      <c r="E297" t="s">
        <v>85</v>
      </c>
      <c r="F297" s="1">
        <v>39545</v>
      </c>
      <c r="G297" s="28">
        <v>13</v>
      </c>
      <c r="H297" s="26">
        <v>93962</v>
      </c>
      <c r="I297" t="s">
        <v>669</v>
      </c>
      <c r="J297" t="s">
        <v>28</v>
      </c>
      <c r="K297" t="s">
        <v>17</v>
      </c>
      <c r="L297" t="s">
        <v>41</v>
      </c>
      <c r="M297" t="s">
        <v>1490</v>
      </c>
      <c r="N297" s="7">
        <f t="shared" si="8"/>
        <v>1127544</v>
      </c>
      <c r="O297" s="7">
        <f t="shared" si="9"/>
        <v>9396.2000000000007</v>
      </c>
    </row>
    <row r="298" spans="1:15" x14ac:dyDescent="0.35">
      <c r="A298" s="5">
        <v>297</v>
      </c>
      <c r="B298" t="s">
        <v>474</v>
      </c>
      <c r="C298" t="s">
        <v>670</v>
      </c>
      <c r="D298" t="s">
        <v>1485</v>
      </c>
      <c r="E298" t="s">
        <v>312</v>
      </c>
      <c r="F298" s="1">
        <v>41955</v>
      </c>
      <c r="G298" s="28">
        <v>7</v>
      </c>
      <c r="H298" s="26">
        <v>133845</v>
      </c>
      <c r="I298" t="s">
        <v>45</v>
      </c>
      <c r="J298" t="s">
        <v>55</v>
      </c>
      <c r="K298" t="s">
        <v>17</v>
      </c>
      <c r="L298" t="s">
        <v>41</v>
      </c>
      <c r="M298" t="s">
        <v>1490</v>
      </c>
      <c r="N298" s="7">
        <f t="shared" si="8"/>
        <v>1606140</v>
      </c>
      <c r="O298" s="7">
        <f t="shared" si="9"/>
        <v>13384.5</v>
      </c>
    </row>
    <row r="299" spans="1:15" x14ac:dyDescent="0.35">
      <c r="A299" s="5">
        <v>298</v>
      </c>
      <c r="B299" t="s">
        <v>671</v>
      </c>
      <c r="C299" t="s">
        <v>672</v>
      </c>
      <c r="D299" t="s">
        <v>1485</v>
      </c>
      <c r="E299" t="s">
        <v>69</v>
      </c>
      <c r="F299" s="1">
        <v>40346</v>
      </c>
      <c r="G299" s="28">
        <v>11</v>
      </c>
      <c r="H299" s="26">
        <v>43067</v>
      </c>
      <c r="I299" t="s">
        <v>673</v>
      </c>
      <c r="J299" t="s">
        <v>39</v>
      </c>
      <c r="K299" t="s">
        <v>40</v>
      </c>
      <c r="L299" t="s">
        <v>41</v>
      </c>
      <c r="M299" t="s">
        <v>1490</v>
      </c>
      <c r="N299" s="7">
        <f t="shared" si="8"/>
        <v>516804</v>
      </c>
      <c r="O299" s="7">
        <f t="shared" si="9"/>
        <v>4306.7</v>
      </c>
    </row>
    <row r="300" spans="1:15" x14ac:dyDescent="0.35">
      <c r="A300" s="5">
        <v>299</v>
      </c>
      <c r="B300" t="s">
        <v>113</v>
      </c>
      <c r="C300" t="s">
        <v>674</v>
      </c>
      <c r="D300" t="s">
        <v>1486</v>
      </c>
      <c r="E300" t="s">
        <v>129</v>
      </c>
      <c r="F300" s="1">
        <v>37135</v>
      </c>
      <c r="G300" s="28">
        <v>20</v>
      </c>
      <c r="H300" s="26">
        <v>88972</v>
      </c>
      <c r="I300" t="s">
        <v>539</v>
      </c>
      <c r="J300" t="s">
        <v>39</v>
      </c>
      <c r="K300" t="s">
        <v>40</v>
      </c>
      <c r="L300" t="s">
        <v>41</v>
      </c>
      <c r="M300" t="s">
        <v>1489</v>
      </c>
      <c r="N300" s="7">
        <f t="shared" si="8"/>
        <v>1067664</v>
      </c>
      <c r="O300" s="7">
        <f t="shared" si="9"/>
        <v>8897.2000000000007</v>
      </c>
    </row>
    <row r="301" spans="1:15" x14ac:dyDescent="0.35">
      <c r="A301" s="5">
        <v>300</v>
      </c>
      <c r="B301" t="s">
        <v>675</v>
      </c>
      <c r="C301" t="s">
        <v>676</v>
      </c>
      <c r="D301" t="s">
        <v>1485</v>
      </c>
      <c r="E301" t="s">
        <v>69</v>
      </c>
      <c r="F301" s="1">
        <v>38671</v>
      </c>
      <c r="G301" s="28">
        <v>16</v>
      </c>
      <c r="H301" s="26">
        <v>77635</v>
      </c>
      <c r="I301" t="s">
        <v>459</v>
      </c>
      <c r="J301" t="s">
        <v>28</v>
      </c>
      <c r="K301" t="s">
        <v>17</v>
      </c>
      <c r="L301" t="s">
        <v>41</v>
      </c>
      <c r="M301" t="s">
        <v>1489</v>
      </c>
      <c r="N301" s="7">
        <f t="shared" si="8"/>
        <v>931620</v>
      </c>
      <c r="O301" s="7">
        <f t="shared" si="9"/>
        <v>7763.5</v>
      </c>
    </row>
    <row r="302" spans="1:15" x14ac:dyDescent="0.35">
      <c r="A302" s="5">
        <v>301</v>
      </c>
      <c r="B302" t="s">
        <v>677</v>
      </c>
      <c r="C302" t="s">
        <v>678</v>
      </c>
      <c r="D302" t="s">
        <v>1485</v>
      </c>
      <c r="E302" t="s">
        <v>37</v>
      </c>
      <c r="F302" s="1">
        <v>40679</v>
      </c>
      <c r="G302" s="28">
        <v>10</v>
      </c>
      <c r="H302" s="26">
        <v>148993</v>
      </c>
      <c r="I302" t="s">
        <v>344</v>
      </c>
      <c r="J302" t="s">
        <v>46</v>
      </c>
      <c r="K302" t="s">
        <v>17</v>
      </c>
      <c r="L302" t="s">
        <v>41</v>
      </c>
      <c r="M302" t="s">
        <v>1489</v>
      </c>
      <c r="N302" s="7">
        <f t="shared" si="8"/>
        <v>1787916</v>
      </c>
      <c r="O302" s="7">
        <f t="shared" si="9"/>
        <v>14899.300000000001</v>
      </c>
    </row>
    <row r="303" spans="1:15" x14ac:dyDescent="0.35">
      <c r="A303" s="5">
        <v>302</v>
      </c>
      <c r="B303" t="s">
        <v>679</v>
      </c>
      <c r="C303" t="s">
        <v>680</v>
      </c>
      <c r="D303" t="s">
        <v>1486</v>
      </c>
      <c r="E303" t="s">
        <v>44</v>
      </c>
      <c r="F303" s="1">
        <v>37483</v>
      </c>
      <c r="G303" s="28">
        <v>19</v>
      </c>
      <c r="H303" s="26">
        <v>113599</v>
      </c>
      <c r="I303" t="s">
        <v>500</v>
      </c>
      <c r="J303" t="s">
        <v>16</v>
      </c>
      <c r="K303" t="s">
        <v>17</v>
      </c>
      <c r="L303" t="s">
        <v>29</v>
      </c>
      <c r="M303" t="s">
        <v>1489</v>
      </c>
      <c r="N303" s="7">
        <f t="shared" si="8"/>
        <v>1363188</v>
      </c>
      <c r="O303" s="7">
        <f t="shared" si="9"/>
        <v>11359.900000000001</v>
      </c>
    </row>
    <row r="304" spans="1:15" x14ac:dyDescent="0.35">
      <c r="A304" s="5">
        <v>303</v>
      </c>
      <c r="B304" t="s">
        <v>528</v>
      </c>
      <c r="C304" t="s">
        <v>681</v>
      </c>
      <c r="D304" t="s">
        <v>1485</v>
      </c>
      <c r="E304" t="s">
        <v>94</v>
      </c>
      <c r="F304" s="1">
        <v>40983</v>
      </c>
      <c r="G304" s="28">
        <v>9</v>
      </c>
      <c r="H304" s="26">
        <v>76943</v>
      </c>
      <c r="I304" t="s">
        <v>321</v>
      </c>
      <c r="J304" t="s">
        <v>39</v>
      </c>
      <c r="K304" t="s">
        <v>40</v>
      </c>
      <c r="L304" t="s">
        <v>18</v>
      </c>
      <c r="M304" t="s">
        <v>1489</v>
      </c>
      <c r="N304" s="7">
        <f t="shared" si="8"/>
        <v>923316</v>
      </c>
      <c r="O304" s="7">
        <f t="shared" si="9"/>
        <v>7694.3</v>
      </c>
    </row>
    <row r="305" spans="1:15" x14ac:dyDescent="0.35">
      <c r="A305" s="5">
        <v>304</v>
      </c>
      <c r="B305" t="s">
        <v>682</v>
      </c>
      <c r="C305" t="s">
        <v>683</v>
      </c>
      <c r="D305" t="s">
        <v>1486</v>
      </c>
      <c r="E305" t="s">
        <v>122</v>
      </c>
      <c r="F305" s="1">
        <v>43977</v>
      </c>
      <c r="G305" s="28">
        <v>14</v>
      </c>
      <c r="H305" s="26">
        <v>77486</v>
      </c>
      <c r="I305" t="s">
        <v>66</v>
      </c>
      <c r="J305" t="s">
        <v>55</v>
      </c>
      <c r="K305" t="s">
        <v>17</v>
      </c>
      <c r="L305" t="s">
        <v>123</v>
      </c>
      <c r="M305" t="s">
        <v>1489</v>
      </c>
      <c r="N305" s="7">
        <f t="shared" si="8"/>
        <v>929832</v>
      </c>
      <c r="O305" s="7">
        <f t="shared" si="9"/>
        <v>7748.6</v>
      </c>
    </row>
    <row r="306" spans="1:15" x14ac:dyDescent="0.35">
      <c r="A306" s="5">
        <v>305</v>
      </c>
      <c r="B306" t="s">
        <v>175</v>
      </c>
      <c r="C306" t="s">
        <v>684</v>
      </c>
      <c r="D306" t="s">
        <v>1485</v>
      </c>
      <c r="E306" t="s">
        <v>94</v>
      </c>
      <c r="F306" s="1">
        <v>41598</v>
      </c>
      <c r="G306" s="28">
        <v>8</v>
      </c>
      <c r="H306" s="26">
        <v>135001</v>
      </c>
      <c r="I306" t="s">
        <v>27</v>
      </c>
      <c r="J306" t="s">
        <v>55</v>
      </c>
      <c r="K306" t="s">
        <v>17</v>
      </c>
      <c r="L306" t="s">
        <v>18</v>
      </c>
      <c r="M306" t="s">
        <v>1489</v>
      </c>
      <c r="N306" s="7">
        <f t="shared" si="8"/>
        <v>1620012</v>
      </c>
      <c r="O306" s="7">
        <f t="shared" si="9"/>
        <v>13500.1</v>
      </c>
    </row>
    <row r="307" spans="1:15" x14ac:dyDescent="0.35">
      <c r="A307" s="5">
        <v>306</v>
      </c>
      <c r="B307" t="s">
        <v>404</v>
      </c>
      <c r="C307" t="s">
        <v>685</v>
      </c>
      <c r="D307" t="s">
        <v>1485</v>
      </c>
      <c r="E307" t="s">
        <v>73</v>
      </c>
      <c r="F307" s="1">
        <v>39762</v>
      </c>
      <c r="G307" s="28">
        <v>13</v>
      </c>
      <c r="H307" s="26">
        <v>52171</v>
      </c>
      <c r="I307" t="s">
        <v>70</v>
      </c>
      <c r="J307" t="s">
        <v>16</v>
      </c>
      <c r="K307" t="s">
        <v>17</v>
      </c>
      <c r="L307" t="s">
        <v>41</v>
      </c>
      <c r="M307" t="s">
        <v>1489</v>
      </c>
      <c r="N307" s="7">
        <f t="shared" si="8"/>
        <v>626052</v>
      </c>
      <c r="O307" s="7">
        <f t="shared" si="9"/>
        <v>5217.1000000000004</v>
      </c>
    </row>
    <row r="308" spans="1:15" x14ac:dyDescent="0.35">
      <c r="A308" s="5">
        <v>307</v>
      </c>
      <c r="B308" t="s">
        <v>255</v>
      </c>
      <c r="C308" t="s">
        <v>686</v>
      </c>
      <c r="D308" t="s">
        <v>1486</v>
      </c>
      <c r="E308" t="s">
        <v>110</v>
      </c>
      <c r="F308" s="1">
        <v>38890</v>
      </c>
      <c r="G308" s="28">
        <v>15</v>
      </c>
      <c r="H308" s="26">
        <v>139302</v>
      </c>
      <c r="I308" t="s">
        <v>493</v>
      </c>
      <c r="J308" t="s">
        <v>91</v>
      </c>
      <c r="K308" t="s">
        <v>40</v>
      </c>
      <c r="L308" t="s">
        <v>112</v>
      </c>
      <c r="M308" t="s">
        <v>1489</v>
      </c>
      <c r="N308" s="7">
        <f t="shared" si="8"/>
        <v>1671624</v>
      </c>
      <c r="O308" s="7">
        <f t="shared" si="9"/>
        <v>13930.2</v>
      </c>
    </row>
    <row r="309" spans="1:15" x14ac:dyDescent="0.35">
      <c r="A309" s="5">
        <v>308</v>
      </c>
      <c r="B309" t="s">
        <v>600</v>
      </c>
      <c r="C309" t="s">
        <v>687</v>
      </c>
      <c r="D309" t="s">
        <v>1486</v>
      </c>
      <c r="E309" t="s">
        <v>203</v>
      </c>
      <c r="F309" s="1">
        <v>36747</v>
      </c>
      <c r="G309" s="28">
        <v>21</v>
      </c>
      <c r="H309" s="26">
        <v>126683</v>
      </c>
      <c r="I309" t="s">
        <v>145</v>
      </c>
      <c r="J309" t="s">
        <v>55</v>
      </c>
      <c r="K309" t="s">
        <v>17</v>
      </c>
      <c r="L309" t="s">
        <v>41</v>
      </c>
      <c r="M309" t="s">
        <v>1489</v>
      </c>
      <c r="N309" s="7">
        <f t="shared" si="8"/>
        <v>1520196</v>
      </c>
      <c r="O309" s="7">
        <f t="shared" si="9"/>
        <v>12668.300000000001</v>
      </c>
    </row>
    <row r="310" spans="1:15" x14ac:dyDescent="0.35">
      <c r="A310" s="5">
        <v>309</v>
      </c>
      <c r="B310" t="s">
        <v>514</v>
      </c>
      <c r="C310" t="s">
        <v>688</v>
      </c>
      <c r="D310" t="s">
        <v>1485</v>
      </c>
      <c r="E310" t="s">
        <v>21</v>
      </c>
      <c r="F310" s="1">
        <v>38902</v>
      </c>
      <c r="G310" s="28">
        <v>15</v>
      </c>
      <c r="H310" s="26">
        <v>143781</v>
      </c>
      <c r="I310" t="s">
        <v>223</v>
      </c>
      <c r="J310" t="s">
        <v>55</v>
      </c>
      <c r="K310" t="s">
        <v>17</v>
      </c>
      <c r="L310" t="s">
        <v>23</v>
      </c>
      <c r="M310" t="s">
        <v>1489</v>
      </c>
      <c r="N310" s="7">
        <f t="shared" si="8"/>
        <v>1725372</v>
      </c>
      <c r="O310" s="7">
        <f t="shared" si="9"/>
        <v>14378.1</v>
      </c>
    </row>
    <row r="311" spans="1:15" x14ac:dyDescent="0.35">
      <c r="A311" s="5">
        <v>310</v>
      </c>
      <c r="B311" t="s">
        <v>689</v>
      </c>
      <c r="C311" t="s">
        <v>690</v>
      </c>
      <c r="D311" t="s">
        <v>1485</v>
      </c>
      <c r="E311" t="s">
        <v>122</v>
      </c>
      <c r="F311" s="1">
        <v>39512</v>
      </c>
      <c r="G311" s="28">
        <v>13</v>
      </c>
      <c r="H311" s="26">
        <v>51761</v>
      </c>
      <c r="I311" t="s">
        <v>691</v>
      </c>
      <c r="J311" t="s">
        <v>91</v>
      </c>
      <c r="K311" t="s">
        <v>40</v>
      </c>
      <c r="L311" t="s">
        <v>123</v>
      </c>
      <c r="M311" t="s">
        <v>1489</v>
      </c>
      <c r="N311" s="7">
        <f t="shared" si="8"/>
        <v>621132</v>
      </c>
      <c r="O311" s="7">
        <f t="shared" si="9"/>
        <v>5176.1000000000004</v>
      </c>
    </row>
    <row r="312" spans="1:15" x14ac:dyDescent="0.35">
      <c r="A312" s="5">
        <v>311</v>
      </c>
      <c r="B312" t="s">
        <v>205</v>
      </c>
      <c r="C312" t="s">
        <v>692</v>
      </c>
      <c r="D312" t="s">
        <v>1485</v>
      </c>
      <c r="E312" t="s">
        <v>312</v>
      </c>
      <c r="F312" s="1">
        <v>40689</v>
      </c>
      <c r="G312" s="28">
        <v>10</v>
      </c>
      <c r="H312" s="26">
        <v>45463</v>
      </c>
      <c r="I312" t="s">
        <v>583</v>
      </c>
      <c r="J312" t="s">
        <v>91</v>
      </c>
      <c r="K312" t="s">
        <v>40</v>
      </c>
      <c r="L312" t="s">
        <v>41</v>
      </c>
      <c r="M312" t="s">
        <v>1489</v>
      </c>
      <c r="N312" s="7">
        <f t="shared" si="8"/>
        <v>545556</v>
      </c>
      <c r="O312" s="7">
        <f t="shared" si="9"/>
        <v>4546.3</v>
      </c>
    </row>
    <row r="313" spans="1:15" x14ac:dyDescent="0.35">
      <c r="A313" s="5">
        <v>312</v>
      </c>
      <c r="B313" t="s">
        <v>218</v>
      </c>
      <c r="C313" t="s">
        <v>693</v>
      </c>
      <c r="D313" t="s">
        <v>1486</v>
      </c>
      <c r="E313" t="s">
        <v>69</v>
      </c>
      <c r="F313" s="1">
        <v>37940</v>
      </c>
      <c r="G313" s="28">
        <v>18</v>
      </c>
      <c r="H313" s="26">
        <v>133498</v>
      </c>
      <c r="I313" t="s">
        <v>136</v>
      </c>
      <c r="J313" t="s">
        <v>39</v>
      </c>
      <c r="K313" t="s">
        <v>40</v>
      </c>
      <c r="L313" t="s">
        <v>41</v>
      </c>
      <c r="M313" t="s">
        <v>1489</v>
      </c>
      <c r="N313" s="7">
        <f t="shared" si="8"/>
        <v>1601976</v>
      </c>
      <c r="O313" s="7">
        <f t="shared" si="9"/>
        <v>13349.800000000001</v>
      </c>
    </row>
    <row r="314" spans="1:15" x14ac:dyDescent="0.35">
      <c r="A314" s="5">
        <v>313</v>
      </c>
      <c r="B314" t="s">
        <v>363</v>
      </c>
      <c r="C314" t="s">
        <v>694</v>
      </c>
      <c r="D314" t="s">
        <v>1486</v>
      </c>
      <c r="E314" t="s">
        <v>89</v>
      </c>
      <c r="F314" s="1">
        <v>45372</v>
      </c>
      <c r="G314" s="28">
        <v>10</v>
      </c>
      <c r="H314" s="26">
        <v>81273</v>
      </c>
      <c r="I314" t="s">
        <v>695</v>
      </c>
      <c r="J314" t="s">
        <v>55</v>
      </c>
      <c r="K314" t="s">
        <v>17</v>
      </c>
      <c r="L314" t="s">
        <v>41</v>
      </c>
      <c r="M314" t="s">
        <v>1489</v>
      </c>
      <c r="N314" s="7">
        <f t="shared" si="8"/>
        <v>975276</v>
      </c>
      <c r="O314" s="7">
        <f t="shared" si="9"/>
        <v>8127.3</v>
      </c>
    </row>
    <row r="315" spans="1:15" x14ac:dyDescent="0.35">
      <c r="A315" s="5">
        <v>314</v>
      </c>
      <c r="B315" t="s">
        <v>347</v>
      </c>
      <c r="C315" t="s">
        <v>696</v>
      </c>
      <c r="D315" t="s">
        <v>1485</v>
      </c>
      <c r="E315" t="s">
        <v>14</v>
      </c>
      <c r="F315" s="1">
        <v>39505</v>
      </c>
      <c r="G315" s="28">
        <v>13</v>
      </c>
      <c r="H315" s="26">
        <v>77921</v>
      </c>
      <c r="I315" t="s">
        <v>253</v>
      </c>
      <c r="J315" t="s">
        <v>39</v>
      </c>
      <c r="K315" t="s">
        <v>40</v>
      </c>
      <c r="L315" t="s">
        <v>18</v>
      </c>
      <c r="M315" t="s">
        <v>1489</v>
      </c>
      <c r="N315" s="7">
        <f t="shared" si="8"/>
        <v>935052</v>
      </c>
      <c r="O315" s="7">
        <f t="shared" si="9"/>
        <v>7792.1</v>
      </c>
    </row>
    <row r="316" spans="1:15" x14ac:dyDescent="0.35">
      <c r="A316" s="5">
        <v>315</v>
      </c>
      <c r="B316" t="s">
        <v>143</v>
      </c>
      <c r="C316" t="s">
        <v>697</v>
      </c>
      <c r="D316" t="s">
        <v>1485</v>
      </c>
      <c r="E316" t="s">
        <v>79</v>
      </c>
      <c r="F316" s="1">
        <v>41115</v>
      </c>
      <c r="G316" s="28">
        <v>9</v>
      </c>
      <c r="H316" s="26">
        <v>59580</v>
      </c>
      <c r="I316" t="s">
        <v>321</v>
      </c>
      <c r="J316" t="s">
        <v>16</v>
      </c>
      <c r="K316" t="s">
        <v>17</v>
      </c>
      <c r="L316" t="s">
        <v>41</v>
      </c>
      <c r="M316" t="s">
        <v>1489</v>
      </c>
      <c r="N316" s="7">
        <f t="shared" si="8"/>
        <v>714960</v>
      </c>
      <c r="O316" s="7">
        <f t="shared" si="9"/>
        <v>5958</v>
      </c>
    </row>
    <row r="317" spans="1:15" x14ac:dyDescent="0.35">
      <c r="A317" s="5">
        <v>316</v>
      </c>
      <c r="B317" t="s">
        <v>698</v>
      </c>
      <c r="C317" t="s">
        <v>699</v>
      </c>
      <c r="D317" t="s">
        <v>1485</v>
      </c>
      <c r="E317" t="s">
        <v>21</v>
      </c>
      <c r="F317" s="1">
        <v>40437</v>
      </c>
      <c r="G317" s="28">
        <v>11</v>
      </c>
      <c r="H317" s="26">
        <v>40418</v>
      </c>
      <c r="I317" t="s">
        <v>191</v>
      </c>
      <c r="J317" t="s">
        <v>16</v>
      </c>
      <c r="K317" t="s">
        <v>17</v>
      </c>
      <c r="L317" t="s">
        <v>23</v>
      </c>
      <c r="M317" t="s">
        <v>1489</v>
      </c>
      <c r="N317" s="7">
        <f t="shared" si="8"/>
        <v>485016</v>
      </c>
      <c r="O317" s="7">
        <f t="shared" si="9"/>
        <v>4041.8</v>
      </c>
    </row>
    <row r="318" spans="1:15" x14ac:dyDescent="0.35">
      <c r="A318" s="5">
        <v>317</v>
      </c>
      <c r="B318" t="s">
        <v>564</v>
      </c>
      <c r="C318" t="s">
        <v>700</v>
      </c>
      <c r="D318" t="s">
        <v>1485</v>
      </c>
      <c r="E318" t="s">
        <v>37</v>
      </c>
      <c r="F318" s="1">
        <v>38204</v>
      </c>
      <c r="G318" s="28">
        <v>17</v>
      </c>
      <c r="H318" s="26">
        <v>104844</v>
      </c>
      <c r="I318" t="s">
        <v>490</v>
      </c>
      <c r="J318" t="s">
        <v>28</v>
      </c>
      <c r="K318" t="s">
        <v>17</v>
      </c>
      <c r="L318" t="s">
        <v>41</v>
      </c>
      <c r="M318" t="s">
        <v>1489</v>
      </c>
      <c r="N318" s="7">
        <f t="shared" si="8"/>
        <v>1258128</v>
      </c>
      <c r="O318" s="7">
        <f t="shared" si="9"/>
        <v>10484.400000000001</v>
      </c>
    </row>
    <row r="319" spans="1:15" x14ac:dyDescent="0.35">
      <c r="A319" s="5">
        <v>318</v>
      </c>
      <c r="B319" t="s">
        <v>331</v>
      </c>
      <c r="C319" t="s">
        <v>701</v>
      </c>
      <c r="D319" t="s">
        <v>1485</v>
      </c>
      <c r="E319" t="s">
        <v>14</v>
      </c>
      <c r="F319" s="1">
        <v>37738</v>
      </c>
      <c r="G319" s="28">
        <v>18</v>
      </c>
      <c r="H319" s="26">
        <v>139304</v>
      </c>
      <c r="I319" t="s">
        <v>581</v>
      </c>
      <c r="J319" t="s">
        <v>28</v>
      </c>
      <c r="K319" t="s">
        <v>17</v>
      </c>
      <c r="L319" t="s">
        <v>18</v>
      </c>
      <c r="M319" t="s">
        <v>1489</v>
      </c>
      <c r="N319" s="7">
        <f t="shared" si="8"/>
        <v>1671648</v>
      </c>
      <c r="O319" s="7">
        <f t="shared" si="9"/>
        <v>13930.400000000001</v>
      </c>
    </row>
    <row r="320" spans="1:15" x14ac:dyDescent="0.35">
      <c r="A320" s="5">
        <v>319</v>
      </c>
      <c r="B320" t="s">
        <v>177</v>
      </c>
      <c r="C320" t="s">
        <v>702</v>
      </c>
      <c r="D320" t="s">
        <v>1486</v>
      </c>
      <c r="E320" t="s">
        <v>89</v>
      </c>
      <c r="F320" s="1">
        <v>45646</v>
      </c>
      <c r="G320" s="28">
        <v>10</v>
      </c>
      <c r="H320" s="26">
        <v>140996</v>
      </c>
      <c r="I320" t="s">
        <v>703</v>
      </c>
      <c r="J320" t="s">
        <v>28</v>
      </c>
      <c r="K320" t="s">
        <v>17</v>
      </c>
      <c r="L320" t="s">
        <v>41</v>
      </c>
      <c r="M320" t="s">
        <v>1489</v>
      </c>
      <c r="N320" s="7">
        <f t="shared" si="8"/>
        <v>1691952</v>
      </c>
      <c r="O320" s="7">
        <f t="shared" si="9"/>
        <v>14099.6</v>
      </c>
    </row>
    <row r="321" spans="1:15" x14ac:dyDescent="0.35">
      <c r="A321" s="5">
        <v>320</v>
      </c>
      <c r="B321" t="s">
        <v>262</v>
      </c>
      <c r="C321" t="s">
        <v>704</v>
      </c>
      <c r="D321" t="s">
        <v>1485</v>
      </c>
      <c r="E321" t="s">
        <v>110</v>
      </c>
      <c r="F321" s="1">
        <v>40280</v>
      </c>
      <c r="G321" s="28">
        <v>11</v>
      </c>
      <c r="H321" s="26">
        <v>52430</v>
      </c>
      <c r="I321" t="s">
        <v>142</v>
      </c>
      <c r="J321" t="s">
        <v>91</v>
      </c>
      <c r="K321" t="s">
        <v>40</v>
      </c>
      <c r="L321" t="s">
        <v>112</v>
      </c>
      <c r="M321" t="s">
        <v>1490</v>
      </c>
      <c r="N321" s="7">
        <f t="shared" si="8"/>
        <v>629160</v>
      </c>
      <c r="O321" s="7">
        <f t="shared" si="9"/>
        <v>5243</v>
      </c>
    </row>
    <row r="322" spans="1:15" x14ac:dyDescent="0.35">
      <c r="A322" s="5">
        <v>321</v>
      </c>
      <c r="B322" t="s">
        <v>387</v>
      </c>
      <c r="C322" t="s">
        <v>705</v>
      </c>
      <c r="D322" t="s">
        <v>1486</v>
      </c>
      <c r="E322" t="s">
        <v>122</v>
      </c>
      <c r="F322" s="1">
        <v>37127</v>
      </c>
      <c r="G322" s="28">
        <v>20</v>
      </c>
      <c r="H322" s="26">
        <v>145284</v>
      </c>
      <c r="I322" t="s">
        <v>200</v>
      </c>
      <c r="J322" t="s">
        <v>39</v>
      </c>
      <c r="K322" t="s">
        <v>40</v>
      </c>
      <c r="L322" t="s">
        <v>123</v>
      </c>
      <c r="M322" t="s">
        <v>1490</v>
      </c>
      <c r="N322" s="7">
        <f t="shared" ref="N322:N385" si="10">H322*12</f>
        <v>1743408</v>
      </c>
      <c r="O322" s="7">
        <f t="shared" ref="O322:O385" si="11">H322*10%</f>
        <v>14528.400000000001</v>
      </c>
    </row>
    <row r="323" spans="1:15" x14ac:dyDescent="0.35">
      <c r="A323" s="5">
        <v>322</v>
      </c>
      <c r="B323" t="s">
        <v>596</v>
      </c>
      <c r="C323" t="s">
        <v>706</v>
      </c>
      <c r="D323" t="s">
        <v>1485</v>
      </c>
      <c r="E323" t="s">
        <v>14</v>
      </c>
      <c r="F323" s="1">
        <v>41585</v>
      </c>
      <c r="G323" s="28">
        <v>8</v>
      </c>
      <c r="H323" s="26">
        <v>66063</v>
      </c>
      <c r="I323" t="s">
        <v>487</v>
      </c>
      <c r="J323" t="s">
        <v>16</v>
      </c>
      <c r="K323" t="s">
        <v>17</v>
      </c>
      <c r="L323" t="s">
        <v>18</v>
      </c>
      <c r="M323" t="s">
        <v>1490</v>
      </c>
      <c r="N323" s="7">
        <f t="shared" si="10"/>
        <v>792756</v>
      </c>
      <c r="O323" s="7">
        <f t="shared" si="11"/>
        <v>6606.3</v>
      </c>
    </row>
    <row r="324" spans="1:15" x14ac:dyDescent="0.35">
      <c r="A324" s="5">
        <v>323</v>
      </c>
      <c r="B324" t="s">
        <v>421</v>
      </c>
      <c r="C324" t="s">
        <v>707</v>
      </c>
      <c r="D324" t="s">
        <v>1485</v>
      </c>
      <c r="E324" t="s">
        <v>94</v>
      </c>
      <c r="F324" s="1">
        <v>39548</v>
      </c>
      <c r="G324" s="28">
        <v>13</v>
      </c>
      <c r="H324" s="26">
        <v>134422</v>
      </c>
      <c r="I324" t="s">
        <v>209</v>
      </c>
      <c r="J324" t="s">
        <v>55</v>
      </c>
      <c r="K324" t="s">
        <v>17</v>
      </c>
      <c r="L324" t="s">
        <v>18</v>
      </c>
      <c r="M324" t="s">
        <v>1490</v>
      </c>
      <c r="N324" s="7">
        <f t="shared" si="10"/>
        <v>1613064</v>
      </c>
      <c r="O324" s="7">
        <f t="shared" si="11"/>
        <v>13442.2</v>
      </c>
    </row>
    <row r="325" spans="1:15" x14ac:dyDescent="0.35">
      <c r="A325" s="5">
        <v>324</v>
      </c>
      <c r="B325" t="s">
        <v>530</v>
      </c>
      <c r="C325" t="s">
        <v>708</v>
      </c>
      <c r="D325" t="s">
        <v>1486</v>
      </c>
      <c r="E325" t="s">
        <v>14</v>
      </c>
      <c r="F325" s="1">
        <v>45796</v>
      </c>
      <c r="G325" s="28">
        <v>9</v>
      </c>
      <c r="H325" s="26">
        <v>106229</v>
      </c>
      <c r="I325" t="s">
        <v>709</v>
      </c>
      <c r="J325" t="s">
        <v>55</v>
      </c>
      <c r="K325" t="s">
        <v>17</v>
      </c>
      <c r="L325" t="s">
        <v>18</v>
      </c>
      <c r="M325" t="s">
        <v>1490</v>
      </c>
      <c r="N325" s="7">
        <f t="shared" si="10"/>
        <v>1274748</v>
      </c>
      <c r="O325" s="7">
        <f t="shared" si="11"/>
        <v>10622.900000000001</v>
      </c>
    </row>
    <row r="326" spans="1:15" x14ac:dyDescent="0.35">
      <c r="A326" s="5">
        <v>325</v>
      </c>
      <c r="B326" t="s">
        <v>710</v>
      </c>
      <c r="C326" t="s">
        <v>711</v>
      </c>
      <c r="D326" t="s">
        <v>1486</v>
      </c>
      <c r="E326" t="s">
        <v>69</v>
      </c>
      <c r="F326" s="1">
        <v>45790</v>
      </c>
      <c r="G326" s="28">
        <v>9</v>
      </c>
      <c r="H326" s="26">
        <v>107727</v>
      </c>
      <c r="I326" t="s">
        <v>598</v>
      </c>
      <c r="J326" t="s">
        <v>16</v>
      </c>
      <c r="K326" t="s">
        <v>17</v>
      </c>
      <c r="L326" t="s">
        <v>41</v>
      </c>
      <c r="M326" t="s">
        <v>1490</v>
      </c>
      <c r="N326" s="7">
        <f t="shared" si="10"/>
        <v>1292724</v>
      </c>
      <c r="O326" s="7">
        <f t="shared" si="11"/>
        <v>10772.7</v>
      </c>
    </row>
    <row r="327" spans="1:15" x14ac:dyDescent="0.35">
      <c r="A327" s="5">
        <v>326</v>
      </c>
      <c r="B327" t="s">
        <v>316</v>
      </c>
      <c r="C327" t="s">
        <v>712</v>
      </c>
      <c r="D327" t="s">
        <v>1486</v>
      </c>
      <c r="E327" t="s">
        <v>32</v>
      </c>
      <c r="F327" s="1">
        <v>44177</v>
      </c>
      <c r="G327" s="28">
        <v>14</v>
      </c>
      <c r="H327" s="26">
        <v>130188</v>
      </c>
      <c r="I327" t="s">
        <v>472</v>
      </c>
      <c r="J327" t="s">
        <v>28</v>
      </c>
      <c r="K327" t="s">
        <v>17</v>
      </c>
      <c r="L327" t="s">
        <v>34</v>
      </c>
      <c r="M327" t="s">
        <v>1490</v>
      </c>
      <c r="N327" s="7">
        <f t="shared" si="10"/>
        <v>1562256</v>
      </c>
      <c r="O327" s="7">
        <f t="shared" si="11"/>
        <v>13018.800000000001</v>
      </c>
    </row>
    <row r="328" spans="1:15" x14ac:dyDescent="0.35">
      <c r="A328" s="5">
        <v>327</v>
      </c>
      <c r="B328" t="s">
        <v>667</v>
      </c>
      <c r="C328" t="s">
        <v>713</v>
      </c>
      <c r="D328" t="s">
        <v>1485</v>
      </c>
      <c r="E328" t="s">
        <v>26</v>
      </c>
      <c r="F328" s="1">
        <v>37533</v>
      </c>
      <c r="G328" s="28">
        <v>19</v>
      </c>
      <c r="H328" s="26">
        <v>140194</v>
      </c>
      <c r="I328" t="s">
        <v>86</v>
      </c>
      <c r="J328" t="s">
        <v>91</v>
      </c>
      <c r="K328" t="s">
        <v>40</v>
      </c>
      <c r="L328" t="s">
        <v>29</v>
      </c>
      <c r="M328" t="s">
        <v>1490</v>
      </c>
      <c r="N328" s="7">
        <f t="shared" si="10"/>
        <v>1682328</v>
      </c>
      <c r="O328" s="7">
        <f t="shared" si="11"/>
        <v>14019.400000000001</v>
      </c>
    </row>
    <row r="329" spans="1:15" x14ac:dyDescent="0.35">
      <c r="A329" s="5">
        <v>328</v>
      </c>
      <c r="B329" t="s">
        <v>544</v>
      </c>
      <c r="C329" t="s">
        <v>714</v>
      </c>
      <c r="D329" t="s">
        <v>1486</v>
      </c>
      <c r="E329" t="s">
        <v>14</v>
      </c>
      <c r="F329" s="1">
        <v>38358</v>
      </c>
      <c r="G329" s="28">
        <v>16</v>
      </c>
      <c r="H329" s="26">
        <v>58719</v>
      </c>
      <c r="I329" t="s">
        <v>715</v>
      </c>
      <c r="J329" t="s">
        <v>55</v>
      </c>
      <c r="K329" t="s">
        <v>17</v>
      </c>
      <c r="L329" t="s">
        <v>18</v>
      </c>
      <c r="M329" t="s">
        <v>1490</v>
      </c>
      <c r="N329" s="7">
        <f t="shared" si="10"/>
        <v>704628</v>
      </c>
      <c r="O329" s="7">
        <f t="shared" si="11"/>
        <v>5871.9000000000005</v>
      </c>
    </row>
    <row r="330" spans="1:15" x14ac:dyDescent="0.35">
      <c r="A330" s="5">
        <v>329</v>
      </c>
      <c r="B330" t="s">
        <v>682</v>
      </c>
      <c r="C330" t="s">
        <v>716</v>
      </c>
      <c r="D330" t="s">
        <v>1486</v>
      </c>
      <c r="E330" t="s">
        <v>312</v>
      </c>
      <c r="F330" s="1">
        <v>38195</v>
      </c>
      <c r="G330" s="28">
        <v>17</v>
      </c>
      <c r="H330" s="26">
        <v>86803</v>
      </c>
      <c r="I330" t="s">
        <v>717</v>
      </c>
      <c r="J330" t="s">
        <v>55</v>
      </c>
      <c r="K330" t="s">
        <v>17</v>
      </c>
      <c r="L330" t="s">
        <v>41</v>
      </c>
      <c r="M330" t="s">
        <v>1490</v>
      </c>
      <c r="N330" s="7">
        <f t="shared" si="10"/>
        <v>1041636</v>
      </c>
      <c r="O330" s="7">
        <f t="shared" si="11"/>
        <v>8680.3000000000011</v>
      </c>
    </row>
    <row r="331" spans="1:15" x14ac:dyDescent="0.35">
      <c r="A331" s="5">
        <v>330</v>
      </c>
      <c r="B331" t="s">
        <v>718</v>
      </c>
      <c r="C331" t="s">
        <v>719</v>
      </c>
      <c r="D331" t="s">
        <v>1485</v>
      </c>
      <c r="E331" t="s">
        <v>100</v>
      </c>
      <c r="F331" s="1">
        <v>40352</v>
      </c>
      <c r="G331" s="28">
        <v>11</v>
      </c>
      <c r="H331" s="26">
        <v>68334</v>
      </c>
      <c r="I331" t="s">
        <v>441</v>
      </c>
      <c r="J331" t="s">
        <v>39</v>
      </c>
      <c r="K331" t="s">
        <v>40</v>
      </c>
      <c r="L331" t="s">
        <v>29</v>
      </c>
      <c r="M331" t="s">
        <v>1490</v>
      </c>
      <c r="N331" s="7">
        <f t="shared" si="10"/>
        <v>820008</v>
      </c>
      <c r="O331" s="7">
        <f t="shared" si="11"/>
        <v>6833.4000000000005</v>
      </c>
    </row>
    <row r="332" spans="1:15" x14ac:dyDescent="0.35">
      <c r="A332" s="5">
        <v>331</v>
      </c>
      <c r="B332" t="s">
        <v>720</v>
      </c>
      <c r="C332" t="s">
        <v>721</v>
      </c>
      <c r="D332" t="s">
        <v>1486</v>
      </c>
      <c r="E332" t="s">
        <v>21</v>
      </c>
      <c r="F332" s="1">
        <v>44553</v>
      </c>
      <c r="G332" s="28">
        <v>13</v>
      </c>
      <c r="H332" s="26">
        <v>91906</v>
      </c>
      <c r="I332" t="s">
        <v>613</v>
      </c>
      <c r="J332" t="s">
        <v>55</v>
      </c>
      <c r="K332" t="s">
        <v>17</v>
      </c>
      <c r="L332" t="s">
        <v>23</v>
      </c>
      <c r="M332" t="s">
        <v>1489</v>
      </c>
      <c r="N332" s="7">
        <f t="shared" si="10"/>
        <v>1102872</v>
      </c>
      <c r="O332" s="7">
        <f t="shared" si="11"/>
        <v>9190.6</v>
      </c>
    </row>
    <row r="333" spans="1:15" x14ac:dyDescent="0.35">
      <c r="A333" s="5">
        <v>332</v>
      </c>
      <c r="B333" t="s">
        <v>722</v>
      </c>
      <c r="C333" t="s">
        <v>723</v>
      </c>
      <c r="D333" t="s">
        <v>1486</v>
      </c>
      <c r="E333" t="s">
        <v>79</v>
      </c>
      <c r="F333" s="1">
        <v>39071</v>
      </c>
      <c r="G333" s="28">
        <v>15</v>
      </c>
      <c r="H333" s="26">
        <v>48064</v>
      </c>
      <c r="I333" t="s">
        <v>724</v>
      </c>
      <c r="J333" t="s">
        <v>91</v>
      </c>
      <c r="K333" t="s">
        <v>40</v>
      </c>
      <c r="L333" t="s">
        <v>41</v>
      </c>
      <c r="M333" t="s">
        <v>1489</v>
      </c>
      <c r="N333" s="7">
        <f t="shared" si="10"/>
        <v>576768</v>
      </c>
      <c r="O333" s="7">
        <f t="shared" si="11"/>
        <v>4806.4000000000005</v>
      </c>
    </row>
    <row r="334" spans="1:15" x14ac:dyDescent="0.35">
      <c r="A334" s="5">
        <v>333</v>
      </c>
      <c r="B334" t="s">
        <v>722</v>
      </c>
      <c r="C334" t="s">
        <v>725</v>
      </c>
      <c r="D334" t="s">
        <v>1485</v>
      </c>
      <c r="E334" t="s">
        <v>100</v>
      </c>
      <c r="F334" s="1">
        <v>38168</v>
      </c>
      <c r="G334" s="28">
        <v>17</v>
      </c>
      <c r="H334" s="26">
        <v>75281</v>
      </c>
      <c r="I334" t="s">
        <v>70</v>
      </c>
      <c r="J334" t="s">
        <v>39</v>
      </c>
      <c r="K334" t="s">
        <v>40</v>
      </c>
      <c r="L334" t="s">
        <v>29</v>
      </c>
      <c r="M334" t="s">
        <v>1489</v>
      </c>
      <c r="N334" s="7">
        <f t="shared" si="10"/>
        <v>903372</v>
      </c>
      <c r="O334" s="7">
        <f t="shared" si="11"/>
        <v>7528.1</v>
      </c>
    </row>
    <row r="335" spans="1:15" x14ac:dyDescent="0.35">
      <c r="A335" s="5">
        <v>334</v>
      </c>
      <c r="B335" t="s">
        <v>224</v>
      </c>
      <c r="C335" t="s">
        <v>726</v>
      </c>
      <c r="D335" t="s">
        <v>1485</v>
      </c>
      <c r="E335" t="s">
        <v>100</v>
      </c>
      <c r="F335" s="1">
        <v>39896</v>
      </c>
      <c r="G335" s="28">
        <v>12</v>
      </c>
      <c r="H335" s="26">
        <v>91659</v>
      </c>
      <c r="I335" t="s">
        <v>196</v>
      </c>
      <c r="J335" t="s">
        <v>55</v>
      </c>
      <c r="K335" t="s">
        <v>17</v>
      </c>
      <c r="L335" t="s">
        <v>29</v>
      </c>
      <c r="M335" t="s">
        <v>1489</v>
      </c>
      <c r="N335" s="7">
        <f t="shared" si="10"/>
        <v>1099908</v>
      </c>
      <c r="O335" s="7">
        <f t="shared" si="11"/>
        <v>9165.9</v>
      </c>
    </row>
    <row r="336" spans="1:15" x14ac:dyDescent="0.35">
      <c r="A336" s="5">
        <v>335</v>
      </c>
      <c r="B336" t="s">
        <v>262</v>
      </c>
      <c r="C336" t="s">
        <v>727</v>
      </c>
      <c r="D336" t="s">
        <v>1486</v>
      </c>
      <c r="E336" t="s">
        <v>21</v>
      </c>
      <c r="F336" s="1">
        <v>37167</v>
      </c>
      <c r="G336" s="28">
        <v>20</v>
      </c>
      <c r="H336" s="26">
        <v>52792</v>
      </c>
      <c r="I336" t="s">
        <v>386</v>
      </c>
      <c r="J336" t="s">
        <v>16</v>
      </c>
      <c r="K336" t="s">
        <v>17</v>
      </c>
      <c r="L336" t="s">
        <v>23</v>
      </c>
      <c r="M336" t="s">
        <v>1489</v>
      </c>
      <c r="N336" s="7">
        <f t="shared" si="10"/>
        <v>633504</v>
      </c>
      <c r="O336" s="7">
        <f t="shared" si="11"/>
        <v>5279.2000000000007</v>
      </c>
    </row>
    <row r="337" spans="1:15" x14ac:dyDescent="0.35">
      <c r="A337" s="5">
        <v>336</v>
      </c>
      <c r="B337" t="s">
        <v>728</v>
      </c>
      <c r="C337" t="s">
        <v>729</v>
      </c>
      <c r="D337" t="s">
        <v>1486</v>
      </c>
      <c r="E337" t="s">
        <v>89</v>
      </c>
      <c r="F337" s="1">
        <v>37133</v>
      </c>
      <c r="G337" s="28">
        <v>20</v>
      </c>
      <c r="H337" s="26">
        <v>40415</v>
      </c>
      <c r="I337" t="s">
        <v>613</v>
      </c>
      <c r="J337" t="s">
        <v>55</v>
      </c>
      <c r="K337" t="s">
        <v>17</v>
      </c>
      <c r="L337" t="s">
        <v>41</v>
      </c>
      <c r="M337" t="s">
        <v>1489</v>
      </c>
      <c r="N337" s="7">
        <f t="shared" si="10"/>
        <v>484980</v>
      </c>
      <c r="O337" s="7">
        <f t="shared" si="11"/>
        <v>4041.5</v>
      </c>
    </row>
    <row r="338" spans="1:15" x14ac:dyDescent="0.35">
      <c r="A338" s="5">
        <v>337</v>
      </c>
      <c r="B338" t="s">
        <v>572</v>
      </c>
      <c r="C338" t="s">
        <v>730</v>
      </c>
      <c r="D338" t="s">
        <v>1485</v>
      </c>
      <c r="E338" t="s">
        <v>61</v>
      </c>
      <c r="F338" s="1">
        <v>39615</v>
      </c>
      <c r="G338" s="28">
        <v>13</v>
      </c>
      <c r="H338" s="26">
        <v>83256</v>
      </c>
      <c r="I338" t="s">
        <v>181</v>
      </c>
      <c r="J338" t="s">
        <v>91</v>
      </c>
      <c r="K338" t="s">
        <v>40</v>
      </c>
      <c r="L338" t="s">
        <v>63</v>
      </c>
      <c r="M338" t="s">
        <v>1489</v>
      </c>
      <c r="N338" s="7">
        <f t="shared" si="10"/>
        <v>999072</v>
      </c>
      <c r="O338" s="7">
        <f t="shared" si="11"/>
        <v>8325.6</v>
      </c>
    </row>
    <row r="339" spans="1:15" x14ac:dyDescent="0.35">
      <c r="A339" s="5">
        <v>338</v>
      </c>
      <c r="B339" t="s">
        <v>731</v>
      </c>
      <c r="C339" t="s">
        <v>732</v>
      </c>
      <c r="D339" t="s">
        <v>1486</v>
      </c>
      <c r="E339" t="s">
        <v>94</v>
      </c>
      <c r="F339" s="1">
        <v>46021</v>
      </c>
      <c r="G339" s="28">
        <v>9</v>
      </c>
      <c r="H339" s="26">
        <v>145181</v>
      </c>
      <c r="I339" t="s">
        <v>733</v>
      </c>
      <c r="J339" t="s">
        <v>46</v>
      </c>
      <c r="K339" t="s">
        <v>17</v>
      </c>
      <c r="L339" t="s">
        <v>18</v>
      </c>
      <c r="M339" t="s">
        <v>1489</v>
      </c>
      <c r="N339" s="7">
        <f t="shared" si="10"/>
        <v>1742172</v>
      </c>
      <c r="O339" s="7">
        <f t="shared" si="11"/>
        <v>14518.1</v>
      </c>
    </row>
    <row r="340" spans="1:15" x14ac:dyDescent="0.35">
      <c r="A340" s="5">
        <v>339</v>
      </c>
      <c r="B340" t="s">
        <v>720</v>
      </c>
      <c r="C340" t="s">
        <v>734</v>
      </c>
      <c r="D340" t="s">
        <v>1486</v>
      </c>
      <c r="E340" t="s">
        <v>32</v>
      </c>
      <c r="F340" s="1">
        <v>38191</v>
      </c>
      <c r="G340" s="28">
        <v>17</v>
      </c>
      <c r="H340" s="26">
        <v>78294</v>
      </c>
      <c r="I340" t="s">
        <v>101</v>
      </c>
      <c r="J340" t="s">
        <v>55</v>
      </c>
      <c r="K340" t="s">
        <v>17</v>
      </c>
      <c r="L340" t="s">
        <v>34</v>
      </c>
      <c r="M340" t="s">
        <v>1489</v>
      </c>
      <c r="N340" s="7">
        <f t="shared" si="10"/>
        <v>939528</v>
      </c>
      <c r="O340" s="7">
        <f t="shared" si="11"/>
        <v>7829.4000000000005</v>
      </c>
    </row>
    <row r="341" spans="1:15" x14ac:dyDescent="0.35">
      <c r="A341" s="5">
        <v>340</v>
      </c>
      <c r="B341" t="s">
        <v>268</v>
      </c>
      <c r="C341" t="s">
        <v>735</v>
      </c>
      <c r="D341" t="s">
        <v>1485</v>
      </c>
      <c r="E341" t="s">
        <v>94</v>
      </c>
      <c r="F341" s="1">
        <v>39266</v>
      </c>
      <c r="G341" s="28">
        <v>14</v>
      </c>
      <c r="H341" s="26">
        <v>90120</v>
      </c>
      <c r="I341" t="s">
        <v>736</v>
      </c>
      <c r="J341" t="s">
        <v>16</v>
      </c>
      <c r="K341" t="s">
        <v>17</v>
      </c>
      <c r="L341" t="s">
        <v>18</v>
      </c>
      <c r="M341" t="s">
        <v>1489</v>
      </c>
      <c r="N341" s="7">
        <f t="shared" si="10"/>
        <v>1081440</v>
      </c>
      <c r="O341" s="7">
        <f t="shared" si="11"/>
        <v>9012</v>
      </c>
    </row>
    <row r="342" spans="1:15" x14ac:dyDescent="0.35">
      <c r="A342" s="5">
        <v>341</v>
      </c>
      <c r="B342" t="s">
        <v>35</v>
      </c>
      <c r="C342" t="s">
        <v>737</v>
      </c>
      <c r="D342" t="s">
        <v>1485</v>
      </c>
      <c r="E342" t="s">
        <v>89</v>
      </c>
      <c r="F342" s="1">
        <v>39715</v>
      </c>
      <c r="G342" s="28">
        <v>13</v>
      </c>
      <c r="H342" s="26">
        <v>80284</v>
      </c>
      <c r="I342" t="s">
        <v>196</v>
      </c>
      <c r="J342" t="s">
        <v>28</v>
      </c>
      <c r="K342" t="s">
        <v>17</v>
      </c>
      <c r="L342" t="s">
        <v>41</v>
      </c>
      <c r="M342" t="s">
        <v>1489</v>
      </c>
      <c r="N342" s="7">
        <f t="shared" si="10"/>
        <v>963408</v>
      </c>
      <c r="O342" s="7">
        <f t="shared" si="11"/>
        <v>8028.4000000000005</v>
      </c>
    </row>
    <row r="343" spans="1:15" x14ac:dyDescent="0.35">
      <c r="A343" s="5">
        <v>342</v>
      </c>
      <c r="B343" t="s">
        <v>416</v>
      </c>
      <c r="C343" t="s">
        <v>738</v>
      </c>
      <c r="D343" t="s">
        <v>1486</v>
      </c>
      <c r="E343" t="s">
        <v>312</v>
      </c>
      <c r="F343" s="1">
        <v>44768</v>
      </c>
      <c r="G343" s="28">
        <v>12</v>
      </c>
      <c r="H343" s="26">
        <v>85511</v>
      </c>
      <c r="I343" t="s">
        <v>115</v>
      </c>
      <c r="J343" t="s">
        <v>91</v>
      </c>
      <c r="K343" t="s">
        <v>40</v>
      </c>
      <c r="L343" t="s">
        <v>41</v>
      </c>
      <c r="M343" t="s">
        <v>1489</v>
      </c>
      <c r="N343" s="7">
        <f t="shared" si="10"/>
        <v>1026132</v>
      </c>
      <c r="O343" s="7">
        <f t="shared" si="11"/>
        <v>8551.1</v>
      </c>
    </row>
    <row r="344" spans="1:15" x14ac:dyDescent="0.35">
      <c r="A344" s="5">
        <v>343</v>
      </c>
      <c r="B344" t="s">
        <v>652</v>
      </c>
      <c r="C344" t="s">
        <v>739</v>
      </c>
      <c r="D344" t="s">
        <v>1486</v>
      </c>
      <c r="E344" t="s">
        <v>53</v>
      </c>
      <c r="F344" s="1">
        <v>44360</v>
      </c>
      <c r="G344" s="28">
        <v>13</v>
      </c>
      <c r="H344" s="26">
        <v>40138</v>
      </c>
      <c r="I344" t="s">
        <v>149</v>
      </c>
      <c r="J344" t="s">
        <v>50</v>
      </c>
      <c r="K344" t="s">
        <v>40</v>
      </c>
      <c r="L344" t="s">
        <v>23</v>
      </c>
      <c r="M344" t="s">
        <v>1489</v>
      </c>
      <c r="N344" s="7">
        <f t="shared" si="10"/>
        <v>481656</v>
      </c>
      <c r="O344" s="7">
        <f t="shared" si="11"/>
        <v>4013.8</v>
      </c>
    </row>
    <row r="345" spans="1:15" x14ac:dyDescent="0.35">
      <c r="A345" s="5">
        <v>344</v>
      </c>
      <c r="B345" t="s">
        <v>118</v>
      </c>
      <c r="C345" t="s">
        <v>740</v>
      </c>
      <c r="D345" t="s">
        <v>1485</v>
      </c>
      <c r="E345" t="s">
        <v>122</v>
      </c>
      <c r="F345" s="1">
        <v>40346</v>
      </c>
      <c r="G345" s="28">
        <v>11</v>
      </c>
      <c r="H345" s="26">
        <v>42714</v>
      </c>
      <c r="I345" t="s">
        <v>169</v>
      </c>
      <c r="J345" t="s">
        <v>39</v>
      </c>
      <c r="K345" t="s">
        <v>40</v>
      </c>
      <c r="L345" t="s">
        <v>123</v>
      </c>
      <c r="M345" t="s">
        <v>1489</v>
      </c>
      <c r="N345" s="7">
        <f t="shared" si="10"/>
        <v>512568</v>
      </c>
      <c r="O345" s="7">
        <f t="shared" si="11"/>
        <v>4271.4000000000005</v>
      </c>
    </row>
    <row r="346" spans="1:15" x14ac:dyDescent="0.35">
      <c r="A346" s="5">
        <v>345</v>
      </c>
      <c r="B346" t="s">
        <v>741</v>
      </c>
      <c r="C346" t="s">
        <v>742</v>
      </c>
      <c r="D346" t="s">
        <v>1485</v>
      </c>
      <c r="E346" t="s">
        <v>238</v>
      </c>
      <c r="F346" s="1">
        <v>38524</v>
      </c>
      <c r="G346" s="28">
        <v>16</v>
      </c>
      <c r="H346" s="26">
        <v>65767</v>
      </c>
      <c r="I346" t="s">
        <v>743</v>
      </c>
      <c r="J346" t="s">
        <v>55</v>
      </c>
      <c r="K346" t="s">
        <v>17</v>
      </c>
      <c r="L346" t="s">
        <v>63</v>
      </c>
      <c r="M346" t="s">
        <v>1489</v>
      </c>
      <c r="N346" s="7">
        <f t="shared" si="10"/>
        <v>789204</v>
      </c>
      <c r="O346" s="7">
        <f t="shared" si="11"/>
        <v>6576.7000000000007</v>
      </c>
    </row>
    <row r="347" spans="1:15" x14ac:dyDescent="0.35">
      <c r="A347" s="5">
        <v>346</v>
      </c>
      <c r="B347" t="s">
        <v>296</v>
      </c>
      <c r="C347" t="s">
        <v>744</v>
      </c>
      <c r="D347" t="s">
        <v>1486</v>
      </c>
      <c r="E347" t="s">
        <v>85</v>
      </c>
      <c r="F347" s="1">
        <v>46066</v>
      </c>
      <c r="G347" s="28">
        <v>8</v>
      </c>
      <c r="H347" s="26">
        <v>149351</v>
      </c>
      <c r="I347" t="s">
        <v>186</v>
      </c>
      <c r="J347" t="s">
        <v>39</v>
      </c>
      <c r="K347" t="s">
        <v>40</v>
      </c>
      <c r="L347" t="s">
        <v>41</v>
      </c>
      <c r="M347" t="s">
        <v>1489</v>
      </c>
      <c r="N347" s="7">
        <f t="shared" si="10"/>
        <v>1792212</v>
      </c>
      <c r="O347" s="7">
        <f t="shared" si="11"/>
        <v>14935.1</v>
      </c>
    </row>
    <row r="348" spans="1:15" x14ac:dyDescent="0.35">
      <c r="A348" s="5">
        <v>347</v>
      </c>
      <c r="B348" t="s">
        <v>745</v>
      </c>
      <c r="C348" t="s">
        <v>746</v>
      </c>
      <c r="D348" t="s">
        <v>1486</v>
      </c>
      <c r="E348" t="s">
        <v>44</v>
      </c>
      <c r="F348" s="1">
        <v>45660</v>
      </c>
      <c r="G348" s="28">
        <v>9</v>
      </c>
      <c r="H348" s="26">
        <v>88470</v>
      </c>
      <c r="I348" t="s">
        <v>360</v>
      </c>
      <c r="J348" t="s">
        <v>46</v>
      </c>
      <c r="K348" t="s">
        <v>17</v>
      </c>
      <c r="L348" t="s">
        <v>29</v>
      </c>
      <c r="M348" t="s">
        <v>1489</v>
      </c>
      <c r="N348" s="7">
        <f t="shared" si="10"/>
        <v>1061640</v>
      </c>
      <c r="O348" s="7">
        <f t="shared" si="11"/>
        <v>8847</v>
      </c>
    </row>
    <row r="349" spans="1:15" x14ac:dyDescent="0.35">
      <c r="A349" s="5">
        <v>348</v>
      </c>
      <c r="B349" t="s">
        <v>279</v>
      </c>
      <c r="C349" t="s">
        <v>747</v>
      </c>
      <c r="D349" t="s">
        <v>1486</v>
      </c>
      <c r="E349" t="s">
        <v>94</v>
      </c>
      <c r="F349" s="1">
        <v>44891</v>
      </c>
      <c r="G349" s="28">
        <v>12</v>
      </c>
      <c r="H349" s="26">
        <v>90317</v>
      </c>
      <c r="I349" t="s">
        <v>632</v>
      </c>
      <c r="J349" t="s">
        <v>55</v>
      </c>
      <c r="K349" t="s">
        <v>17</v>
      </c>
      <c r="L349" t="s">
        <v>18</v>
      </c>
      <c r="M349" t="s">
        <v>1489</v>
      </c>
      <c r="N349" s="7">
        <f t="shared" si="10"/>
        <v>1083804</v>
      </c>
      <c r="O349" s="7">
        <f t="shared" si="11"/>
        <v>9031.7000000000007</v>
      </c>
    </row>
    <row r="350" spans="1:15" x14ac:dyDescent="0.35">
      <c r="A350" s="5">
        <v>349</v>
      </c>
      <c r="B350" t="s">
        <v>177</v>
      </c>
      <c r="C350" t="s">
        <v>748</v>
      </c>
      <c r="D350" t="s">
        <v>1485</v>
      </c>
      <c r="E350" t="s">
        <v>110</v>
      </c>
      <c r="F350" s="1">
        <v>41192</v>
      </c>
      <c r="G350" s="28">
        <v>9</v>
      </c>
      <c r="H350" s="26">
        <v>142149</v>
      </c>
      <c r="I350" t="s">
        <v>74</v>
      </c>
      <c r="J350" t="s">
        <v>16</v>
      </c>
      <c r="K350" t="s">
        <v>17</v>
      </c>
      <c r="L350" t="s">
        <v>112</v>
      </c>
      <c r="M350" t="s">
        <v>1489</v>
      </c>
      <c r="N350" s="7">
        <f t="shared" si="10"/>
        <v>1705788</v>
      </c>
      <c r="O350" s="7">
        <f t="shared" si="11"/>
        <v>14214.900000000001</v>
      </c>
    </row>
    <row r="351" spans="1:15" x14ac:dyDescent="0.35">
      <c r="A351" s="5">
        <v>350</v>
      </c>
      <c r="B351" t="s">
        <v>157</v>
      </c>
      <c r="C351" t="s">
        <v>749</v>
      </c>
      <c r="D351" t="s">
        <v>1485</v>
      </c>
      <c r="E351" t="s">
        <v>94</v>
      </c>
      <c r="F351" s="1">
        <v>36667</v>
      </c>
      <c r="G351" s="28">
        <v>21</v>
      </c>
      <c r="H351" s="26">
        <v>144073</v>
      </c>
      <c r="I351" t="s">
        <v>750</v>
      </c>
      <c r="J351" t="s">
        <v>46</v>
      </c>
      <c r="K351" t="s">
        <v>17</v>
      </c>
      <c r="L351" t="s">
        <v>18</v>
      </c>
      <c r="M351" t="s">
        <v>1489</v>
      </c>
      <c r="N351" s="7">
        <f t="shared" si="10"/>
        <v>1728876</v>
      </c>
      <c r="O351" s="7">
        <f t="shared" si="11"/>
        <v>14407.300000000001</v>
      </c>
    </row>
    <row r="352" spans="1:15" x14ac:dyDescent="0.35">
      <c r="A352" s="5">
        <v>351</v>
      </c>
      <c r="B352" t="s">
        <v>608</v>
      </c>
      <c r="C352" t="s">
        <v>751</v>
      </c>
      <c r="D352" t="s">
        <v>1486</v>
      </c>
      <c r="E352" t="s">
        <v>122</v>
      </c>
      <c r="F352" s="1">
        <v>37120</v>
      </c>
      <c r="G352" s="28">
        <v>20</v>
      </c>
      <c r="H352" s="26">
        <v>54410</v>
      </c>
      <c r="I352" t="s">
        <v>752</v>
      </c>
      <c r="J352" t="s">
        <v>39</v>
      </c>
      <c r="K352" t="s">
        <v>40</v>
      </c>
      <c r="L352" t="s">
        <v>123</v>
      </c>
      <c r="M352" t="s">
        <v>1489</v>
      </c>
      <c r="N352" s="7">
        <f t="shared" si="10"/>
        <v>652920</v>
      </c>
      <c r="O352" s="7">
        <f t="shared" si="11"/>
        <v>5441</v>
      </c>
    </row>
    <row r="353" spans="1:15" x14ac:dyDescent="0.35">
      <c r="A353" s="5">
        <v>352</v>
      </c>
      <c r="B353" t="s">
        <v>508</v>
      </c>
      <c r="C353" t="s">
        <v>753</v>
      </c>
      <c r="D353" t="s">
        <v>1485</v>
      </c>
      <c r="E353" t="s">
        <v>89</v>
      </c>
      <c r="F353" s="1">
        <v>36705</v>
      </c>
      <c r="G353" s="28">
        <v>21</v>
      </c>
      <c r="H353" s="26">
        <v>107907</v>
      </c>
      <c r="I353" t="s">
        <v>22</v>
      </c>
      <c r="J353" t="s">
        <v>91</v>
      </c>
      <c r="K353" t="s">
        <v>40</v>
      </c>
      <c r="L353" t="s">
        <v>41</v>
      </c>
      <c r="M353" t="s">
        <v>1489</v>
      </c>
      <c r="N353" s="7">
        <f t="shared" si="10"/>
        <v>1294884</v>
      </c>
      <c r="O353" s="7">
        <f t="shared" si="11"/>
        <v>10790.7</v>
      </c>
    </row>
    <row r="354" spans="1:15" x14ac:dyDescent="0.35">
      <c r="A354" s="5">
        <v>353</v>
      </c>
      <c r="B354" t="s">
        <v>569</v>
      </c>
      <c r="C354" t="s">
        <v>754</v>
      </c>
      <c r="D354" t="s">
        <v>1486</v>
      </c>
      <c r="E354" t="s">
        <v>89</v>
      </c>
      <c r="F354" s="1">
        <v>45117</v>
      </c>
      <c r="G354" s="28">
        <v>11</v>
      </c>
      <c r="H354" s="26">
        <v>91249</v>
      </c>
      <c r="I354" t="s">
        <v>214</v>
      </c>
      <c r="J354" t="s">
        <v>16</v>
      </c>
      <c r="K354" t="s">
        <v>17</v>
      </c>
      <c r="L354" t="s">
        <v>41</v>
      </c>
      <c r="M354" t="s">
        <v>1489</v>
      </c>
      <c r="N354" s="7">
        <f t="shared" si="10"/>
        <v>1094988</v>
      </c>
      <c r="O354" s="7">
        <f t="shared" si="11"/>
        <v>9124.9</v>
      </c>
    </row>
    <row r="355" spans="1:15" x14ac:dyDescent="0.35">
      <c r="A355" s="5">
        <v>354</v>
      </c>
      <c r="B355" t="s">
        <v>720</v>
      </c>
      <c r="C355" t="s">
        <v>755</v>
      </c>
      <c r="D355" t="s">
        <v>1485</v>
      </c>
      <c r="E355" t="s">
        <v>148</v>
      </c>
      <c r="F355" s="1">
        <v>38706</v>
      </c>
      <c r="G355" s="28">
        <v>16</v>
      </c>
      <c r="H355" s="26">
        <v>78478</v>
      </c>
      <c r="I355" t="s">
        <v>74</v>
      </c>
      <c r="J355" t="s">
        <v>91</v>
      </c>
      <c r="K355" t="s">
        <v>40</v>
      </c>
      <c r="L355" t="s">
        <v>112</v>
      </c>
      <c r="M355" t="s">
        <v>1489</v>
      </c>
      <c r="N355" s="7">
        <f t="shared" si="10"/>
        <v>941736</v>
      </c>
      <c r="O355" s="7">
        <f t="shared" si="11"/>
        <v>7847.8</v>
      </c>
    </row>
    <row r="356" spans="1:15" x14ac:dyDescent="0.35">
      <c r="A356" s="5">
        <v>355</v>
      </c>
      <c r="B356" t="s">
        <v>30</v>
      </c>
      <c r="C356" t="s">
        <v>756</v>
      </c>
      <c r="D356" t="s">
        <v>1485</v>
      </c>
      <c r="E356" t="s">
        <v>21</v>
      </c>
      <c r="F356" s="1">
        <v>38540</v>
      </c>
      <c r="G356" s="28">
        <v>16</v>
      </c>
      <c r="H356" s="26">
        <v>48812</v>
      </c>
      <c r="I356" t="s">
        <v>664</v>
      </c>
      <c r="J356" t="s">
        <v>39</v>
      </c>
      <c r="K356" t="s">
        <v>40</v>
      </c>
      <c r="L356" t="s">
        <v>23</v>
      </c>
      <c r="M356" t="s">
        <v>1489</v>
      </c>
      <c r="N356" s="7">
        <f t="shared" si="10"/>
        <v>585744</v>
      </c>
      <c r="O356" s="7">
        <f t="shared" si="11"/>
        <v>4881.2</v>
      </c>
    </row>
    <row r="357" spans="1:15" x14ac:dyDescent="0.35">
      <c r="A357" s="5">
        <v>356</v>
      </c>
      <c r="B357" t="s">
        <v>113</v>
      </c>
      <c r="C357" t="s">
        <v>757</v>
      </c>
      <c r="D357" t="s">
        <v>1486</v>
      </c>
      <c r="E357" t="s">
        <v>37</v>
      </c>
      <c r="F357" s="1">
        <v>36643</v>
      </c>
      <c r="G357" s="28">
        <v>21</v>
      </c>
      <c r="H357" s="26">
        <v>147440</v>
      </c>
      <c r="I357" t="s">
        <v>58</v>
      </c>
      <c r="J357" t="s">
        <v>16</v>
      </c>
      <c r="K357" t="s">
        <v>17</v>
      </c>
      <c r="L357" t="s">
        <v>41</v>
      </c>
      <c r="M357" t="s">
        <v>1489</v>
      </c>
      <c r="N357" s="7">
        <f t="shared" si="10"/>
        <v>1769280</v>
      </c>
      <c r="O357" s="7">
        <f t="shared" si="11"/>
        <v>14744</v>
      </c>
    </row>
    <row r="358" spans="1:15" x14ac:dyDescent="0.35">
      <c r="A358" s="5">
        <v>357</v>
      </c>
      <c r="B358" t="s">
        <v>457</v>
      </c>
      <c r="C358" t="s">
        <v>758</v>
      </c>
      <c r="D358" t="s">
        <v>1485</v>
      </c>
      <c r="E358" t="s">
        <v>148</v>
      </c>
      <c r="F358" s="1">
        <v>37759</v>
      </c>
      <c r="G358" s="28">
        <v>18</v>
      </c>
      <c r="H358" s="26">
        <v>87978</v>
      </c>
      <c r="I358" t="s">
        <v>247</v>
      </c>
      <c r="J358" t="s">
        <v>46</v>
      </c>
      <c r="K358" t="s">
        <v>17</v>
      </c>
      <c r="L358" t="s">
        <v>112</v>
      </c>
      <c r="M358" t="s">
        <v>1489</v>
      </c>
      <c r="N358" s="7">
        <f t="shared" si="10"/>
        <v>1055736</v>
      </c>
      <c r="O358" s="7">
        <f t="shared" si="11"/>
        <v>8797.8000000000011</v>
      </c>
    </row>
    <row r="359" spans="1:15" x14ac:dyDescent="0.35">
      <c r="A359" s="5">
        <v>358</v>
      </c>
      <c r="B359" t="s">
        <v>392</v>
      </c>
      <c r="C359" t="s">
        <v>759</v>
      </c>
      <c r="D359" t="s">
        <v>1485</v>
      </c>
      <c r="E359" t="s">
        <v>26</v>
      </c>
      <c r="F359" s="1">
        <v>37424</v>
      </c>
      <c r="G359" s="28">
        <v>19</v>
      </c>
      <c r="H359" s="26">
        <v>67800</v>
      </c>
      <c r="I359" t="s">
        <v>33</v>
      </c>
      <c r="J359" t="s">
        <v>16</v>
      </c>
      <c r="K359" t="s">
        <v>17</v>
      </c>
      <c r="L359" t="s">
        <v>29</v>
      </c>
      <c r="M359" t="s">
        <v>1489</v>
      </c>
      <c r="N359" s="7">
        <f t="shared" si="10"/>
        <v>813600</v>
      </c>
      <c r="O359" s="7">
        <f t="shared" si="11"/>
        <v>6780</v>
      </c>
    </row>
    <row r="360" spans="1:15" x14ac:dyDescent="0.35">
      <c r="A360" s="5">
        <v>359</v>
      </c>
      <c r="B360" t="s">
        <v>564</v>
      </c>
      <c r="C360" t="s">
        <v>760</v>
      </c>
      <c r="D360" t="s">
        <v>1485</v>
      </c>
      <c r="E360" t="s">
        <v>73</v>
      </c>
      <c r="F360" s="1">
        <v>40312</v>
      </c>
      <c r="G360" s="28">
        <v>11</v>
      </c>
      <c r="H360" s="26">
        <v>42944</v>
      </c>
      <c r="I360" t="s">
        <v>220</v>
      </c>
      <c r="J360" t="s">
        <v>28</v>
      </c>
      <c r="K360" t="s">
        <v>17</v>
      </c>
      <c r="L360" t="s">
        <v>41</v>
      </c>
      <c r="M360" t="s">
        <v>1489</v>
      </c>
      <c r="N360" s="7">
        <f t="shared" si="10"/>
        <v>515328</v>
      </c>
      <c r="O360" s="7">
        <f t="shared" si="11"/>
        <v>4294.4000000000005</v>
      </c>
    </row>
    <row r="361" spans="1:15" x14ac:dyDescent="0.35">
      <c r="A361" s="5">
        <v>360</v>
      </c>
      <c r="B361" t="s">
        <v>679</v>
      </c>
      <c r="C361" t="s">
        <v>761</v>
      </c>
      <c r="D361" t="s">
        <v>1486</v>
      </c>
      <c r="E361" t="s">
        <v>26</v>
      </c>
      <c r="F361" s="1">
        <v>38186</v>
      </c>
      <c r="G361" s="28">
        <v>17</v>
      </c>
      <c r="H361" s="26">
        <v>84356</v>
      </c>
      <c r="I361" t="s">
        <v>104</v>
      </c>
      <c r="J361" t="s">
        <v>16</v>
      </c>
      <c r="K361" t="s">
        <v>17</v>
      </c>
      <c r="L361" t="s">
        <v>29</v>
      </c>
      <c r="M361" t="s">
        <v>1489</v>
      </c>
      <c r="N361" s="7">
        <f t="shared" si="10"/>
        <v>1012272</v>
      </c>
      <c r="O361" s="7">
        <f t="shared" si="11"/>
        <v>8435.6</v>
      </c>
    </row>
    <row r="362" spans="1:15" x14ac:dyDescent="0.35">
      <c r="A362" s="5">
        <v>361</v>
      </c>
      <c r="B362" t="s">
        <v>762</v>
      </c>
      <c r="C362" t="s">
        <v>763</v>
      </c>
      <c r="D362" t="s">
        <v>1486</v>
      </c>
      <c r="E362" t="s">
        <v>110</v>
      </c>
      <c r="F362" s="1">
        <v>39057</v>
      </c>
      <c r="G362" s="28">
        <v>15</v>
      </c>
      <c r="H362" s="26">
        <v>144724</v>
      </c>
      <c r="I362" t="s">
        <v>764</v>
      </c>
      <c r="J362" t="s">
        <v>39</v>
      </c>
      <c r="K362" t="s">
        <v>40</v>
      </c>
      <c r="L362" t="s">
        <v>112</v>
      </c>
      <c r="M362" t="s">
        <v>1491</v>
      </c>
      <c r="N362" s="7">
        <f t="shared" si="10"/>
        <v>1736688</v>
      </c>
      <c r="O362" s="7">
        <f t="shared" si="11"/>
        <v>14472.400000000001</v>
      </c>
    </row>
    <row r="363" spans="1:15" x14ac:dyDescent="0.35">
      <c r="A363" s="5">
        <v>362</v>
      </c>
      <c r="B363" t="s">
        <v>620</v>
      </c>
      <c r="C363" t="s">
        <v>765</v>
      </c>
      <c r="D363" t="s">
        <v>1485</v>
      </c>
      <c r="E363" t="s">
        <v>37</v>
      </c>
      <c r="F363" s="1">
        <v>37872</v>
      </c>
      <c r="G363" s="28">
        <v>18</v>
      </c>
      <c r="H363" s="26">
        <v>147290</v>
      </c>
      <c r="I363" t="s">
        <v>425</v>
      </c>
      <c r="J363" t="s">
        <v>50</v>
      </c>
      <c r="K363" t="s">
        <v>40</v>
      </c>
      <c r="L363" t="s">
        <v>41</v>
      </c>
      <c r="M363" t="s">
        <v>1491</v>
      </c>
      <c r="N363" s="7">
        <f t="shared" si="10"/>
        <v>1767480</v>
      </c>
      <c r="O363" s="7">
        <f t="shared" si="11"/>
        <v>14729</v>
      </c>
    </row>
    <row r="364" spans="1:15" x14ac:dyDescent="0.35">
      <c r="A364" s="5">
        <v>363</v>
      </c>
      <c r="B364" t="s">
        <v>766</v>
      </c>
      <c r="C364" t="s">
        <v>767</v>
      </c>
      <c r="D364" t="s">
        <v>1485</v>
      </c>
      <c r="E364" t="s">
        <v>26</v>
      </c>
      <c r="F364" s="1">
        <v>37253</v>
      </c>
      <c r="G364" s="28">
        <v>20</v>
      </c>
      <c r="H364" s="26">
        <v>83177</v>
      </c>
      <c r="I364" t="s">
        <v>66</v>
      </c>
      <c r="J364" t="s">
        <v>28</v>
      </c>
      <c r="K364" t="s">
        <v>17</v>
      </c>
      <c r="L364" t="s">
        <v>29</v>
      </c>
      <c r="M364" t="s">
        <v>1491</v>
      </c>
      <c r="N364" s="7">
        <f t="shared" si="10"/>
        <v>998124</v>
      </c>
      <c r="O364" s="7">
        <f t="shared" si="11"/>
        <v>8317.7000000000007</v>
      </c>
    </row>
    <row r="365" spans="1:15" x14ac:dyDescent="0.35">
      <c r="A365" s="5">
        <v>364</v>
      </c>
      <c r="B365" t="s">
        <v>768</v>
      </c>
      <c r="C365" t="s">
        <v>769</v>
      </c>
      <c r="D365" t="s">
        <v>1485</v>
      </c>
      <c r="E365" t="s">
        <v>203</v>
      </c>
      <c r="F365" s="1">
        <v>41790</v>
      </c>
      <c r="G365" s="28">
        <v>7</v>
      </c>
      <c r="H365" s="26">
        <v>83252</v>
      </c>
      <c r="I365" t="s">
        <v>156</v>
      </c>
      <c r="J365" t="s">
        <v>28</v>
      </c>
      <c r="K365" t="s">
        <v>17</v>
      </c>
      <c r="L365" t="s">
        <v>41</v>
      </c>
      <c r="M365" t="s">
        <v>1491</v>
      </c>
      <c r="N365" s="7">
        <f t="shared" si="10"/>
        <v>999024</v>
      </c>
      <c r="O365" s="7">
        <f t="shared" si="11"/>
        <v>8325.2000000000007</v>
      </c>
    </row>
    <row r="366" spans="1:15" x14ac:dyDescent="0.35">
      <c r="A366" s="5">
        <v>365</v>
      </c>
      <c r="B366" t="s">
        <v>569</v>
      </c>
      <c r="C366" t="s">
        <v>770</v>
      </c>
      <c r="D366" t="s">
        <v>1485</v>
      </c>
      <c r="E366" t="s">
        <v>69</v>
      </c>
      <c r="F366" s="1">
        <v>36768</v>
      </c>
      <c r="G366" s="28">
        <v>21</v>
      </c>
      <c r="H366" s="26">
        <v>127393</v>
      </c>
      <c r="I366" t="s">
        <v>581</v>
      </c>
      <c r="J366" t="s">
        <v>39</v>
      </c>
      <c r="K366" t="s">
        <v>40</v>
      </c>
      <c r="L366" t="s">
        <v>41</v>
      </c>
      <c r="M366" t="s">
        <v>1491</v>
      </c>
      <c r="N366" s="7">
        <f t="shared" si="10"/>
        <v>1528716</v>
      </c>
      <c r="O366" s="7">
        <f t="shared" si="11"/>
        <v>12739.300000000001</v>
      </c>
    </row>
    <row r="367" spans="1:15" x14ac:dyDescent="0.35">
      <c r="A367" s="5">
        <v>366</v>
      </c>
      <c r="B367" t="s">
        <v>64</v>
      </c>
      <c r="C367" t="s">
        <v>771</v>
      </c>
      <c r="D367" t="s">
        <v>1485</v>
      </c>
      <c r="E367" t="s">
        <v>100</v>
      </c>
      <c r="F367" s="1">
        <v>38746</v>
      </c>
      <c r="G367" s="28">
        <v>15</v>
      </c>
      <c r="H367" s="26">
        <v>67186</v>
      </c>
      <c r="I367" t="s">
        <v>370</v>
      </c>
      <c r="J367" t="s">
        <v>46</v>
      </c>
      <c r="K367" t="s">
        <v>17</v>
      </c>
      <c r="L367" t="s">
        <v>29</v>
      </c>
      <c r="M367" t="s">
        <v>1491</v>
      </c>
      <c r="N367" s="7">
        <f t="shared" si="10"/>
        <v>806232</v>
      </c>
      <c r="O367" s="7">
        <f t="shared" si="11"/>
        <v>6718.6</v>
      </c>
    </row>
    <row r="368" spans="1:15" x14ac:dyDescent="0.35">
      <c r="A368" s="5">
        <v>367</v>
      </c>
      <c r="B368" t="s">
        <v>772</v>
      </c>
      <c r="C368" t="s">
        <v>773</v>
      </c>
      <c r="D368" t="s">
        <v>1486</v>
      </c>
      <c r="E368" t="s">
        <v>129</v>
      </c>
      <c r="F368" s="1">
        <v>37320</v>
      </c>
      <c r="G368" s="28">
        <v>19</v>
      </c>
      <c r="H368" s="26">
        <v>102361</v>
      </c>
      <c r="I368" t="s">
        <v>774</v>
      </c>
      <c r="J368" t="s">
        <v>91</v>
      </c>
      <c r="K368" t="s">
        <v>40</v>
      </c>
      <c r="L368" t="s">
        <v>41</v>
      </c>
      <c r="M368" t="s">
        <v>1491</v>
      </c>
      <c r="N368" s="7">
        <f t="shared" si="10"/>
        <v>1228332</v>
      </c>
      <c r="O368" s="7">
        <f t="shared" si="11"/>
        <v>10236.1</v>
      </c>
    </row>
    <row r="369" spans="1:15" x14ac:dyDescent="0.35">
      <c r="A369" s="5">
        <v>368</v>
      </c>
      <c r="B369" t="s">
        <v>302</v>
      </c>
      <c r="C369" t="s">
        <v>775</v>
      </c>
      <c r="D369" t="s">
        <v>1486</v>
      </c>
      <c r="E369" t="s">
        <v>85</v>
      </c>
      <c r="F369" s="1">
        <v>37118</v>
      </c>
      <c r="G369" s="28">
        <v>20</v>
      </c>
      <c r="H369" s="26">
        <v>60688</v>
      </c>
      <c r="I369" t="s">
        <v>539</v>
      </c>
      <c r="J369" t="s">
        <v>46</v>
      </c>
      <c r="K369" t="s">
        <v>17</v>
      </c>
      <c r="L369" t="s">
        <v>41</v>
      </c>
      <c r="M369" t="s">
        <v>1491</v>
      </c>
      <c r="N369" s="7">
        <f t="shared" si="10"/>
        <v>728256</v>
      </c>
      <c r="O369" s="7">
        <f t="shared" si="11"/>
        <v>6068.8</v>
      </c>
    </row>
    <row r="370" spans="1:15" x14ac:dyDescent="0.35">
      <c r="A370" s="5">
        <v>369</v>
      </c>
      <c r="B370" t="s">
        <v>170</v>
      </c>
      <c r="C370" t="s">
        <v>776</v>
      </c>
      <c r="D370" t="s">
        <v>1486</v>
      </c>
      <c r="E370" t="s">
        <v>94</v>
      </c>
      <c r="F370" s="1">
        <v>46136</v>
      </c>
      <c r="G370" s="28">
        <v>8</v>
      </c>
      <c r="H370" s="26">
        <v>44704</v>
      </c>
      <c r="I370" t="s">
        <v>70</v>
      </c>
      <c r="J370" t="s">
        <v>16</v>
      </c>
      <c r="K370" t="s">
        <v>17</v>
      </c>
      <c r="L370" t="s">
        <v>18</v>
      </c>
      <c r="M370" t="s">
        <v>1491</v>
      </c>
      <c r="N370" s="7">
        <f t="shared" si="10"/>
        <v>536448</v>
      </c>
      <c r="O370" s="7">
        <f t="shared" si="11"/>
        <v>4470.4000000000005</v>
      </c>
    </row>
    <row r="371" spans="1:15" x14ac:dyDescent="0.35">
      <c r="A371" s="5">
        <v>370</v>
      </c>
      <c r="B371" t="s">
        <v>325</v>
      </c>
      <c r="C371" t="s">
        <v>777</v>
      </c>
      <c r="D371" t="s">
        <v>1485</v>
      </c>
      <c r="E371" t="s">
        <v>89</v>
      </c>
      <c r="F371" s="1">
        <v>37265</v>
      </c>
      <c r="G371" s="28">
        <v>19</v>
      </c>
      <c r="H371" s="26">
        <v>110627</v>
      </c>
      <c r="I371" t="s">
        <v>527</v>
      </c>
      <c r="J371" t="s">
        <v>39</v>
      </c>
      <c r="K371" t="s">
        <v>40</v>
      </c>
      <c r="L371" t="s">
        <v>41</v>
      </c>
      <c r="M371" t="s">
        <v>1491</v>
      </c>
      <c r="N371" s="7">
        <f t="shared" si="10"/>
        <v>1327524</v>
      </c>
      <c r="O371" s="7">
        <f t="shared" si="11"/>
        <v>11062.7</v>
      </c>
    </row>
    <row r="372" spans="1:15" x14ac:dyDescent="0.35">
      <c r="A372" s="5">
        <v>371</v>
      </c>
      <c r="B372" t="s">
        <v>333</v>
      </c>
      <c r="C372" t="s">
        <v>778</v>
      </c>
      <c r="D372" t="s">
        <v>1485</v>
      </c>
      <c r="E372" t="s">
        <v>21</v>
      </c>
      <c r="F372" s="1">
        <v>36681</v>
      </c>
      <c r="G372" s="28">
        <v>21</v>
      </c>
      <c r="H372" s="26">
        <v>127223</v>
      </c>
      <c r="I372" t="s">
        <v>235</v>
      </c>
      <c r="J372" t="s">
        <v>91</v>
      </c>
      <c r="K372" t="s">
        <v>40</v>
      </c>
      <c r="L372" t="s">
        <v>23</v>
      </c>
      <c r="M372" t="s">
        <v>1491</v>
      </c>
      <c r="N372" s="7">
        <f t="shared" si="10"/>
        <v>1526676</v>
      </c>
      <c r="O372" s="7">
        <f t="shared" si="11"/>
        <v>12722.300000000001</v>
      </c>
    </row>
    <row r="373" spans="1:15" x14ac:dyDescent="0.35">
      <c r="A373" s="5">
        <v>372</v>
      </c>
      <c r="B373" t="s">
        <v>361</v>
      </c>
      <c r="C373" t="s">
        <v>779</v>
      </c>
      <c r="D373" t="s">
        <v>1486</v>
      </c>
      <c r="E373" t="s">
        <v>85</v>
      </c>
      <c r="F373" s="1">
        <v>37134</v>
      </c>
      <c r="G373" s="28">
        <v>20</v>
      </c>
      <c r="H373" s="26">
        <v>96163</v>
      </c>
      <c r="I373" t="s">
        <v>418</v>
      </c>
      <c r="J373" t="s">
        <v>28</v>
      </c>
      <c r="K373" t="s">
        <v>17</v>
      </c>
      <c r="L373" t="s">
        <v>41</v>
      </c>
      <c r="M373" t="s">
        <v>1491</v>
      </c>
      <c r="N373" s="7">
        <f t="shared" si="10"/>
        <v>1153956</v>
      </c>
      <c r="O373" s="7">
        <f t="shared" si="11"/>
        <v>9616.3000000000011</v>
      </c>
    </row>
    <row r="374" spans="1:15" x14ac:dyDescent="0.35">
      <c r="A374" s="5">
        <v>373</v>
      </c>
      <c r="B374" t="s">
        <v>333</v>
      </c>
      <c r="C374" t="s">
        <v>780</v>
      </c>
      <c r="D374" t="s">
        <v>1485</v>
      </c>
      <c r="E374" t="s">
        <v>32</v>
      </c>
      <c r="F374" s="1">
        <v>41023</v>
      </c>
      <c r="G374" s="28">
        <v>9</v>
      </c>
      <c r="H374" s="26">
        <v>86524</v>
      </c>
      <c r="I374" t="s">
        <v>666</v>
      </c>
      <c r="J374" t="s">
        <v>91</v>
      </c>
      <c r="K374" t="s">
        <v>40</v>
      </c>
      <c r="L374" t="s">
        <v>34</v>
      </c>
      <c r="M374" t="s">
        <v>1491</v>
      </c>
      <c r="N374" s="7">
        <f t="shared" si="10"/>
        <v>1038288</v>
      </c>
      <c r="O374" s="7">
        <f t="shared" si="11"/>
        <v>8652.4</v>
      </c>
    </row>
    <row r="375" spans="1:15" x14ac:dyDescent="0.35">
      <c r="A375" s="5">
        <v>374</v>
      </c>
      <c r="B375" t="s">
        <v>781</v>
      </c>
      <c r="C375" t="s">
        <v>782</v>
      </c>
      <c r="D375" t="s">
        <v>1486</v>
      </c>
      <c r="E375" t="s">
        <v>73</v>
      </c>
      <c r="F375" s="1">
        <v>38614</v>
      </c>
      <c r="G375" s="28">
        <v>16</v>
      </c>
      <c r="H375" s="26">
        <v>141464</v>
      </c>
      <c r="I375" t="s">
        <v>86</v>
      </c>
      <c r="J375" t="s">
        <v>55</v>
      </c>
      <c r="K375" t="s">
        <v>17</v>
      </c>
      <c r="L375" t="s">
        <v>41</v>
      </c>
      <c r="M375" t="s">
        <v>1489</v>
      </c>
      <c r="N375" s="7">
        <f t="shared" si="10"/>
        <v>1697568</v>
      </c>
      <c r="O375" s="7">
        <f t="shared" si="11"/>
        <v>14146.400000000001</v>
      </c>
    </row>
    <row r="376" spans="1:15" x14ac:dyDescent="0.35">
      <c r="A376" s="5">
        <v>375</v>
      </c>
      <c r="B376" t="s">
        <v>720</v>
      </c>
      <c r="C376" t="s">
        <v>783</v>
      </c>
      <c r="D376" t="s">
        <v>1486</v>
      </c>
      <c r="E376" t="s">
        <v>100</v>
      </c>
      <c r="F376" s="1">
        <v>46626</v>
      </c>
      <c r="G376" s="28">
        <v>7</v>
      </c>
      <c r="H376" s="26">
        <v>88029</v>
      </c>
      <c r="I376" t="s">
        <v>327</v>
      </c>
      <c r="J376" t="s">
        <v>55</v>
      </c>
      <c r="K376" t="s">
        <v>17</v>
      </c>
      <c r="L376" t="s">
        <v>29</v>
      </c>
      <c r="M376" t="s">
        <v>1489</v>
      </c>
      <c r="N376" s="7">
        <f t="shared" si="10"/>
        <v>1056348</v>
      </c>
      <c r="O376" s="7">
        <f t="shared" si="11"/>
        <v>8802.9</v>
      </c>
    </row>
    <row r="377" spans="1:15" x14ac:dyDescent="0.35">
      <c r="A377" s="5">
        <v>376</v>
      </c>
      <c r="B377" t="s">
        <v>361</v>
      </c>
      <c r="C377" t="s">
        <v>784</v>
      </c>
      <c r="D377" t="s">
        <v>1485</v>
      </c>
      <c r="E377" t="s">
        <v>89</v>
      </c>
      <c r="F377" s="1">
        <v>39162</v>
      </c>
      <c r="G377" s="28">
        <v>14</v>
      </c>
      <c r="H377" s="26">
        <v>47281</v>
      </c>
      <c r="I377" t="s">
        <v>97</v>
      </c>
      <c r="J377" t="s">
        <v>50</v>
      </c>
      <c r="K377" t="s">
        <v>40</v>
      </c>
      <c r="L377" t="s">
        <v>41</v>
      </c>
      <c r="M377" t="s">
        <v>1489</v>
      </c>
      <c r="N377" s="7">
        <f t="shared" si="10"/>
        <v>567372</v>
      </c>
      <c r="O377" s="7">
        <f t="shared" si="11"/>
        <v>4728.1000000000004</v>
      </c>
    </row>
    <row r="378" spans="1:15" x14ac:dyDescent="0.35">
      <c r="A378" s="5">
        <v>377</v>
      </c>
      <c r="B378" t="s">
        <v>102</v>
      </c>
      <c r="C378" t="s">
        <v>785</v>
      </c>
      <c r="D378" t="s">
        <v>1486</v>
      </c>
      <c r="E378" t="s">
        <v>94</v>
      </c>
      <c r="F378" s="1">
        <v>37271</v>
      </c>
      <c r="G378" s="28">
        <v>19</v>
      </c>
      <c r="H378" s="26">
        <v>93245</v>
      </c>
      <c r="I378" t="s">
        <v>669</v>
      </c>
      <c r="J378" t="s">
        <v>46</v>
      </c>
      <c r="K378" t="s">
        <v>17</v>
      </c>
      <c r="L378" t="s">
        <v>18</v>
      </c>
      <c r="M378" t="s">
        <v>1489</v>
      </c>
      <c r="N378" s="7">
        <f t="shared" si="10"/>
        <v>1118940</v>
      </c>
      <c r="O378" s="7">
        <f t="shared" si="11"/>
        <v>9324.5</v>
      </c>
    </row>
    <row r="379" spans="1:15" x14ac:dyDescent="0.35">
      <c r="A379" s="5">
        <v>378</v>
      </c>
      <c r="B379" t="s">
        <v>367</v>
      </c>
      <c r="C379" t="s">
        <v>786</v>
      </c>
      <c r="D379" t="s">
        <v>1485</v>
      </c>
      <c r="E379" t="s">
        <v>26</v>
      </c>
      <c r="F379" s="1">
        <v>41120</v>
      </c>
      <c r="G379" s="28">
        <v>9</v>
      </c>
      <c r="H379" s="26">
        <v>110589</v>
      </c>
      <c r="I379" t="s">
        <v>691</v>
      </c>
      <c r="J379" t="s">
        <v>39</v>
      </c>
      <c r="K379" t="s">
        <v>40</v>
      </c>
      <c r="L379" t="s">
        <v>29</v>
      </c>
      <c r="M379" t="s">
        <v>1489</v>
      </c>
      <c r="N379" s="7">
        <f t="shared" si="10"/>
        <v>1327068</v>
      </c>
      <c r="O379" s="7">
        <f t="shared" si="11"/>
        <v>11058.900000000001</v>
      </c>
    </row>
    <row r="380" spans="1:15" x14ac:dyDescent="0.35">
      <c r="A380" s="5">
        <v>379</v>
      </c>
      <c r="B380" t="s">
        <v>377</v>
      </c>
      <c r="C380" t="s">
        <v>787</v>
      </c>
      <c r="D380" t="s">
        <v>1485</v>
      </c>
      <c r="E380" t="s">
        <v>32</v>
      </c>
      <c r="F380" s="1">
        <v>37714</v>
      </c>
      <c r="G380" s="28">
        <v>18</v>
      </c>
      <c r="H380" s="26">
        <v>63735</v>
      </c>
      <c r="I380" t="s">
        <v>196</v>
      </c>
      <c r="J380" t="s">
        <v>50</v>
      </c>
      <c r="K380" t="s">
        <v>40</v>
      </c>
      <c r="L380" t="s">
        <v>34</v>
      </c>
      <c r="M380" t="s">
        <v>1489</v>
      </c>
      <c r="N380" s="7">
        <f t="shared" si="10"/>
        <v>764820</v>
      </c>
      <c r="O380" s="7">
        <f t="shared" si="11"/>
        <v>6373.5</v>
      </c>
    </row>
    <row r="381" spans="1:15" x14ac:dyDescent="0.35">
      <c r="A381" s="5">
        <v>380</v>
      </c>
      <c r="B381" t="s">
        <v>788</v>
      </c>
      <c r="C381" t="s">
        <v>789</v>
      </c>
      <c r="D381" t="s">
        <v>1486</v>
      </c>
      <c r="E381" t="s">
        <v>100</v>
      </c>
      <c r="F381" s="1">
        <v>46349</v>
      </c>
      <c r="G381" s="28">
        <v>8</v>
      </c>
      <c r="H381" s="26">
        <v>91182</v>
      </c>
      <c r="I381" t="s">
        <v>74</v>
      </c>
      <c r="J381" t="s">
        <v>91</v>
      </c>
      <c r="K381" t="s">
        <v>40</v>
      </c>
      <c r="L381" t="s">
        <v>29</v>
      </c>
      <c r="M381" t="s">
        <v>1489</v>
      </c>
      <c r="N381" s="7">
        <f t="shared" si="10"/>
        <v>1094184</v>
      </c>
      <c r="O381" s="7">
        <f t="shared" si="11"/>
        <v>9118.2000000000007</v>
      </c>
    </row>
    <row r="382" spans="1:15" x14ac:dyDescent="0.35">
      <c r="A382" s="5">
        <v>381</v>
      </c>
      <c r="B382" t="s">
        <v>259</v>
      </c>
      <c r="C382" t="s">
        <v>790</v>
      </c>
      <c r="D382" t="s">
        <v>1485</v>
      </c>
      <c r="E382" t="s">
        <v>238</v>
      </c>
      <c r="F382" s="1">
        <v>41161</v>
      </c>
      <c r="G382" s="28">
        <v>9</v>
      </c>
      <c r="H382" s="26">
        <v>133007</v>
      </c>
      <c r="I382" t="s">
        <v>437</v>
      </c>
      <c r="J382" t="s">
        <v>39</v>
      </c>
      <c r="K382" t="s">
        <v>40</v>
      </c>
      <c r="L382" t="s">
        <v>63</v>
      </c>
      <c r="M382" t="s">
        <v>1489</v>
      </c>
      <c r="N382" s="7">
        <f t="shared" si="10"/>
        <v>1596084</v>
      </c>
      <c r="O382" s="7">
        <f t="shared" si="11"/>
        <v>13300.7</v>
      </c>
    </row>
    <row r="383" spans="1:15" x14ac:dyDescent="0.35">
      <c r="A383" s="5">
        <v>382</v>
      </c>
      <c r="B383" t="s">
        <v>791</v>
      </c>
      <c r="C383" t="s">
        <v>792</v>
      </c>
      <c r="D383" t="s">
        <v>1486</v>
      </c>
      <c r="E383" t="s">
        <v>89</v>
      </c>
      <c r="F383" s="1">
        <v>45879</v>
      </c>
      <c r="G383" s="28">
        <v>9</v>
      </c>
      <c r="H383" s="26">
        <v>92879</v>
      </c>
      <c r="I383" t="s">
        <v>153</v>
      </c>
      <c r="J383" t="s">
        <v>16</v>
      </c>
      <c r="K383" t="s">
        <v>17</v>
      </c>
      <c r="L383" t="s">
        <v>41</v>
      </c>
      <c r="M383" t="s">
        <v>1489</v>
      </c>
      <c r="N383" s="7">
        <f t="shared" si="10"/>
        <v>1114548</v>
      </c>
      <c r="O383" s="7">
        <f t="shared" si="11"/>
        <v>9287.9</v>
      </c>
    </row>
    <row r="384" spans="1:15" x14ac:dyDescent="0.35">
      <c r="A384" s="5">
        <v>383</v>
      </c>
      <c r="B384" t="s">
        <v>212</v>
      </c>
      <c r="C384" t="s">
        <v>793</v>
      </c>
      <c r="D384" t="s">
        <v>1485</v>
      </c>
      <c r="E384" t="s">
        <v>69</v>
      </c>
      <c r="F384" s="1">
        <v>37600</v>
      </c>
      <c r="G384" s="28">
        <v>19</v>
      </c>
      <c r="H384" s="26">
        <v>104079</v>
      </c>
      <c r="I384" t="s">
        <v>456</v>
      </c>
      <c r="J384" t="s">
        <v>55</v>
      </c>
      <c r="K384" t="s">
        <v>17</v>
      </c>
      <c r="L384" t="s">
        <v>41</v>
      </c>
      <c r="M384" t="s">
        <v>1489</v>
      </c>
      <c r="N384" s="7">
        <f t="shared" si="10"/>
        <v>1248948</v>
      </c>
      <c r="O384" s="7">
        <f t="shared" si="11"/>
        <v>10407.900000000001</v>
      </c>
    </row>
    <row r="385" spans="1:15" x14ac:dyDescent="0.35">
      <c r="A385" s="5">
        <v>384</v>
      </c>
      <c r="B385" t="s">
        <v>465</v>
      </c>
      <c r="C385" t="s">
        <v>794</v>
      </c>
      <c r="D385" t="s">
        <v>1486</v>
      </c>
      <c r="E385" t="s">
        <v>129</v>
      </c>
      <c r="F385" s="1">
        <v>38657</v>
      </c>
      <c r="G385" s="28">
        <v>16</v>
      </c>
      <c r="H385" s="26">
        <v>63918</v>
      </c>
      <c r="I385" t="s">
        <v>15</v>
      </c>
      <c r="J385" t="s">
        <v>55</v>
      </c>
      <c r="K385" t="s">
        <v>17</v>
      </c>
      <c r="L385" t="s">
        <v>41</v>
      </c>
      <c r="M385" t="s">
        <v>1489</v>
      </c>
      <c r="N385" s="7">
        <f t="shared" si="10"/>
        <v>767016</v>
      </c>
      <c r="O385" s="7">
        <f t="shared" si="11"/>
        <v>6391.8</v>
      </c>
    </row>
    <row r="386" spans="1:15" x14ac:dyDescent="0.35">
      <c r="A386" s="5">
        <v>385</v>
      </c>
      <c r="B386" t="s">
        <v>416</v>
      </c>
      <c r="C386" t="s">
        <v>795</v>
      </c>
      <c r="D386" t="s">
        <v>1486</v>
      </c>
      <c r="E386" t="s">
        <v>26</v>
      </c>
      <c r="F386" s="1">
        <v>45414</v>
      </c>
      <c r="G386" s="28">
        <v>10</v>
      </c>
      <c r="H386" s="26">
        <v>128885</v>
      </c>
      <c r="I386" t="s">
        <v>796</v>
      </c>
      <c r="J386" t="s">
        <v>91</v>
      </c>
      <c r="K386" t="s">
        <v>40</v>
      </c>
      <c r="L386" t="s">
        <v>29</v>
      </c>
      <c r="M386" t="s">
        <v>1489</v>
      </c>
      <c r="N386" s="7">
        <f t="shared" ref="N386:N449" si="12">H386*12</f>
        <v>1546620</v>
      </c>
      <c r="O386" s="7">
        <f t="shared" ref="O386:O449" si="13">H386*10%</f>
        <v>12888.5</v>
      </c>
    </row>
    <row r="387" spans="1:15" x14ac:dyDescent="0.35">
      <c r="A387" s="5">
        <v>386</v>
      </c>
      <c r="B387" t="s">
        <v>352</v>
      </c>
      <c r="C387" t="s">
        <v>797</v>
      </c>
      <c r="D387" t="s">
        <v>1485</v>
      </c>
      <c r="E387" t="s">
        <v>79</v>
      </c>
      <c r="F387" s="1">
        <v>40601</v>
      </c>
      <c r="G387" s="28">
        <v>10</v>
      </c>
      <c r="H387" s="26">
        <v>140567</v>
      </c>
      <c r="I387" t="s">
        <v>709</v>
      </c>
      <c r="J387" t="s">
        <v>16</v>
      </c>
      <c r="K387" t="s">
        <v>17</v>
      </c>
      <c r="L387" t="s">
        <v>41</v>
      </c>
      <c r="M387" t="s">
        <v>1489</v>
      </c>
      <c r="N387" s="7">
        <f t="shared" si="12"/>
        <v>1686804</v>
      </c>
      <c r="O387" s="7">
        <f t="shared" si="13"/>
        <v>14056.7</v>
      </c>
    </row>
    <row r="388" spans="1:15" x14ac:dyDescent="0.35">
      <c r="A388" s="5">
        <v>387</v>
      </c>
      <c r="B388" t="s">
        <v>620</v>
      </c>
      <c r="C388" t="s">
        <v>798</v>
      </c>
      <c r="D388" t="s">
        <v>1486</v>
      </c>
      <c r="E388" t="s">
        <v>110</v>
      </c>
      <c r="F388" s="1">
        <v>37842</v>
      </c>
      <c r="G388" s="28">
        <v>18</v>
      </c>
      <c r="H388" s="26">
        <v>95726</v>
      </c>
      <c r="I388" t="s">
        <v>204</v>
      </c>
      <c r="J388" t="s">
        <v>55</v>
      </c>
      <c r="K388" t="s">
        <v>17</v>
      </c>
      <c r="L388" t="s">
        <v>112</v>
      </c>
      <c r="M388" t="s">
        <v>1489</v>
      </c>
      <c r="N388" s="7">
        <f t="shared" si="12"/>
        <v>1148712</v>
      </c>
      <c r="O388" s="7">
        <f t="shared" si="13"/>
        <v>9572.6</v>
      </c>
    </row>
    <row r="389" spans="1:15" x14ac:dyDescent="0.35">
      <c r="A389" s="5">
        <v>388</v>
      </c>
      <c r="B389" t="s">
        <v>12</v>
      </c>
      <c r="C389" t="s">
        <v>799</v>
      </c>
      <c r="D389" t="s">
        <v>1486</v>
      </c>
      <c r="E389" t="s">
        <v>238</v>
      </c>
      <c r="F389" s="1">
        <v>44220</v>
      </c>
      <c r="G389" s="28">
        <v>13</v>
      </c>
      <c r="H389" s="26">
        <v>84261</v>
      </c>
      <c r="I389" t="s">
        <v>181</v>
      </c>
      <c r="J389" t="s">
        <v>91</v>
      </c>
      <c r="K389" t="s">
        <v>40</v>
      </c>
      <c r="L389" t="s">
        <v>63</v>
      </c>
      <c r="M389" t="s">
        <v>1489</v>
      </c>
      <c r="N389" s="7">
        <f t="shared" si="12"/>
        <v>1011132</v>
      </c>
      <c r="O389" s="7">
        <f t="shared" si="13"/>
        <v>8426.1</v>
      </c>
    </row>
    <row r="390" spans="1:15" x14ac:dyDescent="0.35">
      <c r="A390" s="5">
        <v>389</v>
      </c>
      <c r="B390" t="s">
        <v>284</v>
      </c>
      <c r="C390" t="s">
        <v>800</v>
      </c>
      <c r="D390" t="s">
        <v>1485</v>
      </c>
      <c r="E390" t="s">
        <v>73</v>
      </c>
      <c r="F390" s="1">
        <v>41447</v>
      </c>
      <c r="G390" s="28">
        <v>8</v>
      </c>
      <c r="H390" s="26">
        <v>42924</v>
      </c>
      <c r="I390" t="s">
        <v>104</v>
      </c>
      <c r="J390" t="s">
        <v>16</v>
      </c>
      <c r="K390" t="s">
        <v>17</v>
      </c>
      <c r="L390" t="s">
        <v>41</v>
      </c>
      <c r="M390" t="s">
        <v>1489</v>
      </c>
      <c r="N390" s="7">
        <f t="shared" si="12"/>
        <v>515088</v>
      </c>
      <c r="O390" s="7">
        <f t="shared" si="13"/>
        <v>4292.4000000000005</v>
      </c>
    </row>
    <row r="391" spans="1:15" x14ac:dyDescent="0.35">
      <c r="A391" s="5">
        <v>390</v>
      </c>
      <c r="B391" t="s">
        <v>801</v>
      </c>
      <c r="C391" t="s">
        <v>802</v>
      </c>
      <c r="D391" t="s">
        <v>1485</v>
      </c>
      <c r="E391" t="s">
        <v>14</v>
      </c>
      <c r="F391" s="1">
        <v>39705</v>
      </c>
      <c r="G391" s="28">
        <v>13</v>
      </c>
      <c r="H391" s="26">
        <v>86670</v>
      </c>
      <c r="I391" t="s">
        <v>803</v>
      </c>
      <c r="J391" t="s">
        <v>16</v>
      </c>
      <c r="K391" t="s">
        <v>17</v>
      </c>
      <c r="L391" t="s">
        <v>18</v>
      </c>
      <c r="M391" t="s">
        <v>1489</v>
      </c>
      <c r="N391" s="7">
        <f t="shared" si="12"/>
        <v>1040040</v>
      </c>
      <c r="O391" s="7">
        <f t="shared" si="13"/>
        <v>8667</v>
      </c>
    </row>
    <row r="392" spans="1:15" x14ac:dyDescent="0.35">
      <c r="A392" s="5">
        <v>391</v>
      </c>
      <c r="B392" t="s">
        <v>587</v>
      </c>
      <c r="C392" t="s">
        <v>804</v>
      </c>
      <c r="D392" t="s">
        <v>1486</v>
      </c>
      <c r="E392" t="s">
        <v>69</v>
      </c>
      <c r="F392" s="1">
        <v>37929</v>
      </c>
      <c r="G392" s="28">
        <v>18</v>
      </c>
      <c r="H392" s="26">
        <v>147702</v>
      </c>
      <c r="I392" t="s">
        <v>97</v>
      </c>
      <c r="J392" t="s">
        <v>55</v>
      </c>
      <c r="K392" t="s">
        <v>17</v>
      </c>
      <c r="L392" t="s">
        <v>41</v>
      </c>
      <c r="M392" t="s">
        <v>1489</v>
      </c>
      <c r="N392" s="7">
        <f t="shared" si="12"/>
        <v>1772424</v>
      </c>
      <c r="O392" s="7">
        <f t="shared" si="13"/>
        <v>14770.2</v>
      </c>
    </row>
    <row r="393" spans="1:15" x14ac:dyDescent="0.35">
      <c r="A393" s="5">
        <v>392</v>
      </c>
      <c r="B393" t="s">
        <v>698</v>
      </c>
      <c r="C393" t="s">
        <v>805</v>
      </c>
      <c r="D393" t="s">
        <v>1486</v>
      </c>
      <c r="E393" t="s">
        <v>129</v>
      </c>
      <c r="F393" s="1">
        <v>46055</v>
      </c>
      <c r="G393" s="28">
        <v>8</v>
      </c>
      <c r="H393" s="26">
        <v>132470</v>
      </c>
      <c r="I393" t="s">
        <v>806</v>
      </c>
      <c r="J393" t="s">
        <v>50</v>
      </c>
      <c r="K393" t="s">
        <v>40</v>
      </c>
      <c r="L393" t="s">
        <v>41</v>
      </c>
      <c r="M393" t="s">
        <v>1489</v>
      </c>
      <c r="N393" s="7">
        <f t="shared" si="12"/>
        <v>1589640</v>
      </c>
      <c r="O393" s="7">
        <f t="shared" si="13"/>
        <v>13247</v>
      </c>
    </row>
    <row r="394" spans="1:15" x14ac:dyDescent="0.35">
      <c r="A394" s="5">
        <v>393</v>
      </c>
      <c r="B394" t="s">
        <v>433</v>
      </c>
      <c r="C394" t="s">
        <v>807</v>
      </c>
      <c r="D394" t="s">
        <v>1486</v>
      </c>
      <c r="E394" t="s">
        <v>238</v>
      </c>
      <c r="F394" s="1">
        <v>36780</v>
      </c>
      <c r="G394" s="28">
        <v>21</v>
      </c>
      <c r="H394" s="26">
        <v>63341</v>
      </c>
      <c r="I394" t="s">
        <v>709</v>
      </c>
      <c r="J394" t="s">
        <v>39</v>
      </c>
      <c r="K394" t="s">
        <v>40</v>
      </c>
      <c r="L394" t="s">
        <v>63</v>
      </c>
      <c r="M394" t="s">
        <v>1489</v>
      </c>
      <c r="N394" s="7">
        <f t="shared" si="12"/>
        <v>760092</v>
      </c>
      <c r="O394" s="7">
        <f t="shared" si="13"/>
        <v>6334.1</v>
      </c>
    </row>
    <row r="395" spans="1:15" x14ac:dyDescent="0.35">
      <c r="A395" s="5">
        <v>394</v>
      </c>
      <c r="B395" t="s">
        <v>243</v>
      </c>
      <c r="C395" t="s">
        <v>808</v>
      </c>
      <c r="D395" t="s">
        <v>1486</v>
      </c>
      <c r="E395" t="s">
        <v>129</v>
      </c>
      <c r="F395" s="1">
        <v>37552</v>
      </c>
      <c r="G395" s="28">
        <v>19</v>
      </c>
      <c r="H395" s="26">
        <v>91651</v>
      </c>
      <c r="I395" t="s">
        <v>406</v>
      </c>
      <c r="J395" t="s">
        <v>55</v>
      </c>
      <c r="K395" t="s">
        <v>17</v>
      </c>
      <c r="L395" t="s">
        <v>41</v>
      </c>
      <c r="M395" t="s">
        <v>1489</v>
      </c>
      <c r="N395" s="7">
        <f t="shared" si="12"/>
        <v>1099812</v>
      </c>
      <c r="O395" s="7">
        <f t="shared" si="13"/>
        <v>9165.1</v>
      </c>
    </row>
    <row r="396" spans="1:15" x14ac:dyDescent="0.35">
      <c r="A396" s="5">
        <v>395</v>
      </c>
      <c r="B396" t="s">
        <v>809</v>
      </c>
      <c r="C396" t="s">
        <v>810</v>
      </c>
      <c r="D396" t="s">
        <v>1485</v>
      </c>
      <c r="E396" t="s">
        <v>73</v>
      </c>
      <c r="F396" s="1">
        <v>41528</v>
      </c>
      <c r="G396" s="28">
        <v>8</v>
      </c>
      <c r="H396" s="26">
        <v>48927</v>
      </c>
      <c r="I396" t="s">
        <v>62</v>
      </c>
      <c r="J396" t="s">
        <v>50</v>
      </c>
      <c r="K396" t="s">
        <v>40</v>
      </c>
      <c r="L396" t="s">
        <v>41</v>
      </c>
      <c r="M396" t="s">
        <v>1489</v>
      </c>
      <c r="N396" s="7">
        <f t="shared" si="12"/>
        <v>587124</v>
      </c>
      <c r="O396" s="7">
        <f t="shared" si="13"/>
        <v>4892.7</v>
      </c>
    </row>
    <row r="397" spans="1:15" x14ac:dyDescent="0.35">
      <c r="A397" s="5">
        <v>396</v>
      </c>
      <c r="B397" t="s">
        <v>108</v>
      </c>
      <c r="C397" t="s">
        <v>811</v>
      </c>
      <c r="D397" t="s">
        <v>1486</v>
      </c>
      <c r="E397" t="s">
        <v>85</v>
      </c>
      <c r="F397" s="1">
        <v>46343</v>
      </c>
      <c r="G397" s="28">
        <v>8</v>
      </c>
      <c r="H397" s="26">
        <v>143433</v>
      </c>
      <c r="I397" t="s">
        <v>576</v>
      </c>
      <c r="J397" t="s">
        <v>46</v>
      </c>
      <c r="K397" t="s">
        <v>17</v>
      </c>
      <c r="L397" t="s">
        <v>41</v>
      </c>
      <c r="M397" t="s">
        <v>1489</v>
      </c>
      <c r="N397" s="7">
        <f t="shared" si="12"/>
        <v>1721196</v>
      </c>
      <c r="O397" s="7">
        <f t="shared" si="13"/>
        <v>14343.300000000001</v>
      </c>
    </row>
    <row r="398" spans="1:15" x14ac:dyDescent="0.35">
      <c r="A398" s="5">
        <v>397</v>
      </c>
      <c r="B398" t="s">
        <v>339</v>
      </c>
      <c r="C398" t="s">
        <v>812</v>
      </c>
      <c r="D398" t="s">
        <v>1485</v>
      </c>
      <c r="E398" t="s">
        <v>53</v>
      </c>
      <c r="F398" s="1">
        <v>38992</v>
      </c>
      <c r="G398" s="28">
        <v>15</v>
      </c>
      <c r="H398" s="26">
        <v>81998</v>
      </c>
      <c r="I398" t="s">
        <v>223</v>
      </c>
      <c r="J398" t="s">
        <v>91</v>
      </c>
      <c r="K398" t="s">
        <v>40</v>
      </c>
      <c r="L398" t="s">
        <v>23</v>
      </c>
      <c r="M398" t="s">
        <v>1489</v>
      </c>
      <c r="N398" s="7">
        <f t="shared" si="12"/>
        <v>983976</v>
      </c>
      <c r="O398" s="7">
        <f t="shared" si="13"/>
        <v>8199.8000000000011</v>
      </c>
    </row>
    <row r="399" spans="1:15" x14ac:dyDescent="0.35">
      <c r="A399" s="5">
        <v>398</v>
      </c>
      <c r="B399" t="s">
        <v>215</v>
      </c>
      <c r="C399" t="s">
        <v>813</v>
      </c>
      <c r="D399" t="s">
        <v>1486</v>
      </c>
      <c r="E399" t="s">
        <v>89</v>
      </c>
      <c r="F399" s="1">
        <v>37019</v>
      </c>
      <c r="G399" s="28">
        <v>20</v>
      </c>
      <c r="H399" s="26">
        <v>68584</v>
      </c>
      <c r="I399" t="s">
        <v>126</v>
      </c>
      <c r="J399" t="s">
        <v>16</v>
      </c>
      <c r="K399" t="s">
        <v>17</v>
      </c>
      <c r="L399" t="s">
        <v>41</v>
      </c>
      <c r="M399" t="s">
        <v>1489</v>
      </c>
      <c r="N399" s="7">
        <f t="shared" si="12"/>
        <v>823008</v>
      </c>
      <c r="O399" s="7">
        <f t="shared" si="13"/>
        <v>6858.4000000000005</v>
      </c>
    </row>
    <row r="400" spans="1:15" x14ac:dyDescent="0.35">
      <c r="A400" s="5">
        <v>399</v>
      </c>
      <c r="B400" t="s">
        <v>645</v>
      </c>
      <c r="C400" t="s">
        <v>814</v>
      </c>
      <c r="D400" t="s">
        <v>1486</v>
      </c>
      <c r="E400" t="s">
        <v>14</v>
      </c>
      <c r="F400" s="1">
        <v>44746</v>
      </c>
      <c r="G400" s="28">
        <v>12</v>
      </c>
      <c r="H400" s="26">
        <v>88216</v>
      </c>
      <c r="I400" t="s">
        <v>659</v>
      </c>
      <c r="J400" t="s">
        <v>28</v>
      </c>
      <c r="K400" t="s">
        <v>17</v>
      </c>
      <c r="L400" t="s">
        <v>18</v>
      </c>
      <c r="M400" t="s">
        <v>1489</v>
      </c>
      <c r="N400" s="7">
        <f t="shared" si="12"/>
        <v>1058592</v>
      </c>
      <c r="O400" s="7">
        <f t="shared" si="13"/>
        <v>8821.6</v>
      </c>
    </row>
    <row r="401" spans="1:15" x14ac:dyDescent="0.35">
      <c r="A401" s="5">
        <v>400</v>
      </c>
      <c r="B401" t="s">
        <v>474</v>
      </c>
      <c r="C401" t="s">
        <v>815</v>
      </c>
      <c r="D401" t="s">
        <v>1485</v>
      </c>
      <c r="E401" t="s">
        <v>203</v>
      </c>
      <c r="F401" s="1">
        <v>40901</v>
      </c>
      <c r="G401" s="28">
        <v>10</v>
      </c>
      <c r="H401" s="26">
        <v>86046</v>
      </c>
      <c r="I401" t="s">
        <v>136</v>
      </c>
      <c r="J401" t="s">
        <v>91</v>
      </c>
      <c r="K401" t="s">
        <v>40</v>
      </c>
      <c r="L401" t="s">
        <v>41</v>
      </c>
      <c r="M401" t="s">
        <v>1489</v>
      </c>
      <c r="N401" s="7">
        <f t="shared" si="12"/>
        <v>1032552</v>
      </c>
      <c r="O401" s="7">
        <f t="shared" si="13"/>
        <v>8604.6</v>
      </c>
    </row>
    <row r="402" spans="1:15" x14ac:dyDescent="0.35">
      <c r="A402" s="5">
        <v>401</v>
      </c>
      <c r="B402" t="s">
        <v>816</v>
      </c>
      <c r="C402" t="s">
        <v>817</v>
      </c>
      <c r="D402" t="s">
        <v>1486</v>
      </c>
      <c r="E402" t="s">
        <v>148</v>
      </c>
      <c r="F402" s="1">
        <v>44260</v>
      </c>
      <c r="G402" s="28">
        <v>13</v>
      </c>
      <c r="H402" s="26">
        <v>148906</v>
      </c>
      <c r="I402" t="s">
        <v>454</v>
      </c>
      <c r="J402" t="s">
        <v>91</v>
      </c>
      <c r="K402" t="s">
        <v>40</v>
      </c>
      <c r="L402" t="s">
        <v>112</v>
      </c>
      <c r="M402" t="s">
        <v>1489</v>
      </c>
      <c r="N402" s="7">
        <f t="shared" si="12"/>
        <v>1786872</v>
      </c>
      <c r="O402" s="7">
        <f t="shared" si="13"/>
        <v>14890.6</v>
      </c>
    </row>
    <row r="403" spans="1:15" x14ac:dyDescent="0.35">
      <c r="A403" s="5">
        <v>402</v>
      </c>
      <c r="B403" t="s">
        <v>596</v>
      </c>
      <c r="C403" t="s">
        <v>818</v>
      </c>
      <c r="D403" t="s">
        <v>1486</v>
      </c>
      <c r="E403" t="s">
        <v>69</v>
      </c>
      <c r="F403" s="1">
        <v>44145</v>
      </c>
      <c r="G403" s="28">
        <v>14</v>
      </c>
      <c r="H403" s="26">
        <v>93266</v>
      </c>
      <c r="I403" t="s">
        <v>391</v>
      </c>
      <c r="J403" t="s">
        <v>39</v>
      </c>
      <c r="K403" t="s">
        <v>40</v>
      </c>
      <c r="L403" t="s">
        <v>41</v>
      </c>
      <c r="M403" t="s">
        <v>1489</v>
      </c>
      <c r="N403" s="7">
        <f t="shared" si="12"/>
        <v>1119192</v>
      </c>
      <c r="O403" s="7">
        <f t="shared" si="13"/>
        <v>9326.6</v>
      </c>
    </row>
    <row r="404" spans="1:15" x14ac:dyDescent="0.35">
      <c r="A404" s="5">
        <v>403</v>
      </c>
      <c r="B404" t="s">
        <v>105</v>
      </c>
      <c r="C404" t="s">
        <v>819</v>
      </c>
      <c r="D404" t="s">
        <v>1486</v>
      </c>
      <c r="E404" t="s">
        <v>89</v>
      </c>
      <c r="F404" s="1">
        <v>37324</v>
      </c>
      <c r="G404" s="28">
        <v>19</v>
      </c>
      <c r="H404" s="26">
        <v>69702</v>
      </c>
      <c r="I404" t="s">
        <v>613</v>
      </c>
      <c r="J404" t="s">
        <v>46</v>
      </c>
      <c r="K404" t="s">
        <v>17</v>
      </c>
      <c r="L404" t="s">
        <v>41</v>
      </c>
      <c r="M404" t="s">
        <v>1489</v>
      </c>
      <c r="N404" s="7">
        <f t="shared" si="12"/>
        <v>836424</v>
      </c>
      <c r="O404" s="7">
        <f t="shared" si="13"/>
        <v>6970.2000000000007</v>
      </c>
    </row>
    <row r="405" spans="1:15" x14ac:dyDescent="0.35">
      <c r="A405" s="5">
        <v>404</v>
      </c>
      <c r="B405" t="s">
        <v>375</v>
      </c>
      <c r="C405" t="s">
        <v>820</v>
      </c>
      <c r="D405" t="s">
        <v>1486</v>
      </c>
      <c r="E405" t="s">
        <v>148</v>
      </c>
      <c r="F405" s="1">
        <v>45288</v>
      </c>
      <c r="G405" s="28">
        <v>11</v>
      </c>
      <c r="H405" s="26">
        <v>43366</v>
      </c>
      <c r="I405" t="s">
        <v>821</v>
      </c>
      <c r="J405" t="s">
        <v>55</v>
      </c>
      <c r="K405" t="s">
        <v>17</v>
      </c>
      <c r="L405" t="s">
        <v>112</v>
      </c>
      <c r="M405" t="s">
        <v>1489</v>
      </c>
      <c r="N405" s="7">
        <f t="shared" si="12"/>
        <v>520392</v>
      </c>
      <c r="O405" s="7">
        <f t="shared" si="13"/>
        <v>4336.6000000000004</v>
      </c>
    </row>
    <row r="406" spans="1:15" x14ac:dyDescent="0.35">
      <c r="A406" s="5">
        <v>405</v>
      </c>
      <c r="B406" t="s">
        <v>83</v>
      </c>
      <c r="C406" t="s">
        <v>822</v>
      </c>
      <c r="D406" t="s">
        <v>1485</v>
      </c>
      <c r="E406" t="s">
        <v>100</v>
      </c>
      <c r="F406" s="1">
        <v>38491</v>
      </c>
      <c r="G406" s="28">
        <v>16</v>
      </c>
      <c r="H406" s="26">
        <v>101945</v>
      </c>
      <c r="I406" t="s">
        <v>228</v>
      </c>
      <c r="J406" t="s">
        <v>16</v>
      </c>
      <c r="K406" t="s">
        <v>17</v>
      </c>
      <c r="L406" t="s">
        <v>29</v>
      </c>
      <c r="M406" t="s">
        <v>1489</v>
      </c>
      <c r="N406" s="7">
        <f t="shared" si="12"/>
        <v>1223340</v>
      </c>
      <c r="O406" s="7">
        <f t="shared" si="13"/>
        <v>10194.5</v>
      </c>
    </row>
    <row r="407" spans="1:15" x14ac:dyDescent="0.35">
      <c r="A407" s="5">
        <v>406</v>
      </c>
      <c r="B407" t="s">
        <v>521</v>
      </c>
      <c r="C407" t="s">
        <v>823</v>
      </c>
      <c r="D407" t="s">
        <v>1485</v>
      </c>
      <c r="E407" t="s">
        <v>53</v>
      </c>
      <c r="F407" s="1">
        <v>37653</v>
      </c>
      <c r="G407" s="28">
        <v>18</v>
      </c>
      <c r="H407" s="26">
        <v>54007</v>
      </c>
      <c r="I407" t="s">
        <v>500</v>
      </c>
      <c r="J407" t="s">
        <v>91</v>
      </c>
      <c r="K407" t="s">
        <v>40</v>
      </c>
      <c r="L407" t="s">
        <v>23</v>
      </c>
      <c r="M407" t="s">
        <v>1489</v>
      </c>
      <c r="N407" s="7">
        <f t="shared" si="12"/>
        <v>648084</v>
      </c>
      <c r="O407" s="7">
        <f t="shared" si="13"/>
        <v>5400.7000000000007</v>
      </c>
    </row>
    <row r="408" spans="1:15" x14ac:dyDescent="0.35">
      <c r="A408" s="5">
        <v>407</v>
      </c>
      <c r="B408" t="s">
        <v>233</v>
      </c>
      <c r="C408" t="s">
        <v>824</v>
      </c>
      <c r="D408" t="s">
        <v>1485</v>
      </c>
      <c r="E408" t="s">
        <v>73</v>
      </c>
      <c r="F408" s="1">
        <v>41373</v>
      </c>
      <c r="G408" s="28">
        <v>8</v>
      </c>
      <c r="H408" s="26">
        <v>54704</v>
      </c>
      <c r="I408" t="s">
        <v>430</v>
      </c>
      <c r="J408" t="s">
        <v>28</v>
      </c>
      <c r="K408" t="s">
        <v>17</v>
      </c>
      <c r="L408" t="s">
        <v>41</v>
      </c>
      <c r="M408" t="s">
        <v>1489</v>
      </c>
      <c r="N408" s="7">
        <f t="shared" si="12"/>
        <v>656448</v>
      </c>
      <c r="O408" s="7">
        <f t="shared" si="13"/>
        <v>5470.4000000000005</v>
      </c>
    </row>
    <row r="409" spans="1:15" x14ac:dyDescent="0.35">
      <c r="A409" s="5">
        <v>408</v>
      </c>
      <c r="B409" t="s">
        <v>331</v>
      </c>
      <c r="C409" t="s">
        <v>825</v>
      </c>
      <c r="D409" t="s">
        <v>1486</v>
      </c>
      <c r="E409" t="s">
        <v>14</v>
      </c>
      <c r="F409" s="1">
        <v>44148</v>
      </c>
      <c r="G409" s="28">
        <v>14</v>
      </c>
      <c r="H409" s="26">
        <v>93954</v>
      </c>
      <c r="I409" t="s">
        <v>454</v>
      </c>
      <c r="J409" t="s">
        <v>91</v>
      </c>
      <c r="K409" t="s">
        <v>40</v>
      </c>
      <c r="L409" t="s">
        <v>18</v>
      </c>
      <c r="M409" t="s">
        <v>1489</v>
      </c>
      <c r="N409" s="7">
        <f t="shared" si="12"/>
        <v>1127448</v>
      </c>
      <c r="O409" s="7">
        <f t="shared" si="13"/>
        <v>9395.4</v>
      </c>
    </row>
    <row r="410" spans="1:15" x14ac:dyDescent="0.35">
      <c r="A410" s="5">
        <v>409</v>
      </c>
      <c r="B410" t="s">
        <v>268</v>
      </c>
      <c r="C410" t="s">
        <v>826</v>
      </c>
      <c r="D410" t="s">
        <v>1486</v>
      </c>
      <c r="E410" t="s">
        <v>89</v>
      </c>
      <c r="F410" s="1">
        <v>43943</v>
      </c>
      <c r="G410" s="28">
        <v>14</v>
      </c>
      <c r="H410" s="26">
        <v>58235</v>
      </c>
      <c r="I410" t="s">
        <v>430</v>
      </c>
      <c r="J410" t="s">
        <v>50</v>
      </c>
      <c r="K410" t="s">
        <v>40</v>
      </c>
      <c r="L410" t="s">
        <v>41</v>
      </c>
      <c r="M410" t="s">
        <v>1489</v>
      </c>
      <c r="N410" s="7">
        <f t="shared" si="12"/>
        <v>698820</v>
      </c>
      <c r="O410" s="7">
        <f t="shared" si="13"/>
        <v>5823.5</v>
      </c>
    </row>
    <row r="411" spans="1:15" x14ac:dyDescent="0.35">
      <c r="A411" s="5">
        <v>410</v>
      </c>
      <c r="B411" t="s">
        <v>51</v>
      </c>
      <c r="C411" t="s">
        <v>827</v>
      </c>
      <c r="D411" t="s">
        <v>1486</v>
      </c>
      <c r="E411" t="s">
        <v>44</v>
      </c>
      <c r="F411" s="1">
        <v>45664</v>
      </c>
      <c r="G411" s="28">
        <v>9</v>
      </c>
      <c r="H411" s="26">
        <v>148940</v>
      </c>
      <c r="I411" t="s">
        <v>247</v>
      </c>
      <c r="J411" t="s">
        <v>50</v>
      </c>
      <c r="K411" t="s">
        <v>40</v>
      </c>
      <c r="L411" t="s">
        <v>29</v>
      </c>
      <c r="M411" t="s">
        <v>1489</v>
      </c>
      <c r="N411" s="7">
        <f t="shared" si="12"/>
        <v>1787280</v>
      </c>
      <c r="O411" s="7">
        <f t="shared" si="13"/>
        <v>14894</v>
      </c>
    </row>
    <row r="412" spans="1:15" x14ac:dyDescent="0.35">
      <c r="A412" s="5">
        <v>411</v>
      </c>
      <c r="B412" t="s">
        <v>423</v>
      </c>
      <c r="C412" t="s">
        <v>828</v>
      </c>
      <c r="D412" t="s">
        <v>1485</v>
      </c>
      <c r="E412" t="s">
        <v>85</v>
      </c>
      <c r="F412" s="1">
        <v>37720</v>
      </c>
      <c r="G412" s="28">
        <v>18</v>
      </c>
      <c r="H412" s="26">
        <v>110615</v>
      </c>
      <c r="I412" t="s">
        <v>539</v>
      </c>
      <c r="J412" t="s">
        <v>50</v>
      </c>
      <c r="K412" t="s">
        <v>40</v>
      </c>
      <c r="L412" t="s">
        <v>41</v>
      </c>
      <c r="M412" t="s">
        <v>1489</v>
      </c>
      <c r="N412" s="7">
        <f t="shared" si="12"/>
        <v>1327380</v>
      </c>
      <c r="O412" s="7">
        <f t="shared" si="13"/>
        <v>11061.5</v>
      </c>
    </row>
    <row r="413" spans="1:15" x14ac:dyDescent="0.35">
      <c r="A413" s="5">
        <v>412</v>
      </c>
      <c r="B413" t="s">
        <v>233</v>
      </c>
      <c r="C413" t="s">
        <v>829</v>
      </c>
      <c r="D413" t="s">
        <v>1485</v>
      </c>
      <c r="E413" t="s">
        <v>32</v>
      </c>
      <c r="F413" s="1">
        <v>40922</v>
      </c>
      <c r="G413" s="28">
        <v>9</v>
      </c>
      <c r="H413" s="26">
        <v>94596</v>
      </c>
      <c r="I413" t="s">
        <v>228</v>
      </c>
      <c r="J413" t="s">
        <v>46</v>
      </c>
      <c r="K413" t="s">
        <v>17</v>
      </c>
      <c r="L413" t="s">
        <v>34</v>
      </c>
      <c r="M413" t="s">
        <v>1489</v>
      </c>
      <c r="N413" s="7">
        <f t="shared" si="12"/>
        <v>1135152</v>
      </c>
      <c r="O413" s="7">
        <f t="shared" si="13"/>
        <v>9459.6</v>
      </c>
    </row>
    <row r="414" spans="1:15" x14ac:dyDescent="0.35">
      <c r="A414" s="5">
        <v>413</v>
      </c>
      <c r="B414" t="s">
        <v>830</v>
      </c>
      <c r="C414" t="s">
        <v>831</v>
      </c>
      <c r="D414" t="s">
        <v>1486</v>
      </c>
      <c r="E414" t="s">
        <v>203</v>
      </c>
      <c r="F414" s="1">
        <v>44458</v>
      </c>
      <c r="G414" s="28">
        <v>13</v>
      </c>
      <c r="H414" s="26">
        <v>94502</v>
      </c>
      <c r="I414" t="s">
        <v>45</v>
      </c>
      <c r="J414" t="s">
        <v>46</v>
      </c>
      <c r="K414" t="s">
        <v>17</v>
      </c>
      <c r="L414" t="s">
        <v>41</v>
      </c>
      <c r="M414" t="s">
        <v>1489</v>
      </c>
      <c r="N414" s="7">
        <f t="shared" si="12"/>
        <v>1134024</v>
      </c>
      <c r="O414" s="7">
        <f t="shared" si="13"/>
        <v>9450.2000000000007</v>
      </c>
    </row>
    <row r="415" spans="1:15" x14ac:dyDescent="0.35">
      <c r="A415" s="5">
        <v>414</v>
      </c>
      <c r="B415" t="s">
        <v>519</v>
      </c>
      <c r="C415" t="s">
        <v>832</v>
      </c>
      <c r="D415" t="s">
        <v>1485</v>
      </c>
      <c r="E415" t="s">
        <v>79</v>
      </c>
      <c r="F415" s="1">
        <v>40765</v>
      </c>
      <c r="G415" s="28">
        <v>10</v>
      </c>
      <c r="H415" s="26">
        <v>72505</v>
      </c>
      <c r="I415" t="s">
        <v>204</v>
      </c>
      <c r="J415" t="s">
        <v>28</v>
      </c>
      <c r="K415" t="s">
        <v>17</v>
      </c>
      <c r="L415" t="s">
        <v>41</v>
      </c>
      <c r="M415" t="s">
        <v>1489</v>
      </c>
      <c r="N415" s="7">
        <f t="shared" si="12"/>
        <v>870060</v>
      </c>
      <c r="O415" s="7">
        <f t="shared" si="13"/>
        <v>7250.5</v>
      </c>
    </row>
    <row r="416" spans="1:15" x14ac:dyDescent="0.35">
      <c r="A416" s="5">
        <v>415</v>
      </c>
      <c r="B416" t="s">
        <v>645</v>
      </c>
      <c r="C416" t="s">
        <v>833</v>
      </c>
      <c r="D416" t="s">
        <v>1485</v>
      </c>
      <c r="E416" t="s">
        <v>53</v>
      </c>
      <c r="F416" s="1">
        <v>37060</v>
      </c>
      <c r="G416" s="28">
        <v>20</v>
      </c>
      <c r="H416" s="26">
        <v>147150</v>
      </c>
      <c r="I416" t="s">
        <v>430</v>
      </c>
      <c r="J416" t="s">
        <v>50</v>
      </c>
      <c r="K416" t="s">
        <v>40</v>
      </c>
      <c r="L416" t="s">
        <v>23</v>
      </c>
      <c r="M416" t="s">
        <v>1489</v>
      </c>
      <c r="N416" s="7">
        <f t="shared" si="12"/>
        <v>1765800</v>
      </c>
      <c r="O416" s="7">
        <f t="shared" si="13"/>
        <v>14715</v>
      </c>
    </row>
    <row r="417" spans="1:15" x14ac:dyDescent="0.35">
      <c r="A417" s="5">
        <v>416</v>
      </c>
      <c r="B417" t="s">
        <v>465</v>
      </c>
      <c r="C417" t="s">
        <v>834</v>
      </c>
      <c r="D417" t="s">
        <v>1486</v>
      </c>
      <c r="E417" t="s">
        <v>129</v>
      </c>
      <c r="F417" s="1">
        <v>37296</v>
      </c>
      <c r="G417" s="28">
        <v>19</v>
      </c>
      <c r="H417" s="26">
        <v>66313</v>
      </c>
      <c r="I417" t="s">
        <v>613</v>
      </c>
      <c r="J417" t="s">
        <v>91</v>
      </c>
      <c r="K417" t="s">
        <v>40</v>
      </c>
      <c r="L417" t="s">
        <v>41</v>
      </c>
      <c r="M417" t="s">
        <v>1489</v>
      </c>
      <c r="N417" s="7">
        <f t="shared" si="12"/>
        <v>795756</v>
      </c>
      <c r="O417" s="7">
        <f t="shared" si="13"/>
        <v>6631.3</v>
      </c>
    </row>
    <row r="418" spans="1:15" x14ac:dyDescent="0.35">
      <c r="A418" s="5">
        <v>417</v>
      </c>
      <c r="B418" t="s">
        <v>544</v>
      </c>
      <c r="C418" t="s">
        <v>835</v>
      </c>
      <c r="D418" t="s">
        <v>1485</v>
      </c>
      <c r="E418" t="s">
        <v>94</v>
      </c>
      <c r="F418" s="1">
        <v>37564</v>
      </c>
      <c r="G418" s="28">
        <v>19</v>
      </c>
      <c r="H418" s="26">
        <v>97372</v>
      </c>
      <c r="I418" t="s">
        <v>836</v>
      </c>
      <c r="J418" t="s">
        <v>50</v>
      </c>
      <c r="K418" t="s">
        <v>40</v>
      </c>
      <c r="L418" t="s">
        <v>18</v>
      </c>
      <c r="M418" t="s">
        <v>1489</v>
      </c>
      <c r="N418" s="7">
        <f t="shared" si="12"/>
        <v>1168464</v>
      </c>
      <c r="O418" s="7">
        <f t="shared" si="13"/>
        <v>9737.2000000000007</v>
      </c>
    </row>
    <row r="419" spans="1:15" x14ac:dyDescent="0.35">
      <c r="A419" s="5">
        <v>418</v>
      </c>
      <c r="B419" t="s">
        <v>491</v>
      </c>
      <c r="C419" t="s">
        <v>837</v>
      </c>
      <c r="D419" t="s">
        <v>1486</v>
      </c>
      <c r="E419" t="s">
        <v>89</v>
      </c>
      <c r="F419" s="1">
        <v>46297</v>
      </c>
      <c r="G419" s="28">
        <v>8</v>
      </c>
      <c r="H419" s="26">
        <v>149598</v>
      </c>
      <c r="I419" t="s">
        <v>459</v>
      </c>
      <c r="J419" t="s">
        <v>28</v>
      </c>
      <c r="K419" t="s">
        <v>17</v>
      </c>
      <c r="L419" t="s">
        <v>41</v>
      </c>
      <c r="M419" t="s">
        <v>1489</v>
      </c>
      <c r="N419" s="7">
        <f t="shared" si="12"/>
        <v>1795176</v>
      </c>
      <c r="O419" s="7">
        <f t="shared" si="13"/>
        <v>14959.800000000001</v>
      </c>
    </row>
    <row r="420" spans="1:15" x14ac:dyDescent="0.35">
      <c r="A420" s="5">
        <v>419</v>
      </c>
      <c r="B420" t="s">
        <v>182</v>
      </c>
      <c r="C420" t="s">
        <v>838</v>
      </c>
      <c r="D420" t="s">
        <v>1485</v>
      </c>
      <c r="E420" t="s">
        <v>203</v>
      </c>
      <c r="F420" s="1">
        <v>39500</v>
      </c>
      <c r="G420" s="28">
        <v>13</v>
      </c>
      <c r="H420" s="26">
        <v>104224</v>
      </c>
      <c r="I420" t="s">
        <v>397</v>
      </c>
      <c r="J420" t="s">
        <v>91</v>
      </c>
      <c r="K420" t="s">
        <v>40</v>
      </c>
      <c r="L420" t="s">
        <v>41</v>
      </c>
      <c r="M420" t="s">
        <v>1489</v>
      </c>
      <c r="N420" s="7">
        <f t="shared" si="12"/>
        <v>1250688</v>
      </c>
      <c r="O420" s="7">
        <f t="shared" si="13"/>
        <v>10422.400000000001</v>
      </c>
    </row>
    <row r="421" spans="1:15" x14ac:dyDescent="0.35">
      <c r="A421" s="5">
        <v>420</v>
      </c>
      <c r="B421" t="s">
        <v>426</v>
      </c>
      <c r="C421" t="s">
        <v>839</v>
      </c>
      <c r="D421" t="s">
        <v>1486</v>
      </c>
      <c r="E421" t="s">
        <v>44</v>
      </c>
      <c r="F421" s="1">
        <v>44098</v>
      </c>
      <c r="G421" s="28">
        <v>14</v>
      </c>
      <c r="H421" s="26">
        <v>95583</v>
      </c>
      <c r="I421" t="s">
        <v>156</v>
      </c>
      <c r="J421" t="s">
        <v>16</v>
      </c>
      <c r="K421" t="s">
        <v>17</v>
      </c>
      <c r="L421" t="s">
        <v>29</v>
      </c>
      <c r="M421" t="s">
        <v>1489</v>
      </c>
      <c r="N421" s="7">
        <f t="shared" si="12"/>
        <v>1146996</v>
      </c>
      <c r="O421" s="7">
        <f t="shared" si="13"/>
        <v>9558.3000000000011</v>
      </c>
    </row>
    <row r="422" spans="1:15" x14ac:dyDescent="0.35">
      <c r="A422" s="5">
        <v>421</v>
      </c>
      <c r="B422" t="s">
        <v>361</v>
      </c>
      <c r="C422" t="s">
        <v>840</v>
      </c>
      <c r="D422" t="s">
        <v>1486</v>
      </c>
      <c r="E422" t="s">
        <v>238</v>
      </c>
      <c r="F422" s="1">
        <v>36896</v>
      </c>
      <c r="G422" s="28">
        <v>20</v>
      </c>
      <c r="H422" s="26">
        <v>92043</v>
      </c>
      <c r="I422" t="s">
        <v>139</v>
      </c>
      <c r="J422" t="s">
        <v>28</v>
      </c>
      <c r="K422" t="s">
        <v>17</v>
      </c>
      <c r="L422" t="s">
        <v>63</v>
      </c>
      <c r="M422" t="s">
        <v>1489</v>
      </c>
      <c r="N422" s="7">
        <f t="shared" si="12"/>
        <v>1104516</v>
      </c>
      <c r="O422" s="7">
        <f t="shared" si="13"/>
        <v>9204.3000000000011</v>
      </c>
    </row>
    <row r="423" spans="1:15" x14ac:dyDescent="0.35">
      <c r="A423" s="5">
        <v>422</v>
      </c>
      <c r="B423" t="s">
        <v>134</v>
      </c>
      <c r="C423" t="s">
        <v>841</v>
      </c>
      <c r="D423" t="s">
        <v>1486</v>
      </c>
      <c r="E423" t="s">
        <v>14</v>
      </c>
      <c r="F423" s="1">
        <v>44821</v>
      </c>
      <c r="G423" s="28">
        <v>12</v>
      </c>
      <c r="H423" s="26">
        <v>118307</v>
      </c>
      <c r="I423" t="s">
        <v>842</v>
      </c>
      <c r="J423" t="s">
        <v>46</v>
      </c>
      <c r="K423" t="s">
        <v>17</v>
      </c>
      <c r="L423" t="s">
        <v>18</v>
      </c>
      <c r="M423" t="s">
        <v>1489</v>
      </c>
      <c r="N423" s="7">
        <f t="shared" si="12"/>
        <v>1419684</v>
      </c>
      <c r="O423" s="7">
        <f t="shared" si="13"/>
        <v>11830.7</v>
      </c>
    </row>
    <row r="424" spans="1:15" x14ac:dyDescent="0.35">
      <c r="A424" s="5">
        <v>423</v>
      </c>
      <c r="B424" t="s">
        <v>560</v>
      </c>
      <c r="C424" t="s">
        <v>843</v>
      </c>
      <c r="D424" t="s">
        <v>1486</v>
      </c>
      <c r="E424" t="s">
        <v>32</v>
      </c>
      <c r="F424" s="1">
        <v>45423</v>
      </c>
      <c r="G424" s="28">
        <v>10</v>
      </c>
      <c r="H424" s="26">
        <v>145281</v>
      </c>
      <c r="I424" t="s">
        <v>196</v>
      </c>
      <c r="J424" t="s">
        <v>55</v>
      </c>
      <c r="K424" t="s">
        <v>17</v>
      </c>
      <c r="L424" t="s">
        <v>34</v>
      </c>
      <c r="M424" t="s">
        <v>1489</v>
      </c>
      <c r="N424" s="7">
        <f t="shared" si="12"/>
        <v>1743372</v>
      </c>
      <c r="O424" s="7">
        <f t="shared" si="13"/>
        <v>14528.1</v>
      </c>
    </row>
    <row r="425" spans="1:15" x14ac:dyDescent="0.35">
      <c r="A425" s="5">
        <v>424</v>
      </c>
      <c r="B425" t="s">
        <v>671</v>
      </c>
      <c r="C425" t="s">
        <v>844</v>
      </c>
      <c r="D425" t="s">
        <v>1486</v>
      </c>
      <c r="E425" t="s">
        <v>89</v>
      </c>
      <c r="F425" s="1">
        <v>46254</v>
      </c>
      <c r="G425" s="28">
        <v>8</v>
      </c>
      <c r="H425" s="26">
        <v>148640</v>
      </c>
      <c r="I425" t="s">
        <v>510</v>
      </c>
      <c r="J425" t="s">
        <v>55</v>
      </c>
      <c r="K425" t="s">
        <v>17</v>
      </c>
      <c r="L425" t="s">
        <v>41</v>
      </c>
      <c r="M425" t="s">
        <v>1489</v>
      </c>
      <c r="N425" s="7">
        <f t="shared" si="12"/>
        <v>1783680</v>
      </c>
      <c r="O425" s="7">
        <f t="shared" si="13"/>
        <v>14864</v>
      </c>
    </row>
    <row r="426" spans="1:15" x14ac:dyDescent="0.35">
      <c r="A426" s="5">
        <v>425</v>
      </c>
      <c r="B426" t="s">
        <v>845</v>
      </c>
      <c r="C426" t="s">
        <v>846</v>
      </c>
      <c r="D426" t="s">
        <v>1486</v>
      </c>
      <c r="E426" t="s">
        <v>14</v>
      </c>
      <c r="F426" s="1">
        <v>36776</v>
      </c>
      <c r="G426" s="28">
        <v>21</v>
      </c>
      <c r="H426" s="26">
        <v>125523</v>
      </c>
      <c r="I426" t="s">
        <v>22</v>
      </c>
      <c r="J426" t="s">
        <v>39</v>
      </c>
      <c r="K426" t="s">
        <v>40</v>
      </c>
      <c r="L426" t="s">
        <v>18</v>
      </c>
      <c r="M426" t="s">
        <v>1489</v>
      </c>
      <c r="N426" s="7">
        <f t="shared" si="12"/>
        <v>1506276</v>
      </c>
      <c r="O426" s="7">
        <f t="shared" si="13"/>
        <v>12552.300000000001</v>
      </c>
    </row>
    <row r="427" spans="1:15" x14ac:dyDescent="0.35">
      <c r="A427" s="5">
        <v>426</v>
      </c>
      <c r="B427" t="s">
        <v>512</v>
      </c>
      <c r="C427" t="s">
        <v>847</v>
      </c>
      <c r="D427" t="s">
        <v>1485</v>
      </c>
      <c r="E427" t="s">
        <v>85</v>
      </c>
      <c r="F427" s="1">
        <v>39825</v>
      </c>
      <c r="G427" s="28">
        <v>12</v>
      </c>
      <c r="H427" s="26">
        <v>49503</v>
      </c>
      <c r="I427" t="s">
        <v>209</v>
      </c>
      <c r="J427" t="s">
        <v>91</v>
      </c>
      <c r="K427" t="s">
        <v>40</v>
      </c>
      <c r="L427" t="s">
        <v>41</v>
      </c>
      <c r="M427" t="s">
        <v>1489</v>
      </c>
      <c r="N427" s="7">
        <f t="shared" si="12"/>
        <v>594036</v>
      </c>
      <c r="O427" s="7">
        <f t="shared" si="13"/>
        <v>4950.3</v>
      </c>
    </row>
    <row r="428" spans="1:15" x14ac:dyDescent="0.35">
      <c r="A428" s="5">
        <v>427</v>
      </c>
      <c r="B428" t="s">
        <v>642</v>
      </c>
      <c r="C428" t="s">
        <v>848</v>
      </c>
      <c r="D428" t="s">
        <v>1486</v>
      </c>
      <c r="E428" t="s">
        <v>21</v>
      </c>
      <c r="F428" s="1">
        <v>36779</v>
      </c>
      <c r="G428" s="28">
        <v>21</v>
      </c>
      <c r="H428" s="26">
        <v>146611</v>
      </c>
      <c r="I428" t="s">
        <v>374</v>
      </c>
      <c r="J428" t="s">
        <v>39</v>
      </c>
      <c r="K428" t="s">
        <v>40</v>
      </c>
      <c r="L428" t="s">
        <v>23</v>
      </c>
      <c r="M428" t="s">
        <v>1489</v>
      </c>
      <c r="N428" s="7">
        <f t="shared" si="12"/>
        <v>1759332</v>
      </c>
      <c r="O428" s="7">
        <f t="shared" si="13"/>
        <v>14661.1</v>
      </c>
    </row>
    <row r="429" spans="1:15" x14ac:dyDescent="0.35">
      <c r="A429" s="5">
        <v>428</v>
      </c>
      <c r="B429" t="s">
        <v>71</v>
      </c>
      <c r="C429" t="s">
        <v>849</v>
      </c>
      <c r="D429" t="s">
        <v>1486</v>
      </c>
      <c r="E429" t="s">
        <v>21</v>
      </c>
      <c r="F429" s="1">
        <v>45696</v>
      </c>
      <c r="G429" s="28">
        <v>9</v>
      </c>
      <c r="H429" s="26">
        <v>125465</v>
      </c>
      <c r="I429" t="s">
        <v>527</v>
      </c>
      <c r="J429" t="s">
        <v>46</v>
      </c>
      <c r="K429" t="s">
        <v>17</v>
      </c>
      <c r="L429" t="s">
        <v>23</v>
      </c>
      <c r="M429" t="s">
        <v>1489</v>
      </c>
      <c r="N429" s="7">
        <f t="shared" si="12"/>
        <v>1505580</v>
      </c>
      <c r="O429" s="7">
        <f t="shared" si="13"/>
        <v>12546.5</v>
      </c>
    </row>
    <row r="430" spans="1:15" x14ac:dyDescent="0.35">
      <c r="A430" s="5">
        <v>429</v>
      </c>
      <c r="B430" t="s">
        <v>284</v>
      </c>
      <c r="C430" t="s">
        <v>850</v>
      </c>
      <c r="D430" t="s">
        <v>1486</v>
      </c>
      <c r="E430" t="s">
        <v>69</v>
      </c>
      <c r="F430" s="1">
        <v>37644</v>
      </c>
      <c r="G430" s="28">
        <v>18</v>
      </c>
      <c r="H430" s="26">
        <v>75024</v>
      </c>
      <c r="I430" t="s">
        <v>490</v>
      </c>
      <c r="J430" t="s">
        <v>50</v>
      </c>
      <c r="K430" t="s">
        <v>40</v>
      </c>
      <c r="L430" t="s">
        <v>41</v>
      </c>
      <c r="M430" t="s">
        <v>1489</v>
      </c>
      <c r="N430" s="7">
        <f t="shared" si="12"/>
        <v>900288</v>
      </c>
      <c r="O430" s="7">
        <f t="shared" si="13"/>
        <v>7502.4000000000005</v>
      </c>
    </row>
    <row r="431" spans="1:15" x14ac:dyDescent="0.35">
      <c r="A431" s="5">
        <v>430</v>
      </c>
      <c r="B431" t="s">
        <v>766</v>
      </c>
      <c r="C431" t="s">
        <v>851</v>
      </c>
      <c r="D431" t="s">
        <v>1485</v>
      </c>
      <c r="E431" t="s">
        <v>21</v>
      </c>
      <c r="F431" s="1">
        <v>40841</v>
      </c>
      <c r="G431" s="28">
        <v>10</v>
      </c>
      <c r="H431" s="26">
        <v>60793</v>
      </c>
      <c r="I431" t="s">
        <v>204</v>
      </c>
      <c r="J431" t="s">
        <v>39</v>
      </c>
      <c r="K431" t="s">
        <v>40</v>
      </c>
      <c r="L431" t="s">
        <v>23</v>
      </c>
      <c r="M431" t="s">
        <v>1489</v>
      </c>
      <c r="N431" s="7">
        <f t="shared" si="12"/>
        <v>729516</v>
      </c>
      <c r="O431" s="7">
        <f t="shared" si="13"/>
        <v>6079.3</v>
      </c>
    </row>
    <row r="432" spans="1:15" x14ac:dyDescent="0.35">
      <c r="A432" s="5">
        <v>431</v>
      </c>
      <c r="B432" t="s">
        <v>852</v>
      </c>
      <c r="C432" t="s">
        <v>853</v>
      </c>
      <c r="D432" t="s">
        <v>1486</v>
      </c>
      <c r="E432" t="s">
        <v>44</v>
      </c>
      <c r="F432" s="1">
        <v>45083</v>
      </c>
      <c r="G432" s="28">
        <v>11</v>
      </c>
      <c r="H432" s="26">
        <v>110744</v>
      </c>
      <c r="I432" t="s">
        <v>133</v>
      </c>
      <c r="J432" t="s">
        <v>16</v>
      </c>
      <c r="K432" t="s">
        <v>17</v>
      </c>
      <c r="L432" t="s">
        <v>29</v>
      </c>
      <c r="M432" t="s">
        <v>1489</v>
      </c>
      <c r="N432" s="7">
        <f t="shared" si="12"/>
        <v>1328928</v>
      </c>
      <c r="O432" s="7">
        <f t="shared" si="13"/>
        <v>11074.400000000001</v>
      </c>
    </row>
    <row r="433" spans="1:15" x14ac:dyDescent="0.35">
      <c r="A433" s="5">
        <v>432</v>
      </c>
      <c r="B433" t="s">
        <v>622</v>
      </c>
      <c r="C433" t="s">
        <v>854</v>
      </c>
      <c r="D433" t="s">
        <v>1486</v>
      </c>
      <c r="E433" t="s">
        <v>32</v>
      </c>
      <c r="F433" s="1">
        <v>38950</v>
      </c>
      <c r="G433" s="28">
        <v>15</v>
      </c>
      <c r="H433" s="26">
        <v>46653</v>
      </c>
      <c r="I433" t="s">
        <v>204</v>
      </c>
      <c r="J433" t="s">
        <v>55</v>
      </c>
      <c r="K433" t="s">
        <v>17</v>
      </c>
      <c r="L433" t="s">
        <v>34</v>
      </c>
      <c r="M433" t="s">
        <v>1489</v>
      </c>
      <c r="N433" s="7">
        <f t="shared" si="12"/>
        <v>559836</v>
      </c>
      <c r="O433" s="7">
        <f t="shared" si="13"/>
        <v>4665.3</v>
      </c>
    </row>
    <row r="434" spans="1:15" x14ac:dyDescent="0.35">
      <c r="A434" s="5">
        <v>433</v>
      </c>
      <c r="B434" t="s">
        <v>816</v>
      </c>
      <c r="C434" t="s">
        <v>855</v>
      </c>
      <c r="D434" t="s">
        <v>1485</v>
      </c>
      <c r="E434" t="s">
        <v>79</v>
      </c>
      <c r="F434" s="1">
        <v>41763</v>
      </c>
      <c r="G434" s="28">
        <v>7</v>
      </c>
      <c r="H434" s="26">
        <v>114919</v>
      </c>
      <c r="I434" t="s">
        <v>232</v>
      </c>
      <c r="J434" t="s">
        <v>39</v>
      </c>
      <c r="K434" t="s">
        <v>40</v>
      </c>
      <c r="L434" t="s">
        <v>41</v>
      </c>
      <c r="M434" t="s">
        <v>1489</v>
      </c>
      <c r="N434" s="7">
        <f t="shared" si="12"/>
        <v>1379028</v>
      </c>
      <c r="O434" s="7">
        <f t="shared" si="13"/>
        <v>11491.900000000001</v>
      </c>
    </row>
    <row r="435" spans="1:15" x14ac:dyDescent="0.35">
      <c r="A435" s="5">
        <v>434</v>
      </c>
      <c r="B435" t="s">
        <v>856</v>
      </c>
      <c r="C435" t="s">
        <v>857</v>
      </c>
      <c r="D435" t="s">
        <v>1486</v>
      </c>
      <c r="E435" t="s">
        <v>14</v>
      </c>
      <c r="F435" s="1">
        <v>36731</v>
      </c>
      <c r="G435" s="28">
        <v>21</v>
      </c>
      <c r="H435" s="26">
        <v>98733</v>
      </c>
      <c r="I435" t="s">
        <v>149</v>
      </c>
      <c r="J435" t="s">
        <v>55</v>
      </c>
      <c r="K435" t="s">
        <v>17</v>
      </c>
      <c r="L435" t="s">
        <v>18</v>
      </c>
      <c r="M435" t="s">
        <v>1489</v>
      </c>
      <c r="N435" s="7">
        <f t="shared" si="12"/>
        <v>1184796</v>
      </c>
      <c r="O435" s="7">
        <f t="shared" si="13"/>
        <v>9873.3000000000011</v>
      </c>
    </row>
    <row r="436" spans="1:15" x14ac:dyDescent="0.35">
      <c r="A436" s="5">
        <v>435</v>
      </c>
      <c r="B436" t="s">
        <v>35</v>
      </c>
      <c r="C436" t="s">
        <v>858</v>
      </c>
      <c r="D436" t="s">
        <v>1486</v>
      </c>
      <c r="E436" t="s">
        <v>203</v>
      </c>
      <c r="F436" s="1">
        <v>44431</v>
      </c>
      <c r="G436" s="28">
        <v>13</v>
      </c>
      <c r="H436" s="26">
        <v>139775</v>
      </c>
      <c r="I436" t="s">
        <v>287</v>
      </c>
      <c r="J436" t="s">
        <v>46</v>
      </c>
      <c r="K436" t="s">
        <v>17</v>
      </c>
      <c r="L436" t="s">
        <v>41</v>
      </c>
      <c r="M436" t="s">
        <v>1489</v>
      </c>
      <c r="N436" s="7">
        <f t="shared" si="12"/>
        <v>1677300</v>
      </c>
      <c r="O436" s="7">
        <f t="shared" si="13"/>
        <v>13977.5</v>
      </c>
    </row>
    <row r="437" spans="1:15" x14ac:dyDescent="0.35">
      <c r="A437" s="5">
        <v>436</v>
      </c>
      <c r="B437" t="s">
        <v>852</v>
      </c>
      <c r="C437" t="s">
        <v>859</v>
      </c>
      <c r="D437" t="s">
        <v>1486</v>
      </c>
      <c r="E437" t="s">
        <v>32</v>
      </c>
      <c r="F437" s="1">
        <v>38482</v>
      </c>
      <c r="G437" s="28">
        <v>16</v>
      </c>
      <c r="H437" s="26">
        <v>69559</v>
      </c>
      <c r="I437" t="s">
        <v>733</v>
      </c>
      <c r="J437" t="s">
        <v>28</v>
      </c>
      <c r="K437" t="s">
        <v>17</v>
      </c>
      <c r="L437" t="s">
        <v>34</v>
      </c>
      <c r="M437" t="s">
        <v>1489</v>
      </c>
      <c r="N437" s="7">
        <f t="shared" si="12"/>
        <v>834708</v>
      </c>
      <c r="O437" s="7">
        <f t="shared" si="13"/>
        <v>6955.9000000000005</v>
      </c>
    </row>
    <row r="438" spans="1:15" x14ac:dyDescent="0.35">
      <c r="A438" s="5">
        <v>437</v>
      </c>
      <c r="B438" t="s">
        <v>414</v>
      </c>
      <c r="C438" t="s">
        <v>860</v>
      </c>
      <c r="D438" t="s">
        <v>1485</v>
      </c>
      <c r="E438" t="s">
        <v>61</v>
      </c>
      <c r="F438" s="1">
        <v>39273</v>
      </c>
      <c r="G438" s="28">
        <v>14</v>
      </c>
      <c r="H438" s="26">
        <v>48934</v>
      </c>
      <c r="I438" t="s">
        <v>169</v>
      </c>
      <c r="J438" t="s">
        <v>50</v>
      </c>
      <c r="K438" t="s">
        <v>40</v>
      </c>
      <c r="L438" t="s">
        <v>63</v>
      </c>
      <c r="M438" t="s">
        <v>1489</v>
      </c>
      <c r="N438" s="7">
        <f t="shared" si="12"/>
        <v>587208</v>
      </c>
      <c r="O438" s="7">
        <f t="shared" si="13"/>
        <v>4893.4000000000005</v>
      </c>
    </row>
    <row r="439" spans="1:15" x14ac:dyDescent="0.35">
      <c r="A439" s="5">
        <v>438</v>
      </c>
      <c r="B439" t="s">
        <v>508</v>
      </c>
      <c r="C439" t="s">
        <v>861</v>
      </c>
      <c r="D439" t="s">
        <v>1485</v>
      </c>
      <c r="E439" t="s">
        <v>37</v>
      </c>
      <c r="F439" s="1">
        <v>41754</v>
      </c>
      <c r="G439" s="28">
        <v>7</v>
      </c>
      <c r="H439" s="26">
        <v>79980</v>
      </c>
      <c r="I439" t="s">
        <v>391</v>
      </c>
      <c r="J439" t="s">
        <v>91</v>
      </c>
      <c r="K439" t="s">
        <v>40</v>
      </c>
      <c r="L439" t="s">
        <v>41</v>
      </c>
      <c r="M439" t="s">
        <v>1489</v>
      </c>
      <c r="N439" s="7">
        <f t="shared" si="12"/>
        <v>959760</v>
      </c>
      <c r="O439" s="7">
        <f t="shared" si="13"/>
        <v>7998</v>
      </c>
    </row>
    <row r="440" spans="1:15" x14ac:dyDescent="0.35">
      <c r="A440" s="5">
        <v>439</v>
      </c>
      <c r="B440" t="s">
        <v>210</v>
      </c>
      <c r="C440" t="s">
        <v>862</v>
      </c>
      <c r="D440" t="s">
        <v>1485</v>
      </c>
      <c r="E440" t="s">
        <v>69</v>
      </c>
      <c r="F440" s="1">
        <v>37347</v>
      </c>
      <c r="G440" s="28">
        <v>19</v>
      </c>
      <c r="H440" s="26">
        <v>108854</v>
      </c>
      <c r="I440" t="s">
        <v>181</v>
      </c>
      <c r="J440" t="s">
        <v>55</v>
      </c>
      <c r="K440" t="s">
        <v>17</v>
      </c>
      <c r="L440" t="s">
        <v>41</v>
      </c>
      <c r="M440" t="s">
        <v>1489</v>
      </c>
      <c r="N440" s="7">
        <f t="shared" si="12"/>
        <v>1306248</v>
      </c>
      <c r="O440" s="7">
        <f t="shared" si="13"/>
        <v>10885.400000000001</v>
      </c>
    </row>
    <row r="441" spans="1:15" x14ac:dyDescent="0.35">
      <c r="A441" s="5">
        <v>440</v>
      </c>
      <c r="B441" t="s">
        <v>622</v>
      </c>
      <c r="C441" t="s">
        <v>863</v>
      </c>
      <c r="D441" t="s">
        <v>1485</v>
      </c>
      <c r="E441" t="s">
        <v>122</v>
      </c>
      <c r="F441" s="1">
        <v>39105</v>
      </c>
      <c r="G441" s="28">
        <v>14</v>
      </c>
      <c r="H441" s="26">
        <v>128105</v>
      </c>
      <c r="I441" t="s">
        <v>581</v>
      </c>
      <c r="J441" t="s">
        <v>39</v>
      </c>
      <c r="K441" t="s">
        <v>40</v>
      </c>
      <c r="L441" t="s">
        <v>123</v>
      </c>
      <c r="M441" t="s">
        <v>1489</v>
      </c>
      <c r="N441" s="7">
        <f t="shared" si="12"/>
        <v>1537260</v>
      </c>
      <c r="O441" s="7">
        <f t="shared" si="13"/>
        <v>12810.5</v>
      </c>
    </row>
    <row r="442" spans="1:15" x14ac:dyDescent="0.35">
      <c r="A442" s="5">
        <v>441</v>
      </c>
      <c r="B442" t="s">
        <v>864</v>
      </c>
      <c r="C442" t="s">
        <v>865</v>
      </c>
      <c r="D442" t="s">
        <v>1485</v>
      </c>
      <c r="E442" t="s">
        <v>122</v>
      </c>
      <c r="F442" s="1">
        <v>39609</v>
      </c>
      <c r="G442" s="28">
        <v>13</v>
      </c>
      <c r="H442" s="26">
        <v>71676</v>
      </c>
      <c r="I442" t="s">
        <v>610</v>
      </c>
      <c r="J442" t="s">
        <v>55</v>
      </c>
      <c r="K442" t="s">
        <v>17</v>
      </c>
      <c r="L442" t="s">
        <v>123</v>
      </c>
      <c r="M442" t="s">
        <v>1489</v>
      </c>
      <c r="N442" s="7">
        <f t="shared" si="12"/>
        <v>860112</v>
      </c>
      <c r="O442" s="7">
        <f t="shared" si="13"/>
        <v>7167.6</v>
      </c>
    </row>
    <row r="443" spans="1:15" x14ac:dyDescent="0.35">
      <c r="A443" s="5">
        <v>442</v>
      </c>
      <c r="B443" t="s">
        <v>98</v>
      </c>
      <c r="C443" t="s">
        <v>866</v>
      </c>
      <c r="D443" t="s">
        <v>1486</v>
      </c>
      <c r="E443" t="s">
        <v>238</v>
      </c>
      <c r="F443" s="1">
        <v>44085</v>
      </c>
      <c r="G443" s="28">
        <v>14</v>
      </c>
      <c r="H443" s="26">
        <v>139347</v>
      </c>
      <c r="I443" t="s">
        <v>70</v>
      </c>
      <c r="J443" t="s">
        <v>46</v>
      </c>
      <c r="K443" t="s">
        <v>17</v>
      </c>
      <c r="L443" t="s">
        <v>63</v>
      </c>
      <c r="M443" t="s">
        <v>1489</v>
      </c>
      <c r="N443" s="7">
        <f t="shared" si="12"/>
        <v>1672164</v>
      </c>
      <c r="O443" s="7">
        <f t="shared" si="13"/>
        <v>13934.7</v>
      </c>
    </row>
    <row r="444" spans="1:15" x14ac:dyDescent="0.35">
      <c r="A444" s="5">
        <v>443</v>
      </c>
      <c r="B444" t="s">
        <v>485</v>
      </c>
      <c r="C444" t="s">
        <v>867</v>
      </c>
      <c r="D444" t="s">
        <v>1486</v>
      </c>
      <c r="E444" t="s">
        <v>100</v>
      </c>
      <c r="F444" s="1">
        <v>37315</v>
      </c>
      <c r="G444" s="28">
        <v>19</v>
      </c>
      <c r="H444" s="26">
        <v>80491</v>
      </c>
      <c r="I444" t="s">
        <v>610</v>
      </c>
      <c r="J444" t="s">
        <v>39</v>
      </c>
      <c r="K444" t="s">
        <v>40</v>
      </c>
      <c r="L444" t="s">
        <v>29</v>
      </c>
      <c r="M444" t="s">
        <v>1489</v>
      </c>
      <c r="N444" s="7">
        <f t="shared" si="12"/>
        <v>965892</v>
      </c>
      <c r="O444" s="7">
        <f t="shared" si="13"/>
        <v>8049.1</v>
      </c>
    </row>
    <row r="445" spans="1:15" x14ac:dyDescent="0.35">
      <c r="A445" s="5">
        <v>444</v>
      </c>
      <c r="B445" t="s">
        <v>163</v>
      </c>
      <c r="C445" t="s">
        <v>868</v>
      </c>
      <c r="D445" t="s">
        <v>1486</v>
      </c>
      <c r="E445" t="s">
        <v>44</v>
      </c>
      <c r="F445" s="1">
        <v>45290</v>
      </c>
      <c r="G445" s="28">
        <v>11</v>
      </c>
      <c r="H445" s="26">
        <v>119385</v>
      </c>
      <c r="I445" t="s">
        <v>142</v>
      </c>
      <c r="J445" t="s">
        <v>55</v>
      </c>
      <c r="K445" t="s">
        <v>17</v>
      </c>
      <c r="L445" t="s">
        <v>29</v>
      </c>
      <c r="M445" t="s">
        <v>1489</v>
      </c>
      <c r="N445" s="7">
        <f t="shared" si="12"/>
        <v>1432620</v>
      </c>
      <c r="O445" s="7">
        <f t="shared" si="13"/>
        <v>11938.5</v>
      </c>
    </row>
    <row r="446" spans="1:15" x14ac:dyDescent="0.35">
      <c r="A446" s="5">
        <v>445</v>
      </c>
      <c r="B446" t="s">
        <v>137</v>
      </c>
      <c r="C446" t="s">
        <v>869</v>
      </c>
      <c r="D446" t="s">
        <v>1485</v>
      </c>
      <c r="E446" t="s">
        <v>53</v>
      </c>
      <c r="F446" s="1">
        <v>37338</v>
      </c>
      <c r="G446" s="28">
        <v>19</v>
      </c>
      <c r="H446" s="26">
        <v>149835</v>
      </c>
      <c r="I446" t="s">
        <v>324</v>
      </c>
      <c r="J446" t="s">
        <v>46</v>
      </c>
      <c r="K446" t="s">
        <v>17</v>
      </c>
      <c r="L446" t="s">
        <v>23</v>
      </c>
      <c r="M446" t="s">
        <v>1489</v>
      </c>
      <c r="N446" s="7">
        <f t="shared" si="12"/>
        <v>1798020</v>
      </c>
      <c r="O446" s="7">
        <f t="shared" si="13"/>
        <v>14983.5</v>
      </c>
    </row>
    <row r="447" spans="1:15" x14ac:dyDescent="0.35">
      <c r="A447" s="5">
        <v>446</v>
      </c>
      <c r="B447" t="s">
        <v>154</v>
      </c>
      <c r="C447" t="s">
        <v>870</v>
      </c>
      <c r="D447" t="s">
        <v>1486</v>
      </c>
      <c r="E447" t="s">
        <v>203</v>
      </c>
      <c r="F447" s="1">
        <v>44532</v>
      </c>
      <c r="G447" s="28">
        <v>13</v>
      </c>
      <c r="H447" s="26">
        <v>80137</v>
      </c>
      <c r="I447" t="s">
        <v>115</v>
      </c>
      <c r="J447" t="s">
        <v>16</v>
      </c>
      <c r="K447" t="s">
        <v>17</v>
      </c>
      <c r="L447" t="s">
        <v>41</v>
      </c>
      <c r="M447" t="s">
        <v>1489</v>
      </c>
      <c r="N447" s="7">
        <f t="shared" si="12"/>
        <v>961644</v>
      </c>
      <c r="O447" s="7">
        <f t="shared" si="13"/>
        <v>8013.7000000000007</v>
      </c>
    </row>
    <row r="448" spans="1:15" x14ac:dyDescent="0.35">
      <c r="A448" s="5">
        <v>447</v>
      </c>
      <c r="B448" t="s">
        <v>830</v>
      </c>
      <c r="C448" t="s">
        <v>871</v>
      </c>
      <c r="D448" t="s">
        <v>1485</v>
      </c>
      <c r="E448" t="s">
        <v>89</v>
      </c>
      <c r="F448" s="1">
        <v>36763</v>
      </c>
      <c r="G448" s="28">
        <v>21</v>
      </c>
      <c r="H448" s="26">
        <v>79724</v>
      </c>
      <c r="I448" t="s">
        <v>666</v>
      </c>
      <c r="J448" t="s">
        <v>39</v>
      </c>
      <c r="K448" t="s">
        <v>40</v>
      </c>
      <c r="L448" t="s">
        <v>41</v>
      </c>
      <c r="M448" t="s">
        <v>1489</v>
      </c>
      <c r="N448" s="7">
        <f t="shared" si="12"/>
        <v>956688</v>
      </c>
      <c r="O448" s="7">
        <f t="shared" si="13"/>
        <v>7972.4000000000005</v>
      </c>
    </row>
    <row r="449" spans="1:15" x14ac:dyDescent="0.35">
      <c r="A449" s="5">
        <v>448</v>
      </c>
      <c r="B449" t="s">
        <v>830</v>
      </c>
      <c r="C449" t="s">
        <v>872</v>
      </c>
      <c r="D449" t="s">
        <v>1485</v>
      </c>
      <c r="E449" t="s">
        <v>122</v>
      </c>
      <c r="F449" s="1">
        <v>39989</v>
      </c>
      <c r="G449" s="28">
        <v>12</v>
      </c>
      <c r="H449" s="26">
        <v>102458</v>
      </c>
      <c r="I449" t="s">
        <v>209</v>
      </c>
      <c r="J449" t="s">
        <v>46</v>
      </c>
      <c r="K449" t="s">
        <v>17</v>
      </c>
      <c r="L449" t="s">
        <v>123</v>
      </c>
      <c r="M449" t="s">
        <v>1489</v>
      </c>
      <c r="N449" s="7">
        <f t="shared" si="12"/>
        <v>1229496</v>
      </c>
      <c r="O449" s="7">
        <f t="shared" si="13"/>
        <v>10245.800000000001</v>
      </c>
    </row>
    <row r="450" spans="1:15" x14ac:dyDescent="0.35">
      <c r="A450" s="5">
        <v>449</v>
      </c>
      <c r="B450" t="s">
        <v>873</v>
      </c>
      <c r="C450" t="s">
        <v>874</v>
      </c>
      <c r="D450" t="s">
        <v>1486</v>
      </c>
      <c r="E450" t="s">
        <v>69</v>
      </c>
      <c r="F450" s="1">
        <v>46497</v>
      </c>
      <c r="G450" s="28">
        <v>7</v>
      </c>
      <c r="H450" s="26">
        <v>134205</v>
      </c>
      <c r="I450" t="s">
        <v>736</v>
      </c>
      <c r="J450" t="s">
        <v>55</v>
      </c>
      <c r="K450" t="s">
        <v>17</v>
      </c>
      <c r="L450" t="s">
        <v>41</v>
      </c>
      <c r="M450" t="s">
        <v>1489</v>
      </c>
      <c r="N450" s="7">
        <f t="shared" ref="N450:N513" si="14">H450*12</f>
        <v>1610460</v>
      </c>
      <c r="O450" s="7">
        <f t="shared" ref="O450:O513" si="15">H450*10%</f>
        <v>13420.5</v>
      </c>
    </row>
    <row r="451" spans="1:15" x14ac:dyDescent="0.35">
      <c r="A451" s="5">
        <v>450</v>
      </c>
      <c r="B451" t="s">
        <v>83</v>
      </c>
      <c r="C451" t="s">
        <v>875</v>
      </c>
      <c r="D451" t="s">
        <v>1486</v>
      </c>
      <c r="E451" t="s">
        <v>129</v>
      </c>
      <c r="F451" s="1">
        <v>38128</v>
      </c>
      <c r="G451" s="28">
        <v>17</v>
      </c>
      <c r="H451" s="26">
        <v>76052</v>
      </c>
      <c r="I451" t="s">
        <v>349</v>
      </c>
      <c r="J451" t="s">
        <v>91</v>
      </c>
      <c r="K451" t="s">
        <v>40</v>
      </c>
      <c r="L451" t="s">
        <v>41</v>
      </c>
      <c r="M451" t="s">
        <v>1489</v>
      </c>
      <c r="N451" s="7">
        <f t="shared" si="14"/>
        <v>912624</v>
      </c>
      <c r="O451" s="7">
        <f t="shared" si="15"/>
        <v>7605.2000000000007</v>
      </c>
    </row>
    <row r="452" spans="1:15" x14ac:dyDescent="0.35">
      <c r="A452" s="5">
        <v>451</v>
      </c>
      <c r="B452" t="s">
        <v>421</v>
      </c>
      <c r="C452" t="s">
        <v>876</v>
      </c>
      <c r="D452" t="s">
        <v>1486</v>
      </c>
      <c r="E452" t="s">
        <v>238</v>
      </c>
      <c r="F452" s="1">
        <v>38308</v>
      </c>
      <c r="G452" s="28">
        <v>17</v>
      </c>
      <c r="H452" s="26">
        <v>144608</v>
      </c>
      <c r="I452" t="s">
        <v>709</v>
      </c>
      <c r="J452" t="s">
        <v>55</v>
      </c>
      <c r="K452" t="s">
        <v>17</v>
      </c>
      <c r="L452" t="s">
        <v>63</v>
      </c>
      <c r="M452" t="s">
        <v>1489</v>
      </c>
      <c r="N452" s="7">
        <f t="shared" si="14"/>
        <v>1735296</v>
      </c>
      <c r="O452" s="7">
        <f t="shared" si="15"/>
        <v>14460.800000000001</v>
      </c>
    </row>
    <row r="453" spans="1:15" x14ac:dyDescent="0.35">
      <c r="A453" s="5">
        <v>452</v>
      </c>
      <c r="B453" t="s">
        <v>154</v>
      </c>
      <c r="C453" t="s">
        <v>877</v>
      </c>
      <c r="D453" t="s">
        <v>1486</v>
      </c>
      <c r="E453" t="s">
        <v>53</v>
      </c>
      <c r="F453" s="1">
        <v>36656</v>
      </c>
      <c r="G453" s="28">
        <v>21</v>
      </c>
      <c r="H453" s="26">
        <v>111072</v>
      </c>
      <c r="I453" t="s">
        <v>764</v>
      </c>
      <c r="J453" t="s">
        <v>55</v>
      </c>
      <c r="K453" t="s">
        <v>17</v>
      </c>
      <c r="L453" t="s">
        <v>23</v>
      </c>
      <c r="M453" t="s">
        <v>1489</v>
      </c>
      <c r="N453" s="7">
        <f t="shared" si="14"/>
        <v>1332864</v>
      </c>
      <c r="O453" s="7">
        <f t="shared" si="15"/>
        <v>11107.2</v>
      </c>
    </row>
    <row r="454" spans="1:15" x14ac:dyDescent="0.35">
      <c r="A454" s="5">
        <v>453</v>
      </c>
      <c r="B454" t="s">
        <v>483</v>
      </c>
      <c r="C454" t="s">
        <v>878</v>
      </c>
      <c r="D454" t="s">
        <v>1485</v>
      </c>
      <c r="E454" t="s">
        <v>26</v>
      </c>
      <c r="F454" s="1">
        <v>40202</v>
      </c>
      <c r="G454" s="28">
        <v>11</v>
      </c>
      <c r="H454" s="26">
        <v>126485</v>
      </c>
      <c r="I454" t="s">
        <v>598</v>
      </c>
      <c r="J454" t="s">
        <v>50</v>
      </c>
      <c r="K454" t="s">
        <v>40</v>
      </c>
      <c r="L454" t="s">
        <v>29</v>
      </c>
      <c r="M454" t="s">
        <v>1489</v>
      </c>
      <c r="N454" s="7">
        <f t="shared" si="14"/>
        <v>1517820</v>
      </c>
      <c r="O454" s="7">
        <f t="shared" si="15"/>
        <v>12648.5</v>
      </c>
    </row>
    <row r="455" spans="1:15" x14ac:dyDescent="0.35">
      <c r="A455" s="5">
        <v>454</v>
      </c>
      <c r="B455" t="s">
        <v>124</v>
      </c>
      <c r="C455" t="s">
        <v>879</v>
      </c>
      <c r="D455" t="s">
        <v>1486</v>
      </c>
      <c r="E455" t="s">
        <v>73</v>
      </c>
      <c r="F455" s="1">
        <v>38982</v>
      </c>
      <c r="G455" s="28">
        <v>15</v>
      </c>
      <c r="H455" s="26">
        <v>96388</v>
      </c>
      <c r="I455" t="s">
        <v>336</v>
      </c>
      <c r="J455" t="s">
        <v>50</v>
      </c>
      <c r="K455" t="s">
        <v>40</v>
      </c>
      <c r="L455" t="s">
        <v>41</v>
      </c>
      <c r="M455" t="s">
        <v>1489</v>
      </c>
      <c r="N455" s="7">
        <f t="shared" si="14"/>
        <v>1156656</v>
      </c>
      <c r="O455" s="7">
        <f t="shared" si="15"/>
        <v>9638.8000000000011</v>
      </c>
    </row>
    <row r="456" spans="1:15" x14ac:dyDescent="0.35">
      <c r="A456" s="5">
        <v>455</v>
      </c>
      <c r="B456" t="s">
        <v>157</v>
      </c>
      <c r="C456" t="s">
        <v>880</v>
      </c>
      <c r="D456" t="s">
        <v>1486</v>
      </c>
      <c r="E456" t="s">
        <v>26</v>
      </c>
      <c r="F456" s="1">
        <v>37420</v>
      </c>
      <c r="G456" s="28">
        <v>19</v>
      </c>
      <c r="H456" s="26">
        <v>115506</v>
      </c>
      <c r="I456" t="s">
        <v>223</v>
      </c>
      <c r="J456" t="s">
        <v>16</v>
      </c>
      <c r="K456" t="s">
        <v>17</v>
      </c>
      <c r="L456" t="s">
        <v>29</v>
      </c>
      <c r="M456" t="s">
        <v>1489</v>
      </c>
      <c r="N456" s="7">
        <f t="shared" si="14"/>
        <v>1386072</v>
      </c>
      <c r="O456" s="7">
        <f t="shared" si="15"/>
        <v>11550.6</v>
      </c>
    </row>
    <row r="457" spans="1:15" x14ac:dyDescent="0.35">
      <c r="A457" s="5">
        <v>456</v>
      </c>
      <c r="B457" t="s">
        <v>207</v>
      </c>
      <c r="C457" t="s">
        <v>881</v>
      </c>
      <c r="D457" t="s">
        <v>1486</v>
      </c>
      <c r="E457" t="s">
        <v>100</v>
      </c>
      <c r="F457" s="1">
        <v>45726</v>
      </c>
      <c r="G457" s="28">
        <v>9</v>
      </c>
      <c r="H457" s="26">
        <v>115679</v>
      </c>
      <c r="I457" t="s">
        <v>179</v>
      </c>
      <c r="J457" t="s">
        <v>16</v>
      </c>
      <c r="K457" t="s">
        <v>17</v>
      </c>
      <c r="L457" t="s">
        <v>29</v>
      </c>
      <c r="M457" t="s">
        <v>1489</v>
      </c>
      <c r="N457" s="7">
        <f t="shared" si="14"/>
        <v>1388148</v>
      </c>
      <c r="O457" s="7">
        <f t="shared" si="15"/>
        <v>11567.900000000001</v>
      </c>
    </row>
    <row r="458" spans="1:15" x14ac:dyDescent="0.35">
      <c r="A458" s="5">
        <v>457</v>
      </c>
      <c r="B458" t="s">
        <v>882</v>
      </c>
      <c r="C458" t="s">
        <v>883</v>
      </c>
      <c r="D458" t="s">
        <v>1486</v>
      </c>
      <c r="E458" t="s">
        <v>32</v>
      </c>
      <c r="F458" s="1">
        <v>37236</v>
      </c>
      <c r="G458" s="28">
        <v>20</v>
      </c>
      <c r="H458" s="26">
        <v>133040</v>
      </c>
      <c r="I458" t="s">
        <v>709</v>
      </c>
      <c r="J458" t="s">
        <v>50</v>
      </c>
      <c r="K458" t="s">
        <v>40</v>
      </c>
      <c r="L458" t="s">
        <v>34</v>
      </c>
      <c r="M458" t="s">
        <v>1489</v>
      </c>
      <c r="N458" s="7">
        <f t="shared" si="14"/>
        <v>1596480</v>
      </c>
      <c r="O458" s="7">
        <f t="shared" si="15"/>
        <v>13304</v>
      </c>
    </row>
    <row r="459" spans="1:15" x14ac:dyDescent="0.35">
      <c r="A459" s="5">
        <v>458</v>
      </c>
      <c r="B459" t="s">
        <v>257</v>
      </c>
      <c r="C459" t="s">
        <v>884</v>
      </c>
      <c r="D459" t="s">
        <v>1486</v>
      </c>
      <c r="E459" t="s">
        <v>61</v>
      </c>
      <c r="F459" s="1">
        <v>36660</v>
      </c>
      <c r="G459" s="28">
        <v>21</v>
      </c>
      <c r="H459" s="26">
        <v>91660</v>
      </c>
      <c r="I459" t="s">
        <v>673</v>
      </c>
      <c r="J459" t="s">
        <v>91</v>
      </c>
      <c r="K459" t="s">
        <v>40</v>
      </c>
      <c r="L459" t="s">
        <v>63</v>
      </c>
      <c r="M459" t="s">
        <v>1489</v>
      </c>
      <c r="N459" s="7">
        <f t="shared" si="14"/>
        <v>1099920</v>
      </c>
      <c r="O459" s="7">
        <f t="shared" si="15"/>
        <v>9166</v>
      </c>
    </row>
    <row r="460" spans="1:15" x14ac:dyDescent="0.35">
      <c r="A460" s="5">
        <v>459</v>
      </c>
      <c r="B460" t="s">
        <v>435</v>
      </c>
      <c r="C460" t="s">
        <v>885</v>
      </c>
      <c r="D460" t="s">
        <v>1486</v>
      </c>
      <c r="E460" t="s">
        <v>14</v>
      </c>
      <c r="F460" s="1">
        <v>44824</v>
      </c>
      <c r="G460" s="28">
        <v>12</v>
      </c>
      <c r="H460" s="26">
        <v>136406</v>
      </c>
      <c r="I460" t="s">
        <v>287</v>
      </c>
      <c r="J460" t="s">
        <v>39</v>
      </c>
      <c r="K460" t="s">
        <v>40</v>
      </c>
      <c r="L460" t="s">
        <v>18</v>
      </c>
      <c r="M460" t="s">
        <v>1489</v>
      </c>
      <c r="N460" s="7">
        <f t="shared" si="14"/>
        <v>1636872</v>
      </c>
      <c r="O460" s="7">
        <f t="shared" si="15"/>
        <v>13640.6</v>
      </c>
    </row>
    <row r="461" spans="1:15" x14ac:dyDescent="0.35">
      <c r="A461" s="5">
        <v>460</v>
      </c>
      <c r="B461" t="s">
        <v>59</v>
      </c>
      <c r="C461" t="s">
        <v>886</v>
      </c>
      <c r="D461" t="s">
        <v>1485</v>
      </c>
      <c r="E461" t="s">
        <v>26</v>
      </c>
      <c r="F461" s="1">
        <v>38470</v>
      </c>
      <c r="G461" s="28">
        <v>16</v>
      </c>
      <c r="H461" s="26">
        <v>146167</v>
      </c>
      <c r="I461" t="s">
        <v>537</v>
      </c>
      <c r="J461" t="s">
        <v>91</v>
      </c>
      <c r="K461" t="s">
        <v>40</v>
      </c>
      <c r="L461" t="s">
        <v>29</v>
      </c>
      <c r="M461" t="s">
        <v>1489</v>
      </c>
      <c r="N461" s="7">
        <f t="shared" si="14"/>
        <v>1754004</v>
      </c>
      <c r="O461" s="7">
        <f t="shared" si="15"/>
        <v>14616.7</v>
      </c>
    </row>
    <row r="462" spans="1:15" x14ac:dyDescent="0.35">
      <c r="A462" s="5">
        <v>461</v>
      </c>
      <c r="B462" t="s">
        <v>205</v>
      </c>
      <c r="C462" t="s">
        <v>887</v>
      </c>
      <c r="D462" t="s">
        <v>1486</v>
      </c>
      <c r="E462" t="s">
        <v>122</v>
      </c>
      <c r="F462" s="1">
        <v>37715</v>
      </c>
      <c r="G462" s="28">
        <v>18</v>
      </c>
      <c r="H462" s="26">
        <v>94299</v>
      </c>
      <c r="I462" t="s">
        <v>888</v>
      </c>
      <c r="J462" t="s">
        <v>55</v>
      </c>
      <c r="K462" t="s">
        <v>17</v>
      </c>
      <c r="L462" t="s">
        <v>123</v>
      </c>
      <c r="M462" t="s">
        <v>1489</v>
      </c>
      <c r="N462" s="7">
        <f t="shared" si="14"/>
        <v>1131588</v>
      </c>
      <c r="O462" s="7">
        <f t="shared" si="15"/>
        <v>9429.9</v>
      </c>
    </row>
    <row r="463" spans="1:15" x14ac:dyDescent="0.35">
      <c r="A463" s="5">
        <v>462</v>
      </c>
      <c r="B463" t="s">
        <v>889</v>
      </c>
      <c r="C463" t="s">
        <v>890</v>
      </c>
      <c r="D463" t="s">
        <v>1485</v>
      </c>
      <c r="E463" t="s">
        <v>100</v>
      </c>
      <c r="F463" s="1">
        <v>38199</v>
      </c>
      <c r="G463" s="28">
        <v>17</v>
      </c>
      <c r="H463" s="26">
        <v>56382</v>
      </c>
      <c r="I463" t="s">
        <v>45</v>
      </c>
      <c r="J463" t="s">
        <v>28</v>
      </c>
      <c r="K463" t="s">
        <v>17</v>
      </c>
      <c r="L463" t="s">
        <v>29</v>
      </c>
      <c r="M463" t="s">
        <v>1489</v>
      </c>
      <c r="N463" s="7">
        <f t="shared" si="14"/>
        <v>676584</v>
      </c>
      <c r="O463" s="7">
        <f t="shared" si="15"/>
        <v>5638.2000000000007</v>
      </c>
    </row>
    <row r="464" spans="1:15" x14ac:dyDescent="0.35">
      <c r="A464" s="5">
        <v>463</v>
      </c>
      <c r="B464" t="s">
        <v>293</v>
      </c>
      <c r="C464" t="s">
        <v>891</v>
      </c>
      <c r="D464" t="s">
        <v>1485</v>
      </c>
      <c r="E464" t="s">
        <v>44</v>
      </c>
      <c r="F464" s="1">
        <v>40533</v>
      </c>
      <c r="G464" s="28">
        <v>11</v>
      </c>
      <c r="H464" s="26">
        <v>120160</v>
      </c>
      <c r="I464" t="s">
        <v>806</v>
      </c>
      <c r="J464" t="s">
        <v>28</v>
      </c>
      <c r="K464" t="s">
        <v>17</v>
      </c>
      <c r="L464" t="s">
        <v>29</v>
      </c>
      <c r="M464" t="s">
        <v>1489</v>
      </c>
      <c r="N464" s="7">
        <f t="shared" si="14"/>
        <v>1441920</v>
      </c>
      <c r="O464" s="7">
        <f t="shared" si="15"/>
        <v>12016</v>
      </c>
    </row>
    <row r="465" spans="1:15" x14ac:dyDescent="0.35">
      <c r="A465" s="5">
        <v>464</v>
      </c>
      <c r="B465" t="s">
        <v>830</v>
      </c>
      <c r="C465" t="s">
        <v>892</v>
      </c>
      <c r="D465" t="s">
        <v>1486</v>
      </c>
      <c r="E465" t="s">
        <v>312</v>
      </c>
      <c r="F465" s="1">
        <v>44309</v>
      </c>
      <c r="G465" s="28">
        <v>13</v>
      </c>
      <c r="H465" s="26">
        <v>77060</v>
      </c>
      <c r="I465" t="s">
        <v>583</v>
      </c>
      <c r="J465" t="s">
        <v>28</v>
      </c>
      <c r="K465" t="s">
        <v>17</v>
      </c>
      <c r="L465" t="s">
        <v>41</v>
      </c>
      <c r="M465" t="s">
        <v>1489</v>
      </c>
      <c r="N465" s="7">
        <f t="shared" si="14"/>
        <v>924720</v>
      </c>
      <c r="O465" s="7">
        <f t="shared" si="15"/>
        <v>7706</v>
      </c>
    </row>
    <row r="466" spans="1:15" x14ac:dyDescent="0.35">
      <c r="A466" s="5">
        <v>465</v>
      </c>
      <c r="B466" t="s">
        <v>587</v>
      </c>
      <c r="C466" t="s">
        <v>893</v>
      </c>
      <c r="D466" t="s">
        <v>1485</v>
      </c>
      <c r="E466" t="s">
        <v>14</v>
      </c>
      <c r="F466" s="1">
        <v>39372</v>
      </c>
      <c r="G466" s="28">
        <v>14</v>
      </c>
      <c r="H466" s="26">
        <v>122540</v>
      </c>
      <c r="I466" t="s">
        <v>441</v>
      </c>
      <c r="J466" t="s">
        <v>16</v>
      </c>
      <c r="K466" t="s">
        <v>17</v>
      </c>
      <c r="L466" t="s">
        <v>18</v>
      </c>
      <c r="M466" t="s">
        <v>1489</v>
      </c>
      <c r="N466" s="7">
        <f t="shared" si="14"/>
        <v>1470480</v>
      </c>
      <c r="O466" s="7">
        <f t="shared" si="15"/>
        <v>12254</v>
      </c>
    </row>
    <row r="467" spans="1:15" x14ac:dyDescent="0.35">
      <c r="A467" s="5">
        <v>466</v>
      </c>
      <c r="B467" t="s">
        <v>416</v>
      </c>
      <c r="C467" t="s">
        <v>894</v>
      </c>
      <c r="D467" t="s">
        <v>1486</v>
      </c>
      <c r="E467" t="s">
        <v>79</v>
      </c>
      <c r="F467" s="1">
        <v>44345</v>
      </c>
      <c r="G467" s="28">
        <v>13</v>
      </c>
      <c r="H467" s="26">
        <v>128562</v>
      </c>
      <c r="I467" t="s">
        <v>107</v>
      </c>
      <c r="J467" t="s">
        <v>39</v>
      </c>
      <c r="K467" t="s">
        <v>40</v>
      </c>
      <c r="L467" t="s">
        <v>41</v>
      </c>
      <c r="M467" t="s">
        <v>1489</v>
      </c>
      <c r="N467" s="7">
        <f t="shared" si="14"/>
        <v>1542744</v>
      </c>
      <c r="O467" s="7">
        <f t="shared" si="15"/>
        <v>12856.2</v>
      </c>
    </row>
    <row r="468" spans="1:15" x14ac:dyDescent="0.35">
      <c r="A468" s="5">
        <v>467</v>
      </c>
      <c r="B468" t="s">
        <v>555</v>
      </c>
      <c r="C468" t="s">
        <v>895</v>
      </c>
      <c r="D468" t="s">
        <v>1486</v>
      </c>
      <c r="E468" t="s">
        <v>21</v>
      </c>
      <c r="F468" s="1">
        <v>37330</v>
      </c>
      <c r="G468" s="28">
        <v>19</v>
      </c>
      <c r="H468" s="26">
        <v>60674</v>
      </c>
      <c r="I468" t="s">
        <v>896</v>
      </c>
      <c r="J468" t="s">
        <v>28</v>
      </c>
      <c r="K468" t="s">
        <v>17</v>
      </c>
      <c r="L468" t="s">
        <v>23</v>
      </c>
      <c r="M468" t="s">
        <v>1489</v>
      </c>
      <c r="N468" s="7">
        <f t="shared" si="14"/>
        <v>728088</v>
      </c>
      <c r="O468" s="7">
        <f t="shared" si="15"/>
        <v>6067.4000000000005</v>
      </c>
    </row>
    <row r="469" spans="1:15" x14ac:dyDescent="0.35">
      <c r="A469" s="5">
        <v>468</v>
      </c>
      <c r="B469" t="s">
        <v>192</v>
      </c>
      <c r="C469" t="s">
        <v>897</v>
      </c>
      <c r="D469" t="s">
        <v>1485</v>
      </c>
      <c r="E469" t="s">
        <v>32</v>
      </c>
      <c r="F469" s="1">
        <v>38458</v>
      </c>
      <c r="G469" s="28">
        <v>16</v>
      </c>
      <c r="H469" s="26">
        <v>93609</v>
      </c>
      <c r="I469" t="s">
        <v>253</v>
      </c>
      <c r="J469" t="s">
        <v>50</v>
      </c>
      <c r="K469" t="s">
        <v>40</v>
      </c>
      <c r="L469" t="s">
        <v>34</v>
      </c>
      <c r="M469" t="s">
        <v>1489</v>
      </c>
      <c r="N469" s="7">
        <f t="shared" si="14"/>
        <v>1123308</v>
      </c>
      <c r="O469" s="7">
        <f t="shared" si="15"/>
        <v>9360.9</v>
      </c>
    </row>
    <row r="470" spans="1:15" x14ac:dyDescent="0.35">
      <c r="A470" s="5">
        <v>469</v>
      </c>
      <c r="B470" t="s">
        <v>377</v>
      </c>
      <c r="C470" t="s">
        <v>898</v>
      </c>
      <c r="D470" t="s">
        <v>1486</v>
      </c>
      <c r="E470" t="s">
        <v>85</v>
      </c>
      <c r="F470" s="1">
        <v>45146</v>
      </c>
      <c r="G470" s="28">
        <v>11</v>
      </c>
      <c r="H470" s="26">
        <v>97913</v>
      </c>
      <c r="I470" t="s">
        <v>209</v>
      </c>
      <c r="J470" t="s">
        <v>28</v>
      </c>
      <c r="K470" t="s">
        <v>17</v>
      </c>
      <c r="L470" t="s">
        <v>41</v>
      </c>
      <c r="M470" t="s">
        <v>1489</v>
      </c>
      <c r="N470" s="7">
        <f t="shared" si="14"/>
        <v>1174956</v>
      </c>
      <c r="O470" s="7">
        <f t="shared" si="15"/>
        <v>9791.3000000000011</v>
      </c>
    </row>
    <row r="471" spans="1:15" x14ac:dyDescent="0.35">
      <c r="A471" s="5">
        <v>470</v>
      </c>
      <c r="B471" t="s">
        <v>762</v>
      </c>
      <c r="C471" t="s">
        <v>899</v>
      </c>
      <c r="D471" t="s">
        <v>1486</v>
      </c>
      <c r="E471" t="s">
        <v>37</v>
      </c>
      <c r="F471" s="1">
        <v>38577</v>
      </c>
      <c r="G471" s="28">
        <v>16</v>
      </c>
      <c r="H471" s="26">
        <v>108380</v>
      </c>
      <c r="I471" t="s">
        <v>70</v>
      </c>
      <c r="J471" t="s">
        <v>91</v>
      </c>
      <c r="K471" t="s">
        <v>40</v>
      </c>
      <c r="L471" t="s">
        <v>41</v>
      </c>
      <c r="M471" t="s">
        <v>1489</v>
      </c>
      <c r="N471" s="7">
        <f t="shared" si="14"/>
        <v>1300560</v>
      </c>
      <c r="O471" s="7">
        <f t="shared" si="15"/>
        <v>10838</v>
      </c>
    </row>
    <row r="472" spans="1:15" x14ac:dyDescent="0.35">
      <c r="A472" s="5">
        <v>471</v>
      </c>
      <c r="B472" t="s">
        <v>614</v>
      </c>
      <c r="C472" t="s">
        <v>900</v>
      </c>
      <c r="D472" t="s">
        <v>1486</v>
      </c>
      <c r="E472" t="s">
        <v>73</v>
      </c>
      <c r="F472" s="1">
        <v>44151</v>
      </c>
      <c r="G472" s="28">
        <v>14</v>
      </c>
      <c r="H472" s="26">
        <v>50448</v>
      </c>
      <c r="I472" t="s">
        <v>232</v>
      </c>
      <c r="J472" t="s">
        <v>55</v>
      </c>
      <c r="K472" t="s">
        <v>17</v>
      </c>
      <c r="L472" t="s">
        <v>41</v>
      </c>
      <c r="M472" t="s">
        <v>1489</v>
      </c>
      <c r="N472" s="7">
        <f t="shared" si="14"/>
        <v>605376</v>
      </c>
      <c r="O472" s="7">
        <f t="shared" si="15"/>
        <v>5044.8</v>
      </c>
    </row>
    <row r="473" spans="1:15" x14ac:dyDescent="0.35">
      <c r="A473" s="5">
        <v>472</v>
      </c>
      <c r="B473" t="s">
        <v>675</v>
      </c>
      <c r="C473" t="s">
        <v>901</v>
      </c>
      <c r="D473" t="s">
        <v>1486</v>
      </c>
      <c r="E473" t="s">
        <v>122</v>
      </c>
      <c r="F473" s="1">
        <v>45713</v>
      </c>
      <c r="G473" s="28">
        <v>9</v>
      </c>
      <c r="H473" s="26">
        <v>133781</v>
      </c>
      <c r="I473" t="s">
        <v>902</v>
      </c>
      <c r="J473" t="s">
        <v>55</v>
      </c>
      <c r="K473" t="s">
        <v>17</v>
      </c>
      <c r="L473" t="s">
        <v>123</v>
      </c>
      <c r="M473" t="s">
        <v>1489</v>
      </c>
      <c r="N473" s="7">
        <f t="shared" si="14"/>
        <v>1605372</v>
      </c>
      <c r="O473" s="7">
        <f t="shared" si="15"/>
        <v>13378.1</v>
      </c>
    </row>
    <row r="474" spans="1:15" x14ac:dyDescent="0.35">
      <c r="A474" s="5">
        <v>473</v>
      </c>
      <c r="B474" t="s">
        <v>218</v>
      </c>
      <c r="C474" t="s">
        <v>903</v>
      </c>
      <c r="D474" t="s">
        <v>1486</v>
      </c>
      <c r="E474" t="s">
        <v>122</v>
      </c>
      <c r="F474" s="1">
        <v>44879</v>
      </c>
      <c r="G474" s="28">
        <v>12</v>
      </c>
      <c r="H474" s="26">
        <v>90409</v>
      </c>
      <c r="I474" t="s">
        <v>904</v>
      </c>
      <c r="J474" t="s">
        <v>28</v>
      </c>
      <c r="K474" t="s">
        <v>17</v>
      </c>
      <c r="L474" t="s">
        <v>123</v>
      </c>
      <c r="M474" t="s">
        <v>1489</v>
      </c>
      <c r="N474" s="7">
        <f t="shared" si="14"/>
        <v>1084908</v>
      </c>
      <c r="O474" s="7">
        <f t="shared" si="15"/>
        <v>9040.9</v>
      </c>
    </row>
    <row r="475" spans="1:15" x14ac:dyDescent="0.35">
      <c r="A475" s="5">
        <v>474</v>
      </c>
      <c r="B475" t="s">
        <v>140</v>
      </c>
      <c r="C475" t="s">
        <v>905</v>
      </c>
      <c r="D475" t="s">
        <v>1485</v>
      </c>
      <c r="E475" t="s">
        <v>110</v>
      </c>
      <c r="F475" s="1">
        <v>37993</v>
      </c>
      <c r="G475" s="28">
        <v>17</v>
      </c>
      <c r="H475" s="26">
        <v>144953</v>
      </c>
      <c r="I475" t="s">
        <v>204</v>
      </c>
      <c r="J475" t="s">
        <v>39</v>
      </c>
      <c r="K475" t="s">
        <v>40</v>
      </c>
      <c r="L475" t="s">
        <v>112</v>
      </c>
      <c r="M475" t="s">
        <v>1489</v>
      </c>
      <c r="N475" s="7">
        <f t="shared" si="14"/>
        <v>1739436</v>
      </c>
      <c r="O475" s="7">
        <f t="shared" si="15"/>
        <v>14495.300000000001</v>
      </c>
    </row>
    <row r="476" spans="1:15" x14ac:dyDescent="0.35">
      <c r="A476" s="5">
        <v>475</v>
      </c>
      <c r="B476" t="s">
        <v>679</v>
      </c>
      <c r="C476" t="s">
        <v>906</v>
      </c>
      <c r="D476" t="s">
        <v>1485</v>
      </c>
      <c r="E476" t="s">
        <v>148</v>
      </c>
      <c r="F476" s="1">
        <v>37247</v>
      </c>
      <c r="G476" s="28">
        <v>20</v>
      </c>
      <c r="H476" s="26">
        <v>46072</v>
      </c>
      <c r="I476" t="s">
        <v>153</v>
      </c>
      <c r="J476" t="s">
        <v>16</v>
      </c>
      <c r="K476" t="s">
        <v>17</v>
      </c>
      <c r="L476" t="s">
        <v>112</v>
      </c>
      <c r="M476" t="s">
        <v>1489</v>
      </c>
      <c r="N476" s="7">
        <f t="shared" si="14"/>
        <v>552864</v>
      </c>
      <c r="O476" s="7">
        <f t="shared" si="15"/>
        <v>4607.2</v>
      </c>
    </row>
    <row r="477" spans="1:15" x14ac:dyDescent="0.35">
      <c r="A477" s="5">
        <v>476</v>
      </c>
      <c r="B477" t="s">
        <v>304</v>
      </c>
      <c r="C477" t="s">
        <v>907</v>
      </c>
      <c r="D477" t="s">
        <v>1485</v>
      </c>
      <c r="E477" t="s">
        <v>122</v>
      </c>
      <c r="F477" s="1">
        <v>40940</v>
      </c>
      <c r="G477" s="28">
        <v>9</v>
      </c>
      <c r="H477" s="26">
        <v>119602</v>
      </c>
      <c r="I477" t="s">
        <v>908</v>
      </c>
      <c r="J477" t="s">
        <v>91</v>
      </c>
      <c r="K477" t="s">
        <v>40</v>
      </c>
      <c r="L477" t="s">
        <v>123</v>
      </c>
      <c r="M477" t="s">
        <v>1489</v>
      </c>
      <c r="N477" s="7">
        <f t="shared" si="14"/>
        <v>1435224</v>
      </c>
      <c r="O477" s="7">
        <f t="shared" si="15"/>
        <v>11960.2</v>
      </c>
    </row>
    <row r="478" spans="1:15" x14ac:dyDescent="0.35">
      <c r="A478" s="5">
        <v>477</v>
      </c>
      <c r="B478" t="s">
        <v>548</v>
      </c>
      <c r="C478" t="s">
        <v>909</v>
      </c>
      <c r="D478" t="s">
        <v>1485</v>
      </c>
      <c r="E478" t="s">
        <v>14</v>
      </c>
      <c r="F478" s="1">
        <v>40468</v>
      </c>
      <c r="G478" s="28">
        <v>11</v>
      </c>
      <c r="H478" s="26">
        <v>122231</v>
      </c>
      <c r="I478" t="s">
        <v>242</v>
      </c>
      <c r="J478" t="s">
        <v>91</v>
      </c>
      <c r="K478" t="s">
        <v>40</v>
      </c>
      <c r="L478" t="s">
        <v>18</v>
      </c>
      <c r="M478" t="s">
        <v>1489</v>
      </c>
      <c r="N478" s="7">
        <f t="shared" si="14"/>
        <v>1466772</v>
      </c>
      <c r="O478" s="7">
        <f t="shared" si="15"/>
        <v>12223.1</v>
      </c>
    </row>
    <row r="479" spans="1:15" x14ac:dyDescent="0.35">
      <c r="A479" s="5">
        <v>478</v>
      </c>
      <c r="B479" t="s">
        <v>293</v>
      </c>
      <c r="C479" t="s">
        <v>910</v>
      </c>
      <c r="D479" t="s">
        <v>1485</v>
      </c>
      <c r="E479" t="s">
        <v>21</v>
      </c>
      <c r="F479" s="1">
        <v>37727</v>
      </c>
      <c r="G479" s="28">
        <v>18</v>
      </c>
      <c r="H479" s="26">
        <v>147166</v>
      </c>
      <c r="I479" t="s">
        <v>836</v>
      </c>
      <c r="J479" t="s">
        <v>50</v>
      </c>
      <c r="K479" t="s">
        <v>40</v>
      </c>
      <c r="L479" t="s">
        <v>23</v>
      </c>
      <c r="M479" t="s">
        <v>1489</v>
      </c>
      <c r="N479" s="7">
        <f t="shared" si="14"/>
        <v>1765992</v>
      </c>
      <c r="O479" s="7">
        <f t="shared" si="15"/>
        <v>14716.6</v>
      </c>
    </row>
    <row r="480" spans="1:15" x14ac:dyDescent="0.35">
      <c r="A480" s="5">
        <v>479</v>
      </c>
      <c r="B480" t="s">
        <v>911</v>
      </c>
      <c r="C480" t="s">
        <v>912</v>
      </c>
      <c r="D480" t="s">
        <v>1485</v>
      </c>
      <c r="E480" t="s">
        <v>37</v>
      </c>
      <c r="F480" s="1">
        <v>40064</v>
      </c>
      <c r="G480" s="28">
        <v>12</v>
      </c>
      <c r="H480" s="26">
        <v>56465</v>
      </c>
      <c r="I480" t="s">
        <v>86</v>
      </c>
      <c r="J480" t="s">
        <v>50</v>
      </c>
      <c r="K480" t="s">
        <v>40</v>
      </c>
      <c r="L480" t="s">
        <v>41</v>
      </c>
      <c r="M480" t="s">
        <v>1489</v>
      </c>
      <c r="N480" s="7">
        <f t="shared" si="14"/>
        <v>677580</v>
      </c>
      <c r="O480" s="7">
        <f t="shared" si="15"/>
        <v>5646.5</v>
      </c>
    </row>
    <row r="481" spans="1:15" x14ac:dyDescent="0.35">
      <c r="A481" s="5">
        <v>480</v>
      </c>
      <c r="B481" t="s">
        <v>589</v>
      </c>
      <c r="C481" t="s">
        <v>913</v>
      </c>
      <c r="D481" t="s">
        <v>1485</v>
      </c>
      <c r="E481" t="s">
        <v>94</v>
      </c>
      <c r="F481" s="1">
        <v>36929</v>
      </c>
      <c r="G481" s="28">
        <v>20</v>
      </c>
      <c r="H481" s="26">
        <v>78158</v>
      </c>
      <c r="I481" t="s">
        <v>743</v>
      </c>
      <c r="J481" t="s">
        <v>91</v>
      </c>
      <c r="K481" t="s">
        <v>40</v>
      </c>
      <c r="L481" t="s">
        <v>18</v>
      </c>
      <c r="M481" t="s">
        <v>1489</v>
      </c>
      <c r="N481" s="7">
        <f t="shared" si="14"/>
        <v>937896</v>
      </c>
      <c r="O481" s="7">
        <f t="shared" si="15"/>
        <v>7815.8</v>
      </c>
    </row>
    <row r="482" spans="1:15" x14ac:dyDescent="0.35">
      <c r="A482" s="5">
        <v>481</v>
      </c>
      <c r="B482" t="s">
        <v>331</v>
      </c>
      <c r="C482" t="s">
        <v>914</v>
      </c>
      <c r="D482" t="s">
        <v>1485</v>
      </c>
      <c r="E482" t="s">
        <v>32</v>
      </c>
      <c r="F482" s="1">
        <v>41430</v>
      </c>
      <c r="G482" s="28">
        <v>8</v>
      </c>
      <c r="H482" s="26">
        <v>62815</v>
      </c>
      <c r="I482" t="s">
        <v>74</v>
      </c>
      <c r="J482" t="s">
        <v>55</v>
      </c>
      <c r="K482" t="s">
        <v>17</v>
      </c>
      <c r="L482" t="s">
        <v>34</v>
      </c>
      <c r="M482" t="s">
        <v>1489</v>
      </c>
      <c r="N482" s="7">
        <f t="shared" si="14"/>
        <v>753780</v>
      </c>
      <c r="O482" s="7">
        <f t="shared" si="15"/>
        <v>6281.5</v>
      </c>
    </row>
    <row r="483" spans="1:15" x14ac:dyDescent="0.35">
      <c r="A483" s="5">
        <v>482</v>
      </c>
      <c r="B483" t="s">
        <v>51</v>
      </c>
      <c r="C483" t="s">
        <v>915</v>
      </c>
      <c r="D483" t="s">
        <v>1485</v>
      </c>
      <c r="E483" t="s">
        <v>53</v>
      </c>
      <c r="F483" s="1">
        <v>39243</v>
      </c>
      <c r="G483" s="28">
        <v>14</v>
      </c>
      <c r="H483" s="26">
        <v>126468</v>
      </c>
      <c r="I483" t="s">
        <v>916</v>
      </c>
      <c r="J483" t="s">
        <v>55</v>
      </c>
      <c r="K483" t="s">
        <v>17</v>
      </c>
      <c r="L483" t="s">
        <v>23</v>
      </c>
      <c r="M483" t="s">
        <v>1489</v>
      </c>
      <c r="N483" s="7">
        <f t="shared" si="14"/>
        <v>1517616</v>
      </c>
      <c r="O483" s="7">
        <f t="shared" si="15"/>
        <v>12646.800000000001</v>
      </c>
    </row>
    <row r="484" spans="1:15" x14ac:dyDescent="0.35">
      <c r="A484" s="5">
        <v>483</v>
      </c>
      <c r="B484" t="s">
        <v>917</v>
      </c>
      <c r="C484" t="s">
        <v>918</v>
      </c>
      <c r="D484" t="s">
        <v>1486</v>
      </c>
      <c r="E484" t="s">
        <v>129</v>
      </c>
      <c r="F484" s="1">
        <v>45787</v>
      </c>
      <c r="G484" s="28">
        <v>9</v>
      </c>
      <c r="H484" s="26">
        <v>79419</v>
      </c>
      <c r="I484" t="s">
        <v>107</v>
      </c>
      <c r="J484" t="s">
        <v>28</v>
      </c>
      <c r="K484" t="s">
        <v>17</v>
      </c>
      <c r="L484" t="s">
        <v>41</v>
      </c>
      <c r="M484" t="s">
        <v>1489</v>
      </c>
      <c r="N484" s="7">
        <f t="shared" si="14"/>
        <v>953028</v>
      </c>
      <c r="O484" s="7">
        <f t="shared" si="15"/>
        <v>7941.9000000000005</v>
      </c>
    </row>
    <row r="485" spans="1:15" x14ac:dyDescent="0.35">
      <c r="A485" s="5">
        <v>484</v>
      </c>
      <c r="B485" t="s">
        <v>257</v>
      </c>
      <c r="C485" t="s">
        <v>919</v>
      </c>
      <c r="D485" t="s">
        <v>1485</v>
      </c>
      <c r="E485" t="s">
        <v>14</v>
      </c>
      <c r="F485" s="1">
        <v>39895</v>
      </c>
      <c r="G485" s="28">
        <v>12</v>
      </c>
      <c r="H485" s="26">
        <v>83093</v>
      </c>
      <c r="I485" t="s">
        <v>204</v>
      </c>
      <c r="J485" t="s">
        <v>46</v>
      </c>
      <c r="K485" t="s">
        <v>17</v>
      </c>
      <c r="L485" t="s">
        <v>18</v>
      </c>
      <c r="M485" t="s">
        <v>1489</v>
      </c>
      <c r="N485" s="7">
        <f t="shared" si="14"/>
        <v>997116</v>
      </c>
      <c r="O485" s="7">
        <f t="shared" si="15"/>
        <v>8309.3000000000011</v>
      </c>
    </row>
    <row r="486" spans="1:15" x14ac:dyDescent="0.35">
      <c r="A486" s="5">
        <v>485</v>
      </c>
      <c r="B486" t="s">
        <v>325</v>
      </c>
      <c r="C486" t="s">
        <v>920</v>
      </c>
      <c r="D486" t="s">
        <v>1486</v>
      </c>
      <c r="E486" t="s">
        <v>85</v>
      </c>
      <c r="F486" s="1">
        <v>46694</v>
      </c>
      <c r="G486" s="28">
        <v>7</v>
      </c>
      <c r="H486" s="26">
        <v>90797</v>
      </c>
      <c r="I486" t="s">
        <v>327</v>
      </c>
      <c r="J486" t="s">
        <v>46</v>
      </c>
      <c r="K486" t="s">
        <v>17</v>
      </c>
      <c r="L486" t="s">
        <v>41</v>
      </c>
      <c r="M486" t="s">
        <v>1489</v>
      </c>
      <c r="N486" s="7">
        <f t="shared" si="14"/>
        <v>1089564</v>
      </c>
      <c r="O486" s="7">
        <f t="shared" si="15"/>
        <v>9079.7000000000007</v>
      </c>
    </row>
    <row r="487" spans="1:15" x14ac:dyDescent="0.35">
      <c r="A487" s="5">
        <v>486</v>
      </c>
      <c r="B487" t="s">
        <v>212</v>
      </c>
      <c r="C487" t="s">
        <v>921</v>
      </c>
      <c r="D487" t="s">
        <v>1486</v>
      </c>
      <c r="E487" t="s">
        <v>85</v>
      </c>
      <c r="F487" s="1">
        <v>44383</v>
      </c>
      <c r="G487" s="28">
        <v>13</v>
      </c>
      <c r="H487" s="26">
        <v>78755</v>
      </c>
      <c r="I487" t="s">
        <v>33</v>
      </c>
      <c r="J487" t="s">
        <v>91</v>
      </c>
      <c r="K487" t="s">
        <v>40</v>
      </c>
      <c r="L487" t="s">
        <v>41</v>
      </c>
      <c r="M487" t="s">
        <v>1489</v>
      </c>
      <c r="N487" s="7">
        <f t="shared" si="14"/>
        <v>945060</v>
      </c>
      <c r="O487" s="7">
        <f t="shared" si="15"/>
        <v>7875.5</v>
      </c>
    </row>
    <row r="488" spans="1:15" x14ac:dyDescent="0.35">
      <c r="A488" s="5">
        <v>487</v>
      </c>
      <c r="B488" t="s">
        <v>341</v>
      </c>
      <c r="C488" t="s">
        <v>922</v>
      </c>
      <c r="D488" t="s">
        <v>1486</v>
      </c>
      <c r="E488" t="s">
        <v>85</v>
      </c>
      <c r="F488" s="1">
        <v>37729</v>
      </c>
      <c r="G488" s="28">
        <v>18</v>
      </c>
      <c r="H488" s="26">
        <v>128726</v>
      </c>
      <c r="I488" t="s">
        <v>115</v>
      </c>
      <c r="J488" t="s">
        <v>28</v>
      </c>
      <c r="K488" t="s">
        <v>17</v>
      </c>
      <c r="L488" t="s">
        <v>41</v>
      </c>
      <c r="M488" t="s">
        <v>1489</v>
      </c>
      <c r="N488" s="7">
        <f t="shared" si="14"/>
        <v>1544712</v>
      </c>
      <c r="O488" s="7">
        <f t="shared" si="15"/>
        <v>12872.6</v>
      </c>
    </row>
    <row r="489" spans="1:15" x14ac:dyDescent="0.35">
      <c r="A489" s="5">
        <v>488</v>
      </c>
      <c r="B489" t="s">
        <v>830</v>
      </c>
      <c r="C489" t="s">
        <v>923</v>
      </c>
      <c r="D489" t="s">
        <v>1485</v>
      </c>
      <c r="E489" t="s">
        <v>238</v>
      </c>
      <c r="F489" s="1">
        <v>40892</v>
      </c>
      <c r="G489" s="28">
        <v>10</v>
      </c>
      <c r="H489" s="26">
        <v>69026</v>
      </c>
      <c r="I489" t="s">
        <v>136</v>
      </c>
      <c r="J489" t="s">
        <v>50</v>
      </c>
      <c r="K489" t="s">
        <v>40</v>
      </c>
      <c r="L489" t="s">
        <v>63</v>
      </c>
      <c r="M489" t="s">
        <v>1489</v>
      </c>
      <c r="N489" s="7">
        <f t="shared" si="14"/>
        <v>828312</v>
      </c>
      <c r="O489" s="7">
        <f t="shared" si="15"/>
        <v>6902.6</v>
      </c>
    </row>
    <row r="490" spans="1:15" x14ac:dyDescent="0.35">
      <c r="A490" s="5">
        <v>489</v>
      </c>
      <c r="B490" t="s">
        <v>816</v>
      </c>
      <c r="C490" t="s">
        <v>924</v>
      </c>
      <c r="D490" t="s">
        <v>1486</v>
      </c>
      <c r="E490" t="s">
        <v>110</v>
      </c>
      <c r="F490" s="1">
        <v>46403</v>
      </c>
      <c r="G490" s="28">
        <v>7</v>
      </c>
      <c r="H490" s="26">
        <v>78109</v>
      </c>
      <c r="I490" t="s">
        <v>370</v>
      </c>
      <c r="J490" t="s">
        <v>91</v>
      </c>
      <c r="K490" t="s">
        <v>40</v>
      </c>
      <c r="L490" t="s">
        <v>112</v>
      </c>
      <c r="M490" t="s">
        <v>1489</v>
      </c>
      <c r="N490" s="7">
        <f t="shared" si="14"/>
        <v>937308</v>
      </c>
      <c r="O490" s="7">
        <f t="shared" si="15"/>
        <v>7810.9000000000005</v>
      </c>
    </row>
    <row r="491" spans="1:15" x14ac:dyDescent="0.35">
      <c r="A491" s="5">
        <v>490</v>
      </c>
      <c r="B491" t="s">
        <v>352</v>
      </c>
      <c r="C491" t="s">
        <v>925</v>
      </c>
      <c r="D491" t="s">
        <v>1485</v>
      </c>
      <c r="E491" t="s">
        <v>61</v>
      </c>
      <c r="F491" s="1">
        <v>36624</v>
      </c>
      <c r="G491" s="28">
        <v>21</v>
      </c>
      <c r="H491" s="26">
        <v>116480</v>
      </c>
      <c r="I491" t="s">
        <v>111</v>
      </c>
      <c r="J491" t="s">
        <v>91</v>
      </c>
      <c r="K491" t="s">
        <v>40</v>
      </c>
      <c r="L491" t="s">
        <v>63</v>
      </c>
      <c r="M491" t="s">
        <v>1489</v>
      </c>
      <c r="N491" s="7">
        <f t="shared" si="14"/>
        <v>1397760</v>
      </c>
      <c r="O491" s="7">
        <f t="shared" si="15"/>
        <v>11648</v>
      </c>
    </row>
    <row r="492" spans="1:15" x14ac:dyDescent="0.35">
      <c r="A492" s="5">
        <v>491</v>
      </c>
      <c r="B492" t="s">
        <v>530</v>
      </c>
      <c r="C492" t="s">
        <v>926</v>
      </c>
      <c r="D492" t="s">
        <v>1486</v>
      </c>
      <c r="E492" t="s">
        <v>53</v>
      </c>
      <c r="F492" s="1">
        <v>38151</v>
      </c>
      <c r="G492" s="28">
        <v>17</v>
      </c>
      <c r="H492" s="26">
        <v>108444</v>
      </c>
      <c r="I492" t="s">
        <v>194</v>
      </c>
      <c r="J492" t="s">
        <v>39</v>
      </c>
      <c r="K492" t="s">
        <v>40</v>
      </c>
      <c r="L492" t="s">
        <v>23</v>
      </c>
      <c r="M492" t="s">
        <v>1489</v>
      </c>
      <c r="N492" s="7">
        <f t="shared" si="14"/>
        <v>1301328</v>
      </c>
      <c r="O492" s="7">
        <f t="shared" si="15"/>
        <v>10844.400000000001</v>
      </c>
    </row>
    <row r="493" spans="1:15" x14ac:dyDescent="0.35">
      <c r="A493" s="5">
        <v>492</v>
      </c>
      <c r="B493" t="s">
        <v>345</v>
      </c>
      <c r="C493" t="s">
        <v>927</v>
      </c>
      <c r="D493" t="s">
        <v>1485</v>
      </c>
      <c r="E493" t="s">
        <v>14</v>
      </c>
      <c r="F493" s="1">
        <v>40217</v>
      </c>
      <c r="G493" s="28">
        <v>11</v>
      </c>
      <c r="H493" s="26">
        <v>106535</v>
      </c>
      <c r="I493" t="s">
        <v>669</v>
      </c>
      <c r="J493" t="s">
        <v>46</v>
      </c>
      <c r="K493" t="s">
        <v>17</v>
      </c>
      <c r="L493" t="s">
        <v>18</v>
      </c>
      <c r="M493" t="s">
        <v>1489</v>
      </c>
      <c r="N493" s="7">
        <f t="shared" si="14"/>
        <v>1278420</v>
      </c>
      <c r="O493" s="7">
        <f t="shared" si="15"/>
        <v>10653.5</v>
      </c>
    </row>
    <row r="494" spans="1:15" x14ac:dyDescent="0.35">
      <c r="A494" s="5">
        <v>493</v>
      </c>
      <c r="B494" t="s">
        <v>630</v>
      </c>
      <c r="C494" t="s">
        <v>928</v>
      </c>
      <c r="D494" t="s">
        <v>1485</v>
      </c>
      <c r="E494" t="s">
        <v>14</v>
      </c>
      <c r="F494" s="1">
        <v>39623</v>
      </c>
      <c r="G494" s="28">
        <v>13</v>
      </c>
      <c r="H494" s="26">
        <v>137025</v>
      </c>
      <c r="I494" t="s">
        <v>370</v>
      </c>
      <c r="J494" t="s">
        <v>91</v>
      </c>
      <c r="K494" t="s">
        <v>40</v>
      </c>
      <c r="L494" t="s">
        <v>18</v>
      </c>
      <c r="M494" t="s">
        <v>1489</v>
      </c>
      <c r="N494" s="7">
        <f t="shared" si="14"/>
        <v>1644300</v>
      </c>
      <c r="O494" s="7">
        <f t="shared" si="15"/>
        <v>13702.5</v>
      </c>
    </row>
    <row r="495" spans="1:15" x14ac:dyDescent="0.35">
      <c r="A495" s="5">
        <v>494</v>
      </c>
      <c r="B495" t="s">
        <v>433</v>
      </c>
      <c r="C495" t="s">
        <v>929</v>
      </c>
      <c r="D495" t="s">
        <v>1485</v>
      </c>
      <c r="E495" t="s">
        <v>100</v>
      </c>
      <c r="F495" s="1">
        <v>38414</v>
      </c>
      <c r="G495" s="28">
        <v>16</v>
      </c>
      <c r="H495" s="26">
        <v>71663</v>
      </c>
      <c r="I495" t="s">
        <v>430</v>
      </c>
      <c r="J495" t="s">
        <v>28</v>
      </c>
      <c r="K495" t="s">
        <v>17</v>
      </c>
      <c r="L495" t="s">
        <v>29</v>
      </c>
      <c r="M495" t="s">
        <v>1489</v>
      </c>
      <c r="N495" s="7">
        <f t="shared" si="14"/>
        <v>859956</v>
      </c>
      <c r="O495" s="7">
        <f t="shared" si="15"/>
        <v>7166.3</v>
      </c>
    </row>
    <row r="496" spans="1:15" x14ac:dyDescent="0.35">
      <c r="A496" s="5">
        <v>495</v>
      </c>
      <c r="B496" t="s">
        <v>67</v>
      </c>
      <c r="C496" t="s">
        <v>930</v>
      </c>
      <c r="D496" t="s">
        <v>1486</v>
      </c>
      <c r="E496" t="s">
        <v>122</v>
      </c>
      <c r="F496" s="1">
        <v>38268</v>
      </c>
      <c r="G496" s="28">
        <v>17</v>
      </c>
      <c r="H496" s="26">
        <v>80073</v>
      </c>
      <c r="I496" t="s">
        <v>107</v>
      </c>
      <c r="J496" t="s">
        <v>28</v>
      </c>
      <c r="K496" t="s">
        <v>17</v>
      </c>
      <c r="L496" t="s">
        <v>123</v>
      </c>
      <c r="M496" t="s">
        <v>1489</v>
      </c>
      <c r="N496" s="7">
        <f t="shared" si="14"/>
        <v>960876</v>
      </c>
      <c r="O496" s="7">
        <f t="shared" si="15"/>
        <v>8007.3</v>
      </c>
    </row>
    <row r="497" spans="1:15" x14ac:dyDescent="0.35">
      <c r="A497" s="5">
        <v>496</v>
      </c>
      <c r="B497" t="s">
        <v>505</v>
      </c>
      <c r="C497" t="s">
        <v>931</v>
      </c>
      <c r="D497" t="s">
        <v>1485</v>
      </c>
      <c r="E497" t="s">
        <v>129</v>
      </c>
      <c r="F497" s="1">
        <v>39521</v>
      </c>
      <c r="G497" s="28">
        <v>13</v>
      </c>
      <c r="H497" s="26">
        <v>40254</v>
      </c>
      <c r="I497" t="s">
        <v>313</v>
      </c>
      <c r="J497" t="s">
        <v>91</v>
      </c>
      <c r="K497" t="s">
        <v>40</v>
      </c>
      <c r="L497" t="s">
        <v>41</v>
      </c>
      <c r="M497" t="s">
        <v>1489</v>
      </c>
      <c r="N497" s="7">
        <f t="shared" si="14"/>
        <v>483048</v>
      </c>
      <c r="O497" s="7">
        <f t="shared" si="15"/>
        <v>4025.4</v>
      </c>
    </row>
    <row r="498" spans="1:15" x14ac:dyDescent="0.35">
      <c r="A498" s="5">
        <v>497</v>
      </c>
      <c r="B498" t="s">
        <v>679</v>
      </c>
      <c r="C498" t="s">
        <v>932</v>
      </c>
      <c r="D498" t="s">
        <v>1486</v>
      </c>
      <c r="E498" t="s">
        <v>37</v>
      </c>
      <c r="F498" s="1">
        <v>45361</v>
      </c>
      <c r="G498" s="28">
        <v>10</v>
      </c>
      <c r="H498" s="26">
        <v>80027</v>
      </c>
      <c r="I498" t="s">
        <v>95</v>
      </c>
      <c r="J498" t="s">
        <v>28</v>
      </c>
      <c r="K498" t="s">
        <v>17</v>
      </c>
      <c r="L498" t="s">
        <v>41</v>
      </c>
      <c r="M498" t="s">
        <v>1489</v>
      </c>
      <c r="N498" s="7">
        <f t="shared" si="14"/>
        <v>960324</v>
      </c>
      <c r="O498" s="7">
        <f t="shared" si="15"/>
        <v>8002.7000000000007</v>
      </c>
    </row>
    <row r="499" spans="1:15" x14ac:dyDescent="0.35">
      <c r="A499" s="5">
        <v>498</v>
      </c>
      <c r="B499" t="s">
        <v>392</v>
      </c>
      <c r="C499" t="s">
        <v>933</v>
      </c>
      <c r="D499" t="s">
        <v>1486</v>
      </c>
      <c r="E499" t="s">
        <v>110</v>
      </c>
      <c r="F499" s="1">
        <v>37125</v>
      </c>
      <c r="G499" s="28">
        <v>20</v>
      </c>
      <c r="H499" s="26">
        <v>106994</v>
      </c>
      <c r="I499" t="s">
        <v>349</v>
      </c>
      <c r="J499" t="s">
        <v>28</v>
      </c>
      <c r="K499" t="s">
        <v>17</v>
      </c>
      <c r="L499" t="s">
        <v>112</v>
      </c>
      <c r="M499" t="s">
        <v>1489</v>
      </c>
      <c r="N499" s="7">
        <f t="shared" si="14"/>
        <v>1283928</v>
      </c>
      <c r="O499" s="7">
        <f t="shared" si="15"/>
        <v>10699.400000000001</v>
      </c>
    </row>
    <row r="500" spans="1:15" x14ac:dyDescent="0.35">
      <c r="A500" s="5">
        <v>499</v>
      </c>
      <c r="B500" t="s">
        <v>934</v>
      </c>
      <c r="C500" t="s">
        <v>935</v>
      </c>
      <c r="D500" t="s">
        <v>1485</v>
      </c>
      <c r="E500" t="s">
        <v>53</v>
      </c>
      <c r="F500" s="1">
        <v>37010</v>
      </c>
      <c r="G500" s="28">
        <v>20</v>
      </c>
      <c r="H500" s="26">
        <v>145559</v>
      </c>
      <c r="I500" t="s">
        <v>796</v>
      </c>
      <c r="J500" t="s">
        <v>16</v>
      </c>
      <c r="K500" t="s">
        <v>17</v>
      </c>
      <c r="L500" t="s">
        <v>23</v>
      </c>
      <c r="M500" t="s">
        <v>1489</v>
      </c>
      <c r="N500" s="7">
        <f t="shared" si="14"/>
        <v>1746708</v>
      </c>
      <c r="O500" s="7">
        <f t="shared" si="15"/>
        <v>14555.900000000001</v>
      </c>
    </row>
    <row r="501" spans="1:15" x14ac:dyDescent="0.35">
      <c r="A501" s="5">
        <v>500</v>
      </c>
      <c r="B501" t="s">
        <v>221</v>
      </c>
      <c r="C501" t="s">
        <v>936</v>
      </c>
      <c r="D501" t="s">
        <v>1485</v>
      </c>
      <c r="E501" t="s">
        <v>100</v>
      </c>
      <c r="F501" s="1">
        <v>36971</v>
      </c>
      <c r="G501" s="28">
        <v>20</v>
      </c>
      <c r="H501" s="26">
        <v>91994</v>
      </c>
      <c r="I501" t="s">
        <v>908</v>
      </c>
      <c r="J501" t="s">
        <v>91</v>
      </c>
      <c r="K501" t="s">
        <v>40</v>
      </c>
      <c r="L501" t="s">
        <v>29</v>
      </c>
      <c r="M501" t="s">
        <v>1489</v>
      </c>
      <c r="N501" s="7">
        <f t="shared" si="14"/>
        <v>1103928</v>
      </c>
      <c r="O501" s="7">
        <f t="shared" si="15"/>
        <v>9199.4</v>
      </c>
    </row>
    <row r="502" spans="1:15" x14ac:dyDescent="0.35">
      <c r="A502" s="5">
        <v>501</v>
      </c>
      <c r="B502" t="s">
        <v>864</v>
      </c>
      <c r="C502" t="s">
        <v>937</v>
      </c>
      <c r="D502" t="s">
        <v>1485</v>
      </c>
      <c r="E502" t="s">
        <v>238</v>
      </c>
      <c r="F502" s="1">
        <v>37108</v>
      </c>
      <c r="G502" s="28">
        <v>20</v>
      </c>
      <c r="H502" s="26">
        <v>138540</v>
      </c>
      <c r="I502" t="s">
        <v>938</v>
      </c>
      <c r="J502" t="s">
        <v>39</v>
      </c>
      <c r="K502" t="s">
        <v>40</v>
      </c>
      <c r="L502" t="s">
        <v>63</v>
      </c>
      <c r="M502" t="s">
        <v>1489</v>
      </c>
      <c r="N502" s="7">
        <f t="shared" si="14"/>
        <v>1662480</v>
      </c>
      <c r="O502" s="7">
        <f t="shared" si="15"/>
        <v>13854</v>
      </c>
    </row>
    <row r="503" spans="1:15" x14ac:dyDescent="0.35">
      <c r="A503" s="5">
        <v>502</v>
      </c>
      <c r="B503" t="s">
        <v>630</v>
      </c>
      <c r="C503" t="s">
        <v>939</v>
      </c>
      <c r="D503" t="s">
        <v>1486</v>
      </c>
      <c r="E503" t="s">
        <v>14</v>
      </c>
      <c r="F503" s="1">
        <v>45216</v>
      </c>
      <c r="G503" s="28">
        <v>11</v>
      </c>
      <c r="H503" s="26">
        <v>136034</v>
      </c>
      <c r="I503" t="s">
        <v>223</v>
      </c>
      <c r="J503" t="s">
        <v>55</v>
      </c>
      <c r="K503" t="s">
        <v>17</v>
      </c>
      <c r="L503" t="s">
        <v>18</v>
      </c>
      <c r="M503" t="s">
        <v>1489</v>
      </c>
      <c r="N503" s="7">
        <f t="shared" si="14"/>
        <v>1632408</v>
      </c>
      <c r="O503" s="7">
        <f t="shared" si="15"/>
        <v>13603.400000000001</v>
      </c>
    </row>
    <row r="504" spans="1:15" x14ac:dyDescent="0.35">
      <c r="A504" s="5">
        <v>503</v>
      </c>
      <c r="B504" t="s">
        <v>379</v>
      </c>
      <c r="C504" t="s">
        <v>940</v>
      </c>
      <c r="D504" t="s">
        <v>1486</v>
      </c>
      <c r="E504" t="s">
        <v>73</v>
      </c>
      <c r="F504" s="1">
        <v>38005</v>
      </c>
      <c r="G504" s="28">
        <v>17</v>
      </c>
      <c r="H504" s="26">
        <v>127291</v>
      </c>
      <c r="I504" t="s">
        <v>261</v>
      </c>
      <c r="J504" t="s">
        <v>39</v>
      </c>
      <c r="K504" t="s">
        <v>40</v>
      </c>
      <c r="L504" t="s">
        <v>41</v>
      </c>
      <c r="M504" t="s">
        <v>1489</v>
      </c>
      <c r="N504" s="7">
        <f t="shared" si="14"/>
        <v>1527492</v>
      </c>
      <c r="O504" s="7">
        <f t="shared" si="15"/>
        <v>12729.1</v>
      </c>
    </row>
    <row r="505" spans="1:15" x14ac:dyDescent="0.35">
      <c r="A505" s="5">
        <v>504</v>
      </c>
      <c r="B505" t="s">
        <v>127</v>
      </c>
      <c r="C505" t="s">
        <v>941</v>
      </c>
      <c r="D505" t="s">
        <v>1485</v>
      </c>
      <c r="E505" t="s">
        <v>100</v>
      </c>
      <c r="F505" s="1">
        <v>36604</v>
      </c>
      <c r="G505" s="28">
        <v>21</v>
      </c>
      <c r="H505" s="26">
        <v>131283</v>
      </c>
      <c r="I505" t="s">
        <v>669</v>
      </c>
      <c r="J505" t="s">
        <v>55</v>
      </c>
      <c r="K505" t="s">
        <v>17</v>
      </c>
      <c r="L505" t="s">
        <v>29</v>
      </c>
      <c r="M505" t="s">
        <v>1489</v>
      </c>
      <c r="N505" s="7">
        <f t="shared" si="14"/>
        <v>1575396</v>
      </c>
      <c r="O505" s="7">
        <f t="shared" si="15"/>
        <v>13128.300000000001</v>
      </c>
    </row>
    <row r="506" spans="1:15" x14ac:dyDescent="0.35">
      <c r="A506" s="5">
        <v>505</v>
      </c>
      <c r="B506" t="s">
        <v>560</v>
      </c>
      <c r="C506" t="s">
        <v>942</v>
      </c>
      <c r="D506" t="s">
        <v>1485</v>
      </c>
      <c r="E506" t="s">
        <v>14</v>
      </c>
      <c r="F506" s="1">
        <v>38523</v>
      </c>
      <c r="G506" s="28">
        <v>16</v>
      </c>
      <c r="H506" s="26">
        <v>122108</v>
      </c>
      <c r="I506" t="s">
        <v>430</v>
      </c>
      <c r="J506" t="s">
        <v>39</v>
      </c>
      <c r="K506" t="s">
        <v>40</v>
      </c>
      <c r="L506" t="s">
        <v>18</v>
      </c>
      <c r="M506" t="s">
        <v>1489</v>
      </c>
      <c r="N506" s="7">
        <f t="shared" si="14"/>
        <v>1465296</v>
      </c>
      <c r="O506" s="7">
        <f t="shared" si="15"/>
        <v>12210.800000000001</v>
      </c>
    </row>
    <row r="507" spans="1:15" x14ac:dyDescent="0.35">
      <c r="A507" s="5">
        <v>506</v>
      </c>
      <c r="B507" t="s">
        <v>943</v>
      </c>
      <c r="C507" t="s">
        <v>944</v>
      </c>
      <c r="D507" t="s">
        <v>1486</v>
      </c>
      <c r="E507" t="s">
        <v>89</v>
      </c>
      <c r="F507" s="1">
        <v>44197</v>
      </c>
      <c r="G507" s="28">
        <v>13</v>
      </c>
      <c r="H507" s="26">
        <v>49048</v>
      </c>
      <c r="I507" t="s">
        <v>58</v>
      </c>
      <c r="J507" t="s">
        <v>46</v>
      </c>
      <c r="K507" t="s">
        <v>17</v>
      </c>
      <c r="L507" t="s">
        <v>41</v>
      </c>
      <c r="M507" t="s">
        <v>1489</v>
      </c>
      <c r="N507" s="7">
        <f t="shared" si="14"/>
        <v>588576</v>
      </c>
      <c r="O507" s="7">
        <f t="shared" si="15"/>
        <v>4904.8</v>
      </c>
    </row>
    <row r="508" spans="1:15" x14ac:dyDescent="0.35">
      <c r="A508" s="5">
        <v>507</v>
      </c>
      <c r="B508" t="s">
        <v>140</v>
      </c>
      <c r="C508" t="s">
        <v>945</v>
      </c>
      <c r="D508" t="s">
        <v>1486</v>
      </c>
      <c r="E508" t="s">
        <v>73</v>
      </c>
      <c r="F508" s="1">
        <v>45962</v>
      </c>
      <c r="G508" s="28">
        <v>9</v>
      </c>
      <c r="H508" s="26">
        <v>97427</v>
      </c>
      <c r="I508" t="s">
        <v>209</v>
      </c>
      <c r="J508" t="s">
        <v>50</v>
      </c>
      <c r="K508" t="s">
        <v>40</v>
      </c>
      <c r="L508" t="s">
        <v>41</v>
      </c>
      <c r="M508" t="s">
        <v>1489</v>
      </c>
      <c r="N508" s="7">
        <f t="shared" si="14"/>
        <v>1169124</v>
      </c>
      <c r="O508" s="7">
        <f t="shared" si="15"/>
        <v>9742.7000000000007</v>
      </c>
    </row>
    <row r="509" spans="1:15" x14ac:dyDescent="0.35">
      <c r="A509" s="5">
        <v>508</v>
      </c>
      <c r="B509" t="s">
        <v>596</v>
      </c>
      <c r="C509" t="s">
        <v>946</v>
      </c>
      <c r="D509" t="s">
        <v>1485</v>
      </c>
      <c r="E509" t="s">
        <v>14</v>
      </c>
      <c r="F509" s="1">
        <v>39216</v>
      </c>
      <c r="G509" s="28">
        <v>14</v>
      </c>
      <c r="H509" s="26">
        <v>90960</v>
      </c>
      <c r="I509" t="s">
        <v>250</v>
      </c>
      <c r="J509" t="s">
        <v>39</v>
      </c>
      <c r="K509" t="s">
        <v>40</v>
      </c>
      <c r="L509" t="s">
        <v>18</v>
      </c>
      <c r="M509" t="s">
        <v>1489</v>
      </c>
      <c r="N509" s="7">
        <f t="shared" si="14"/>
        <v>1091520</v>
      </c>
      <c r="O509" s="7">
        <f t="shared" si="15"/>
        <v>9096</v>
      </c>
    </row>
    <row r="510" spans="1:15" x14ac:dyDescent="0.35">
      <c r="A510" s="5">
        <v>509</v>
      </c>
      <c r="B510" t="s">
        <v>548</v>
      </c>
      <c r="C510" t="s">
        <v>947</v>
      </c>
      <c r="D510" t="s">
        <v>1485</v>
      </c>
      <c r="E510" t="s">
        <v>203</v>
      </c>
      <c r="F510" s="1">
        <v>40907</v>
      </c>
      <c r="G510" s="28">
        <v>10</v>
      </c>
      <c r="H510" s="26">
        <v>43986</v>
      </c>
      <c r="I510" t="s">
        <v>938</v>
      </c>
      <c r="J510" t="s">
        <v>28</v>
      </c>
      <c r="K510" t="s">
        <v>17</v>
      </c>
      <c r="L510" t="s">
        <v>41</v>
      </c>
      <c r="M510" t="s">
        <v>1489</v>
      </c>
      <c r="N510" s="7">
        <f t="shared" si="14"/>
        <v>527832</v>
      </c>
      <c r="O510" s="7">
        <f t="shared" si="15"/>
        <v>4398.6000000000004</v>
      </c>
    </row>
    <row r="511" spans="1:15" x14ac:dyDescent="0.35">
      <c r="A511" s="5">
        <v>510</v>
      </c>
      <c r="B511" t="s">
        <v>170</v>
      </c>
      <c r="C511" t="s">
        <v>948</v>
      </c>
      <c r="D511" t="s">
        <v>1485</v>
      </c>
      <c r="E511" t="s">
        <v>148</v>
      </c>
      <c r="F511" s="1">
        <v>41964</v>
      </c>
      <c r="G511" s="28">
        <v>7</v>
      </c>
      <c r="H511" s="26">
        <v>108748</v>
      </c>
      <c r="I511" t="s">
        <v>181</v>
      </c>
      <c r="J511" t="s">
        <v>55</v>
      </c>
      <c r="K511" t="s">
        <v>17</v>
      </c>
      <c r="L511" t="s">
        <v>112</v>
      </c>
      <c r="M511" t="s">
        <v>1489</v>
      </c>
      <c r="N511" s="7">
        <f t="shared" si="14"/>
        <v>1304976</v>
      </c>
      <c r="O511" s="7">
        <f t="shared" si="15"/>
        <v>10874.800000000001</v>
      </c>
    </row>
    <row r="512" spans="1:15" x14ac:dyDescent="0.35">
      <c r="A512" s="5">
        <v>511</v>
      </c>
      <c r="B512" t="s">
        <v>80</v>
      </c>
      <c r="C512" t="s">
        <v>949</v>
      </c>
      <c r="D512" t="s">
        <v>1486</v>
      </c>
      <c r="E512" t="s">
        <v>100</v>
      </c>
      <c r="F512" s="1">
        <v>39054</v>
      </c>
      <c r="G512" s="28">
        <v>15</v>
      </c>
      <c r="H512" s="26">
        <v>102149</v>
      </c>
      <c r="I512" t="s">
        <v>62</v>
      </c>
      <c r="J512" t="s">
        <v>91</v>
      </c>
      <c r="K512" t="s">
        <v>40</v>
      </c>
      <c r="L512" t="s">
        <v>29</v>
      </c>
      <c r="M512" t="s">
        <v>1489</v>
      </c>
      <c r="N512" s="7">
        <f t="shared" si="14"/>
        <v>1225788</v>
      </c>
      <c r="O512" s="7">
        <f t="shared" si="15"/>
        <v>10214.900000000001</v>
      </c>
    </row>
    <row r="513" spans="1:15" x14ac:dyDescent="0.35">
      <c r="A513" s="5">
        <v>512</v>
      </c>
      <c r="B513" t="s">
        <v>845</v>
      </c>
      <c r="C513" t="s">
        <v>950</v>
      </c>
      <c r="D513" t="s">
        <v>1485</v>
      </c>
      <c r="E513" t="s">
        <v>148</v>
      </c>
      <c r="F513" s="1">
        <v>39612</v>
      </c>
      <c r="G513" s="28">
        <v>13</v>
      </c>
      <c r="H513" s="26">
        <v>133360</v>
      </c>
      <c r="I513" t="s">
        <v>370</v>
      </c>
      <c r="J513" t="s">
        <v>39</v>
      </c>
      <c r="K513" t="s">
        <v>40</v>
      </c>
      <c r="L513" t="s">
        <v>112</v>
      </c>
      <c r="M513" t="s">
        <v>1489</v>
      </c>
      <c r="N513" s="7">
        <f t="shared" si="14"/>
        <v>1600320</v>
      </c>
      <c r="O513" s="7">
        <f t="shared" si="15"/>
        <v>13336</v>
      </c>
    </row>
    <row r="514" spans="1:15" x14ac:dyDescent="0.35">
      <c r="A514" s="5">
        <v>513</v>
      </c>
      <c r="B514" t="s">
        <v>657</v>
      </c>
      <c r="C514" t="s">
        <v>951</v>
      </c>
      <c r="D514" t="s">
        <v>1486</v>
      </c>
      <c r="E514" t="s">
        <v>110</v>
      </c>
      <c r="F514" s="1">
        <v>38177</v>
      </c>
      <c r="G514" s="28">
        <v>17</v>
      </c>
      <c r="H514" s="26">
        <v>70814</v>
      </c>
      <c r="I514" t="s">
        <v>952</v>
      </c>
      <c r="J514" t="s">
        <v>55</v>
      </c>
      <c r="K514" t="s">
        <v>17</v>
      </c>
      <c r="L514" t="s">
        <v>112</v>
      </c>
      <c r="M514" t="s">
        <v>1489</v>
      </c>
      <c r="N514" s="7">
        <f t="shared" ref="N514:N577" si="16">H514*12</f>
        <v>849768</v>
      </c>
      <c r="O514" s="7">
        <f t="shared" ref="O514:O577" si="17">H514*10%</f>
        <v>7081.4000000000005</v>
      </c>
    </row>
    <row r="515" spans="1:15" x14ac:dyDescent="0.35">
      <c r="A515" s="5">
        <v>514</v>
      </c>
      <c r="B515" t="s">
        <v>698</v>
      </c>
      <c r="C515" t="s">
        <v>953</v>
      </c>
      <c r="D515" t="s">
        <v>1485</v>
      </c>
      <c r="E515" t="s">
        <v>37</v>
      </c>
      <c r="F515" s="1">
        <v>40530</v>
      </c>
      <c r="G515" s="28">
        <v>11</v>
      </c>
      <c r="H515" s="26">
        <v>132037</v>
      </c>
      <c r="I515" t="s">
        <v>954</v>
      </c>
      <c r="J515" t="s">
        <v>50</v>
      </c>
      <c r="K515" t="s">
        <v>40</v>
      </c>
      <c r="L515" t="s">
        <v>41</v>
      </c>
      <c r="M515" t="s">
        <v>1489</v>
      </c>
      <c r="N515" s="7">
        <f t="shared" si="16"/>
        <v>1584444</v>
      </c>
      <c r="O515" s="7">
        <f t="shared" si="17"/>
        <v>13203.7</v>
      </c>
    </row>
    <row r="516" spans="1:15" x14ac:dyDescent="0.35">
      <c r="A516" s="5">
        <v>515</v>
      </c>
      <c r="B516" t="s">
        <v>275</v>
      </c>
      <c r="C516" t="s">
        <v>955</v>
      </c>
      <c r="D516" t="s">
        <v>1485</v>
      </c>
      <c r="E516" t="s">
        <v>69</v>
      </c>
      <c r="F516" s="1">
        <v>37377</v>
      </c>
      <c r="G516" s="28">
        <v>19</v>
      </c>
      <c r="H516" s="26">
        <v>55747</v>
      </c>
      <c r="I516" t="s">
        <v>449</v>
      </c>
      <c r="J516" t="s">
        <v>46</v>
      </c>
      <c r="K516" t="s">
        <v>17</v>
      </c>
      <c r="L516" t="s">
        <v>41</v>
      </c>
      <c r="M516" t="s">
        <v>1489</v>
      </c>
      <c r="N516" s="7">
        <f t="shared" si="16"/>
        <v>668964</v>
      </c>
      <c r="O516" s="7">
        <f t="shared" si="17"/>
        <v>5574.7000000000007</v>
      </c>
    </row>
    <row r="517" spans="1:15" x14ac:dyDescent="0.35">
      <c r="A517" s="5">
        <v>516</v>
      </c>
      <c r="B517" t="s">
        <v>494</v>
      </c>
      <c r="C517" t="s">
        <v>956</v>
      </c>
      <c r="D517" t="s">
        <v>1486</v>
      </c>
      <c r="E517" t="s">
        <v>53</v>
      </c>
      <c r="F517" s="1">
        <v>38877</v>
      </c>
      <c r="G517" s="28">
        <v>15</v>
      </c>
      <c r="H517" s="26">
        <v>89324</v>
      </c>
      <c r="I517" t="s">
        <v>456</v>
      </c>
      <c r="J517" t="s">
        <v>28</v>
      </c>
      <c r="K517" t="s">
        <v>17</v>
      </c>
      <c r="L517" t="s">
        <v>23</v>
      </c>
      <c r="M517" t="s">
        <v>1489</v>
      </c>
      <c r="N517" s="7">
        <f t="shared" si="16"/>
        <v>1071888</v>
      </c>
      <c r="O517" s="7">
        <f t="shared" si="17"/>
        <v>8932.4</v>
      </c>
    </row>
    <row r="518" spans="1:15" x14ac:dyDescent="0.35">
      <c r="A518" s="5">
        <v>517</v>
      </c>
      <c r="B518" t="s">
        <v>845</v>
      </c>
      <c r="C518" t="s">
        <v>957</v>
      </c>
      <c r="D518" t="s">
        <v>1485</v>
      </c>
      <c r="E518" t="s">
        <v>14</v>
      </c>
      <c r="F518" s="1">
        <v>40582</v>
      </c>
      <c r="G518" s="28">
        <v>10</v>
      </c>
      <c r="H518" s="26">
        <v>124418</v>
      </c>
      <c r="I518" t="s">
        <v>958</v>
      </c>
      <c r="J518" t="s">
        <v>39</v>
      </c>
      <c r="K518" t="s">
        <v>40</v>
      </c>
      <c r="L518" t="s">
        <v>18</v>
      </c>
      <c r="M518" t="s">
        <v>1489</v>
      </c>
      <c r="N518" s="7">
        <f t="shared" si="16"/>
        <v>1493016</v>
      </c>
      <c r="O518" s="7">
        <f t="shared" si="17"/>
        <v>12441.800000000001</v>
      </c>
    </row>
    <row r="519" spans="1:15" x14ac:dyDescent="0.35">
      <c r="A519" s="5">
        <v>518</v>
      </c>
      <c r="B519" t="s">
        <v>698</v>
      </c>
      <c r="C519" t="s">
        <v>959</v>
      </c>
      <c r="D519" t="s">
        <v>1486</v>
      </c>
      <c r="E519" t="s">
        <v>37</v>
      </c>
      <c r="F519" s="1">
        <v>38711</v>
      </c>
      <c r="G519" s="28">
        <v>16</v>
      </c>
      <c r="H519" s="26">
        <v>138093</v>
      </c>
      <c r="I519" t="s">
        <v>449</v>
      </c>
      <c r="J519" t="s">
        <v>28</v>
      </c>
      <c r="K519" t="s">
        <v>17</v>
      </c>
      <c r="L519" t="s">
        <v>41</v>
      </c>
      <c r="M519" t="s">
        <v>1489</v>
      </c>
      <c r="N519" s="7">
        <f t="shared" si="16"/>
        <v>1657116</v>
      </c>
      <c r="O519" s="7">
        <f t="shared" si="17"/>
        <v>13809.300000000001</v>
      </c>
    </row>
    <row r="520" spans="1:15" x14ac:dyDescent="0.35">
      <c r="A520" s="5">
        <v>519</v>
      </c>
      <c r="B520" t="s">
        <v>273</v>
      </c>
      <c r="C520" t="s">
        <v>960</v>
      </c>
      <c r="D520" t="s">
        <v>1485</v>
      </c>
      <c r="E520" t="s">
        <v>94</v>
      </c>
      <c r="F520" s="1">
        <v>37859</v>
      </c>
      <c r="G520" s="28">
        <v>18</v>
      </c>
      <c r="H520" s="26">
        <v>141340</v>
      </c>
      <c r="I520" t="s">
        <v>916</v>
      </c>
      <c r="J520" t="s">
        <v>55</v>
      </c>
      <c r="K520" t="s">
        <v>17</v>
      </c>
      <c r="L520" t="s">
        <v>18</v>
      </c>
      <c r="M520" t="s">
        <v>1489</v>
      </c>
      <c r="N520" s="7">
        <f t="shared" si="16"/>
        <v>1696080</v>
      </c>
      <c r="O520" s="7">
        <f t="shared" si="17"/>
        <v>14134</v>
      </c>
    </row>
    <row r="521" spans="1:15" x14ac:dyDescent="0.35">
      <c r="A521" s="5">
        <v>520</v>
      </c>
      <c r="B521" t="s">
        <v>118</v>
      </c>
      <c r="C521" t="s">
        <v>961</v>
      </c>
      <c r="D521" t="s">
        <v>1485</v>
      </c>
      <c r="E521" t="s">
        <v>100</v>
      </c>
      <c r="F521" s="1">
        <v>38870</v>
      </c>
      <c r="G521" s="28">
        <v>15</v>
      </c>
      <c r="H521" s="26">
        <v>54672</v>
      </c>
      <c r="I521" t="s">
        <v>15</v>
      </c>
      <c r="J521" t="s">
        <v>55</v>
      </c>
      <c r="K521" t="s">
        <v>17</v>
      </c>
      <c r="L521" t="s">
        <v>29</v>
      </c>
      <c r="M521" t="s">
        <v>1489</v>
      </c>
      <c r="N521" s="7">
        <f t="shared" si="16"/>
        <v>656064</v>
      </c>
      <c r="O521" s="7">
        <f t="shared" si="17"/>
        <v>5467.2000000000007</v>
      </c>
    </row>
    <row r="522" spans="1:15" x14ac:dyDescent="0.35">
      <c r="A522" s="5">
        <v>521</v>
      </c>
      <c r="B522" t="s">
        <v>47</v>
      </c>
      <c r="C522" t="s">
        <v>962</v>
      </c>
      <c r="D522" t="s">
        <v>1485</v>
      </c>
      <c r="E522" t="s">
        <v>69</v>
      </c>
      <c r="F522" s="1">
        <v>37900</v>
      </c>
      <c r="G522" s="28">
        <v>18</v>
      </c>
      <c r="H522" s="26">
        <v>118602</v>
      </c>
      <c r="I522" t="s">
        <v>242</v>
      </c>
      <c r="J522" t="s">
        <v>91</v>
      </c>
      <c r="K522" t="s">
        <v>40</v>
      </c>
      <c r="L522" t="s">
        <v>41</v>
      </c>
      <c r="M522" t="s">
        <v>1489</v>
      </c>
      <c r="N522" s="7">
        <f t="shared" si="16"/>
        <v>1423224</v>
      </c>
      <c r="O522" s="7">
        <f t="shared" si="17"/>
        <v>11860.2</v>
      </c>
    </row>
    <row r="523" spans="1:15" x14ac:dyDescent="0.35">
      <c r="A523" s="5">
        <v>522</v>
      </c>
      <c r="B523" t="s">
        <v>963</v>
      </c>
      <c r="C523" t="s">
        <v>964</v>
      </c>
      <c r="D523" t="s">
        <v>1485</v>
      </c>
      <c r="E523" t="s">
        <v>32</v>
      </c>
      <c r="F523" s="1">
        <v>36560</v>
      </c>
      <c r="G523" s="28">
        <v>21</v>
      </c>
      <c r="H523" s="26">
        <v>97745</v>
      </c>
      <c r="I523" t="s">
        <v>169</v>
      </c>
      <c r="J523" t="s">
        <v>39</v>
      </c>
      <c r="K523" t="s">
        <v>40</v>
      </c>
      <c r="L523" t="s">
        <v>34</v>
      </c>
      <c r="M523" t="s">
        <v>1489</v>
      </c>
      <c r="N523" s="7">
        <f t="shared" si="16"/>
        <v>1172940</v>
      </c>
      <c r="O523" s="7">
        <f t="shared" si="17"/>
        <v>9774.5</v>
      </c>
    </row>
    <row r="524" spans="1:15" x14ac:dyDescent="0.35">
      <c r="A524" s="5">
        <v>523</v>
      </c>
      <c r="B524" t="s">
        <v>594</v>
      </c>
      <c r="C524" t="s">
        <v>965</v>
      </c>
      <c r="D524" t="s">
        <v>1486</v>
      </c>
      <c r="E524" t="s">
        <v>203</v>
      </c>
      <c r="F524" s="1">
        <v>45818</v>
      </c>
      <c r="G524" s="28">
        <v>9</v>
      </c>
      <c r="H524" s="26">
        <v>143855</v>
      </c>
      <c r="I524" t="s">
        <v>510</v>
      </c>
      <c r="J524" t="s">
        <v>91</v>
      </c>
      <c r="K524" t="s">
        <v>40</v>
      </c>
      <c r="L524" t="s">
        <v>41</v>
      </c>
      <c r="M524" t="s">
        <v>1489</v>
      </c>
      <c r="N524" s="7">
        <f t="shared" si="16"/>
        <v>1726260</v>
      </c>
      <c r="O524" s="7">
        <f t="shared" si="17"/>
        <v>14385.5</v>
      </c>
    </row>
    <row r="525" spans="1:15" x14ac:dyDescent="0.35">
      <c r="A525" s="5">
        <v>524</v>
      </c>
      <c r="B525" t="s">
        <v>667</v>
      </c>
      <c r="C525" t="s">
        <v>966</v>
      </c>
      <c r="D525" t="s">
        <v>1486</v>
      </c>
      <c r="E525" t="s">
        <v>203</v>
      </c>
      <c r="F525" s="1">
        <v>44727</v>
      </c>
      <c r="G525" s="28">
        <v>12</v>
      </c>
      <c r="H525" s="26">
        <v>43431</v>
      </c>
      <c r="I525" t="s">
        <v>299</v>
      </c>
      <c r="J525" t="s">
        <v>50</v>
      </c>
      <c r="K525" t="s">
        <v>40</v>
      </c>
      <c r="L525" t="s">
        <v>41</v>
      </c>
      <c r="M525" t="s">
        <v>1489</v>
      </c>
      <c r="N525" s="7">
        <f t="shared" si="16"/>
        <v>521172</v>
      </c>
      <c r="O525" s="7">
        <f t="shared" si="17"/>
        <v>4343.1000000000004</v>
      </c>
    </row>
    <row r="526" spans="1:15" x14ac:dyDescent="0.35">
      <c r="A526" s="5">
        <v>525</v>
      </c>
      <c r="B526" t="s">
        <v>791</v>
      </c>
      <c r="C526" t="s">
        <v>967</v>
      </c>
      <c r="D526" t="s">
        <v>1486</v>
      </c>
      <c r="E526" t="s">
        <v>44</v>
      </c>
      <c r="F526" s="1">
        <v>37316</v>
      </c>
      <c r="G526" s="28">
        <v>19</v>
      </c>
      <c r="H526" s="26">
        <v>94016</v>
      </c>
      <c r="I526" t="s">
        <v>97</v>
      </c>
      <c r="J526" t="s">
        <v>16</v>
      </c>
      <c r="K526" t="s">
        <v>17</v>
      </c>
      <c r="L526" t="s">
        <v>29</v>
      </c>
      <c r="M526" t="s">
        <v>1489</v>
      </c>
      <c r="N526" s="7">
        <f t="shared" si="16"/>
        <v>1128192</v>
      </c>
      <c r="O526" s="7">
        <f t="shared" si="17"/>
        <v>9401.6</v>
      </c>
    </row>
    <row r="527" spans="1:15" x14ac:dyDescent="0.35">
      <c r="A527" s="5">
        <v>526</v>
      </c>
      <c r="B527" t="s">
        <v>159</v>
      </c>
      <c r="C527" t="s">
        <v>968</v>
      </c>
      <c r="D527" t="s">
        <v>1486</v>
      </c>
      <c r="E527" t="s">
        <v>73</v>
      </c>
      <c r="F527" s="1">
        <v>45544</v>
      </c>
      <c r="G527" s="28">
        <v>10</v>
      </c>
      <c r="H527" s="26">
        <v>66847</v>
      </c>
      <c r="I527" t="s">
        <v>142</v>
      </c>
      <c r="J527" t="s">
        <v>16</v>
      </c>
      <c r="K527" t="s">
        <v>17</v>
      </c>
      <c r="L527" t="s">
        <v>41</v>
      </c>
      <c r="M527" t="s">
        <v>1489</v>
      </c>
      <c r="N527" s="7">
        <f t="shared" si="16"/>
        <v>802164</v>
      </c>
      <c r="O527" s="7">
        <f t="shared" si="17"/>
        <v>6684.7000000000007</v>
      </c>
    </row>
    <row r="528" spans="1:15" x14ac:dyDescent="0.35">
      <c r="A528" s="5">
        <v>527</v>
      </c>
      <c r="B528" t="s">
        <v>969</v>
      </c>
      <c r="C528" t="s">
        <v>970</v>
      </c>
      <c r="D528" t="s">
        <v>1485</v>
      </c>
      <c r="E528" t="s">
        <v>69</v>
      </c>
      <c r="F528" s="1">
        <v>38462</v>
      </c>
      <c r="G528" s="28">
        <v>16</v>
      </c>
      <c r="H528" s="26">
        <v>69705</v>
      </c>
      <c r="I528" t="s">
        <v>107</v>
      </c>
      <c r="J528" t="s">
        <v>28</v>
      </c>
      <c r="K528" t="s">
        <v>17</v>
      </c>
      <c r="L528" t="s">
        <v>41</v>
      </c>
      <c r="M528" t="s">
        <v>1489</v>
      </c>
      <c r="N528" s="7">
        <f t="shared" si="16"/>
        <v>836460</v>
      </c>
      <c r="O528" s="7">
        <f t="shared" si="17"/>
        <v>6970.5</v>
      </c>
    </row>
    <row r="529" spans="1:15" x14ac:dyDescent="0.35">
      <c r="A529" s="5">
        <v>528</v>
      </c>
      <c r="B529" t="s">
        <v>882</v>
      </c>
      <c r="C529" t="s">
        <v>971</v>
      </c>
      <c r="D529" t="s">
        <v>1485</v>
      </c>
      <c r="E529" t="s">
        <v>21</v>
      </c>
      <c r="F529" s="1">
        <v>40947</v>
      </c>
      <c r="G529" s="28">
        <v>9</v>
      </c>
      <c r="H529" s="26">
        <v>96739</v>
      </c>
      <c r="I529" t="s">
        <v>223</v>
      </c>
      <c r="J529" t="s">
        <v>16</v>
      </c>
      <c r="K529" t="s">
        <v>17</v>
      </c>
      <c r="L529" t="s">
        <v>23</v>
      </c>
      <c r="M529" t="s">
        <v>1489</v>
      </c>
      <c r="N529" s="7">
        <f t="shared" si="16"/>
        <v>1160868</v>
      </c>
      <c r="O529" s="7">
        <f t="shared" si="17"/>
        <v>9673.9</v>
      </c>
    </row>
    <row r="530" spans="1:15" x14ac:dyDescent="0.35">
      <c r="A530" s="5">
        <v>529</v>
      </c>
      <c r="B530" t="s">
        <v>407</v>
      </c>
      <c r="C530" t="s">
        <v>972</v>
      </c>
      <c r="D530" t="s">
        <v>1486</v>
      </c>
      <c r="E530" t="s">
        <v>110</v>
      </c>
      <c r="F530" s="1">
        <v>38961</v>
      </c>
      <c r="G530" s="28">
        <v>15</v>
      </c>
      <c r="H530" s="26">
        <v>52956</v>
      </c>
      <c r="I530" t="s">
        <v>107</v>
      </c>
      <c r="J530" t="s">
        <v>28</v>
      </c>
      <c r="K530" t="s">
        <v>17</v>
      </c>
      <c r="L530" t="s">
        <v>112</v>
      </c>
      <c r="M530" t="s">
        <v>1489</v>
      </c>
      <c r="N530" s="7">
        <f t="shared" si="16"/>
        <v>635472</v>
      </c>
      <c r="O530" s="7">
        <f t="shared" si="17"/>
        <v>5295.6</v>
      </c>
    </row>
    <row r="531" spans="1:15" x14ac:dyDescent="0.35">
      <c r="A531" s="5">
        <v>530</v>
      </c>
      <c r="B531" t="s">
        <v>973</v>
      </c>
      <c r="C531" t="s">
        <v>974</v>
      </c>
      <c r="D531" t="s">
        <v>1486</v>
      </c>
      <c r="E531" t="s">
        <v>14</v>
      </c>
      <c r="F531" s="1">
        <v>46005</v>
      </c>
      <c r="G531" s="28">
        <v>9</v>
      </c>
      <c r="H531" s="26">
        <v>71559</v>
      </c>
      <c r="I531" t="s">
        <v>145</v>
      </c>
      <c r="J531" t="s">
        <v>46</v>
      </c>
      <c r="K531" t="s">
        <v>17</v>
      </c>
      <c r="L531" t="s">
        <v>18</v>
      </c>
      <c r="M531" t="s">
        <v>1489</v>
      </c>
      <c r="N531" s="7">
        <f t="shared" si="16"/>
        <v>858708</v>
      </c>
      <c r="O531" s="7">
        <f t="shared" si="17"/>
        <v>7155.9000000000005</v>
      </c>
    </row>
    <row r="532" spans="1:15" x14ac:dyDescent="0.35">
      <c r="A532" s="5">
        <v>531</v>
      </c>
      <c r="B532" t="s">
        <v>720</v>
      </c>
      <c r="C532" t="s">
        <v>975</v>
      </c>
      <c r="D532" t="s">
        <v>1485</v>
      </c>
      <c r="E532" t="s">
        <v>89</v>
      </c>
      <c r="F532" s="1">
        <v>40499</v>
      </c>
      <c r="G532" s="28">
        <v>11</v>
      </c>
      <c r="H532" s="26">
        <v>143226</v>
      </c>
      <c r="I532" t="s">
        <v>613</v>
      </c>
      <c r="J532" t="s">
        <v>39</v>
      </c>
      <c r="K532" t="s">
        <v>40</v>
      </c>
      <c r="L532" t="s">
        <v>41</v>
      </c>
      <c r="M532" t="s">
        <v>1489</v>
      </c>
      <c r="N532" s="7">
        <f t="shared" si="16"/>
        <v>1718712</v>
      </c>
      <c r="O532" s="7">
        <f t="shared" si="17"/>
        <v>14322.6</v>
      </c>
    </row>
    <row r="533" spans="1:15" x14ac:dyDescent="0.35">
      <c r="A533" s="5">
        <v>532</v>
      </c>
      <c r="B533" t="s">
        <v>762</v>
      </c>
      <c r="C533" t="s">
        <v>976</v>
      </c>
      <c r="D533" t="s">
        <v>1485</v>
      </c>
      <c r="E533" t="s">
        <v>122</v>
      </c>
      <c r="F533" s="1">
        <v>40588</v>
      </c>
      <c r="G533" s="28">
        <v>10</v>
      </c>
      <c r="H533" s="26">
        <v>145747</v>
      </c>
      <c r="I533" t="s">
        <v>22</v>
      </c>
      <c r="J533" t="s">
        <v>28</v>
      </c>
      <c r="K533" t="s">
        <v>17</v>
      </c>
      <c r="L533" t="s">
        <v>123</v>
      </c>
      <c r="M533" t="s">
        <v>1489</v>
      </c>
      <c r="N533" s="7">
        <f t="shared" si="16"/>
        <v>1748964</v>
      </c>
      <c r="O533" s="7">
        <f t="shared" si="17"/>
        <v>14574.7</v>
      </c>
    </row>
    <row r="534" spans="1:15" x14ac:dyDescent="0.35">
      <c r="A534" s="5">
        <v>533</v>
      </c>
      <c r="B534" t="s">
        <v>316</v>
      </c>
      <c r="C534" t="s">
        <v>977</v>
      </c>
      <c r="D534" t="s">
        <v>1486</v>
      </c>
      <c r="E534" t="s">
        <v>100</v>
      </c>
      <c r="F534" s="1">
        <v>46310</v>
      </c>
      <c r="G534" s="28">
        <v>8</v>
      </c>
      <c r="H534" s="26">
        <v>72001</v>
      </c>
      <c r="I534" t="s">
        <v>978</v>
      </c>
      <c r="J534" t="s">
        <v>16</v>
      </c>
      <c r="K534" t="s">
        <v>17</v>
      </c>
      <c r="L534" t="s">
        <v>29</v>
      </c>
      <c r="M534" t="s">
        <v>1489</v>
      </c>
      <c r="N534" s="7">
        <f t="shared" si="16"/>
        <v>864012</v>
      </c>
      <c r="O534" s="7">
        <f t="shared" si="17"/>
        <v>7200.1</v>
      </c>
    </row>
    <row r="535" spans="1:15" x14ac:dyDescent="0.35">
      <c r="A535" s="5">
        <v>534</v>
      </c>
      <c r="B535" t="s">
        <v>474</v>
      </c>
      <c r="C535" t="s">
        <v>979</v>
      </c>
      <c r="D535" t="s">
        <v>1486</v>
      </c>
      <c r="E535" t="s">
        <v>238</v>
      </c>
      <c r="F535" s="1">
        <v>36789</v>
      </c>
      <c r="G535" s="28">
        <v>21</v>
      </c>
      <c r="H535" s="26">
        <v>50308</v>
      </c>
      <c r="I535" t="s">
        <v>74</v>
      </c>
      <c r="J535" t="s">
        <v>50</v>
      </c>
      <c r="K535" t="s">
        <v>40</v>
      </c>
      <c r="L535" t="s">
        <v>63</v>
      </c>
      <c r="M535" t="s">
        <v>1489</v>
      </c>
      <c r="N535" s="7">
        <f t="shared" si="16"/>
        <v>603696</v>
      </c>
      <c r="O535" s="7">
        <f t="shared" si="17"/>
        <v>5030.8</v>
      </c>
    </row>
    <row r="536" spans="1:15" x14ac:dyDescent="0.35">
      <c r="A536" s="5">
        <v>535</v>
      </c>
      <c r="B536" t="s">
        <v>328</v>
      </c>
      <c r="C536" t="s">
        <v>980</v>
      </c>
      <c r="D536" t="s">
        <v>1486</v>
      </c>
      <c r="E536" t="s">
        <v>89</v>
      </c>
      <c r="F536" s="1">
        <v>44037</v>
      </c>
      <c r="G536" s="28">
        <v>14</v>
      </c>
      <c r="H536" s="26">
        <v>131662</v>
      </c>
      <c r="I536" t="s">
        <v>327</v>
      </c>
      <c r="J536" t="s">
        <v>28</v>
      </c>
      <c r="K536" t="s">
        <v>17</v>
      </c>
      <c r="L536" t="s">
        <v>41</v>
      </c>
      <c r="M536" t="s">
        <v>1489</v>
      </c>
      <c r="N536" s="7">
        <f t="shared" si="16"/>
        <v>1579944</v>
      </c>
      <c r="O536" s="7">
        <f t="shared" si="17"/>
        <v>13166.2</v>
      </c>
    </row>
    <row r="537" spans="1:15" x14ac:dyDescent="0.35">
      <c r="A537" s="5">
        <v>536</v>
      </c>
      <c r="B537" t="s">
        <v>316</v>
      </c>
      <c r="C537" t="s">
        <v>981</v>
      </c>
      <c r="D537" t="s">
        <v>1486</v>
      </c>
      <c r="E537" t="s">
        <v>85</v>
      </c>
      <c r="F537" s="1">
        <v>45431</v>
      </c>
      <c r="G537" s="28">
        <v>10</v>
      </c>
      <c r="H537" s="26">
        <v>55730</v>
      </c>
      <c r="I537" t="s">
        <v>344</v>
      </c>
      <c r="J537" t="s">
        <v>39</v>
      </c>
      <c r="K537" t="s">
        <v>40</v>
      </c>
      <c r="L537" t="s">
        <v>41</v>
      </c>
      <c r="M537" t="s">
        <v>1489</v>
      </c>
      <c r="N537" s="7">
        <f t="shared" si="16"/>
        <v>668760</v>
      </c>
      <c r="O537" s="7">
        <f t="shared" si="17"/>
        <v>5573</v>
      </c>
    </row>
    <row r="538" spans="1:15" x14ac:dyDescent="0.35">
      <c r="A538" s="5">
        <v>537</v>
      </c>
      <c r="B538" t="s">
        <v>75</v>
      </c>
      <c r="C538" t="s">
        <v>982</v>
      </c>
      <c r="D538" t="s">
        <v>1486</v>
      </c>
      <c r="E538" t="s">
        <v>79</v>
      </c>
      <c r="F538" s="1">
        <v>38395</v>
      </c>
      <c r="G538" s="28">
        <v>16</v>
      </c>
      <c r="H538" s="26">
        <v>63836</v>
      </c>
      <c r="I538" t="s">
        <v>209</v>
      </c>
      <c r="J538" t="s">
        <v>46</v>
      </c>
      <c r="K538" t="s">
        <v>17</v>
      </c>
      <c r="L538" t="s">
        <v>41</v>
      </c>
      <c r="M538" t="s">
        <v>1489</v>
      </c>
      <c r="N538" s="7">
        <f t="shared" si="16"/>
        <v>766032</v>
      </c>
      <c r="O538" s="7">
        <f t="shared" si="17"/>
        <v>6383.6</v>
      </c>
    </row>
    <row r="539" spans="1:15" x14ac:dyDescent="0.35">
      <c r="A539" s="5">
        <v>538</v>
      </c>
      <c r="B539" t="s">
        <v>296</v>
      </c>
      <c r="C539" t="s">
        <v>983</v>
      </c>
      <c r="D539" t="s">
        <v>1485</v>
      </c>
      <c r="E539" t="s">
        <v>312</v>
      </c>
      <c r="F539" s="1">
        <v>38649</v>
      </c>
      <c r="G539" s="28">
        <v>16</v>
      </c>
      <c r="H539" s="26">
        <v>121296</v>
      </c>
      <c r="I539" t="s">
        <v>156</v>
      </c>
      <c r="J539" t="s">
        <v>16</v>
      </c>
      <c r="K539" t="s">
        <v>17</v>
      </c>
      <c r="L539" t="s">
        <v>41</v>
      </c>
      <c r="M539" t="s">
        <v>1489</v>
      </c>
      <c r="N539" s="7">
        <f t="shared" si="16"/>
        <v>1455552</v>
      </c>
      <c r="O539" s="7">
        <f t="shared" si="17"/>
        <v>12129.6</v>
      </c>
    </row>
    <row r="540" spans="1:15" x14ac:dyDescent="0.35">
      <c r="A540" s="5">
        <v>539</v>
      </c>
      <c r="B540" t="s">
        <v>12</v>
      </c>
      <c r="C540" t="s">
        <v>984</v>
      </c>
      <c r="D540" t="s">
        <v>1485</v>
      </c>
      <c r="E540" t="s">
        <v>61</v>
      </c>
      <c r="F540" s="1">
        <v>40988</v>
      </c>
      <c r="G540" s="28">
        <v>9</v>
      </c>
      <c r="H540" s="26">
        <v>110660</v>
      </c>
      <c r="I540" t="s">
        <v>247</v>
      </c>
      <c r="J540" t="s">
        <v>55</v>
      </c>
      <c r="K540" t="s">
        <v>17</v>
      </c>
      <c r="L540" t="s">
        <v>63</v>
      </c>
      <c r="M540" t="s">
        <v>1489</v>
      </c>
      <c r="N540" s="7">
        <f t="shared" si="16"/>
        <v>1327920</v>
      </c>
      <c r="O540" s="7">
        <f t="shared" si="17"/>
        <v>11066</v>
      </c>
    </row>
    <row r="541" spans="1:15" x14ac:dyDescent="0.35">
      <c r="A541" s="5">
        <v>540</v>
      </c>
      <c r="B541" t="s">
        <v>304</v>
      </c>
      <c r="C541" t="s">
        <v>985</v>
      </c>
      <c r="D541" t="s">
        <v>1485</v>
      </c>
      <c r="E541" t="s">
        <v>79</v>
      </c>
      <c r="F541" s="1">
        <v>37244</v>
      </c>
      <c r="G541" s="28">
        <v>20</v>
      </c>
      <c r="H541" s="26">
        <v>89114</v>
      </c>
      <c r="I541" t="s">
        <v>610</v>
      </c>
      <c r="J541" t="s">
        <v>91</v>
      </c>
      <c r="K541" t="s">
        <v>40</v>
      </c>
      <c r="L541" t="s">
        <v>41</v>
      </c>
      <c r="M541" t="s">
        <v>1489</v>
      </c>
      <c r="N541" s="7">
        <f t="shared" si="16"/>
        <v>1069368</v>
      </c>
      <c r="O541" s="7">
        <f t="shared" si="17"/>
        <v>8911.4</v>
      </c>
    </row>
    <row r="542" spans="1:15" x14ac:dyDescent="0.35">
      <c r="A542" s="5">
        <v>541</v>
      </c>
      <c r="B542" t="s">
        <v>986</v>
      </c>
      <c r="C542" t="s">
        <v>987</v>
      </c>
      <c r="D542" t="s">
        <v>1486</v>
      </c>
      <c r="E542" t="s">
        <v>238</v>
      </c>
      <c r="F542" s="1">
        <v>44071</v>
      </c>
      <c r="G542" s="28">
        <v>14</v>
      </c>
      <c r="H542" s="26">
        <v>48769</v>
      </c>
      <c r="I542" t="s">
        <v>153</v>
      </c>
      <c r="J542" t="s">
        <v>91</v>
      </c>
      <c r="K542" t="s">
        <v>40</v>
      </c>
      <c r="L542" t="s">
        <v>63</v>
      </c>
      <c r="M542" t="s">
        <v>1489</v>
      </c>
      <c r="N542" s="7">
        <f t="shared" si="16"/>
        <v>585228</v>
      </c>
      <c r="O542" s="7">
        <f t="shared" si="17"/>
        <v>4876.9000000000005</v>
      </c>
    </row>
    <row r="543" spans="1:15" x14ac:dyDescent="0.35">
      <c r="A543" s="5">
        <v>542</v>
      </c>
      <c r="B543" t="s">
        <v>762</v>
      </c>
      <c r="C543" t="s">
        <v>988</v>
      </c>
      <c r="D543" t="s">
        <v>1485</v>
      </c>
      <c r="E543" t="s">
        <v>238</v>
      </c>
      <c r="F543" s="1">
        <v>39479</v>
      </c>
      <c r="G543" s="28">
        <v>13</v>
      </c>
      <c r="H543" s="26">
        <v>90069</v>
      </c>
      <c r="I543" t="s">
        <v>537</v>
      </c>
      <c r="J543" t="s">
        <v>91</v>
      </c>
      <c r="K543" t="s">
        <v>40</v>
      </c>
      <c r="L543" t="s">
        <v>63</v>
      </c>
      <c r="M543" t="s">
        <v>1489</v>
      </c>
      <c r="N543" s="7">
        <f t="shared" si="16"/>
        <v>1080828</v>
      </c>
      <c r="O543" s="7">
        <f t="shared" si="17"/>
        <v>9006.9</v>
      </c>
    </row>
    <row r="544" spans="1:15" x14ac:dyDescent="0.35">
      <c r="A544" s="5">
        <v>543</v>
      </c>
      <c r="B544" t="s">
        <v>560</v>
      </c>
      <c r="C544" t="s">
        <v>989</v>
      </c>
      <c r="D544" t="s">
        <v>1486</v>
      </c>
      <c r="E544" t="s">
        <v>89</v>
      </c>
      <c r="F544" s="1">
        <v>46272</v>
      </c>
      <c r="G544" s="28">
        <v>8</v>
      </c>
      <c r="H544" s="26">
        <v>120085</v>
      </c>
      <c r="I544" t="s">
        <v>664</v>
      </c>
      <c r="J544" t="s">
        <v>50</v>
      </c>
      <c r="K544" t="s">
        <v>40</v>
      </c>
      <c r="L544" t="s">
        <v>41</v>
      </c>
      <c r="M544" t="s">
        <v>1489</v>
      </c>
      <c r="N544" s="7">
        <f t="shared" si="16"/>
        <v>1441020</v>
      </c>
      <c r="O544" s="7">
        <f t="shared" si="17"/>
        <v>12008.5</v>
      </c>
    </row>
    <row r="545" spans="1:15" x14ac:dyDescent="0.35">
      <c r="A545" s="5">
        <v>544</v>
      </c>
      <c r="B545" t="s">
        <v>331</v>
      </c>
      <c r="C545" t="s">
        <v>990</v>
      </c>
      <c r="D545" t="s">
        <v>1486</v>
      </c>
      <c r="E545" t="s">
        <v>94</v>
      </c>
      <c r="F545" s="1">
        <v>44150</v>
      </c>
      <c r="G545" s="28">
        <v>14</v>
      </c>
      <c r="H545" s="26">
        <v>41697</v>
      </c>
      <c r="I545" t="s">
        <v>189</v>
      </c>
      <c r="J545" t="s">
        <v>39</v>
      </c>
      <c r="K545" t="s">
        <v>40</v>
      </c>
      <c r="L545" t="s">
        <v>18</v>
      </c>
      <c r="M545" t="s">
        <v>1489</v>
      </c>
      <c r="N545" s="7">
        <f t="shared" si="16"/>
        <v>500364</v>
      </c>
      <c r="O545" s="7">
        <f t="shared" si="17"/>
        <v>4169.7</v>
      </c>
    </row>
    <row r="546" spans="1:15" x14ac:dyDescent="0.35">
      <c r="A546" s="5">
        <v>545</v>
      </c>
      <c r="B546" t="s">
        <v>600</v>
      </c>
      <c r="C546" t="s">
        <v>991</v>
      </c>
      <c r="D546" t="s">
        <v>1485</v>
      </c>
      <c r="E546" t="s">
        <v>85</v>
      </c>
      <c r="F546" s="1">
        <v>39937</v>
      </c>
      <c r="G546" s="28">
        <v>12</v>
      </c>
      <c r="H546" s="26">
        <v>44093</v>
      </c>
      <c r="I546" t="s">
        <v>992</v>
      </c>
      <c r="J546" t="s">
        <v>91</v>
      </c>
      <c r="K546" t="s">
        <v>40</v>
      </c>
      <c r="L546" t="s">
        <v>41</v>
      </c>
      <c r="M546" t="s">
        <v>1489</v>
      </c>
      <c r="N546" s="7">
        <f t="shared" si="16"/>
        <v>529116</v>
      </c>
      <c r="O546" s="7">
        <f t="shared" si="17"/>
        <v>4409.3</v>
      </c>
    </row>
    <row r="547" spans="1:15" x14ac:dyDescent="0.35">
      <c r="A547" s="5">
        <v>546</v>
      </c>
      <c r="B547" t="s">
        <v>341</v>
      </c>
      <c r="C547" t="s">
        <v>993</v>
      </c>
      <c r="D547" t="s">
        <v>1486</v>
      </c>
      <c r="E547" t="s">
        <v>32</v>
      </c>
      <c r="F547" s="1">
        <v>39022</v>
      </c>
      <c r="G547" s="28">
        <v>15</v>
      </c>
      <c r="H547" s="26">
        <v>59294</v>
      </c>
      <c r="I547" t="s">
        <v>181</v>
      </c>
      <c r="J547" t="s">
        <v>50</v>
      </c>
      <c r="K547" t="s">
        <v>40</v>
      </c>
      <c r="L547" t="s">
        <v>34</v>
      </c>
      <c r="M547" t="s">
        <v>1489</v>
      </c>
      <c r="N547" s="7">
        <f t="shared" si="16"/>
        <v>711528</v>
      </c>
      <c r="O547" s="7">
        <f t="shared" si="17"/>
        <v>5929.4000000000005</v>
      </c>
    </row>
    <row r="548" spans="1:15" x14ac:dyDescent="0.35">
      <c r="A548" s="5">
        <v>547</v>
      </c>
      <c r="B548" t="s">
        <v>508</v>
      </c>
      <c r="C548" t="s">
        <v>994</v>
      </c>
      <c r="D548" t="s">
        <v>1485</v>
      </c>
      <c r="E548" t="s">
        <v>100</v>
      </c>
      <c r="F548" s="1">
        <v>41507</v>
      </c>
      <c r="G548" s="28">
        <v>8</v>
      </c>
      <c r="H548" s="26">
        <v>140858</v>
      </c>
      <c r="I548" t="s">
        <v>691</v>
      </c>
      <c r="J548" t="s">
        <v>39</v>
      </c>
      <c r="K548" t="s">
        <v>40</v>
      </c>
      <c r="L548" t="s">
        <v>29</v>
      </c>
      <c r="M548" t="s">
        <v>1489</v>
      </c>
      <c r="N548" s="7">
        <f t="shared" si="16"/>
        <v>1690296</v>
      </c>
      <c r="O548" s="7">
        <f t="shared" si="17"/>
        <v>14085.800000000001</v>
      </c>
    </row>
    <row r="549" spans="1:15" x14ac:dyDescent="0.35">
      <c r="A549" s="5">
        <v>548</v>
      </c>
      <c r="B549" t="s">
        <v>995</v>
      </c>
      <c r="C549" t="s">
        <v>996</v>
      </c>
      <c r="D549" t="s">
        <v>1486</v>
      </c>
      <c r="E549" t="s">
        <v>53</v>
      </c>
      <c r="F549" s="1">
        <v>44571</v>
      </c>
      <c r="G549" s="28">
        <v>12</v>
      </c>
      <c r="H549" s="26">
        <v>46444</v>
      </c>
      <c r="I549" t="s">
        <v>33</v>
      </c>
      <c r="J549" t="s">
        <v>50</v>
      </c>
      <c r="K549" t="s">
        <v>40</v>
      </c>
      <c r="L549" t="s">
        <v>23</v>
      </c>
      <c r="M549" t="s">
        <v>1489</v>
      </c>
      <c r="N549" s="7">
        <f t="shared" si="16"/>
        <v>557328</v>
      </c>
      <c r="O549" s="7">
        <f t="shared" si="17"/>
        <v>4644.4000000000005</v>
      </c>
    </row>
    <row r="550" spans="1:15" x14ac:dyDescent="0.35">
      <c r="A550" s="5">
        <v>549</v>
      </c>
      <c r="B550" t="s">
        <v>457</v>
      </c>
      <c r="C550" t="s">
        <v>997</v>
      </c>
      <c r="D550" t="s">
        <v>1486</v>
      </c>
      <c r="E550" t="s">
        <v>122</v>
      </c>
      <c r="F550" s="1">
        <v>45926</v>
      </c>
      <c r="G550" s="28">
        <v>9</v>
      </c>
      <c r="H550" s="26">
        <v>85855</v>
      </c>
      <c r="I550" t="s">
        <v>22</v>
      </c>
      <c r="J550" t="s">
        <v>55</v>
      </c>
      <c r="K550" t="s">
        <v>17</v>
      </c>
      <c r="L550" t="s">
        <v>123</v>
      </c>
      <c r="M550" t="s">
        <v>1489</v>
      </c>
      <c r="N550" s="7">
        <f t="shared" si="16"/>
        <v>1030260</v>
      </c>
      <c r="O550" s="7">
        <f t="shared" si="17"/>
        <v>8585.5</v>
      </c>
    </row>
    <row r="551" spans="1:15" x14ac:dyDescent="0.35">
      <c r="A551" s="5">
        <v>550</v>
      </c>
      <c r="B551" t="s">
        <v>207</v>
      </c>
      <c r="C551" t="s">
        <v>998</v>
      </c>
      <c r="D551" t="s">
        <v>1485</v>
      </c>
      <c r="E551" t="s">
        <v>312</v>
      </c>
      <c r="F551" s="1">
        <v>36647</v>
      </c>
      <c r="G551" s="28">
        <v>21</v>
      </c>
      <c r="H551" s="26">
        <v>72334</v>
      </c>
      <c r="I551" t="s">
        <v>666</v>
      </c>
      <c r="J551" t="s">
        <v>28</v>
      </c>
      <c r="K551" t="s">
        <v>17</v>
      </c>
      <c r="L551" t="s">
        <v>41</v>
      </c>
      <c r="M551" t="s">
        <v>1489</v>
      </c>
      <c r="N551" s="7">
        <f t="shared" si="16"/>
        <v>868008</v>
      </c>
      <c r="O551" s="7">
        <f t="shared" si="17"/>
        <v>7233.4000000000005</v>
      </c>
    </row>
    <row r="552" spans="1:15" x14ac:dyDescent="0.35">
      <c r="A552" s="5">
        <v>551</v>
      </c>
      <c r="B552" t="s">
        <v>150</v>
      </c>
      <c r="C552" t="s">
        <v>999</v>
      </c>
      <c r="D552" t="s">
        <v>1485</v>
      </c>
      <c r="E552" t="s">
        <v>238</v>
      </c>
      <c r="F552" s="1">
        <v>40820</v>
      </c>
      <c r="G552" s="28">
        <v>10</v>
      </c>
      <c r="H552" s="26">
        <v>69246</v>
      </c>
      <c r="I552" t="s">
        <v>82</v>
      </c>
      <c r="J552" t="s">
        <v>50</v>
      </c>
      <c r="K552" t="s">
        <v>40</v>
      </c>
      <c r="L552" t="s">
        <v>63</v>
      </c>
      <c r="M552" t="s">
        <v>1489</v>
      </c>
      <c r="N552" s="7">
        <f t="shared" si="16"/>
        <v>830952</v>
      </c>
      <c r="O552" s="7">
        <f t="shared" si="17"/>
        <v>6924.6</v>
      </c>
    </row>
    <row r="553" spans="1:15" x14ac:dyDescent="0.35">
      <c r="A553" s="5">
        <v>552</v>
      </c>
      <c r="B553" t="s">
        <v>275</v>
      </c>
      <c r="C553" t="s">
        <v>1000</v>
      </c>
      <c r="D553" t="s">
        <v>1485</v>
      </c>
      <c r="E553" t="s">
        <v>129</v>
      </c>
      <c r="F553" s="1">
        <v>40620</v>
      </c>
      <c r="G553" s="28">
        <v>10</v>
      </c>
      <c r="H553" s="26">
        <v>107389</v>
      </c>
      <c r="I553" t="s">
        <v>66</v>
      </c>
      <c r="J553" t="s">
        <v>16</v>
      </c>
      <c r="K553" t="s">
        <v>17</v>
      </c>
      <c r="L553" t="s">
        <v>41</v>
      </c>
      <c r="M553" t="s">
        <v>1489</v>
      </c>
      <c r="N553" s="7">
        <f t="shared" si="16"/>
        <v>1288668</v>
      </c>
      <c r="O553" s="7">
        <f t="shared" si="17"/>
        <v>10738.900000000001</v>
      </c>
    </row>
    <row r="554" spans="1:15" x14ac:dyDescent="0.35">
      <c r="A554" s="5">
        <v>553</v>
      </c>
      <c r="B554" t="s">
        <v>264</v>
      </c>
      <c r="C554" t="s">
        <v>1001</v>
      </c>
      <c r="D554" t="s">
        <v>1485</v>
      </c>
      <c r="E554" t="s">
        <v>26</v>
      </c>
      <c r="F554" s="1">
        <v>40163</v>
      </c>
      <c r="G554" s="28">
        <v>12</v>
      </c>
      <c r="H554" s="26">
        <v>141505</v>
      </c>
      <c r="I554" t="s">
        <v>360</v>
      </c>
      <c r="J554" t="s">
        <v>50</v>
      </c>
      <c r="K554" t="s">
        <v>40</v>
      </c>
      <c r="L554" t="s">
        <v>29</v>
      </c>
      <c r="M554" t="s">
        <v>1489</v>
      </c>
      <c r="N554" s="7">
        <f t="shared" si="16"/>
        <v>1698060</v>
      </c>
      <c r="O554" s="7">
        <f t="shared" si="17"/>
        <v>14150.5</v>
      </c>
    </row>
    <row r="555" spans="1:15" x14ac:dyDescent="0.35">
      <c r="A555" s="5">
        <v>554</v>
      </c>
      <c r="B555" t="s">
        <v>745</v>
      </c>
      <c r="C555" t="s">
        <v>1002</v>
      </c>
      <c r="D555" t="s">
        <v>1485</v>
      </c>
      <c r="E555" t="s">
        <v>53</v>
      </c>
      <c r="F555" s="1">
        <v>39453</v>
      </c>
      <c r="G555" s="28">
        <v>13</v>
      </c>
      <c r="H555" s="26">
        <v>60318</v>
      </c>
      <c r="I555" t="s">
        <v>636</v>
      </c>
      <c r="J555" t="s">
        <v>91</v>
      </c>
      <c r="K555" t="s">
        <v>40</v>
      </c>
      <c r="L555" t="s">
        <v>23</v>
      </c>
      <c r="M555" t="s">
        <v>1489</v>
      </c>
      <c r="N555" s="7">
        <f t="shared" si="16"/>
        <v>723816</v>
      </c>
      <c r="O555" s="7">
        <f t="shared" si="17"/>
        <v>6031.8</v>
      </c>
    </row>
    <row r="556" spans="1:15" x14ac:dyDescent="0.35">
      <c r="A556" s="5">
        <v>555</v>
      </c>
      <c r="B556" t="s">
        <v>98</v>
      </c>
      <c r="C556" t="s">
        <v>1003</v>
      </c>
      <c r="D556" t="s">
        <v>1486</v>
      </c>
      <c r="E556" t="s">
        <v>148</v>
      </c>
      <c r="F556" s="1">
        <v>46550</v>
      </c>
      <c r="G556" s="28">
        <v>7</v>
      </c>
      <c r="H556" s="26">
        <v>148260</v>
      </c>
      <c r="I556" t="s">
        <v>45</v>
      </c>
      <c r="J556" t="s">
        <v>39</v>
      </c>
      <c r="K556" t="s">
        <v>40</v>
      </c>
      <c r="L556" t="s">
        <v>112</v>
      </c>
      <c r="M556" t="s">
        <v>1489</v>
      </c>
      <c r="N556" s="7">
        <f t="shared" si="16"/>
        <v>1779120</v>
      </c>
      <c r="O556" s="7">
        <f t="shared" si="17"/>
        <v>14826</v>
      </c>
    </row>
    <row r="557" spans="1:15" x14ac:dyDescent="0.35">
      <c r="A557" s="5">
        <v>556</v>
      </c>
      <c r="B557" t="s">
        <v>163</v>
      </c>
      <c r="C557" t="s">
        <v>1004</v>
      </c>
      <c r="D557" t="s">
        <v>1486</v>
      </c>
      <c r="E557" t="s">
        <v>94</v>
      </c>
      <c r="F557" s="1">
        <v>39071</v>
      </c>
      <c r="G557" s="28">
        <v>15</v>
      </c>
      <c r="H557" s="26">
        <v>73199</v>
      </c>
      <c r="I557" t="s">
        <v>149</v>
      </c>
      <c r="J557" t="s">
        <v>16</v>
      </c>
      <c r="K557" t="s">
        <v>17</v>
      </c>
      <c r="L557" t="s">
        <v>18</v>
      </c>
      <c r="M557" t="s">
        <v>1489</v>
      </c>
      <c r="N557" s="7">
        <f t="shared" si="16"/>
        <v>878388</v>
      </c>
      <c r="O557" s="7">
        <f t="shared" si="17"/>
        <v>7319.9000000000005</v>
      </c>
    </row>
    <row r="558" spans="1:15" x14ac:dyDescent="0.35">
      <c r="A558" s="5">
        <v>557</v>
      </c>
      <c r="B558" t="s">
        <v>745</v>
      </c>
      <c r="C558" t="s">
        <v>1005</v>
      </c>
      <c r="D558" t="s">
        <v>1485</v>
      </c>
      <c r="E558" t="s">
        <v>85</v>
      </c>
      <c r="F558" s="1">
        <v>37494</v>
      </c>
      <c r="G558" s="28">
        <v>19</v>
      </c>
      <c r="H558" s="26">
        <v>111244</v>
      </c>
      <c r="I558" t="s">
        <v>253</v>
      </c>
      <c r="J558" t="s">
        <v>50</v>
      </c>
      <c r="K558" t="s">
        <v>40</v>
      </c>
      <c r="L558" t="s">
        <v>41</v>
      </c>
      <c r="M558" t="s">
        <v>1489</v>
      </c>
      <c r="N558" s="7">
        <f t="shared" si="16"/>
        <v>1334928</v>
      </c>
      <c r="O558" s="7">
        <f t="shared" si="17"/>
        <v>11124.400000000001</v>
      </c>
    </row>
    <row r="559" spans="1:15" x14ac:dyDescent="0.35">
      <c r="A559" s="5">
        <v>558</v>
      </c>
      <c r="B559" t="s">
        <v>720</v>
      </c>
      <c r="C559" t="s">
        <v>1006</v>
      </c>
      <c r="D559" t="s">
        <v>1485</v>
      </c>
      <c r="E559" t="s">
        <v>73</v>
      </c>
      <c r="F559" s="1">
        <v>40989</v>
      </c>
      <c r="G559" s="28">
        <v>9</v>
      </c>
      <c r="H559" s="26">
        <v>103845</v>
      </c>
      <c r="I559" t="s">
        <v>111</v>
      </c>
      <c r="J559" t="s">
        <v>46</v>
      </c>
      <c r="K559" t="s">
        <v>17</v>
      </c>
      <c r="L559" t="s">
        <v>41</v>
      </c>
      <c r="M559" t="s">
        <v>1489</v>
      </c>
      <c r="N559" s="7">
        <f t="shared" si="16"/>
        <v>1246140</v>
      </c>
      <c r="O559" s="7">
        <f t="shared" si="17"/>
        <v>10384.5</v>
      </c>
    </row>
    <row r="560" spans="1:15" x14ac:dyDescent="0.35">
      <c r="A560" s="5">
        <v>559</v>
      </c>
      <c r="B560" t="s">
        <v>622</v>
      </c>
      <c r="C560" t="s">
        <v>1007</v>
      </c>
      <c r="D560" t="s">
        <v>1486</v>
      </c>
      <c r="E560" t="s">
        <v>14</v>
      </c>
      <c r="F560" s="1">
        <v>44488</v>
      </c>
      <c r="G560" s="28">
        <v>13</v>
      </c>
      <c r="H560" s="26">
        <v>88666</v>
      </c>
      <c r="I560" t="s">
        <v>181</v>
      </c>
      <c r="J560" t="s">
        <v>39</v>
      </c>
      <c r="K560" t="s">
        <v>40</v>
      </c>
      <c r="L560" t="s">
        <v>18</v>
      </c>
      <c r="M560" t="s">
        <v>1489</v>
      </c>
      <c r="N560" s="7">
        <f t="shared" si="16"/>
        <v>1063992</v>
      </c>
      <c r="O560" s="7">
        <f t="shared" si="17"/>
        <v>8866.6</v>
      </c>
    </row>
    <row r="561" spans="1:15" x14ac:dyDescent="0.35">
      <c r="A561" s="5">
        <v>560</v>
      </c>
      <c r="B561" t="s">
        <v>1008</v>
      </c>
      <c r="C561" t="s">
        <v>1009</v>
      </c>
      <c r="D561" t="s">
        <v>1485</v>
      </c>
      <c r="E561" t="s">
        <v>69</v>
      </c>
      <c r="F561" s="1">
        <v>41661</v>
      </c>
      <c r="G561" s="28">
        <v>7</v>
      </c>
      <c r="H561" s="26">
        <v>67845</v>
      </c>
      <c r="I561" t="s">
        <v>441</v>
      </c>
      <c r="J561" t="s">
        <v>39</v>
      </c>
      <c r="K561" t="s">
        <v>40</v>
      </c>
      <c r="L561" t="s">
        <v>41</v>
      </c>
      <c r="M561" t="s">
        <v>1489</v>
      </c>
      <c r="N561" s="7">
        <f t="shared" si="16"/>
        <v>814140</v>
      </c>
      <c r="O561" s="7">
        <f t="shared" si="17"/>
        <v>6784.5</v>
      </c>
    </row>
    <row r="562" spans="1:15" x14ac:dyDescent="0.35">
      <c r="A562" s="5">
        <v>561</v>
      </c>
      <c r="B562" t="s">
        <v>221</v>
      </c>
      <c r="C562" t="s">
        <v>1010</v>
      </c>
      <c r="D562" t="s">
        <v>1485</v>
      </c>
      <c r="E562" t="s">
        <v>21</v>
      </c>
      <c r="F562" s="1">
        <v>38085</v>
      </c>
      <c r="G562" s="28">
        <v>17</v>
      </c>
      <c r="H562" s="26">
        <v>62527</v>
      </c>
      <c r="I562" t="s">
        <v>391</v>
      </c>
      <c r="J562" t="s">
        <v>46</v>
      </c>
      <c r="K562" t="s">
        <v>17</v>
      </c>
      <c r="L562" t="s">
        <v>23</v>
      </c>
      <c r="M562" t="s">
        <v>1489</v>
      </c>
      <c r="N562" s="7">
        <f t="shared" si="16"/>
        <v>750324</v>
      </c>
      <c r="O562" s="7">
        <f t="shared" si="17"/>
        <v>6252.7000000000007</v>
      </c>
    </row>
    <row r="563" spans="1:15" x14ac:dyDescent="0.35">
      <c r="A563" s="5">
        <v>562</v>
      </c>
      <c r="B563" t="s">
        <v>741</v>
      </c>
      <c r="C563" t="s">
        <v>1011</v>
      </c>
      <c r="D563" t="s">
        <v>1485</v>
      </c>
      <c r="E563" t="s">
        <v>44</v>
      </c>
      <c r="F563" s="1">
        <v>37758</v>
      </c>
      <c r="G563" s="28">
        <v>18</v>
      </c>
      <c r="H563" s="26">
        <v>73412</v>
      </c>
      <c r="I563" t="s">
        <v>145</v>
      </c>
      <c r="J563" t="s">
        <v>91</v>
      </c>
      <c r="K563" t="s">
        <v>40</v>
      </c>
      <c r="L563" t="s">
        <v>29</v>
      </c>
      <c r="M563" t="s">
        <v>1489</v>
      </c>
      <c r="N563" s="7">
        <f t="shared" si="16"/>
        <v>880944</v>
      </c>
      <c r="O563" s="7">
        <f t="shared" si="17"/>
        <v>7341.2000000000007</v>
      </c>
    </row>
    <row r="564" spans="1:15" x14ac:dyDescent="0.35">
      <c r="A564" s="5">
        <v>563</v>
      </c>
      <c r="B564" t="s">
        <v>512</v>
      </c>
      <c r="C564" t="s">
        <v>1012</v>
      </c>
      <c r="D564" t="s">
        <v>1485</v>
      </c>
      <c r="E564" t="s">
        <v>129</v>
      </c>
      <c r="F564" s="1">
        <v>40654</v>
      </c>
      <c r="G564" s="28">
        <v>10</v>
      </c>
      <c r="H564" s="26">
        <v>123391</v>
      </c>
      <c r="I564" t="s">
        <v>22</v>
      </c>
      <c r="J564" t="s">
        <v>39</v>
      </c>
      <c r="K564" t="s">
        <v>40</v>
      </c>
      <c r="L564" t="s">
        <v>41</v>
      </c>
      <c r="M564" t="s">
        <v>1489</v>
      </c>
      <c r="N564" s="7">
        <f t="shared" si="16"/>
        <v>1480692</v>
      </c>
      <c r="O564" s="7">
        <f t="shared" si="17"/>
        <v>12339.1</v>
      </c>
    </row>
    <row r="565" spans="1:15" x14ac:dyDescent="0.35">
      <c r="A565" s="5">
        <v>564</v>
      </c>
      <c r="B565" t="s">
        <v>270</v>
      </c>
      <c r="C565" t="s">
        <v>1013</v>
      </c>
      <c r="D565" t="s">
        <v>1486</v>
      </c>
      <c r="E565" t="s">
        <v>203</v>
      </c>
      <c r="F565" s="1">
        <v>38406</v>
      </c>
      <c r="G565" s="28">
        <v>16</v>
      </c>
      <c r="H565" s="26">
        <v>99508</v>
      </c>
      <c r="I565" t="s">
        <v>97</v>
      </c>
      <c r="J565" t="s">
        <v>91</v>
      </c>
      <c r="K565" t="s">
        <v>40</v>
      </c>
      <c r="L565" t="s">
        <v>41</v>
      </c>
      <c r="M565" t="s">
        <v>1489</v>
      </c>
      <c r="N565" s="7">
        <f t="shared" si="16"/>
        <v>1194096</v>
      </c>
      <c r="O565" s="7">
        <f t="shared" si="17"/>
        <v>9950.8000000000011</v>
      </c>
    </row>
    <row r="566" spans="1:15" x14ac:dyDescent="0.35">
      <c r="A566" s="5">
        <v>565</v>
      </c>
      <c r="B566" t="s">
        <v>1014</v>
      </c>
      <c r="C566" t="s">
        <v>1015</v>
      </c>
      <c r="D566" t="s">
        <v>1486</v>
      </c>
      <c r="E566" t="s">
        <v>32</v>
      </c>
      <c r="F566" s="1">
        <v>46494</v>
      </c>
      <c r="G566" s="28">
        <v>7</v>
      </c>
      <c r="H566" s="26">
        <v>55726</v>
      </c>
      <c r="I566" t="s">
        <v>324</v>
      </c>
      <c r="J566" t="s">
        <v>39</v>
      </c>
      <c r="K566" t="s">
        <v>40</v>
      </c>
      <c r="L566" t="s">
        <v>34</v>
      </c>
      <c r="M566" t="s">
        <v>1489</v>
      </c>
      <c r="N566" s="7">
        <f t="shared" si="16"/>
        <v>668712</v>
      </c>
      <c r="O566" s="7">
        <f t="shared" si="17"/>
        <v>5572.6</v>
      </c>
    </row>
    <row r="567" spans="1:15" x14ac:dyDescent="0.35">
      <c r="A567" s="5">
        <v>566</v>
      </c>
      <c r="B567" t="s">
        <v>600</v>
      </c>
      <c r="C567" t="s">
        <v>1016</v>
      </c>
      <c r="D567" t="s">
        <v>1485</v>
      </c>
      <c r="E567" t="s">
        <v>94</v>
      </c>
      <c r="F567" s="1">
        <v>40887</v>
      </c>
      <c r="G567" s="28">
        <v>10</v>
      </c>
      <c r="H567" s="26">
        <v>67140</v>
      </c>
      <c r="I567" t="s">
        <v>374</v>
      </c>
      <c r="J567" t="s">
        <v>28</v>
      </c>
      <c r="K567" t="s">
        <v>17</v>
      </c>
      <c r="L567" t="s">
        <v>18</v>
      </c>
      <c r="M567" t="s">
        <v>1489</v>
      </c>
      <c r="N567" s="7">
        <f t="shared" si="16"/>
        <v>805680</v>
      </c>
      <c r="O567" s="7">
        <f t="shared" si="17"/>
        <v>6714</v>
      </c>
    </row>
    <row r="568" spans="1:15" x14ac:dyDescent="0.35">
      <c r="A568" s="5">
        <v>567</v>
      </c>
      <c r="B568" t="s">
        <v>677</v>
      </c>
      <c r="C568" t="s">
        <v>1017</v>
      </c>
      <c r="D568" t="s">
        <v>1486</v>
      </c>
      <c r="E568" t="s">
        <v>89</v>
      </c>
      <c r="F568" s="1">
        <v>45073</v>
      </c>
      <c r="G568" s="28">
        <v>11</v>
      </c>
      <c r="H568" s="26">
        <v>139060</v>
      </c>
      <c r="I568" t="s">
        <v>537</v>
      </c>
      <c r="J568" t="s">
        <v>39</v>
      </c>
      <c r="K568" t="s">
        <v>40</v>
      </c>
      <c r="L568" t="s">
        <v>41</v>
      </c>
      <c r="M568" t="s">
        <v>1489</v>
      </c>
      <c r="N568" s="7">
        <f t="shared" si="16"/>
        <v>1668720</v>
      </c>
      <c r="O568" s="7">
        <f t="shared" si="17"/>
        <v>13906</v>
      </c>
    </row>
    <row r="569" spans="1:15" x14ac:dyDescent="0.35">
      <c r="A569" s="5">
        <v>568</v>
      </c>
      <c r="B569" t="s">
        <v>92</v>
      </c>
      <c r="C569" t="s">
        <v>1018</v>
      </c>
      <c r="D569" t="s">
        <v>1485</v>
      </c>
      <c r="E569" t="s">
        <v>89</v>
      </c>
      <c r="F569" s="1">
        <v>38188</v>
      </c>
      <c r="G569" s="28">
        <v>17</v>
      </c>
      <c r="H569" s="26">
        <v>135993</v>
      </c>
      <c r="I569" t="s">
        <v>938</v>
      </c>
      <c r="J569" t="s">
        <v>55</v>
      </c>
      <c r="K569" t="s">
        <v>17</v>
      </c>
      <c r="L569" t="s">
        <v>41</v>
      </c>
      <c r="M569" t="s">
        <v>1489</v>
      </c>
      <c r="N569" s="7">
        <f t="shared" si="16"/>
        <v>1631916</v>
      </c>
      <c r="O569" s="7">
        <f t="shared" si="17"/>
        <v>13599.300000000001</v>
      </c>
    </row>
    <row r="570" spans="1:15" x14ac:dyDescent="0.35">
      <c r="A570" s="5">
        <v>569</v>
      </c>
      <c r="B570" t="s">
        <v>257</v>
      </c>
      <c r="C570" t="s">
        <v>1019</v>
      </c>
      <c r="D570" t="s">
        <v>1486</v>
      </c>
      <c r="E570" t="s">
        <v>122</v>
      </c>
      <c r="F570" s="1">
        <v>45242</v>
      </c>
      <c r="G570" s="28">
        <v>11</v>
      </c>
      <c r="H570" s="26">
        <v>80788</v>
      </c>
      <c r="I570" t="s">
        <v>750</v>
      </c>
      <c r="J570" t="s">
        <v>55</v>
      </c>
      <c r="K570" t="s">
        <v>17</v>
      </c>
      <c r="L570" t="s">
        <v>123</v>
      </c>
      <c r="M570" t="s">
        <v>1489</v>
      </c>
      <c r="N570" s="7">
        <f t="shared" si="16"/>
        <v>969456</v>
      </c>
      <c r="O570" s="7">
        <f t="shared" si="17"/>
        <v>8078.8</v>
      </c>
    </row>
    <row r="571" spans="1:15" x14ac:dyDescent="0.35">
      <c r="A571" s="5">
        <v>570</v>
      </c>
      <c r="B571" t="s">
        <v>56</v>
      </c>
      <c r="C571" t="s">
        <v>1020</v>
      </c>
      <c r="D571" t="s">
        <v>1486</v>
      </c>
      <c r="E571" t="s">
        <v>69</v>
      </c>
      <c r="F571" s="1">
        <v>36971</v>
      </c>
      <c r="G571" s="28">
        <v>20</v>
      </c>
      <c r="H571" s="26">
        <v>136377</v>
      </c>
      <c r="I571" t="s">
        <v>896</v>
      </c>
      <c r="J571" t="s">
        <v>39</v>
      </c>
      <c r="K571" t="s">
        <v>40</v>
      </c>
      <c r="L571" t="s">
        <v>41</v>
      </c>
      <c r="M571" t="s">
        <v>1489</v>
      </c>
      <c r="N571" s="7">
        <f t="shared" si="16"/>
        <v>1636524</v>
      </c>
      <c r="O571" s="7">
        <f t="shared" si="17"/>
        <v>13637.7</v>
      </c>
    </row>
    <row r="572" spans="1:15" x14ac:dyDescent="0.35">
      <c r="A572" s="5">
        <v>571</v>
      </c>
      <c r="B572" t="s">
        <v>284</v>
      </c>
      <c r="C572" t="s">
        <v>1021</v>
      </c>
      <c r="D572" t="s">
        <v>1486</v>
      </c>
      <c r="E572" t="s">
        <v>94</v>
      </c>
      <c r="F572" s="1">
        <v>44731</v>
      </c>
      <c r="G572" s="28">
        <v>12</v>
      </c>
      <c r="H572" s="26">
        <v>46247</v>
      </c>
      <c r="I572" t="s">
        <v>196</v>
      </c>
      <c r="J572" t="s">
        <v>28</v>
      </c>
      <c r="K572" t="s">
        <v>17</v>
      </c>
      <c r="L572" t="s">
        <v>18</v>
      </c>
      <c r="M572" t="s">
        <v>1489</v>
      </c>
      <c r="N572" s="7">
        <f t="shared" si="16"/>
        <v>554964</v>
      </c>
      <c r="O572" s="7">
        <f t="shared" si="17"/>
        <v>4624.7</v>
      </c>
    </row>
    <row r="573" spans="1:15" x14ac:dyDescent="0.35">
      <c r="A573" s="5">
        <v>572</v>
      </c>
      <c r="B573" t="s">
        <v>592</v>
      </c>
      <c r="C573" t="s">
        <v>1022</v>
      </c>
      <c r="D573" t="s">
        <v>1485</v>
      </c>
      <c r="E573" t="s">
        <v>26</v>
      </c>
      <c r="F573" s="1">
        <v>41715</v>
      </c>
      <c r="G573" s="28">
        <v>7</v>
      </c>
      <c r="H573" s="26">
        <v>45774</v>
      </c>
      <c r="I573" t="s">
        <v>169</v>
      </c>
      <c r="J573" t="s">
        <v>16</v>
      </c>
      <c r="K573" t="s">
        <v>17</v>
      </c>
      <c r="L573" t="s">
        <v>29</v>
      </c>
      <c r="M573" t="s">
        <v>1489</v>
      </c>
      <c r="N573" s="7">
        <f t="shared" si="16"/>
        <v>549288</v>
      </c>
      <c r="O573" s="7">
        <f t="shared" si="17"/>
        <v>4577.4000000000005</v>
      </c>
    </row>
    <row r="574" spans="1:15" x14ac:dyDescent="0.35">
      <c r="A574" s="5">
        <v>573</v>
      </c>
      <c r="B574" t="s">
        <v>154</v>
      </c>
      <c r="C574" t="s">
        <v>1023</v>
      </c>
      <c r="D574" t="s">
        <v>1486</v>
      </c>
      <c r="E574" t="s">
        <v>21</v>
      </c>
      <c r="F574" s="1">
        <v>45039</v>
      </c>
      <c r="G574" s="28">
        <v>11</v>
      </c>
      <c r="H574" s="26">
        <v>100741</v>
      </c>
      <c r="I574" t="s">
        <v>290</v>
      </c>
      <c r="J574" t="s">
        <v>46</v>
      </c>
      <c r="K574" t="s">
        <v>17</v>
      </c>
      <c r="L574" t="s">
        <v>23</v>
      </c>
      <c r="M574" t="s">
        <v>1489</v>
      </c>
      <c r="N574" s="7">
        <f t="shared" si="16"/>
        <v>1208892</v>
      </c>
      <c r="O574" s="7">
        <f t="shared" si="17"/>
        <v>10074.1</v>
      </c>
    </row>
    <row r="575" spans="1:15" x14ac:dyDescent="0.35">
      <c r="A575" s="5">
        <v>574</v>
      </c>
      <c r="B575" t="s">
        <v>1014</v>
      </c>
      <c r="C575" t="s">
        <v>1024</v>
      </c>
      <c r="D575" t="s">
        <v>1485</v>
      </c>
      <c r="E575" t="s">
        <v>37</v>
      </c>
      <c r="F575" s="1">
        <v>38615</v>
      </c>
      <c r="G575" s="28">
        <v>16</v>
      </c>
      <c r="H575" s="26">
        <v>45534</v>
      </c>
      <c r="I575" t="s">
        <v>226</v>
      </c>
      <c r="J575" t="s">
        <v>46</v>
      </c>
      <c r="K575" t="s">
        <v>17</v>
      </c>
      <c r="L575" t="s">
        <v>41</v>
      </c>
      <c r="M575" t="s">
        <v>1489</v>
      </c>
      <c r="N575" s="7">
        <f t="shared" si="16"/>
        <v>546408</v>
      </c>
      <c r="O575" s="7">
        <f t="shared" si="17"/>
        <v>4553.4000000000005</v>
      </c>
    </row>
    <row r="576" spans="1:15" x14ac:dyDescent="0.35">
      <c r="A576" s="5">
        <v>575</v>
      </c>
      <c r="B576" t="s">
        <v>624</v>
      </c>
      <c r="C576" t="s">
        <v>1025</v>
      </c>
      <c r="D576" t="s">
        <v>1485</v>
      </c>
      <c r="E576" t="s">
        <v>79</v>
      </c>
      <c r="F576" s="1">
        <v>37372</v>
      </c>
      <c r="G576" s="28">
        <v>19</v>
      </c>
      <c r="H576" s="26">
        <v>75399</v>
      </c>
      <c r="I576" t="s">
        <v>97</v>
      </c>
      <c r="J576" t="s">
        <v>39</v>
      </c>
      <c r="K576" t="s">
        <v>40</v>
      </c>
      <c r="L576" t="s">
        <v>41</v>
      </c>
      <c r="M576" t="s">
        <v>1489</v>
      </c>
      <c r="N576" s="7">
        <f t="shared" si="16"/>
        <v>904788</v>
      </c>
      <c r="O576" s="7">
        <f t="shared" si="17"/>
        <v>7539.9000000000005</v>
      </c>
    </row>
    <row r="577" spans="1:15" x14ac:dyDescent="0.35">
      <c r="A577" s="5">
        <v>576</v>
      </c>
      <c r="B577" t="s">
        <v>1026</v>
      </c>
      <c r="C577" t="s">
        <v>1027</v>
      </c>
      <c r="D577" t="s">
        <v>1485</v>
      </c>
      <c r="E577" t="s">
        <v>69</v>
      </c>
      <c r="F577" s="1">
        <v>38911</v>
      </c>
      <c r="G577" s="28">
        <v>15</v>
      </c>
      <c r="H577" s="26">
        <v>50235</v>
      </c>
      <c r="I577" t="s">
        <v>142</v>
      </c>
      <c r="J577" t="s">
        <v>46</v>
      </c>
      <c r="K577" t="s">
        <v>17</v>
      </c>
      <c r="L577" t="s">
        <v>41</v>
      </c>
      <c r="M577" t="s">
        <v>1489</v>
      </c>
      <c r="N577" s="7">
        <f t="shared" si="16"/>
        <v>602820</v>
      </c>
      <c r="O577" s="7">
        <f t="shared" si="17"/>
        <v>5023.5</v>
      </c>
    </row>
    <row r="578" spans="1:15" x14ac:dyDescent="0.35">
      <c r="A578" s="5">
        <v>577</v>
      </c>
      <c r="B578" t="s">
        <v>1028</v>
      </c>
      <c r="C578" t="s">
        <v>1029</v>
      </c>
      <c r="D578" t="s">
        <v>1485</v>
      </c>
      <c r="E578" t="s">
        <v>73</v>
      </c>
      <c r="F578" s="1">
        <v>40570</v>
      </c>
      <c r="G578" s="28">
        <v>10</v>
      </c>
      <c r="H578" s="26">
        <v>128048</v>
      </c>
      <c r="I578" t="s">
        <v>245</v>
      </c>
      <c r="J578" t="s">
        <v>91</v>
      </c>
      <c r="K578" t="s">
        <v>40</v>
      </c>
      <c r="L578" t="s">
        <v>41</v>
      </c>
      <c r="M578" t="s">
        <v>1489</v>
      </c>
      <c r="N578" s="7">
        <f t="shared" ref="N578:N641" si="18">H578*12</f>
        <v>1536576</v>
      </c>
      <c r="O578" s="7">
        <f t="shared" ref="O578:O641" si="19">H578*10%</f>
        <v>12804.800000000001</v>
      </c>
    </row>
    <row r="579" spans="1:15" x14ac:dyDescent="0.35">
      <c r="A579" s="5">
        <v>578</v>
      </c>
      <c r="B579" t="s">
        <v>600</v>
      </c>
      <c r="C579" t="s">
        <v>1030</v>
      </c>
      <c r="D579" t="s">
        <v>1485</v>
      </c>
      <c r="E579" t="s">
        <v>69</v>
      </c>
      <c r="F579" s="1">
        <v>38839</v>
      </c>
      <c r="G579" s="28">
        <v>15</v>
      </c>
      <c r="H579" s="26">
        <v>111318</v>
      </c>
      <c r="I579" t="s">
        <v>349</v>
      </c>
      <c r="J579" t="s">
        <v>28</v>
      </c>
      <c r="K579" t="s">
        <v>17</v>
      </c>
      <c r="L579" t="s">
        <v>41</v>
      </c>
      <c r="M579" t="s">
        <v>1489</v>
      </c>
      <c r="N579" s="7">
        <f t="shared" si="18"/>
        <v>1335816</v>
      </c>
      <c r="O579" s="7">
        <f t="shared" si="19"/>
        <v>11131.800000000001</v>
      </c>
    </row>
    <row r="580" spans="1:15" x14ac:dyDescent="0.35">
      <c r="A580" s="5">
        <v>579</v>
      </c>
      <c r="B580" t="s">
        <v>395</v>
      </c>
      <c r="C580" t="s">
        <v>1031</v>
      </c>
      <c r="D580" t="s">
        <v>1486</v>
      </c>
      <c r="E580" t="s">
        <v>110</v>
      </c>
      <c r="F580" s="1">
        <v>36883</v>
      </c>
      <c r="G580" s="28">
        <v>21</v>
      </c>
      <c r="H580" s="26">
        <v>100763</v>
      </c>
      <c r="I580" t="s">
        <v>394</v>
      </c>
      <c r="J580" t="s">
        <v>39</v>
      </c>
      <c r="K580" t="s">
        <v>40</v>
      </c>
      <c r="L580" t="s">
        <v>112</v>
      </c>
      <c r="M580" t="s">
        <v>1489</v>
      </c>
      <c r="N580" s="7">
        <f t="shared" si="18"/>
        <v>1209156</v>
      </c>
      <c r="O580" s="7">
        <f t="shared" si="19"/>
        <v>10076.300000000001</v>
      </c>
    </row>
    <row r="581" spans="1:15" x14ac:dyDescent="0.35">
      <c r="A581" s="5">
        <v>580</v>
      </c>
      <c r="B581" t="s">
        <v>127</v>
      </c>
      <c r="C581" t="s">
        <v>1032</v>
      </c>
      <c r="D581" t="s">
        <v>1485</v>
      </c>
      <c r="E581" t="s">
        <v>14</v>
      </c>
      <c r="F581" s="1">
        <v>41052</v>
      </c>
      <c r="G581" s="28">
        <v>9</v>
      </c>
      <c r="H581" s="26">
        <v>54231</v>
      </c>
      <c r="I581" t="s">
        <v>1033</v>
      </c>
      <c r="J581" t="s">
        <v>28</v>
      </c>
      <c r="K581" t="s">
        <v>17</v>
      </c>
      <c r="L581" t="s">
        <v>18</v>
      </c>
      <c r="M581" t="s">
        <v>1489</v>
      </c>
      <c r="N581" s="7">
        <f t="shared" si="18"/>
        <v>650772</v>
      </c>
      <c r="O581" s="7">
        <f t="shared" si="19"/>
        <v>5423.1</v>
      </c>
    </row>
    <row r="582" spans="1:15" x14ac:dyDescent="0.35">
      <c r="A582" s="5">
        <v>581</v>
      </c>
      <c r="B582" t="s">
        <v>255</v>
      </c>
      <c r="C582" t="s">
        <v>1034</v>
      </c>
      <c r="D582" t="s">
        <v>1486</v>
      </c>
      <c r="E582" t="s">
        <v>21</v>
      </c>
      <c r="F582" s="1">
        <v>45010</v>
      </c>
      <c r="G582" s="28">
        <v>11</v>
      </c>
      <c r="H582" s="26">
        <v>92334</v>
      </c>
      <c r="I582" t="s">
        <v>610</v>
      </c>
      <c r="J582" t="s">
        <v>28</v>
      </c>
      <c r="K582" t="s">
        <v>17</v>
      </c>
      <c r="L582" t="s">
        <v>23</v>
      </c>
      <c r="M582" t="s">
        <v>1489</v>
      </c>
      <c r="N582" s="7">
        <f t="shared" si="18"/>
        <v>1108008</v>
      </c>
      <c r="O582" s="7">
        <f t="shared" si="19"/>
        <v>9233.4</v>
      </c>
    </row>
    <row r="583" spans="1:15" x14ac:dyDescent="0.35">
      <c r="A583" s="5">
        <v>582</v>
      </c>
      <c r="B583" t="s">
        <v>1035</v>
      </c>
      <c r="C583" t="s">
        <v>1036</v>
      </c>
      <c r="D583" t="s">
        <v>1485</v>
      </c>
      <c r="E583" t="s">
        <v>32</v>
      </c>
      <c r="F583" s="1">
        <v>38427</v>
      </c>
      <c r="G583" s="28">
        <v>16</v>
      </c>
      <c r="H583" s="26">
        <v>58111</v>
      </c>
      <c r="I583" t="s">
        <v>709</v>
      </c>
      <c r="J583" t="s">
        <v>91</v>
      </c>
      <c r="K583" t="s">
        <v>40</v>
      </c>
      <c r="L583" t="s">
        <v>34</v>
      </c>
      <c r="M583" t="s">
        <v>1489</v>
      </c>
      <c r="N583" s="7">
        <f t="shared" si="18"/>
        <v>697332</v>
      </c>
      <c r="O583" s="7">
        <f t="shared" si="19"/>
        <v>5811.1</v>
      </c>
    </row>
    <row r="584" spans="1:15" x14ac:dyDescent="0.35">
      <c r="A584" s="5">
        <v>583</v>
      </c>
      <c r="B584" t="s">
        <v>650</v>
      </c>
      <c r="C584" t="s">
        <v>1037</v>
      </c>
      <c r="D584" t="s">
        <v>1486</v>
      </c>
      <c r="E584" t="s">
        <v>312</v>
      </c>
      <c r="F584" s="1">
        <v>36872</v>
      </c>
      <c r="G584" s="28">
        <v>21</v>
      </c>
      <c r="H584" s="26">
        <v>112048</v>
      </c>
      <c r="I584" t="s">
        <v>1038</v>
      </c>
      <c r="J584" t="s">
        <v>91</v>
      </c>
      <c r="K584" t="s">
        <v>40</v>
      </c>
      <c r="L584" t="s">
        <v>41</v>
      </c>
      <c r="M584" t="s">
        <v>1489</v>
      </c>
      <c r="N584" s="7">
        <f t="shared" si="18"/>
        <v>1344576</v>
      </c>
      <c r="O584" s="7">
        <f t="shared" si="19"/>
        <v>11204.800000000001</v>
      </c>
    </row>
    <row r="585" spans="1:15" x14ac:dyDescent="0.35">
      <c r="A585" s="5">
        <v>584</v>
      </c>
      <c r="B585" t="s">
        <v>1039</v>
      </c>
      <c r="C585" t="s">
        <v>1040</v>
      </c>
      <c r="D585" t="s">
        <v>1486</v>
      </c>
      <c r="E585" t="s">
        <v>238</v>
      </c>
      <c r="F585" s="1">
        <v>44329</v>
      </c>
      <c r="G585" s="28">
        <v>13</v>
      </c>
      <c r="H585" s="26">
        <v>109404</v>
      </c>
      <c r="I585" t="s">
        <v>958</v>
      </c>
      <c r="J585" t="s">
        <v>50</v>
      </c>
      <c r="K585" t="s">
        <v>40</v>
      </c>
      <c r="L585" t="s">
        <v>63</v>
      </c>
      <c r="M585" t="s">
        <v>1489</v>
      </c>
      <c r="N585" s="7">
        <f t="shared" si="18"/>
        <v>1312848</v>
      </c>
      <c r="O585" s="7">
        <f t="shared" si="19"/>
        <v>10940.400000000001</v>
      </c>
    </row>
    <row r="586" spans="1:15" x14ac:dyDescent="0.35">
      <c r="A586" s="5">
        <v>585</v>
      </c>
      <c r="B586" t="s">
        <v>443</v>
      </c>
      <c r="C586" t="s">
        <v>1041</v>
      </c>
      <c r="D586" t="s">
        <v>1485</v>
      </c>
      <c r="E586" t="s">
        <v>110</v>
      </c>
      <c r="F586" s="1">
        <v>39282</v>
      </c>
      <c r="G586" s="28">
        <v>14</v>
      </c>
      <c r="H586" s="26">
        <v>138776</v>
      </c>
      <c r="I586" t="s">
        <v>181</v>
      </c>
      <c r="J586" t="s">
        <v>16</v>
      </c>
      <c r="K586" t="s">
        <v>17</v>
      </c>
      <c r="L586" t="s">
        <v>112</v>
      </c>
      <c r="M586" t="s">
        <v>1489</v>
      </c>
      <c r="N586" s="7">
        <f t="shared" si="18"/>
        <v>1665312</v>
      </c>
      <c r="O586" s="7">
        <f t="shared" si="19"/>
        <v>13877.6</v>
      </c>
    </row>
    <row r="587" spans="1:15" x14ac:dyDescent="0.35">
      <c r="A587" s="5">
        <v>586</v>
      </c>
      <c r="B587" t="s">
        <v>801</v>
      </c>
      <c r="C587" t="s">
        <v>1042</v>
      </c>
      <c r="D587" t="s">
        <v>1486</v>
      </c>
      <c r="E587" t="s">
        <v>89</v>
      </c>
      <c r="F587" s="1">
        <v>37803</v>
      </c>
      <c r="G587" s="28">
        <v>18</v>
      </c>
      <c r="H587" s="26">
        <v>110411</v>
      </c>
      <c r="I587" t="s">
        <v>74</v>
      </c>
      <c r="J587" t="s">
        <v>28</v>
      </c>
      <c r="K587" t="s">
        <v>17</v>
      </c>
      <c r="L587" t="s">
        <v>41</v>
      </c>
      <c r="M587" t="s">
        <v>1489</v>
      </c>
      <c r="N587" s="7">
        <f t="shared" si="18"/>
        <v>1324932</v>
      </c>
      <c r="O587" s="7">
        <f t="shared" si="19"/>
        <v>11041.1</v>
      </c>
    </row>
    <row r="588" spans="1:15" x14ac:dyDescent="0.35">
      <c r="A588" s="5">
        <v>587</v>
      </c>
      <c r="B588" t="s">
        <v>339</v>
      </c>
      <c r="C588" t="s">
        <v>1043</v>
      </c>
      <c r="D588" t="s">
        <v>1486</v>
      </c>
      <c r="E588" t="s">
        <v>53</v>
      </c>
      <c r="F588" s="1">
        <v>37506</v>
      </c>
      <c r="G588" s="28">
        <v>19</v>
      </c>
      <c r="H588" s="26">
        <v>74973</v>
      </c>
      <c r="I588" t="s">
        <v>321</v>
      </c>
      <c r="J588" t="s">
        <v>39</v>
      </c>
      <c r="K588" t="s">
        <v>40</v>
      </c>
      <c r="L588" t="s">
        <v>23</v>
      </c>
      <c r="M588" t="s">
        <v>1489</v>
      </c>
      <c r="N588" s="7">
        <f t="shared" si="18"/>
        <v>899676</v>
      </c>
      <c r="O588" s="7">
        <f t="shared" si="19"/>
        <v>7497.3</v>
      </c>
    </row>
    <row r="589" spans="1:15" x14ac:dyDescent="0.35">
      <c r="A589" s="5">
        <v>588</v>
      </c>
      <c r="B589" t="s">
        <v>92</v>
      </c>
      <c r="C589" t="s">
        <v>1044</v>
      </c>
      <c r="D589" t="s">
        <v>1486</v>
      </c>
      <c r="E589" t="s">
        <v>44</v>
      </c>
      <c r="F589" s="1">
        <v>37544</v>
      </c>
      <c r="G589" s="28">
        <v>19</v>
      </c>
      <c r="H589" s="26">
        <v>129890</v>
      </c>
      <c r="I589" t="s">
        <v>101</v>
      </c>
      <c r="J589" t="s">
        <v>55</v>
      </c>
      <c r="K589" t="s">
        <v>17</v>
      </c>
      <c r="L589" t="s">
        <v>29</v>
      </c>
      <c r="M589" t="s">
        <v>1489</v>
      </c>
      <c r="N589" s="7">
        <f t="shared" si="18"/>
        <v>1558680</v>
      </c>
      <c r="O589" s="7">
        <f t="shared" si="19"/>
        <v>12989</v>
      </c>
    </row>
    <row r="590" spans="1:15" x14ac:dyDescent="0.35">
      <c r="A590" s="5">
        <v>589</v>
      </c>
      <c r="B590" t="s">
        <v>675</v>
      </c>
      <c r="C590" t="s">
        <v>1045</v>
      </c>
      <c r="D590" t="s">
        <v>1485</v>
      </c>
      <c r="E590" t="s">
        <v>61</v>
      </c>
      <c r="F590" s="1">
        <v>38379</v>
      </c>
      <c r="G590" s="28">
        <v>16</v>
      </c>
      <c r="H590" s="26">
        <v>135786</v>
      </c>
      <c r="I590" t="s">
        <v>952</v>
      </c>
      <c r="J590" t="s">
        <v>39</v>
      </c>
      <c r="K590" t="s">
        <v>40</v>
      </c>
      <c r="L590" t="s">
        <v>63</v>
      </c>
      <c r="M590" t="s">
        <v>1489</v>
      </c>
      <c r="N590" s="7">
        <f t="shared" si="18"/>
        <v>1629432</v>
      </c>
      <c r="O590" s="7">
        <f t="shared" si="19"/>
        <v>13578.6</v>
      </c>
    </row>
    <row r="591" spans="1:15" x14ac:dyDescent="0.35">
      <c r="A591" s="5">
        <v>590</v>
      </c>
      <c r="B591" t="s">
        <v>159</v>
      </c>
      <c r="C591" t="s">
        <v>1046</v>
      </c>
      <c r="D591" t="s">
        <v>1486</v>
      </c>
      <c r="E591" t="s">
        <v>37</v>
      </c>
      <c r="F591" s="1">
        <v>43997</v>
      </c>
      <c r="G591" s="28">
        <v>14</v>
      </c>
      <c r="H591" s="26">
        <v>132998</v>
      </c>
      <c r="I591" t="s">
        <v>115</v>
      </c>
      <c r="J591" t="s">
        <v>28</v>
      </c>
      <c r="K591" t="s">
        <v>17</v>
      </c>
      <c r="L591" t="s">
        <v>41</v>
      </c>
      <c r="M591" t="s">
        <v>1489</v>
      </c>
      <c r="N591" s="7">
        <f t="shared" si="18"/>
        <v>1595976</v>
      </c>
      <c r="O591" s="7">
        <f t="shared" si="19"/>
        <v>13299.800000000001</v>
      </c>
    </row>
    <row r="592" spans="1:15" x14ac:dyDescent="0.35">
      <c r="A592" s="5">
        <v>591</v>
      </c>
      <c r="B592" t="s">
        <v>333</v>
      </c>
      <c r="C592" t="s">
        <v>1047</v>
      </c>
      <c r="D592" t="s">
        <v>1486</v>
      </c>
      <c r="E592" t="s">
        <v>73</v>
      </c>
      <c r="F592" s="1">
        <v>46446</v>
      </c>
      <c r="G592" s="28">
        <v>7</v>
      </c>
      <c r="H592" s="26">
        <v>84318</v>
      </c>
      <c r="I592" t="s">
        <v>437</v>
      </c>
      <c r="J592" t="s">
        <v>16</v>
      </c>
      <c r="K592" t="s">
        <v>17</v>
      </c>
      <c r="L592" t="s">
        <v>41</v>
      </c>
      <c r="M592" t="s">
        <v>1489</v>
      </c>
      <c r="N592" s="7">
        <f t="shared" si="18"/>
        <v>1011816</v>
      </c>
      <c r="O592" s="7">
        <f t="shared" si="19"/>
        <v>8431.8000000000011</v>
      </c>
    </row>
    <row r="593" spans="1:15" x14ac:dyDescent="0.35">
      <c r="A593" s="5">
        <v>592</v>
      </c>
      <c r="B593" t="s">
        <v>592</v>
      </c>
      <c r="C593" t="s">
        <v>1048</v>
      </c>
      <c r="D593" t="s">
        <v>1485</v>
      </c>
      <c r="E593" t="s">
        <v>312</v>
      </c>
      <c r="F593" s="1">
        <v>38088</v>
      </c>
      <c r="G593" s="28">
        <v>17</v>
      </c>
      <c r="H593" s="26">
        <v>110407</v>
      </c>
      <c r="I593" t="s">
        <v>58</v>
      </c>
      <c r="J593" t="s">
        <v>91</v>
      </c>
      <c r="K593" t="s">
        <v>40</v>
      </c>
      <c r="L593" t="s">
        <v>41</v>
      </c>
      <c r="M593" t="s">
        <v>1489</v>
      </c>
      <c r="N593" s="7">
        <f t="shared" si="18"/>
        <v>1324884</v>
      </c>
      <c r="O593" s="7">
        <f t="shared" si="19"/>
        <v>11040.7</v>
      </c>
    </row>
    <row r="594" spans="1:15" x14ac:dyDescent="0.35">
      <c r="A594" s="5">
        <v>593</v>
      </c>
      <c r="B594" t="s">
        <v>345</v>
      </c>
      <c r="C594" t="s">
        <v>1049</v>
      </c>
      <c r="D594" t="s">
        <v>1486</v>
      </c>
      <c r="E594" t="s">
        <v>89</v>
      </c>
      <c r="F594" s="1">
        <v>36692</v>
      </c>
      <c r="G594" s="28">
        <v>21</v>
      </c>
      <c r="H594" s="26">
        <v>94980</v>
      </c>
      <c r="I594" t="s">
        <v>22</v>
      </c>
      <c r="J594" t="s">
        <v>55</v>
      </c>
      <c r="K594" t="s">
        <v>17</v>
      </c>
      <c r="L594" t="s">
        <v>41</v>
      </c>
      <c r="M594" t="s">
        <v>1489</v>
      </c>
      <c r="N594" s="7">
        <f t="shared" si="18"/>
        <v>1139760</v>
      </c>
      <c r="O594" s="7">
        <f t="shared" si="19"/>
        <v>9498</v>
      </c>
    </row>
    <row r="595" spans="1:15" x14ac:dyDescent="0.35">
      <c r="A595" s="5">
        <v>594</v>
      </c>
      <c r="B595" t="s">
        <v>105</v>
      </c>
      <c r="C595" t="s">
        <v>1050</v>
      </c>
      <c r="D595" t="s">
        <v>1486</v>
      </c>
      <c r="E595" t="s">
        <v>100</v>
      </c>
      <c r="F595" s="1">
        <v>38053</v>
      </c>
      <c r="G595" s="28">
        <v>17</v>
      </c>
      <c r="H595" s="26">
        <v>125843</v>
      </c>
      <c r="I595" t="s">
        <v>803</v>
      </c>
      <c r="J595" t="s">
        <v>55</v>
      </c>
      <c r="K595" t="s">
        <v>17</v>
      </c>
      <c r="L595" t="s">
        <v>29</v>
      </c>
      <c r="M595" t="s">
        <v>1489</v>
      </c>
      <c r="N595" s="7">
        <f t="shared" si="18"/>
        <v>1510116</v>
      </c>
      <c r="O595" s="7">
        <f t="shared" si="19"/>
        <v>12584.300000000001</v>
      </c>
    </row>
    <row r="596" spans="1:15" x14ac:dyDescent="0.35">
      <c r="A596" s="5">
        <v>595</v>
      </c>
      <c r="B596" t="s">
        <v>124</v>
      </c>
      <c r="C596" t="s">
        <v>1051</v>
      </c>
      <c r="D596" t="s">
        <v>1486</v>
      </c>
      <c r="E596" t="s">
        <v>37</v>
      </c>
      <c r="F596" s="1">
        <v>36552</v>
      </c>
      <c r="G596" s="28">
        <v>21</v>
      </c>
      <c r="H596" s="26">
        <v>66180</v>
      </c>
      <c r="I596" t="s">
        <v>669</v>
      </c>
      <c r="J596" t="s">
        <v>91</v>
      </c>
      <c r="K596" t="s">
        <v>40</v>
      </c>
      <c r="L596" t="s">
        <v>41</v>
      </c>
      <c r="M596" t="s">
        <v>1489</v>
      </c>
      <c r="N596" s="7">
        <f t="shared" si="18"/>
        <v>794160</v>
      </c>
      <c r="O596" s="7">
        <f t="shared" si="19"/>
        <v>6618</v>
      </c>
    </row>
    <row r="597" spans="1:15" x14ac:dyDescent="0.35">
      <c r="A597" s="5">
        <v>596</v>
      </c>
      <c r="B597" t="s">
        <v>555</v>
      </c>
      <c r="C597" t="s">
        <v>1052</v>
      </c>
      <c r="D597" t="s">
        <v>1486</v>
      </c>
      <c r="E597" t="s">
        <v>32</v>
      </c>
      <c r="F597" s="1">
        <v>46718</v>
      </c>
      <c r="G597" s="28">
        <v>7</v>
      </c>
      <c r="H597" s="26">
        <v>88854</v>
      </c>
      <c r="I597" t="s">
        <v>952</v>
      </c>
      <c r="J597" t="s">
        <v>55</v>
      </c>
      <c r="K597" t="s">
        <v>17</v>
      </c>
      <c r="L597" t="s">
        <v>34</v>
      </c>
      <c r="M597" t="s">
        <v>1489</v>
      </c>
      <c r="N597" s="7">
        <f t="shared" si="18"/>
        <v>1066248</v>
      </c>
      <c r="O597" s="7">
        <f t="shared" si="19"/>
        <v>8885.4</v>
      </c>
    </row>
    <row r="598" spans="1:15" x14ac:dyDescent="0.35">
      <c r="A598" s="5">
        <v>597</v>
      </c>
      <c r="B598" t="s">
        <v>600</v>
      </c>
      <c r="C598" t="s">
        <v>1053</v>
      </c>
      <c r="D598" t="s">
        <v>1486</v>
      </c>
      <c r="E598" t="s">
        <v>129</v>
      </c>
      <c r="F598" s="1">
        <v>38027</v>
      </c>
      <c r="G598" s="28">
        <v>17</v>
      </c>
      <c r="H598" s="26">
        <v>71448</v>
      </c>
      <c r="I598" t="s">
        <v>169</v>
      </c>
      <c r="J598" t="s">
        <v>46</v>
      </c>
      <c r="K598" t="s">
        <v>17</v>
      </c>
      <c r="L598" t="s">
        <v>41</v>
      </c>
      <c r="M598" t="s">
        <v>1489</v>
      </c>
      <c r="N598" s="7">
        <f t="shared" si="18"/>
        <v>857376</v>
      </c>
      <c r="O598" s="7">
        <f t="shared" si="19"/>
        <v>7144.8</v>
      </c>
    </row>
    <row r="599" spans="1:15" x14ac:dyDescent="0.35">
      <c r="A599" s="5">
        <v>598</v>
      </c>
      <c r="B599" t="s">
        <v>410</v>
      </c>
      <c r="C599" t="s">
        <v>1054</v>
      </c>
      <c r="D599" t="s">
        <v>1486</v>
      </c>
      <c r="E599" t="s">
        <v>21</v>
      </c>
      <c r="F599" s="1">
        <v>37562</v>
      </c>
      <c r="G599" s="28">
        <v>19</v>
      </c>
      <c r="H599" s="26">
        <v>60547</v>
      </c>
      <c r="I599" t="s">
        <v>66</v>
      </c>
      <c r="J599" t="s">
        <v>16</v>
      </c>
      <c r="K599" t="s">
        <v>17</v>
      </c>
      <c r="L599" t="s">
        <v>23</v>
      </c>
      <c r="M599" t="s">
        <v>1489</v>
      </c>
      <c r="N599" s="7">
        <f t="shared" si="18"/>
        <v>726564</v>
      </c>
      <c r="O599" s="7">
        <f t="shared" si="19"/>
        <v>6054.7000000000007</v>
      </c>
    </row>
    <row r="600" spans="1:15" x14ac:dyDescent="0.35">
      <c r="A600" s="5">
        <v>599</v>
      </c>
      <c r="B600" t="s">
        <v>161</v>
      </c>
      <c r="C600" t="s">
        <v>1055</v>
      </c>
      <c r="D600" t="s">
        <v>1486</v>
      </c>
      <c r="E600" t="s">
        <v>148</v>
      </c>
      <c r="F600" s="1">
        <v>45251</v>
      </c>
      <c r="G600" s="28">
        <v>11</v>
      </c>
      <c r="H600" s="26">
        <v>128805</v>
      </c>
      <c r="I600" t="s">
        <v>209</v>
      </c>
      <c r="J600" t="s">
        <v>91</v>
      </c>
      <c r="K600" t="s">
        <v>40</v>
      </c>
      <c r="L600" t="s">
        <v>112</v>
      </c>
      <c r="M600" t="s">
        <v>1489</v>
      </c>
      <c r="N600" s="7">
        <f t="shared" si="18"/>
        <v>1545660</v>
      </c>
      <c r="O600" s="7">
        <f t="shared" si="19"/>
        <v>12880.5</v>
      </c>
    </row>
    <row r="601" spans="1:15" x14ac:dyDescent="0.35">
      <c r="A601" s="5">
        <v>600</v>
      </c>
      <c r="B601" t="s">
        <v>553</v>
      </c>
      <c r="C601" t="s">
        <v>1056</v>
      </c>
      <c r="D601" t="s">
        <v>1486</v>
      </c>
      <c r="E601" t="s">
        <v>148</v>
      </c>
      <c r="F601" s="1">
        <v>38848</v>
      </c>
      <c r="G601" s="28">
        <v>15</v>
      </c>
      <c r="H601" s="26">
        <v>96782</v>
      </c>
      <c r="I601" t="s">
        <v>806</v>
      </c>
      <c r="J601" t="s">
        <v>91</v>
      </c>
      <c r="K601" t="s">
        <v>40</v>
      </c>
      <c r="L601" t="s">
        <v>112</v>
      </c>
      <c r="M601" t="s">
        <v>1489</v>
      </c>
      <c r="N601" s="7">
        <f t="shared" si="18"/>
        <v>1161384</v>
      </c>
      <c r="O601" s="7">
        <f t="shared" si="19"/>
        <v>9678.2000000000007</v>
      </c>
    </row>
    <row r="602" spans="1:15" x14ac:dyDescent="0.35">
      <c r="A602" s="5">
        <v>601</v>
      </c>
      <c r="B602" t="s">
        <v>443</v>
      </c>
      <c r="C602" t="s">
        <v>1057</v>
      </c>
      <c r="D602" t="s">
        <v>1485</v>
      </c>
      <c r="E602" t="s">
        <v>203</v>
      </c>
      <c r="F602" s="1">
        <v>36962</v>
      </c>
      <c r="G602" s="28">
        <v>20</v>
      </c>
      <c r="H602" s="26">
        <v>125944</v>
      </c>
      <c r="I602" t="s">
        <v>724</v>
      </c>
      <c r="J602" t="s">
        <v>16</v>
      </c>
      <c r="K602" t="s">
        <v>17</v>
      </c>
      <c r="L602" t="s">
        <v>41</v>
      </c>
      <c r="M602" t="s">
        <v>1489</v>
      </c>
      <c r="N602" s="7">
        <f t="shared" si="18"/>
        <v>1511328</v>
      </c>
      <c r="O602" s="7">
        <f t="shared" si="19"/>
        <v>12594.400000000001</v>
      </c>
    </row>
    <row r="603" spans="1:15" x14ac:dyDescent="0.35">
      <c r="A603" s="5">
        <v>602</v>
      </c>
      <c r="B603" t="s">
        <v>1058</v>
      </c>
      <c r="C603" t="s">
        <v>1059</v>
      </c>
      <c r="D603" t="s">
        <v>1485</v>
      </c>
      <c r="E603" t="s">
        <v>44</v>
      </c>
      <c r="F603" s="1">
        <v>40803</v>
      </c>
      <c r="G603" s="28">
        <v>10</v>
      </c>
      <c r="H603" s="26">
        <v>101937</v>
      </c>
      <c r="I603" t="s">
        <v>527</v>
      </c>
      <c r="J603" t="s">
        <v>39</v>
      </c>
      <c r="K603" t="s">
        <v>40</v>
      </c>
      <c r="L603" t="s">
        <v>29</v>
      </c>
      <c r="M603" t="s">
        <v>1489</v>
      </c>
      <c r="N603" s="7">
        <f t="shared" si="18"/>
        <v>1223244</v>
      </c>
      <c r="O603" s="7">
        <f t="shared" si="19"/>
        <v>10193.700000000001</v>
      </c>
    </row>
    <row r="604" spans="1:15" x14ac:dyDescent="0.35">
      <c r="A604" s="5">
        <v>603</v>
      </c>
      <c r="B604" t="s">
        <v>75</v>
      </c>
      <c r="C604" t="s">
        <v>1060</v>
      </c>
      <c r="D604" t="s">
        <v>1485</v>
      </c>
      <c r="E604" t="s">
        <v>32</v>
      </c>
      <c r="F604" s="1">
        <v>36866</v>
      </c>
      <c r="G604" s="28">
        <v>21</v>
      </c>
      <c r="H604" s="26">
        <v>127569</v>
      </c>
      <c r="I604" t="s">
        <v>425</v>
      </c>
      <c r="J604" t="s">
        <v>39</v>
      </c>
      <c r="K604" t="s">
        <v>40</v>
      </c>
      <c r="L604" t="s">
        <v>34</v>
      </c>
      <c r="M604" t="s">
        <v>1489</v>
      </c>
      <c r="N604" s="7">
        <f t="shared" si="18"/>
        <v>1530828</v>
      </c>
      <c r="O604" s="7">
        <f t="shared" si="19"/>
        <v>12756.900000000001</v>
      </c>
    </row>
    <row r="605" spans="1:15" x14ac:dyDescent="0.35">
      <c r="A605" s="5">
        <v>604</v>
      </c>
      <c r="B605" t="s">
        <v>137</v>
      </c>
      <c r="C605" t="s">
        <v>1061</v>
      </c>
      <c r="D605" t="s">
        <v>1485</v>
      </c>
      <c r="E605" t="s">
        <v>69</v>
      </c>
      <c r="F605" s="1">
        <v>38168</v>
      </c>
      <c r="G605" s="28">
        <v>17</v>
      </c>
      <c r="H605" s="26">
        <v>104517</v>
      </c>
      <c r="I605" t="s">
        <v>1062</v>
      </c>
      <c r="J605" t="s">
        <v>16</v>
      </c>
      <c r="K605" t="s">
        <v>17</v>
      </c>
      <c r="L605" t="s">
        <v>41</v>
      </c>
      <c r="M605" t="s">
        <v>1489</v>
      </c>
      <c r="N605" s="7">
        <f t="shared" si="18"/>
        <v>1254204</v>
      </c>
      <c r="O605" s="7">
        <f t="shared" si="19"/>
        <v>10451.700000000001</v>
      </c>
    </row>
    <row r="606" spans="1:15" x14ac:dyDescent="0.35">
      <c r="A606" s="5">
        <v>605</v>
      </c>
      <c r="B606" t="s">
        <v>113</v>
      </c>
      <c r="C606" t="s">
        <v>1063</v>
      </c>
      <c r="D606" t="s">
        <v>1486</v>
      </c>
      <c r="E606" t="s">
        <v>37</v>
      </c>
      <c r="F606" s="1">
        <v>45271</v>
      </c>
      <c r="G606" s="28">
        <v>11</v>
      </c>
      <c r="H606" s="26">
        <v>110366</v>
      </c>
      <c r="I606" t="s">
        <v>370</v>
      </c>
      <c r="J606" t="s">
        <v>50</v>
      </c>
      <c r="K606" t="s">
        <v>40</v>
      </c>
      <c r="L606" t="s">
        <v>41</v>
      </c>
      <c r="M606" t="s">
        <v>1489</v>
      </c>
      <c r="N606" s="7">
        <f t="shared" si="18"/>
        <v>1324392</v>
      </c>
      <c r="O606" s="7">
        <f t="shared" si="19"/>
        <v>11036.6</v>
      </c>
    </row>
    <row r="607" spans="1:15" x14ac:dyDescent="0.35">
      <c r="A607" s="5">
        <v>606</v>
      </c>
      <c r="B607" t="s">
        <v>816</v>
      </c>
      <c r="C607" t="s">
        <v>1064</v>
      </c>
      <c r="D607" t="s">
        <v>1486</v>
      </c>
      <c r="E607" t="s">
        <v>100</v>
      </c>
      <c r="F607" s="1">
        <v>37660</v>
      </c>
      <c r="G607" s="28">
        <v>18</v>
      </c>
      <c r="H607" s="26">
        <v>136917</v>
      </c>
      <c r="I607" t="s">
        <v>537</v>
      </c>
      <c r="J607" t="s">
        <v>55</v>
      </c>
      <c r="K607" t="s">
        <v>17</v>
      </c>
      <c r="L607" t="s">
        <v>29</v>
      </c>
      <c r="M607" t="s">
        <v>1489</v>
      </c>
      <c r="N607" s="7">
        <f t="shared" si="18"/>
        <v>1643004</v>
      </c>
      <c r="O607" s="7">
        <f t="shared" si="19"/>
        <v>13691.7</v>
      </c>
    </row>
    <row r="608" spans="1:15" x14ac:dyDescent="0.35">
      <c r="A608" s="5">
        <v>607</v>
      </c>
      <c r="B608" t="s">
        <v>973</v>
      </c>
      <c r="C608" t="s">
        <v>1065</v>
      </c>
      <c r="D608" t="s">
        <v>1485</v>
      </c>
      <c r="E608" t="s">
        <v>21</v>
      </c>
      <c r="F608" s="1">
        <v>39284</v>
      </c>
      <c r="G608" s="28">
        <v>14</v>
      </c>
      <c r="H608" s="26">
        <v>130563</v>
      </c>
      <c r="I608" t="s">
        <v>136</v>
      </c>
      <c r="J608" t="s">
        <v>39</v>
      </c>
      <c r="K608" t="s">
        <v>40</v>
      </c>
      <c r="L608" t="s">
        <v>23</v>
      </c>
      <c r="M608" t="s">
        <v>1489</v>
      </c>
      <c r="N608" s="7">
        <f t="shared" si="18"/>
        <v>1566756</v>
      </c>
      <c r="O608" s="7">
        <f t="shared" si="19"/>
        <v>13056.300000000001</v>
      </c>
    </row>
    <row r="609" spans="1:15" x14ac:dyDescent="0.35">
      <c r="A609" s="5">
        <v>608</v>
      </c>
      <c r="B609" t="s">
        <v>722</v>
      </c>
      <c r="C609" t="s">
        <v>1066</v>
      </c>
      <c r="D609" t="s">
        <v>1485</v>
      </c>
      <c r="E609" t="s">
        <v>203</v>
      </c>
      <c r="F609" s="1">
        <v>38304</v>
      </c>
      <c r="G609" s="28">
        <v>17</v>
      </c>
      <c r="H609" s="26">
        <v>73553</v>
      </c>
      <c r="I609" t="s">
        <v>381</v>
      </c>
      <c r="J609" t="s">
        <v>50</v>
      </c>
      <c r="K609" t="s">
        <v>40</v>
      </c>
      <c r="L609" t="s">
        <v>41</v>
      </c>
      <c r="M609" t="s">
        <v>1489</v>
      </c>
      <c r="N609" s="7">
        <f t="shared" si="18"/>
        <v>882636</v>
      </c>
      <c r="O609" s="7">
        <f t="shared" si="19"/>
        <v>7355.3</v>
      </c>
    </row>
    <row r="610" spans="1:15" x14ac:dyDescent="0.35">
      <c r="A610" s="5">
        <v>609</v>
      </c>
      <c r="B610" t="s">
        <v>462</v>
      </c>
      <c r="C610" t="s">
        <v>1067</v>
      </c>
      <c r="D610" t="s">
        <v>1485</v>
      </c>
      <c r="E610" t="s">
        <v>94</v>
      </c>
      <c r="F610" s="1">
        <v>39103</v>
      </c>
      <c r="G610" s="28">
        <v>14</v>
      </c>
      <c r="H610" s="26">
        <v>93995</v>
      </c>
      <c r="I610" t="s">
        <v>527</v>
      </c>
      <c r="J610" t="s">
        <v>16</v>
      </c>
      <c r="K610" t="s">
        <v>17</v>
      </c>
      <c r="L610" t="s">
        <v>18</v>
      </c>
      <c r="M610" t="s">
        <v>1489</v>
      </c>
      <c r="N610" s="7">
        <f t="shared" si="18"/>
        <v>1127940</v>
      </c>
      <c r="O610" s="7">
        <f t="shared" si="19"/>
        <v>9399.5</v>
      </c>
    </row>
    <row r="611" spans="1:15" x14ac:dyDescent="0.35">
      <c r="A611" s="5">
        <v>610</v>
      </c>
      <c r="B611" t="s">
        <v>377</v>
      </c>
      <c r="C611" t="s">
        <v>1068</v>
      </c>
      <c r="D611" t="s">
        <v>1485</v>
      </c>
      <c r="E611" t="s">
        <v>203</v>
      </c>
      <c r="F611" s="1">
        <v>40048</v>
      </c>
      <c r="G611" s="28">
        <v>12</v>
      </c>
      <c r="H611" s="26">
        <v>45270</v>
      </c>
      <c r="I611" t="s">
        <v>191</v>
      </c>
      <c r="J611" t="s">
        <v>39</v>
      </c>
      <c r="K611" t="s">
        <v>40</v>
      </c>
      <c r="L611" t="s">
        <v>41</v>
      </c>
      <c r="M611" t="s">
        <v>1489</v>
      </c>
      <c r="N611" s="7">
        <f t="shared" si="18"/>
        <v>543240</v>
      </c>
      <c r="O611" s="7">
        <f t="shared" si="19"/>
        <v>4527</v>
      </c>
    </row>
    <row r="612" spans="1:15" x14ac:dyDescent="0.35">
      <c r="A612" s="5">
        <v>611</v>
      </c>
      <c r="B612" t="s">
        <v>555</v>
      </c>
      <c r="C612" t="s">
        <v>1069</v>
      </c>
      <c r="D612" t="s">
        <v>1486</v>
      </c>
      <c r="E612" t="s">
        <v>312</v>
      </c>
      <c r="F612" s="1">
        <v>44863</v>
      </c>
      <c r="G612" s="28">
        <v>12</v>
      </c>
      <c r="H612" s="26">
        <v>147739</v>
      </c>
      <c r="I612" t="s">
        <v>54</v>
      </c>
      <c r="J612" t="s">
        <v>91</v>
      </c>
      <c r="K612" t="s">
        <v>40</v>
      </c>
      <c r="L612" t="s">
        <v>41</v>
      </c>
      <c r="M612" t="s">
        <v>1490</v>
      </c>
      <c r="N612" s="7">
        <f t="shared" si="18"/>
        <v>1772868</v>
      </c>
      <c r="O612" s="7">
        <f t="shared" si="19"/>
        <v>14773.900000000001</v>
      </c>
    </row>
    <row r="613" spans="1:15" x14ac:dyDescent="0.35">
      <c r="A613" s="5">
        <v>612</v>
      </c>
      <c r="B613" t="s">
        <v>523</v>
      </c>
      <c r="C613" t="s">
        <v>1070</v>
      </c>
      <c r="D613" t="s">
        <v>1486</v>
      </c>
      <c r="E613" t="s">
        <v>203</v>
      </c>
      <c r="F613" s="1">
        <v>37874</v>
      </c>
      <c r="G613" s="28">
        <v>18</v>
      </c>
      <c r="H613" s="26">
        <v>142211</v>
      </c>
      <c r="I613" t="s">
        <v>1071</v>
      </c>
      <c r="J613" t="s">
        <v>55</v>
      </c>
      <c r="K613" t="s">
        <v>17</v>
      </c>
      <c r="L613" t="s">
        <v>41</v>
      </c>
      <c r="M613" t="s">
        <v>1490</v>
      </c>
      <c r="N613" s="7">
        <f t="shared" si="18"/>
        <v>1706532</v>
      </c>
      <c r="O613" s="7">
        <f t="shared" si="19"/>
        <v>14221.1</v>
      </c>
    </row>
    <row r="614" spans="1:15" x14ac:dyDescent="0.35">
      <c r="A614" s="5">
        <v>613</v>
      </c>
      <c r="B614" t="s">
        <v>187</v>
      </c>
      <c r="C614" t="s">
        <v>1072</v>
      </c>
      <c r="D614" t="s">
        <v>1486</v>
      </c>
      <c r="E614" t="s">
        <v>129</v>
      </c>
      <c r="F614" s="1">
        <v>38986</v>
      </c>
      <c r="G614" s="28">
        <v>15</v>
      </c>
      <c r="H614" s="26">
        <v>48791</v>
      </c>
      <c r="I614" t="s">
        <v>527</v>
      </c>
      <c r="J614" t="s">
        <v>46</v>
      </c>
      <c r="K614" t="s">
        <v>17</v>
      </c>
      <c r="L614" t="s">
        <v>41</v>
      </c>
      <c r="M614" t="s">
        <v>1490</v>
      </c>
      <c r="N614" s="7">
        <f t="shared" si="18"/>
        <v>585492</v>
      </c>
      <c r="O614" s="7">
        <f t="shared" si="19"/>
        <v>4879.1000000000004</v>
      </c>
    </row>
    <row r="615" spans="1:15" x14ac:dyDescent="0.35">
      <c r="A615" s="5">
        <v>614</v>
      </c>
      <c r="B615" t="s">
        <v>1035</v>
      </c>
      <c r="C615" t="s">
        <v>1073</v>
      </c>
      <c r="D615" t="s">
        <v>1486</v>
      </c>
      <c r="E615" t="s">
        <v>94</v>
      </c>
      <c r="F615" s="1">
        <v>44502</v>
      </c>
      <c r="G615" s="28">
        <v>13</v>
      </c>
      <c r="H615" s="26">
        <v>112929</v>
      </c>
      <c r="I615" t="s">
        <v>617</v>
      </c>
      <c r="J615" t="s">
        <v>91</v>
      </c>
      <c r="K615" t="s">
        <v>40</v>
      </c>
      <c r="L615" t="s">
        <v>18</v>
      </c>
      <c r="M615" t="s">
        <v>1490</v>
      </c>
      <c r="N615" s="7">
        <f t="shared" si="18"/>
        <v>1355148</v>
      </c>
      <c r="O615" s="7">
        <f t="shared" si="19"/>
        <v>11292.900000000001</v>
      </c>
    </row>
    <row r="616" spans="1:15" x14ac:dyDescent="0.35">
      <c r="A616" s="5">
        <v>615</v>
      </c>
      <c r="B616" t="s">
        <v>102</v>
      </c>
      <c r="C616" t="s">
        <v>1074</v>
      </c>
      <c r="D616" t="s">
        <v>1486</v>
      </c>
      <c r="E616" t="s">
        <v>69</v>
      </c>
      <c r="F616" s="1">
        <v>44920</v>
      </c>
      <c r="G616" s="28">
        <v>12</v>
      </c>
      <c r="H616" s="26">
        <v>72854</v>
      </c>
      <c r="I616" t="s">
        <v>104</v>
      </c>
      <c r="J616" t="s">
        <v>39</v>
      </c>
      <c r="K616" t="s">
        <v>40</v>
      </c>
      <c r="L616" t="s">
        <v>41</v>
      </c>
      <c r="M616" t="s">
        <v>1490</v>
      </c>
      <c r="N616" s="7">
        <f t="shared" si="18"/>
        <v>874248</v>
      </c>
      <c r="O616" s="7">
        <f t="shared" si="19"/>
        <v>7285.4000000000005</v>
      </c>
    </row>
    <row r="617" spans="1:15" x14ac:dyDescent="0.35">
      <c r="A617" s="5">
        <v>616</v>
      </c>
      <c r="B617" t="s">
        <v>596</v>
      </c>
      <c r="C617" t="s">
        <v>1075</v>
      </c>
      <c r="D617" t="s">
        <v>1486</v>
      </c>
      <c r="E617" t="s">
        <v>26</v>
      </c>
      <c r="F617" s="1">
        <v>39000</v>
      </c>
      <c r="G617" s="28">
        <v>15</v>
      </c>
      <c r="H617" s="26">
        <v>47281</v>
      </c>
      <c r="I617" t="s">
        <v>95</v>
      </c>
      <c r="J617" t="s">
        <v>50</v>
      </c>
      <c r="K617" t="s">
        <v>40</v>
      </c>
      <c r="L617" t="s">
        <v>29</v>
      </c>
      <c r="M617" t="s">
        <v>1490</v>
      </c>
      <c r="N617" s="7">
        <f t="shared" si="18"/>
        <v>567372</v>
      </c>
      <c r="O617" s="7">
        <f t="shared" si="19"/>
        <v>4728.1000000000004</v>
      </c>
    </row>
    <row r="618" spans="1:15" x14ac:dyDescent="0.35">
      <c r="A618" s="5">
        <v>617</v>
      </c>
      <c r="B618" t="s">
        <v>224</v>
      </c>
      <c r="C618" t="s">
        <v>1076</v>
      </c>
      <c r="D618" t="s">
        <v>1486</v>
      </c>
      <c r="E618" t="s">
        <v>203</v>
      </c>
      <c r="F618" s="1">
        <v>46185</v>
      </c>
      <c r="G618" s="28">
        <v>8</v>
      </c>
      <c r="H618" s="26">
        <v>49410</v>
      </c>
      <c r="I618" t="s">
        <v>1077</v>
      </c>
      <c r="J618" t="s">
        <v>46</v>
      </c>
      <c r="K618" t="s">
        <v>17</v>
      </c>
      <c r="L618" t="s">
        <v>41</v>
      </c>
      <c r="M618" t="s">
        <v>1489</v>
      </c>
      <c r="N618" s="7">
        <f t="shared" si="18"/>
        <v>592920</v>
      </c>
      <c r="O618" s="7">
        <f t="shared" si="19"/>
        <v>4941</v>
      </c>
    </row>
    <row r="619" spans="1:15" x14ac:dyDescent="0.35">
      <c r="A619" s="5">
        <v>618</v>
      </c>
      <c r="B619" t="s">
        <v>42</v>
      </c>
      <c r="C619" t="s">
        <v>1078</v>
      </c>
      <c r="D619" t="s">
        <v>1485</v>
      </c>
      <c r="E619" t="s">
        <v>69</v>
      </c>
      <c r="F619" s="1">
        <v>37049</v>
      </c>
      <c r="G619" s="28">
        <v>20</v>
      </c>
      <c r="H619" s="26">
        <v>128205</v>
      </c>
      <c r="I619" t="s">
        <v>62</v>
      </c>
      <c r="J619" t="s">
        <v>50</v>
      </c>
      <c r="K619" t="s">
        <v>40</v>
      </c>
      <c r="L619" t="s">
        <v>41</v>
      </c>
      <c r="M619" t="s">
        <v>1489</v>
      </c>
      <c r="N619" s="7">
        <f t="shared" si="18"/>
        <v>1538460</v>
      </c>
      <c r="O619" s="7">
        <f t="shared" si="19"/>
        <v>12820.5</v>
      </c>
    </row>
    <row r="620" spans="1:15" x14ac:dyDescent="0.35">
      <c r="A620" s="5">
        <v>619</v>
      </c>
      <c r="B620" t="s">
        <v>882</v>
      </c>
      <c r="C620" t="s">
        <v>1079</v>
      </c>
      <c r="D620" t="s">
        <v>1485</v>
      </c>
      <c r="E620" t="s">
        <v>44</v>
      </c>
      <c r="F620" s="1">
        <v>41792</v>
      </c>
      <c r="G620" s="28">
        <v>7</v>
      </c>
      <c r="H620" s="26">
        <v>133190</v>
      </c>
      <c r="I620" t="s">
        <v>370</v>
      </c>
      <c r="J620" t="s">
        <v>39</v>
      </c>
      <c r="K620" t="s">
        <v>40</v>
      </c>
      <c r="L620" t="s">
        <v>29</v>
      </c>
      <c r="M620" t="s">
        <v>1491</v>
      </c>
      <c r="N620" s="7">
        <f t="shared" si="18"/>
        <v>1598280</v>
      </c>
      <c r="O620" s="7">
        <f t="shared" si="19"/>
        <v>13319</v>
      </c>
    </row>
    <row r="621" spans="1:15" x14ac:dyDescent="0.35">
      <c r="A621" s="5">
        <v>620</v>
      </c>
      <c r="B621" t="s">
        <v>801</v>
      </c>
      <c r="C621" t="s">
        <v>1080</v>
      </c>
      <c r="D621" t="s">
        <v>1486</v>
      </c>
      <c r="E621" t="s">
        <v>122</v>
      </c>
      <c r="F621" s="1">
        <v>44787</v>
      </c>
      <c r="G621" s="28">
        <v>12</v>
      </c>
      <c r="H621" s="26">
        <v>59644</v>
      </c>
      <c r="I621" t="s">
        <v>374</v>
      </c>
      <c r="J621" t="s">
        <v>46</v>
      </c>
      <c r="K621" t="s">
        <v>17</v>
      </c>
      <c r="L621" t="s">
        <v>123</v>
      </c>
      <c r="M621" t="s">
        <v>1489</v>
      </c>
      <c r="N621" s="7">
        <f t="shared" si="18"/>
        <v>715728</v>
      </c>
      <c r="O621" s="7">
        <f t="shared" si="19"/>
        <v>5964.4000000000005</v>
      </c>
    </row>
    <row r="622" spans="1:15" x14ac:dyDescent="0.35">
      <c r="A622" s="5">
        <v>621</v>
      </c>
      <c r="B622" t="s">
        <v>457</v>
      </c>
      <c r="C622" t="s">
        <v>1081</v>
      </c>
      <c r="D622" t="s">
        <v>1485</v>
      </c>
      <c r="E622" t="s">
        <v>85</v>
      </c>
      <c r="F622" s="1">
        <v>38291</v>
      </c>
      <c r="G622" s="28">
        <v>17</v>
      </c>
      <c r="H622" s="26">
        <v>111427</v>
      </c>
      <c r="I622" t="s">
        <v>750</v>
      </c>
      <c r="J622" t="s">
        <v>55</v>
      </c>
      <c r="K622" t="s">
        <v>17</v>
      </c>
      <c r="L622" t="s">
        <v>41</v>
      </c>
      <c r="M622" t="s">
        <v>1489</v>
      </c>
      <c r="N622" s="7">
        <f t="shared" si="18"/>
        <v>1337124</v>
      </c>
      <c r="O622" s="7">
        <f t="shared" si="19"/>
        <v>11142.7</v>
      </c>
    </row>
    <row r="623" spans="1:15" x14ac:dyDescent="0.35">
      <c r="A623" s="5">
        <v>622</v>
      </c>
      <c r="B623" t="s">
        <v>710</v>
      </c>
      <c r="C623" t="s">
        <v>1082</v>
      </c>
      <c r="D623" t="s">
        <v>1485</v>
      </c>
      <c r="E623" t="s">
        <v>94</v>
      </c>
      <c r="F623" s="1">
        <v>37330</v>
      </c>
      <c r="G623" s="28">
        <v>19</v>
      </c>
      <c r="H623" s="26">
        <v>98339</v>
      </c>
      <c r="I623" t="s">
        <v>139</v>
      </c>
      <c r="J623" t="s">
        <v>28</v>
      </c>
      <c r="K623" t="s">
        <v>17</v>
      </c>
      <c r="L623" t="s">
        <v>18</v>
      </c>
      <c r="M623" t="s">
        <v>1489</v>
      </c>
      <c r="N623" s="7">
        <f t="shared" si="18"/>
        <v>1180068</v>
      </c>
      <c r="O623" s="7">
        <f t="shared" si="19"/>
        <v>9833.9000000000015</v>
      </c>
    </row>
    <row r="624" spans="1:15" x14ac:dyDescent="0.35">
      <c r="A624" s="5">
        <v>623</v>
      </c>
      <c r="B624" t="s">
        <v>555</v>
      </c>
      <c r="C624" t="s">
        <v>1083</v>
      </c>
      <c r="D624" t="s">
        <v>1485</v>
      </c>
      <c r="E624" t="s">
        <v>129</v>
      </c>
      <c r="F624" s="1">
        <v>38775</v>
      </c>
      <c r="G624" s="28">
        <v>15</v>
      </c>
      <c r="H624" s="26">
        <v>72948</v>
      </c>
      <c r="I624" t="s">
        <v>527</v>
      </c>
      <c r="J624" t="s">
        <v>50</v>
      </c>
      <c r="K624" t="s">
        <v>40</v>
      </c>
      <c r="L624" t="s">
        <v>41</v>
      </c>
      <c r="M624" t="s">
        <v>1489</v>
      </c>
      <c r="N624" s="7">
        <f t="shared" si="18"/>
        <v>875376</v>
      </c>
      <c r="O624" s="7">
        <f t="shared" si="19"/>
        <v>7294.8</v>
      </c>
    </row>
    <row r="625" spans="1:15" x14ac:dyDescent="0.35">
      <c r="A625" s="5">
        <v>624</v>
      </c>
      <c r="B625" t="s">
        <v>722</v>
      </c>
      <c r="C625" t="s">
        <v>1084</v>
      </c>
      <c r="D625" t="s">
        <v>1485</v>
      </c>
      <c r="E625" t="s">
        <v>122</v>
      </c>
      <c r="F625" s="1">
        <v>39778</v>
      </c>
      <c r="G625" s="28">
        <v>13</v>
      </c>
      <c r="H625" s="26">
        <v>60203</v>
      </c>
      <c r="I625" t="s">
        <v>223</v>
      </c>
      <c r="J625" t="s">
        <v>16</v>
      </c>
      <c r="K625" t="s">
        <v>17</v>
      </c>
      <c r="L625" t="s">
        <v>123</v>
      </c>
      <c r="M625" t="s">
        <v>1489</v>
      </c>
      <c r="N625" s="7">
        <f t="shared" si="18"/>
        <v>722436</v>
      </c>
      <c r="O625" s="7">
        <f t="shared" si="19"/>
        <v>6020.3</v>
      </c>
    </row>
    <row r="626" spans="1:15" x14ac:dyDescent="0.35">
      <c r="A626" s="5">
        <v>625</v>
      </c>
      <c r="B626" t="s">
        <v>505</v>
      </c>
      <c r="C626" t="s">
        <v>1085</v>
      </c>
      <c r="D626" t="s">
        <v>1486</v>
      </c>
      <c r="E626" t="s">
        <v>148</v>
      </c>
      <c r="F626" s="1">
        <v>44167</v>
      </c>
      <c r="G626" s="28">
        <v>14</v>
      </c>
      <c r="H626" s="26">
        <v>147003</v>
      </c>
      <c r="I626" t="s">
        <v>287</v>
      </c>
      <c r="J626" t="s">
        <v>46</v>
      </c>
      <c r="K626" t="s">
        <v>17</v>
      </c>
      <c r="L626" t="s">
        <v>112</v>
      </c>
      <c r="M626" t="s">
        <v>1489</v>
      </c>
      <c r="N626" s="7">
        <f t="shared" si="18"/>
        <v>1764036</v>
      </c>
      <c r="O626" s="7">
        <f t="shared" si="19"/>
        <v>14700.300000000001</v>
      </c>
    </row>
    <row r="627" spans="1:15" x14ac:dyDescent="0.35">
      <c r="A627" s="5">
        <v>626</v>
      </c>
      <c r="B627" t="s">
        <v>553</v>
      </c>
      <c r="C627" t="s">
        <v>1086</v>
      </c>
      <c r="D627" t="s">
        <v>1486</v>
      </c>
      <c r="E627" t="s">
        <v>110</v>
      </c>
      <c r="F627" s="1">
        <v>44573</v>
      </c>
      <c r="G627" s="28">
        <v>12</v>
      </c>
      <c r="H627" s="26">
        <v>83706</v>
      </c>
      <c r="I627" t="s">
        <v>142</v>
      </c>
      <c r="J627" t="s">
        <v>16</v>
      </c>
      <c r="K627" t="s">
        <v>17</v>
      </c>
      <c r="L627" t="s">
        <v>112</v>
      </c>
      <c r="M627" t="s">
        <v>1489</v>
      </c>
      <c r="N627" s="7">
        <f t="shared" si="18"/>
        <v>1004472</v>
      </c>
      <c r="O627" s="7">
        <f t="shared" si="19"/>
        <v>8370.6</v>
      </c>
    </row>
    <row r="628" spans="1:15" x14ac:dyDescent="0.35">
      <c r="A628" s="5">
        <v>627</v>
      </c>
      <c r="B628" t="s">
        <v>161</v>
      </c>
      <c r="C628" t="s">
        <v>1087</v>
      </c>
      <c r="D628" t="s">
        <v>1486</v>
      </c>
      <c r="E628" t="s">
        <v>37</v>
      </c>
      <c r="F628" s="1">
        <v>36546</v>
      </c>
      <c r="G628" s="28">
        <v>21</v>
      </c>
      <c r="H628" s="26">
        <v>80245</v>
      </c>
      <c r="I628" t="s">
        <v>459</v>
      </c>
      <c r="J628" t="s">
        <v>50</v>
      </c>
      <c r="K628" t="s">
        <v>40</v>
      </c>
      <c r="L628" t="s">
        <v>41</v>
      </c>
      <c r="M628" t="s">
        <v>1489</v>
      </c>
      <c r="N628" s="7">
        <f t="shared" si="18"/>
        <v>962940</v>
      </c>
      <c r="O628" s="7">
        <f t="shared" si="19"/>
        <v>8024.5</v>
      </c>
    </row>
    <row r="629" spans="1:15" x14ac:dyDescent="0.35">
      <c r="A629" s="5">
        <v>628</v>
      </c>
      <c r="B629" t="s">
        <v>410</v>
      </c>
      <c r="C629" t="s">
        <v>1088</v>
      </c>
      <c r="D629" t="s">
        <v>1485</v>
      </c>
      <c r="E629" t="s">
        <v>32</v>
      </c>
      <c r="F629" s="1">
        <v>39671</v>
      </c>
      <c r="G629" s="28">
        <v>13</v>
      </c>
      <c r="H629" s="26">
        <v>65110</v>
      </c>
      <c r="I629" t="s">
        <v>74</v>
      </c>
      <c r="J629" t="s">
        <v>91</v>
      </c>
      <c r="K629" t="s">
        <v>40</v>
      </c>
      <c r="L629" t="s">
        <v>34</v>
      </c>
      <c r="M629" t="s">
        <v>1489</v>
      </c>
      <c r="N629" s="7">
        <f t="shared" si="18"/>
        <v>781320</v>
      </c>
      <c r="O629" s="7">
        <f t="shared" si="19"/>
        <v>6511</v>
      </c>
    </row>
    <row r="630" spans="1:15" x14ac:dyDescent="0.35">
      <c r="A630" s="5">
        <v>629</v>
      </c>
      <c r="B630" t="s">
        <v>161</v>
      </c>
      <c r="C630" t="s">
        <v>1089</v>
      </c>
      <c r="D630" t="s">
        <v>1485</v>
      </c>
      <c r="E630" t="s">
        <v>32</v>
      </c>
      <c r="F630" s="1">
        <v>40753</v>
      </c>
      <c r="G630" s="28">
        <v>10</v>
      </c>
      <c r="H630" s="26">
        <v>128617</v>
      </c>
      <c r="I630" t="s">
        <v>181</v>
      </c>
      <c r="J630" t="s">
        <v>55</v>
      </c>
      <c r="K630" t="s">
        <v>17</v>
      </c>
      <c r="L630" t="s">
        <v>34</v>
      </c>
      <c r="M630" t="s">
        <v>1489</v>
      </c>
      <c r="N630" s="7">
        <f t="shared" si="18"/>
        <v>1543404</v>
      </c>
      <c r="O630" s="7">
        <f t="shared" si="19"/>
        <v>12861.7</v>
      </c>
    </row>
    <row r="631" spans="1:15" x14ac:dyDescent="0.35">
      <c r="A631" s="5">
        <v>630</v>
      </c>
      <c r="B631" t="s">
        <v>1014</v>
      </c>
      <c r="C631" t="s">
        <v>1090</v>
      </c>
      <c r="D631" t="s">
        <v>1485</v>
      </c>
      <c r="E631" t="s">
        <v>148</v>
      </c>
      <c r="F631" s="1">
        <v>37296</v>
      </c>
      <c r="G631" s="28">
        <v>19</v>
      </c>
      <c r="H631" s="26">
        <v>96107</v>
      </c>
      <c r="I631" t="s">
        <v>908</v>
      </c>
      <c r="J631" t="s">
        <v>91</v>
      </c>
      <c r="K631" t="s">
        <v>40</v>
      </c>
      <c r="L631" t="s">
        <v>112</v>
      </c>
      <c r="M631" t="s">
        <v>1489</v>
      </c>
      <c r="N631" s="7">
        <f t="shared" si="18"/>
        <v>1153284</v>
      </c>
      <c r="O631" s="7">
        <f t="shared" si="19"/>
        <v>9610.7000000000007</v>
      </c>
    </row>
    <row r="632" spans="1:15" x14ac:dyDescent="0.35">
      <c r="A632" s="5">
        <v>631</v>
      </c>
      <c r="B632" t="s">
        <v>741</v>
      </c>
      <c r="C632" t="s">
        <v>1091</v>
      </c>
      <c r="D632" t="s">
        <v>1486</v>
      </c>
      <c r="E632" t="s">
        <v>44</v>
      </c>
      <c r="F632" s="1">
        <v>46552</v>
      </c>
      <c r="G632" s="28">
        <v>7</v>
      </c>
      <c r="H632" s="26">
        <v>44788</v>
      </c>
      <c r="I632" t="s">
        <v>454</v>
      </c>
      <c r="J632" t="s">
        <v>16</v>
      </c>
      <c r="K632" t="s">
        <v>17</v>
      </c>
      <c r="L632" t="s">
        <v>29</v>
      </c>
      <c r="M632" t="s">
        <v>1489</v>
      </c>
      <c r="N632" s="7">
        <f t="shared" si="18"/>
        <v>537456</v>
      </c>
      <c r="O632" s="7">
        <f t="shared" si="19"/>
        <v>4478.8</v>
      </c>
    </row>
    <row r="633" spans="1:15" x14ac:dyDescent="0.35">
      <c r="A633" s="5">
        <v>632</v>
      </c>
      <c r="B633" t="s">
        <v>443</v>
      </c>
      <c r="C633" t="s">
        <v>1092</v>
      </c>
      <c r="D633" t="s">
        <v>1486</v>
      </c>
      <c r="E633" t="s">
        <v>110</v>
      </c>
      <c r="F633" s="1">
        <v>37987</v>
      </c>
      <c r="G633" s="28">
        <v>17</v>
      </c>
      <c r="H633" s="26">
        <v>86207</v>
      </c>
      <c r="I633" t="s">
        <v>562</v>
      </c>
      <c r="J633" t="s">
        <v>55</v>
      </c>
      <c r="K633" t="s">
        <v>17</v>
      </c>
      <c r="L633" t="s">
        <v>112</v>
      </c>
      <c r="M633" t="s">
        <v>1489</v>
      </c>
      <c r="N633" s="7">
        <f t="shared" si="18"/>
        <v>1034484</v>
      </c>
      <c r="O633" s="7">
        <f t="shared" si="19"/>
        <v>8620.7000000000007</v>
      </c>
    </row>
    <row r="634" spans="1:15" x14ac:dyDescent="0.35">
      <c r="A634" s="5">
        <v>633</v>
      </c>
      <c r="B634" t="s">
        <v>296</v>
      </c>
      <c r="C634" t="s">
        <v>1093</v>
      </c>
      <c r="D634" t="s">
        <v>1485</v>
      </c>
      <c r="E634" t="s">
        <v>312</v>
      </c>
      <c r="F634" s="1">
        <v>36824</v>
      </c>
      <c r="G634" s="28">
        <v>21</v>
      </c>
      <c r="H634" s="26">
        <v>79845</v>
      </c>
      <c r="I634" t="s">
        <v>527</v>
      </c>
      <c r="J634" t="s">
        <v>46</v>
      </c>
      <c r="K634" t="s">
        <v>17</v>
      </c>
      <c r="L634" t="s">
        <v>41</v>
      </c>
      <c r="M634" t="s">
        <v>1489</v>
      </c>
      <c r="N634" s="7">
        <f t="shared" si="18"/>
        <v>958140</v>
      </c>
      <c r="O634" s="7">
        <f t="shared" si="19"/>
        <v>7984.5</v>
      </c>
    </row>
    <row r="635" spans="1:15" x14ac:dyDescent="0.35">
      <c r="A635" s="5">
        <v>634</v>
      </c>
      <c r="B635" t="s">
        <v>523</v>
      </c>
      <c r="C635" t="s">
        <v>1094</v>
      </c>
      <c r="D635" t="s">
        <v>1486</v>
      </c>
      <c r="E635" t="s">
        <v>148</v>
      </c>
      <c r="F635" s="1">
        <v>45388</v>
      </c>
      <c r="G635" s="28">
        <v>10</v>
      </c>
      <c r="H635" s="26">
        <v>104264</v>
      </c>
      <c r="I635" t="s">
        <v>669</v>
      </c>
      <c r="J635" t="s">
        <v>50</v>
      </c>
      <c r="K635" t="s">
        <v>40</v>
      </c>
      <c r="L635" t="s">
        <v>112</v>
      </c>
      <c r="M635" t="s">
        <v>1489</v>
      </c>
      <c r="N635" s="7">
        <f t="shared" si="18"/>
        <v>1251168</v>
      </c>
      <c r="O635" s="7">
        <f t="shared" si="19"/>
        <v>10426.400000000001</v>
      </c>
    </row>
    <row r="636" spans="1:15" x14ac:dyDescent="0.35">
      <c r="A636" s="5">
        <v>635</v>
      </c>
      <c r="B636" t="s">
        <v>221</v>
      </c>
      <c r="C636" t="s">
        <v>1095</v>
      </c>
      <c r="D636" t="s">
        <v>1486</v>
      </c>
      <c r="E636" t="s">
        <v>44</v>
      </c>
      <c r="F636" s="1">
        <v>45287</v>
      </c>
      <c r="G636" s="28">
        <v>11</v>
      </c>
      <c r="H636" s="26">
        <v>77005</v>
      </c>
      <c r="I636" t="s">
        <v>456</v>
      </c>
      <c r="J636" t="s">
        <v>46</v>
      </c>
      <c r="K636" t="s">
        <v>17</v>
      </c>
      <c r="L636" t="s">
        <v>29</v>
      </c>
      <c r="M636" t="s">
        <v>1489</v>
      </c>
      <c r="N636" s="7">
        <f t="shared" si="18"/>
        <v>924060</v>
      </c>
      <c r="O636" s="7">
        <f t="shared" si="19"/>
        <v>7700.5</v>
      </c>
    </row>
    <row r="637" spans="1:15" x14ac:dyDescent="0.35">
      <c r="A637" s="5">
        <v>636</v>
      </c>
      <c r="B637" t="s">
        <v>387</v>
      </c>
      <c r="C637" t="s">
        <v>1096</v>
      </c>
      <c r="D637" t="s">
        <v>1486</v>
      </c>
      <c r="E637" t="s">
        <v>100</v>
      </c>
      <c r="F637" s="1">
        <v>45560</v>
      </c>
      <c r="G637" s="28">
        <v>10</v>
      </c>
      <c r="H637" s="26">
        <v>69564</v>
      </c>
      <c r="I637" t="s">
        <v>181</v>
      </c>
      <c r="J637" t="s">
        <v>50</v>
      </c>
      <c r="K637" t="s">
        <v>40</v>
      </c>
      <c r="L637" t="s">
        <v>29</v>
      </c>
      <c r="M637" t="s">
        <v>1489</v>
      </c>
      <c r="N637" s="7">
        <f t="shared" si="18"/>
        <v>834768</v>
      </c>
      <c r="O637" s="7">
        <f t="shared" si="19"/>
        <v>6956.4000000000005</v>
      </c>
    </row>
    <row r="638" spans="1:15" x14ac:dyDescent="0.35">
      <c r="A638" s="5">
        <v>637</v>
      </c>
      <c r="B638" t="s">
        <v>236</v>
      </c>
      <c r="C638" t="s">
        <v>1097</v>
      </c>
      <c r="D638" t="s">
        <v>1486</v>
      </c>
      <c r="E638" t="s">
        <v>312</v>
      </c>
      <c r="F638" s="1">
        <v>44037</v>
      </c>
      <c r="G638" s="28">
        <v>14</v>
      </c>
      <c r="H638" s="26">
        <v>84549</v>
      </c>
      <c r="I638" t="s">
        <v>290</v>
      </c>
      <c r="J638" t="s">
        <v>91</v>
      </c>
      <c r="K638" t="s">
        <v>40</v>
      </c>
      <c r="L638" t="s">
        <v>41</v>
      </c>
      <c r="M638" t="s">
        <v>1489</v>
      </c>
      <c r="N638" s="7">
        <f t="shared" si="18"/>
        <v>1014588</v>
      </c>
      <c r="O638" s="7">
        <f t="shared" si="19"/>
        <v>8454.9</v>
      </c>
    </row>
    <row r="639" spans="1:15" x14ac:dyDescent="0.35">
      <c r="A639" s="5">
        <v>638</v>
      </c>
      <c r="B639" t="s">
        <v>560</v>
      </c>
      <c r="C639" t="s">
        <v>1098</v>
      </c>
      <c r="D639" t="s">
        <v>1485</v>
      </c>
      <c r="E639" t="s">
        <v>79</v>
      </c>
      <c r="F639" s="1">
        <v>38877</v>
      </c>
      <c r="G639" s="28">
        <v>15</v>
      </c>
      <c r="H639" s="26">
        <v>134488</v>
      </c>
      <c r="I639" t="s">
        <v>101</v>
      </c>
      <c r="J639" t="s">
        <v>46</v>
      </c>
      <c r="K639" t="s">
        <v>17</v>
      </c>
      <c r="L639" t="s">
        <v>41</v>
      </c>
      <c r="M639" t="s">
        <v>1489</v>
      </c>
      <c r="N639" s="7">
        <f t="shared" si="18"/>
        <v>1613856</v>
      </c>
      <c r="O639" s="7">
        <f t="shared" si="19"/>
        <v>13448.800000000001</v>
      </c>
    </row>
    <row r="640" spans="1:15" x14ac:dyDescent="0.35">
      <c r="A640" s="5">
        <v>639</v>
      </c>
      <c r="B640" t="s">
        <v>116</v>
      </c>
      <c r="C640" t="s">
        <v>1099</v>
      </c>
      <c r="D640" t="s">
        <v>1485</v>
      </c>
      <c r="E640" t="s">
        <v>312</v>
      </c>
      <c r="F640" s="1">
        <v>39126</v>
      </c>
      <c r="G640" s="28">
        <v>14</v>
      </c>
      <c r="H640" s="26">
        <v>140243</v>
      </c>
      <c r="I640" t="s">
        <v>22</v>
      </c>
      <c r="J640" t="s">
        <v>91</v>
      </c>
      <c r="K640" t="s">
        <v>40</v>
      </c>
      <c r="L640" t="s">
        <v>41</v>
      </c>
      <c r="M640" t="s">
        <v>1489</v>
      </c>
      <c r="N640" s="7">
        <f t="shared" si="18"/>
        <v>1682916</v>
      </c>
      <c r="O640" s="7">
        <f t="shared" si="19"/>
        <v>14024.300000000001</v>
      </c>
    </row>
    <row r="641" spans="1:15" x14ac:dyDescent="0.35">
      <c r="A641" s="5">
        <v>640</v>
      </c>
      <c r="B641" t="s">
        <v>243</v>
      </c>
      <c r="C641" t="s">
        <v>1100</v>
      </c>
      <c r="D641" t="s">
        <v>1485</v>
      </c>
      <c r="E641" t="s">
        <v>32</v>
      </c>
      <c r="F641" s="1">
        <v>37674</v>
      </c>
      <c r="G641" s="28">
        <v>18</v>
      </c>
      <c r="H641" s="26">
        <v>44096</v>
      </c>
      <c r="I641" t="s">
        <v>938</v>
      </c>
      <c r="J641" t="s">
        <v>55</v>
      </c>
      <c r="K641" t="s">
        <v>17</v>
      </c>
      <c r="L641" t="s">
        <v>34</v>
      </c>
      <c r="M641" t="s">
        <v>1489</v>
      </c>
      <c r="N641" s="7">
        <f t="shared" si="18"/>
        <v>529152</v>
      </c>
      <c r="O641" s="7">
        <f t="shared" si="19"/>
        <v>4409.6000000000004</v>
      </c>
    </row>
    <row r="642" spans="1:15" x14ac:dyDescent="0.35">
      <c r="A642" s="5">
        <v>641</v>
      </c>
      <c r="B642" t="s">
        <v>423</v>
      </c>
      <c r="C642" t="s">
        <v>1101</v>
      </c>
      <c r="D642" t="s">
        <v>1486</v>
      </c>
      <c r="E642" t="s">
        <v>203</v>
      </c>
      <c r="F642" s="1">
        <v>45023</v>
      </c>
      <c r="G642" s="28">
        <v>11</v>
      </c>
      <c r="H642" s="26">
        <v>69454</v>
      </c>
      <c r="I642" t="s">
        <v>803</v>
      </c>
      <c r="J642" t="s">
        <v>46</v>
      </c>
      <c r="K642" t="s">
        <v>17</v>
      </c>
      <c r="L642" t="s">
        <v>41</v>
      </c>
      <c r="M642" t="s">
        <v>1489</v>
      </c>
      <c r="N642" s="7">
        <f t="shared" ref="N642:N705" si="20">H642*12</f>
        <v>833448</v>
      </c>
      <c r="O642" s="7">
        <f t="shared" ref="O642:O705" si="21">H642*10%</f>
        <v>6945.4000000000005</v>
      </c>
    </row>
    <row r="643" spans="1:15" x14ac:dyDescent="0.35">
      <c r="A643" s="5">
        <v>642</v>
      </c>
      <c r="B643" t="s">
        <v>1102</v>
      </c>
      <c r="C643" t="s">
        <v>1103</v>
      </c>
      <c r="D643" t="s">
        <v>1486</v>
      </c>
      <c r="E643" t="s">
        <v>61</v>
      </c>
      <c r="F643" s="1">
        <v>44696</v>
      </c>
      <c r="G643" s="28">
        <v>12</v>
      </c>
      <c r="H643" s="26">
        <v>126201</v>
      </c>
      <c r="I643" t="s">
        <v>169</v>
      </c>
      <c r="J643" t="s">
        <v>16</v>
      </c>
      <c r="K643" t="s">
        <v>17</v>
      </c>
      <c r="L643" t="s">
        <v>63</v>
      </c>
      <c r="M643" t="s">
        <v>1489</v>
      </c>
      <c r="N643" s="7">
        <f t="shared" si="20"/>
        <v>1514412</v>
      </c>
      <c r="O643" s="7">
        <f t="shared" si="21"/>
        <v>12620.1</v>
      </c>
    </row>
    <row r="644" spans="1:15" x14ac:dyDescent="0.35">
      <c r="A644" s="5">
        <v>643</v>
      </c>
      <c r="B644" t="s">
        <v>594</v>
      </c>
      <c r="C644" t="s">
        <v>1104</v>
      </c>
      <c r="D644" t="s">
        <v>1485</v>
      </c>
      <c r="E644" t="s">
        <v>32</v>
      </c>
      <c r="F644" s="1">
        <v>41719</v>
      </c>
      <c r="G644" s="28">
        <v>7</v>
      </c>
      <c r="H644" s="26">
        <v>123820</v>
      </c>
      <c r="I644" t="s">
        <v>1105</v>
      </c>
      <c r="J644" t="s">
        <v>55</v>
      </c>
      <c r="K644" t="s">
        <v>17</v>
      </c>
      <c r="L644" t="s">
        <v>34</v>
      </c>
      <c r="M644" t="s">
        <v>1489</v>
      </c>
      <c r="N644" s="7">
        <f t="shared" si="20"/>
        <v>1485840</v>
      </c>
      <c r="O644" s="7">
        <f t="shared" si="21"/>
        <v>12382</v>
      </c>
    </row>
    <row r="645" spans="1:15" x14ac:dyDescent="0.35">
      <c r="A645" s="5">
        <v>644</v>
      </c>
      <c r="B645" t="s">
        <v>416</v>
      </c>
      <c r="C645" t="s">
        <v>1106</v>
      </c>
      <c r="D645" t="s">
        <v>1485</v>
      </c>
      <c r="E645" t="s">
        <v>37</v>
      </c>
      <c r="F645" s="1">
        <v>37352</v>
      </c>
      <c r="G645" s="28">
        <v>19</v>
      </c>
      <c r="H645" s="26">
        <v>52956</v>
      </c>
      <c r="I645" t="s">
        <v>74</v>
      </c>
      <c r="J645" t="s">
        <v>39</v>
      </c>
      <c r="K645" t="s">
        <v>40</v>
      </c>
      <c r="L645" t="s">
        <v>41</v>
      </c>
      <c r="M645" t="s">
        <v>1489</v>
      </c>
      <c r="N645" s="7">
        <f t="shared" si="20"/>
        <v>635472</v>
      </c>
      <c r="O645" s="7">
        <f t="shared" si="21"/>
        <v>5295.6</v>
      </c>
    </row>
    <row r="646" spans="1:15" x14ac:dyDescent="0.35">
      <c r="A646" s="5">
        <v>645</v>
      </c>
      <c r="B646" t="s">
        <v>75</v>
      </c>
      <c r="C646" t="s">
        <v>1107</v>
      </c>
      <c r="D646" t="s">
        <v>1485</v>
      </c>
      <c r="E646" t="s">
        <v>44</v>
      </c>
      <c r="F646" s="1">
        <v>39234</v>
      </c>
      <c r="G646" s="28">
        <v>14</v>
      </c>
      <c r="H646" s="26">
        <v>143595</v>
      </c>
      <c r="I646" t="s">
        <v>500</v>
      </c>
      <c r="J646" t="s">
        <v>50</v>
      </c>
      <c r="K646" t="s">
        <v>40</v>
      </c>
      <c r="L646" t="s">
        <v>29</v>
      </c>
      <c r="M646" t="s">
        <v>1489</v>
      </c>
      <c r="N646" s="7">
        <f t="shared" si="20"/>
        <v>1723140</v>
      </c>
      <c r="O646" s="7">
        <f t="shared" si="21"/>
        <v>14359.5</v>
      </c>
    </row>
    <row r="647" spans="1:15" x14ac:dyDescent="0.35">
      <c r="A647" s="5">
        <v>646</v>
      </c>
      <c r="B647" t="s">
        <v>375</v>
      </c>
      <c r="C647" t="s">
        <v>1108</v>
      </c>
      <c r="D647" t="s">
        <v>1485</v>
      </c>
      <c r="E647" t="s">
        <v>129</v>
      </c>
      <c r="F647" s="1">
        <v>41865</v>
      </c>
      <c r="G647" s="28">
        <v>7</v>
      </c>
      <c r="H647" s="26">
        <v>124707</v>
      </c>
      <c r="I647" t="s">
        <v>204</v>
      </c>
      <c r="J647" t="s">
        <v>50</v>
      </c>
      <c r="K647" t="s">
        <v>40</v>
      </c>
      <c r="L647" t="s">
        <v>41</v>
      </c>
      <c r="M647" t="s">
        <v>1489</v>
      </c>
      <c r="N647" s="7">
        <f t="shared" si="20"/>
        <v>1496484</v>
      </c>
      <c r="O647" s="7">
        <f t="shared" si="21"/>
        <v>12470.7</v>
      </c>
    </row>
    <row r="648" spans="1:15" x14ac:dyDescent="0.35">
      <c r="A648" s="5">
        <v>647</v>
      </c>
      <c r="B648" t="s">
        <v>243</v>
      </c>
      <c r="C648" t="s">
        <v>1109</v>
      </c>
      <c r="D648" t="s">
        <v>1485</v>
      </c>
      <c r="E648" t="s">
        <v>94</v>
      </c>
      <c r="F648" s="1">
        <v>40101</v>
      </c>
      <c r="G648" s="28">
        <v>12</v>
      </c>
      <c r="H648" s="26">
        <v>57092</v>
      </c>
      <c r="I648" t="s">
        <v>510</v>
      </c>
      <c r="J648" t="s">
        <v>16</v>
      </c>
      <c r="K648" t="s">
        <v>17</v>
      </c>
      <c r="L648" t="s">
        <v>18</v>
      </c>
      <c r="M648" t="s">
        <v>1489</v>
      </c>
      <c r="N648" s="7">
        <f t="shared" si="20"/>
        <v>685104</v>
      </c>
      <c r="O648" s="7">
        <f t="shared" si="21"/>
        <v>5709.2000000000007</v>
      </c>
    </row>
    <row r="649" spans="1:15" x14ac:dyDescent="0.35">
      <c r="A649" s="5">
        <v>648</v>
      </c>
      <c r="B649" t="s">
        <v>652</v>
      </c>
      <c r="C649" t="s">
        <v>1110</v>
      </c>
      <c r="D649" t="s">
        <v>1485</v>
      </c>
      <c r="E649" t="s">
        <v>129</v>
      </c>
      <c r="F649" s="1">
        <v>39125</v>
      </c>
      <c r="G649" s="28">
        <v>14</v>
      </c>
      <c r="H649" s="26">
        <v>149099</v>
      </c>
      <c r="I649" t="s">
        <v>45</v>
      </c>
      <c r="J649" t="s">
        <v>28</v>
      </c>
      <c r="K649" t="s">
        <v>17</v>
      </c>
      <c r="L649" t="s">
        <v>41</v>
      </c>
      <c r="M649" t="s">
        <v>1489</v>
      </c>
      <c r="N649" s="7">
        <f t="shared" si="20"/>
        <v>1789188</v>
      </c>
      <c r="O649" s="7">
        <f t="shared" si="21"/>
        <v>14909.900000000001</v>
      </c>
    </row>
    <row r="650" spans="1:15" x14ac:dyDescent="0.35">
      <c r="A650" s="5">
        <v>649</v>
      </c>
      <c r="B650" t="s">
        <v>419</v>
      </c>
      <c r="C650" t="s">
        <v>1111</v>
      </c>
      <c r="D650" t="s">
        <v>1485</v>
      </c>
      <c r="E650" t="s">
        <v>312</v>
      </c>
      <c r="F650" s="1">
        <v>39404</v>
      </c>
      <c r="G650" s="28">
        <v>14</v>
      </c>
      <c r="H650" s="26">
        <v>99352</v>
      </c>
      <c r="I650" t="s">
        <v>27</v>
      </c>
      <c r="J650" t="s">
        <v>46</v>
      </c>
      <c r="K650" t="s">
        <v>17</v>
      </c>
      <c r="L650" t="s">
        <v>41</v>
      </c>
      <c r="M650" t="s">
        <v>1489</v>
      </c>
      <c r="N650" s="7">
        <f t="shared" si="20"/>
        <v>1192224</v>
      </c>
      <c r="O650" s="7">
        <f t="shared" si="21"/>
        <v>9935.2000000000007</v>
      </c>
    </row>
    <row r="651" spans="1:15" x14ac:dyDescent="0.35">
      <c r="A651" s="5">
        <v>650</v>
      </c>
      <c r="B651" t="s">
        <v>745</v>
      </c>
      <c r="C651" t="s">
        <v>1112</v>
      </c>
      <c r="D651" t="s">
        <v>1485</v>
      </c>
      <c r="E651" t="s">
        <v>37</v>
      </c>
      <c r="F651" s="1">
        <v>41296</v>
      </c>
      <c r="G651" s="28">
        <v>8</v>
      </c>
      <c r="H651" s="26">
        <v>44919</v>
      </c>
      <c r="I651" t="s">
        <v>126</v>
      </c>
      <c r="J651" t="s">
        <v>39</v>
      </c>
      <c r="K651" t="s">
        <v>40</v>
      </c>
      <c r="L651" t="s">
        <v>41</v>
      </c>
      <c r="M651" t="s">
        <v>1489</v>
      </c>
      <c r="N651" s="7">
        <f t="shared" si="20"/>
        <v>539028</v>
      </c>
      <c r="O651" s="7">
        <f t="shared" si="21"/>
        <v>4491.9000000000005</v>
      </c>
    </row>
    <row r="652" spans="1:15" x14ac:dyDescent="0.35">
      <c r="A652" s="5">
        <v>651</v>
      </c>
      <c r="B652" t="s">
        <v>296</v>
      </c>
      <c r="C652" t="s">
        <v>1113</v>
      </c>
      <c r="D652" t="s">
        <v>1486</v>
      </c>
      <c r="E652" t="s">
        <v>203</v>
      </c>
      <c r="F652" s="1">
        <v>38957</v>
      </c>
      <c r="G652" s="28">
        <v>15</v>
      </c>
      <c r="H652" s="26">
        <v>55034</v>
      </c>
      <c r="I652" t="s">
        <v>441</v>
      </c>
      <c r="J652" t="s">
        <v>55</v>
      </c>
      <c r="K652" t="s">
        <v>17</v>
      </c>
      <c r="L652" t="s">
        <v>41</v>
      </c>
      <c r="M652" t="s">
        <v>1489</v>
      </c>
      <c r="N652" s="7">
        <f t="shared" si="20"/>
        <v>660408</v>
      </c>
      <c r="O652" s="7">
        <f t="shared" si="21"/>
        <v>5503.4000000000005</v>
      </c>
    </row>
    <row r="653" spans="1:15" x14ac:dyDescent="0.35">
      <c r="A653" s="5">
        <v>652</v>
      </c>
      <c r="B653" t="s">
        <v>302</v>
      </c>
      <c r="C653" t="s">
        <v>1114</v>
      </c>
      <c r="D653" t="s">
        <v>1485</v>
      </c>
      <c r="E653" t="s">
        <v>32</v>
      </c>
      <c r="F653" s="1">
        <v>38884</v>
      </c>
      <c r="G653" s="28">
        <v>15</v>
      </c>
      <c r="H653" s="26">
        <v>60396</v>
      </c>
      <c r="I653" t="s">
        <v>764</v>
      </c>
      <c r="J653" t="s">
        <v>39</v>
      </c>
      <c r="K653" t="s">
        <v>40</v>
      </c>
      <c r="L653" t="s">
        <v>34</v>
      </c>
      <c r="M653" t="s">
        <v>1489</v>
      </c>
      <c r="N653" s="7">
        <f t="shared" si="20"/>
        <v>724752</v>
      </c>
      <c r="O653" s="7">
        <f t="shared" si="21"/>
        <v>6039.6</v>
      </c>
    </row>
    <row r="654" spans="1:15" x14ac:dyDescent="0.35">
      <c r="A654" s="5">
        <v>653</v>
      </c>
      <c r="B654" t="s">
        <v>1035</v>
      </c>
      <c r="C654" t="s">
        <v>1115</v>
      </c>
      <c r="D654" t="s">
        <v>1485</v>
      </c>
      <c r="E654" t="s">
        <v>53</v>
      </c>
      <c r="F654" s="1">
        <v>41461</v>
      </c>
      <c r="G654" s="28">
        <v>8</v>
      </c>
      <c r="H654" s="26">
        <v>147862</v>
      </c>
      <c r="I654" t="s">
        <v>287</v>
      </c>
      <c r="J654" t="s">
        <v>91</v>
      </c>
      <c r="K654" t="s">
        <v>40</v>
      </c>
      <c r="L654" t="s">
        <v>23</v>
      </c>
      <c r="M654" t="s">
        <v>1489</v>
      </c>
      <c r="N654" s="7">
        <f t="shared" si="20"/>
        <v>1774344</v>
      </c>
      <c r="O654" s="7">
        <f t="shared" si="21"/>
        <v>14786.2</v>
      </c>
    </row>
    <row r="655" spans="1:15" x14ac:dyDescent="0.35">
      <c r="A655" s="5">
        <v>654</v>
      </c>
      <c r="B655" t="s">
        <v>781</v>
      </c>
      <c r="C655" t="s">
        <v>1116</v>
      </c>
      <c r="D655" t="s">
        <v>1485</v>
      </c>
      <c r="E655" t="s">
        <v>26</v>
      </c>
      <c r="F655" s="1">
        <v>37563</v>
      </c>
      <c r="G655" s="28">
        <v>19</v>
      </c>
      <c r="H655" s="26">
        <v>69594</v>
      </c>
      <c r="I655" t="s">
        <v>27</v>
      </c>
      <c r="J655" t="s">
        <v>28</v>
      </c>
      <c r="K655" t="s">
        <v>17</v>
      </c>
      <c r="L655" t="s">
        <v>29</v>
      </c>
      <c r="M655" t="s">
        <v>1489</v>
      </c>
      <c r="N655" s="7">
        <f t="shared" si="20"/>
        <v>835128</v>
      </c>
      <c r="O655" s="7">
        <f t="shared" si="21"/>
        <v>6959.4000000000005</v>
      </c>
    </row>
    <row r="656" spans="1:15" x14ac:dyDescent="0.35">
      <c r="A656" s="5">
        <v>655</v>
      </c>
      <c r="B656" t="s">
        <v>407</v>
      </c>
      <c r="C656" t="s">
        <v>1117</v>
      </c>
      <c r="D656" t="s">
        <v>1486</v>
      </c>
      <c r="E656" t="s">
        <v>21</v>
      </c>
      <c r="F656" s="1">
        <v>46546</v>
      </c>
      <c r="G656" s="28">
        <v>7</v>
      </c>
      <c r="H656" s="26">
        <v>145363</v>
      </c>
      <c r="I656" t="s">
        <v>610</v>
      </c>
      <c r="J656" t="s">
        <v>28</v>
      </c>
      <c r="K656" t="s">
        <v>17</v>
      </c>
      <c r="L656" t="s">
        <v>23</v>
      </c>
      <c r="M656" t="s">
        <v>1489</v>
      </c>
      <c r="N656" s="7">
        <f t="shared" si="20"/>
        <v>1744356</v>
      </c>
      <c r="O656" s="7">
        <f t="shared" si="21"/>
        <v>14536.300000000001</v>
      </c>
    </row>
    <row r="657" spans="1:15" x14ac:dyDescent="0.35">
      <c r="A657" s="5">
        <v>656</v>
      </c>
      <c r="B657" t="s">
        <v>728</v>
      </c>
      <c r="C657" t="s">
        <v>1118</v>
      </c>
      <c r="D657" t="s">
        <v>1485</v>
      </c>
      <c r="E657" t="s">
        <v>122</v>
      </c>
      <c r="F657" s="1">
        <v>39541</v>
      </c>
      <c r="G657" s="28">
        <v>13</v>
      </c>
      <c r="H657" s="26">
        <v>70804</v>
      </c>
      <c r="I657" t="s">
        <v>126</v>
      </c>
      <c r="J657" t="s">
        <v>16</v>
      </c>
      <c r="K657" t="s">
        <v>17</v>
      </c>
      <c r="L657" t="s">
        <v>123</v>
      </c>
      <c r="M657" t="s">
        <v>1489</v>
      </c>
      <c r="N657" s="7">
        <f t="shared" si="20"/>
        <v>849648</v>
      </c>
      <c r="O657" s="7">
        <f t="shared" si="21"/>
        <v>7080.4000000000005</v>
      </c>
    </row>
    <row r="658" spans="1:15" x14ac:dyDescent="0.35">
      <c r="A658" s="5">
        <v>657</v>
      </c>
      <c r="B658" t="s">
        <v>1119</v>
      </c>
      <c r="C658" t="s">
        <v>1120</v>
      </c>
      <c r="D658" t="s">
        <v>1486</v>
      </c>
      <c r="E658" t="s">
        <v>69</v>
      </c>
      <c r="F658" s="1">
        <v>46202</v>
      </c>
      <c r="G658" s="28">
        <v>8</v>
      </c>
      <c r="H658" s="26">
        <v>65154</v>
      </c>
      <c r="I658" t="s">
        <v>62</v>
      </c>
      <c r="J658" t="s">
        <v>91</v>
      </c>
      <c r="K658" t="s">
        <v>40</v>
      </c>
      <c r="L658" t="s">
        <v>41</v>
      </c>
      <c r="M658" t="s">
        <v>1489</v>
      </c>
      <c r="N658" s="7">
        <f t="shared" si="20"/>
        <v>781848</v>
      </c>
      <c r="O658" s="7">
        <f t="shared" si="21"/>
        <v>6515.4000000000005</v>
      </c>
    </row>
    <row r="659" spans="1:15" x14ac:dyDescent="0.35">
      <c r="A659" s="5">
        <v>658</v>
      </c>
      <c r="B659" t="s">
        <v>262</v>
      </c>
      <c r="C659" t="s">
        <v>1121</v>
      </c>
      <c r="D659" t="s">
        <v>1485</v>
      </c>
      <c r="E659" t="s">
        <v>94</v>
      </c>
      <c r="F659" s="1">
        <v>41555</v>
      </c>
      <c r="G659" s="28">
        <v>8</v>
      </c>
      <c r="H659" s="26">
        <v>61332</v>
      </c>
      <c r="I659" t="s">
        <v>104</v>
      </c>
      <c r="J659" t="s">
        <v>28</v>
      </c>
      <c r="K659" t="s">
        <v>17</v>
      </c>
      <c r="L659" t="s">
        <v>18</v>
      </c>
      <c r="M659" t="s">
        <v>1489</v>
      </c>
      <c r="N659" s="7">
        <f t="shared" si="20"/>
        <v>735984</v>
      </c>
      <c r="O659" s="7">
        <f t="shared" si="21"/>
        <v>6133.2000000000007</v>
      </c>
    </row>
    <row r="660" spans="1:15" x14ac:dyDescent="0.35">
      <c r="A660" s="5">
        <v>659</v>
      </c>
      <c r="B660" t="s">
        <v>772</v>
      </c>
      <c r="C660" t="s">
        <v>1122</v>
      </c>
      <c r="D660" t="s">
        <v>1486</v>
      </c>
      <c r="E660" t="s">
        <v>148</v>
      </c>
      <c r="F660" s="1">
        <v>37871</v>
      </c>
      <c r="G660" s="28">
        <v>18</v>
      </c>
      <c r="H660" s="26">
        <v>72319</v>
      </c>
      <c r="I660" t="s">
        <v>313</v>
      </c>
      <c r="J660" t="s">
        <v>46</v>
      </c>
      <c r="K660" t="s">
        <v>17</v>
      </c>
      <c r="L660" t="s">
        <v>112</v>
      </c>
      <c r="M660" t="s">
        <v>1489</v>
      </c>
      <c r="N660" s="7">
        <f t="shared" si="20"/>
        <v>867828</v>
      </c>
      <c r="O660" s="7">
        <f t="shared" si="21"/>
        <v>7231.9000000000005</v>
      </c>
    </row>
    <row r="661" spans="1:15" x14ac:dyDescent="0.35">
      <c r="A661" s="5">
        <v>660</v>
      </c>
      <c r="B661" t="s">
        <v>911</v>
      </c>
      <c r="C661" t="s">
        <v>1123</v>
      </c>
      <c r="D661" t="s">
        <v>1485</v>
      </c>
      <c r="E661" t="s">
        <v>312</v>
      </c>
      <c r="F661" s="1">
        <v>37233</v>
      </c>
      <c r="G661" s="28">
        <v>20</v>
      </c>
      <c r="H661" s="26">
        <v>139564</v>
      </c>
      <c r="I661" t="s">
        <v>386</v>
      </c>
      <c r="J661" t="s">
        <v>39</v>
      </c>
      <c r="K661" t="s">
        <v>40</v>
      </c>
      <c r="L661" t="s">
        <v>41</v>
      </c>
      <c r="M661" t="s">
        <v>1489</v>
      </c>
      <c r="N661" s="7">
        <f t="shared" si="20"/>
        <v>1674768</v>
      </c>
      <c r="O661" s="7">
        <f t="shared" si="21"/>
        <v>13956.400000000001</v>
      </c>
    </row>
    <row r="662" spans="1:15" x14ac:dyDescent="0.35">
      <c r="A662" s="5">
        <v>661</v>
      </c>
      <c r="B662" t="s">
        <v>521</v>
      </c>
      <c r="C662" t="s">
        <v>1124</v>
      </c>
      <c r="D662" t="s">
        <v>1486</v>
      </c>
      <c r="E662" t="s">
        <v>26</v>
      </c>
      <c r="F662" s="1">
        <v>38251</v>
      </c>
      <c r="G662" s="28">
        <v>17</v>
      </c>
      <c r="H662" s="26">
        <v>63364</v>
      </c>
      <c r="I662" t="s">
        <v>66</v>
      </c>
      <c r="J662" t="s">
        <v>55</v>
      </c>
      <c r="K662" t="s">
        <v>17</v>
      </c>
      <c r="L662" t="s">
        <v>29</v>
      </c>
      <c r="M662" t="s">
        <v>1489</v>
      </c>
      <c r="N662" s="7">
        <f t="shared" si="20"/>
        <v>760368</v>
      </c>
      <c r="O662" s="7">
        <f t="shared" si="21"/>
        <v>6336.4000000000005</v>
      </c>
    </row>
    <row r="663" spans="1:15" x14ac:dyDescent="0.35">
      <c r="A663" s="5">
        <v>662</v>
      </c>
      <c r="B663" t="s">
        <v>120</v>
      </c>
      <c r="C663" t="s">
        <v>1125</v>
      </c>
      <c r="D663" t="s">
        <v>1485</v>
      </c>
      <c r="E663" t="s">
        <v>73</v>
      </c>
      <c r="F663" s="1">
        <v>36543</v>
      </c>
      <c r="G663" s="28">
        <v>21</v>
      </c>
      <c r="H663" s="26">
        <v>86497</v>
      </c>
      <c r="I663" t="s">
        <v>441</v>
      </c>
      <c r="J663" t="s">
        <v>50</v>
      </c>
      <c r="K663" t="s">
        <v>40</v>
      </c>
      <c r="L663" t="s">
        <v>41</v>
      </c>
      <c r="M663" t="s">
        <v>1489</v>
      </c>
      <c r="N663" s="7">
        <f t="shared" si="20"/>
        <v>1037964</v>
      </c>
      <c r="O663" s="7">
        <f t="shared" si="21"/>
        <v>8649.7000000000007</v>
      </c>
    </row>
    <row r="664" spans="1:15" x14ac:dyDescent="0.35">
      <c r="A664" s="5">
        <v>663</v>
      </c>
      <c r="B664" t="s">
        <v>600</v>
      </c>
      <c r="C664" t="s">
        <v>1126</v>
      </c>
      <c r="D664" t="s">
        <v>1486</v>
      </c>
      <c r="E664" t="s">
        <v>148</v>
      </c>
      <c r="F664" s="1">
        <v>37646</v>
      </c>
      <c r="G664" s="28">
        <v>18</v>
      </c>
      <c r="H664" s="26">
        <v>117248</v>
      </c>
      <c r="I664" t="s">
        <v>406</v>
      </c>
      <c r="J664" t="s">
        <v>46</v>
      </c>
      <c r="K664" t="s">
        <v>17</v>
      </c>
      <c r="L664" t="s">
        <v>112</v>
      </c>
      <c r="M664" t="s">
        <v>1489</v>
      </c>
      <c r="N664" s="7">
        <f t="shared" si="20"/>
        <v>1406976</v>
      </c>
      <c r="O664" s="7">
        <f t="shared" si="21"/>
        <v>11724.800000000001</v>
      </c>
    </row>
    <row r="665" spans="1:15" x14ac:dyDescent="0.35">
      <c r="A665" s="5">
        <v>664</v>
      </c>
      <c r="B665" t="s">
        <v>161</v>
      </c>
      <c r="C665" t="s">
        <v>1127</v>
      </c>
      <c r="D665" t="s">
        <v>1486</v>
      </c>
      <c r="E665" t="s">
        <v>21</v>
      </c>
      <c r="F665" s="1">
        <v>46062</v>
      </c>
      <c r="G665" s="28">
        <v>8</v>
      </c>
      <c r="H665" s="26">
        <v>133507</v>
      </c>
      <c r="I665" t="s">
        <v>568</v>
      </c>
      <c r="J665" t="s">
        <v>46</v>
      </c>
      <c r="K665" t="s">
        <v>17</v>
      </c>
      <c r="L665" t="s">
        <v>23</v>
      </c>
      <c r="M665" t="s">
        <v>1489</v>
      </c>
      <c r="N665" s="7">
        <f t="shared" si="20"/>
        <v>1602084</v>
      </c>
      <c r="O665" s="7">
        <f t="shared" si="21"/>
        <v>13350.7</v>
      </c>
    </row>
    <row r="666" spans="1:15" x14ac:dyDescent="0.35">
      <c r="A666" s="5">
        <v>665</v>
      </c>
      <c r="B666" t="s">
        <v>201</v>
      </c>
      <c r="C666" t="s">
        <v>1128</v>
      </c>
      <c r="D666" t="s">
        <v>1486</v>
      </c>
      <c r="E666" t="s">
        <v>203</v>
      </c>
      <c r="F666" s="1">
        <v>44504</v>
      </c>
      <c r="G666" s="28">
        <v>13</v>
      </c>
      <c r="H666" s="26">
        <v>135132</v>
      </c>
      <c r="I666" t="s">
        <v>1062</v>
      </c>
      <c r="J666" t="s">
        <v>39</v>
      </c>
      <c r="K666" t="s">
        <v>40</v>
      </c>
      <c r="L666" t="s">
        <v>41</v>
      </c>
      <c r="M666" t="s">
        <v>1489</v>
      </c>
      <c r="N666" s="7">
        <f t="shared" si="20"/>
        <v>1621584</v>
      </c>
      <c r="O666" s="7">
        <f t="shared" si="21"/>
        <v>13513.2</v>
      </c>
    </row>
    <row r="667" spans="1:15" x14ac:dyDescent="0.35">
      <c r="A667" s="5">
        <v>666</v>
      </c>
      <c r="B667" t="s">
        <v>675</v>
      </c>
      <c r="C667" t="s">
        <v>1129</v>
      </c>
      <c r="D667" t="s">
        <v>1486</v>
      </c>
      <c r="E667" t="s">
        <v>312</v>
      </c>
      <c r="F667" s="1">
        <v>46134</v>
      </c>
      <c r="G667" s="28">
        <v>8</v>
      </c>
      <c r="H667" s="26">
        <v>52041</v>
      </c>
      <c r="I667" t="s">
        <v>394</v>
      </c>
      <c r="J667" t="s">
        <v>16</v>
      </c>
      <c r="K667" t="s">
        <v>17</v>
      </c>
      <c r="L667" t="s">
        <v>41</v>
      </c>
      <c r="M667" t="s">
        <v>1489</v>
      </c>
      <c r="N667" s="7">
        <f t="shared" si="20"/>
        <v>624492</v>
      </c>
      <c r="O667" s="7">
        <f t="shared" si="21"/>
        <v>5204.1000000000004</v>
      </c>
    </row>
    <row r="668" spans="1:15" x14ac:dyDescent="0.35">
      <c r="A668" s="5">
        <v>667</v>
      </c>
      <c r="B668" t="s">
        <v>131</v>
      </c>
      <c r="C668" t="s">
        <v>1130</v>
      </c>
      <c r="D668" t="s">
        <v>1486</v>
      </c>
      <c r="E668" t="s">
        <v>238</v>
      </c>
      <c r="F668" s="1">
        <v>45728</v>
      </c>
      <c r="G668" s="28">
        <v>9</v>
      </c>
      <c r="H668" s="26">
        <v>73425</v>
      </c>
      <c r="I668" t="s">
        <v>1131</v>
      </c>
      <c r="J668" t="s">
        <v>28</v>
      </c>
      <c r="K668" t="s">
        <v>17</v>
      </c>
      <c r="L668" t="s">
        <v>63</v>
      </c>
      <c r="M668" t="s">
        <v>1489</v>
      </c>
      <c r="N668" s="7">
        <f t="shared" si="20"/>
        <v>881100</v>
      </c>
      <c r="O668" s="7">
        <f t="shared" si="21"/>
        <v>7342.5</v>
      </c>
    </row>
    <row r="669" spans="1:15" x14ac:dyDescent="0.35">
      <c r="A669" s="5">
        <v>668</v>
      </c>
      <c r="B669" t="s">
        <v>358</v>
      </c>
      <c r="C669" t="s">
        <v>1132</v>
      </c>
      <c r="D669" t="s">
        <v>1486</v>
      </c>
      <c r="E669" t="s">
        <v>14</v>
      </c>
      <c r="F669" s="1">
        <v>36967</v>
      </c>
      <c r="G669" s="28">
        <v>20</v>
      </c>
      <c r="H669" s="26">
        <v>46960</v>
      </c>
      <c r="I669" t="s">
        <v>22</v>
      </c>
      <c r="J669" t="s">
        <v>55</v>
      </c>
      <c r="K669" t="s">
        <v>17</v>
      </c>
      <c r="L669" t="s">
        <v>18</v>
      </c>
      <c r="M669" t="s">
        <v>1489</v>
      </c>
      <c r="N669" s="7">
        <f t="shared" si="20"/>
        <v>563520</v>
      </c>
      <c r="O669" s="7">
        <f t="shared" si="21"/>
        <v>4696</v>
      </c>
    </row>
    <row r="670" spans="1:15" x14ac:dyDescent="0.35">
      <c r="A670" s="5">
        <v>669</v>
      </c>
      <c r="B670" t="s">
        <v>118</v>
      </c>
      <c r="C670" t="s">
        <v>1133</v>
      </c>
      <c r="D670" t="s">
        <v>1485</v>
      </c>
      <c r="E670" t="s">
        <v>53</v>
      </c>
      <c r="F670" s="1">
        <v>37017</v>
      </c>
      <c r="G670" s="28">
        <v>20</v>
      </c>
      <c r="H670" s="26">
        <v>104373</v>
      </c>
      <c r="I670" t="s">
        <v>336</v>
      </c>
      <c r="J670" t="s">
        <v>50</v>
      </c>
      <c r="K670" t="s">
        <v>40</v>
      </c>
      <c r="L670" t="s">
        <v>23</v>
      </c>
      <c r="M670" t="s">
        <v>1489</v>
      </c>
      <c r="N670" s="7">
        <f t="shared" si="20"/>
        <v>1252476</v>
      </c>
      <c r="O670" s="7">
        <f t="shared" si="21"/>
        <v>10437.300000000001</v>
      </c>
    </row>
    <row r="671" spans="1:15" x14ac:dyDescent="0.35">
      <c r="A671" s="5">
        <v>670</v>
      </c>
      <c r="B671" t="s">
        <v>508</v>
      </c>
      <c r="C671" t="s">
        <v>1134</v>
      </c>
      <c r="D671" t="s">
        <v>1486</v>
      </c>
      <c r="E671" t="s">
        <v>312</v>
      </c>
      <c r="F671" s="1">
        <v>46647</v>
      </c>
      <c r="G671" s="28">
        <v>7</v>
      </c>
      <c r="H671" s="26">
        <v>102493</v>
      </c>
      <c r="I671" t="s">
        <v>764</v>
      </c>
      <c r="J671" t="s">
        <v>91</v>
      </c>
      <c r="K671" t="s">
        <v>40</v>
      </c>
      <c r="L671" t="s">
        <v>41</v>
      </c>
      <c r="M671" t="s">
        <v>1489</v>
      </c>
      <c r="N671" s="7">
        <f t="shared" si="20"/>
        <v>1229916</v>
      </c>
      <c r="O671" s="7">
        <f t="shared" si="21"/>
        <v>10249.300000000001</v>
      </c>
    </row>
    <row r="672" spans="1:15" x14ac:dyDescent="0.35">
      <c r="A672" s="5">
        <v>671</v>
      </c>
      <c r="B672" t="s">
        <v>608</v>
      </c>
      <c r="C672" t="s">
        <v>1135</v>
      </c>
      <c r="D672" t="s">
        <v>1485</v>
      </c>
      <c r="E672" t="s">
        <v>312</v>
      </c>
      <c r="F672" s="1">
        <v>39427</v>
      </c>
      <c r="G672" s="28">
        <v>14</v>
      </c>
      <c r="H672" s="26">
        <v>55568</v>
      </c>
      <c r="I672" t="s">
        <v>290</v>
      </c>
      <c r="J672" t="s">
        <v>39</v>
      </c>
      <c r="K672" t="s">
        <v>40</v>
      </c>
      <c r="L672" t="s">
        <v>41</v>
      </c>
      <c r="M672" t="s">
        <v>1489</v>
      </c>
      <c r="N672" s="7">
        <f t="shared" si="20"/>
        <v>666816</v>
      </c>
      <c r="O672" s="7">
        <f t="shared" si="21"/>
        <v>5556.8</v>
      </c>
    </row>
    <row r="673" spans="1:15" x14ac:dyDescent="0.35">
      <c r="A673" s="5">
        <v>672</v>
      </c>
      <c r="B673" t="s">
        <v>523</v>
      </c>
      <c r="C673" t="s">
        <v>1136</v>
      </c>
      <c r="D673" t="s">
        <v>1485</v>
      </c>
      <c r="E673" t="s">
        <v>21</v>
      </c>
      <c r="F673" s="1">
        <v>38842</v>
      </c>
      <c r="G673" s="28">
        <v>15</v>
      </c>
      <c r="H673" s="26">
        <v>75159</v>
      </c>
      <c r="I673" t="s">
        <v>626</v>
      </c>
      <c r="J673" t="s">
        <v>16</v>
      </c>
      <c r="K673" t="s">
        <v>17</v>
      </c>
      <c r="L673" t="s">
        <v>23</v>
      </c>
      <c r="M673" t="s">
        <v>1489</v>
      </c>
      <c r="N673" s="7">
        <f t="shared" si="20"/>
        <v>901908</v>
      </c>
      <c r="O673" s="7">
        <f t="shared" si="21"/>
        <v>7515.9000000000005</v>
      </c>
    </row>
    <row r="674" spans="1:15" x14ac:dyDescent="0.35">
      <c r="A674" s="5">
        <v>673</v>
      </c>
      <c r="B674" t="s">
        <v>279</v>
      </c>
      <c r="C674" t="s">
        <v>1137</v>
      </c>
      <c r="D674" t="s">
        <v>1485</v>
      </c>
      <c r="E674" t="s">
        <v>203</v>
      </c>
      <c r="F674" s="1">
        <v>41939</v>
      </c>
      <c r="G674" s="28">
        <v>7</v>
      </c>
      <c r="H674" s="26">
        <v>51782</v>
      </c>
      <c r="I674" t="s">
        <v>235</v>
      </c>
      <c r="J674" t="s">
        <v>50</v>
      </c>
      <c r="K674" t="s">
        <v>40</v>
      </c>
      <c r="L674" t="s">
        <v>41</v>
      </c>
      <c r="M674" t="s">
        <v>1489</v>
      </c>
      <c r="N674" s="7">
        <f t="shared" si="20"/>
        <v>621384</v>
      </c>
      <c r="O674" s="7">
        <f t="shared" si="21"/>
        <v>5178.2000000000007</v>
      </c>
    </row>
    <row r="675" spans="1:15" x14ac:dyDescent="0.35">
      <c r="A675" s="5">
        <v>674</v>
      </c>
      <c r="B675" t="s">
        <v>308</v>
      </c>
      <c r="C675" t="s">
        <v>1138</v>
      </c>
      <c r="D675" t="s">
        <v>1485</v>
      </c>
      <c r="E675" t="s">
        <v>53</v>
      </c>
      <c r="F675" s="1">
        <v>40053</v>
      </c>
      <c r="G675" s="28">
        <v>12</v>
      </c>
      <c r="H675" s="26">
        <v>41855</v>
      </c>
      <c r="I675" t="s">
        <v>149</v>
      </c>
      <c r="J675" t="s">
        <v>39</v>
      </c>
      <c r="K675" t="s">
        <v>40</v>
      </c>
      <c r="L675" t="s">
        <v>23</v>
      </c>
      <c r="M675" t="s">
        <v>1489</v>
      </c>
      <c r="N675" s="7">
        <f t="shared" si="20"/>
        <v>502260</v>
      </c>
      <c r="O675" s="7">
        <f t="shared" si="21"/>
        <v>4185.5</v>
      </c>
    </row>
    <row r="676" spans="1:15" x14ac:dyDescent="0.35">
      <c r="A676" s="5">
        <v>675</v>
      </c>
      <c r="B676" t="s">
        <v>184</v>
      </c>
      <c r="C676" t="s">
        <v>1139</v>
      </c>
      <c r="D676" t="s">
        <v>1485</v>
      </c>
      <c r="E676" t="s">
        <v>79</v>
      </c>
      <c r="F676" s="1">
        <v>38525</v>
      </c>
      <c r="G676" s="28">
        <v>16</v>
      </c>
      <c r="H676" s="26">
        <v>143846</v>
      </c>
      <c r="I676" t="s">
        <v>82</v>
      </c>
      <c r="J676" t="s">
        <v>28</v>
      </c>
      <c r="K676" t="s">
        <v>17</v>
      </c>
      <c r="L676" t="s">
        <v>41</v>
      </c>
      <c r="M676" t="s">
        <v>1489</v>
      </c>
      <c r="N676" s="7">
        <f t="shared" si="20"/>
        <v>1726152</v>
      </c>
      <c r="O676" s="7">
        <f t="shared" si="21"/>
        <v>14384.6</v>
      </c>
    </row>
    <row r="677" spans="1:15" x14ac:dyDescent="0.35">
      <c r="A677" s="5">
        <v>676</v>
      </c>
      <c r="B677" t="s">
        <v>433</v>
      </c>
      <c r="C677" t="s">
        <v>1140</v>
      </c>
      <c r="D677" t="s">
        <v>1485</v>
      </c>
      <c r="E677" t="s">
        <v>238</v>
      </c>
      <c r="F677" s="1">
        <v>41546</v>
      </c>
      <c r="G677" s="28">
        <v>8</v>
      </c>
      <c r="H677" s="26">
        <v>101756</v>
      </c>
      <c r="I677" t="s">
        <v>86</v>
      </c>
      <c r="J677" t="s">
        <v>91</v>
      </c>
      <c r="K677" t="s">
        <v>40</v>
      </c>
      <c r="L677" t="s">
        <v>63</v>
      </c>
      <c r="M677" t="s">
        <v>1489</v>
      </c>
      <c r="N677" s="7">
        <f t="shared" si="20"/>
        <v>1221072</v>
      </c>
      <c r="O677" s="7">
        <f t="shared" si="21"/>
        <v>10175.6</v>
      </c>
    </row>
    <row r="678" spans="1:15" x14ac:dyDescent="0.35">
      <c r="A678" s="5">
        <v>677</v>
      </c>
      <c r="B678" t="s">
        <v>435</v>
      </c>
      <c r="C678" t="s">
        <v>1141</v>
      </c>
      <c r="D678" t="s">
        <v>1485</v>
      </c>
      <c r="E678" t="s">
        <v>14</v>
      </c>
      <c r="F678" s="1">
        <v>41855</v>
      </c>
      <c r="G678" s="28">
        <v>7</v>
      </c>
      <c r="H678" s="26">
        <v>136492</v>
      </c>
      <c r="I678" t="s">
        <v>74</v>
      </c>
      <c r="J678" t="s">
        <v>55</v>
      </c>
      <c r="K678" t="s">
        <v>17</v>
      </c>
      <c r="L678" t="s">
        <v>18</v>
      </c>
      <c r="M678" t="s">
        <v>1489</v>
      </c>
      <c r="N678" s="7">
        <f t="shared" si="20"/>
        <v>1637904</v>
      </c>
      <c r="O678" s="7">
        <f t="shared" si="21"/>
        <v>13649.2</v>
      </c>
    </row>
    <row r="679" spans="1:15" x14ac:dyDescent="0.35">
      <c r="A679" s="5">
        <v>678</v>
      </c>
      <c r="B679" t="s">
        <v>224</v>
      </c>
      <c r="C679" t="s">
        <v>1142</v>
      </c>
      <c r="D679" t="s">
        <v>1485</v>
      </c>
      <c r="E679" t="s">
        <v>238</v>
      </c>
      <c r="F679" s="1">
        <v>40650</v>
      </c>
      <c r="G679" s="28">
        <v>10</v>
      </c>
      <c r="H679" s="26">
        <v>82979</v>
      </c>
      <c r="I679" t="s">
        <v>764</v>
      </c>
      <c r="J679" t="s">
        <v>50</v>
      </c>
      <c r="K679" t="s">
        <v>40</v>
      </c>
      <c r="L679" t="s">
        <v>63</v>
      </c>
      <c r="M679" t="s">
        <v>1489</v>
      </c>
      <c r="N679" s="7">
        <f t="shared" si="20"/>
        <v>995748</v>
      </c>
      <c r="O679" s="7">
        <f t="shared" si="21"/>
        <v>8297.9</v>
      </c>
    </row>
    <row r="680" spans="1:15" x14ac:dyDescent="0.35">
      <c r="A680" s="5">
        <v>679</v>
      </c>
      <c r="B680" t="s">
        <v>602</v>
      </c>
      <c r="C680" t="s">
        <v>1143</v>
      </c>
      <c r="D680" t="s">
        <v>1485</v>
      </c>
      <c r="E680" t="s">
        <v>94</v>
      </c>
      <c r="F680" s="1">
        <v>41774</v>
      </c>
      <c r="G680" s="28">
        <v>7</v>
      </c>
      <c r="H680" s="26">
        <v>40218</v>
      </c>
      <c r="I680" t="s">
        <v>539</v>
      </c>
      <c r="J680" t="s">
        <v>16</v>
      </c>
      <c r="K680" t="s">
        <v>17</v>
      </c>
      <c r="L680" t="s">
        <v>18</v>
      </c>
      <c r="M680" t="s">
        <v>1489</v>
      </c>
      <c r="N680" s="7">
        <f t="shared" si="20"/>
        <v>482616</v>
      </c>
      <c r="O680" s="7">
        <f t="shared" si="21"/>
        <v>4021.8</v>
      </c>
    </row>
    <row r="681" spans="1:15" x14ac:dyDescent="0.35">
      <c r="A681" s="5">
        <v>680</v>
      </c>
      <c r="B681" t="s">
        <v>165</v>
      </c>
      <c r="C681" t="s">
        <v>1144</v>
      </c>
      <c r="D681" t="s">
        <v>1486</v>
      </c>
      <c r="E681" t="s">
        <v>79</v>
      </c>
      <c r="F681" s="1">
        <v>37234</v>
      </c>
      <c r="G681" s="28">
        <v>20</v>
      </c>
      <c r="H681" s="26">
        <v>60695</v>
      </c>
      <c r="I681" t="s">
        <v>287</v>
      </c>
      <c r="J681" t="s">
        <v>16</v>
      </c>
      <c r="K681" t="s">
        <v>17</v>
      </c>
      <c r="L681" t="s">
        <v>41</v>
      </c>
      <c r="M681" t="s">
        <v>1489</v>
      </c>
      <c r="N681" s="7">
        <f t="shared" si="20"/>
        <v>728340</v>
      </c>
      <c r="O681" s="7">
        <f t="shared" si="21"/>
        <v>6069.5</v>
      </c>
    </row>
    <row r="682" spans="1:15" x14ac:dyDescent="0.35">
      <c r="A682" s="5">
        <v>681</v>
      </c>
      <c r="B682" t="s">
        <v>465</v>
      </c>
      <c r="C682" t="s">
        <v>1145</v>
      </c>
      <c r="D682" t="s">
        <v>1485</v>
      </c>
      <c r="E682" t="s">
        <v>89</v>
      </c>
      <c r="F682" s="1">
        <v>39782</v>
      </c>
      <c r="G682" s="28">
        <v>13</v>
      </c>
      <c r="H682" s="26">
        <v>47994</v>
      </c>
      <c r="I682" t="s">
        <v>764</v>
      </c>
      <c r="J682" t="s">
        <v>55</v>
      </c>
      <c r="K682" t="s">
        <v>17</v>
      </c>
      <c r="L682" t="s">
        <v>41</v>
      </c>
      <c r="M682" t="s">
        <v>1489</v>
      </c>
      <c r="N682" s="7">
        <f t="shared" si="20"/>
        <v>575928</v>
      </c>
      <c r="O682" s="7">
        <f t="shared" si="21"/>
        <v>4799.4000000000005</v>
      </c>
    </row>
    <row r="683" spans="1:15" x14ac:dyDescent="0.35">
      <c r="A683" s="5">
        <v>682</v>
      </c>
      <c r="B683" t="s">
        <v>120</v>
      </c>
      <c r="C683" t="s">
        <v>1146</v>
      </c>
      <c r="D683" t="s">
        <v>1485</v>
      </c>
      <c r="E683" t="s">
        <v>110</v>
      </c>
      <c r="F683" s="1">
        <v>38233</v>
      </c>
      <c r="G683" s="28">
        <v>17</v>
      </c>
      <c r="H683" s="26">
        <v>50057</v>
      </c>
      <c r="I683" t="s">
        <v>401</v>
      </c>
      <c r="J683" t="s">
        <v>16</v>
      </c>
      <c r="K683" t="s">
        <v>17</v>
      </c>
      <c r="L683" t="s">
        <v>112</v>
      </c>
      <c r="M683" t="s">
        <v>1489</v>
      </c>
      <c r="N683" s="7">
        <f t="shared" si="20"/>
        <v>600684</v>
      </c>
      <c r="O683" s="7">
        <f t="shared" si="21"/>
        <v>5005.7000000000007</v>
      </c>
    </row>
    <row r="684" spans="1:15" x14ac:dyDescent="0.35">
      <c r="A684" s="5">
        <v>683</v>
      </c>
      <c r="B684" t="s">
        <v>134</v>
      </c>
      <c r="C684" t="s">
        <v>1147</v>
      </c>
      <c r="D684" t="s">
        <v>1486</v>
      </c>
      <c r="E684" t="s">
        <v>79</v>
      </c>
      <c r="F684" s="1">
        <v>38787</v>
      </c>
      <c r="G684" s="28">
        <v>15</v>
      </c>
      <c r="H684" s="26">
        <v>135886</v>
      </c>
      <c r="I684" t="s">
        <v>142</v>
      </c>
      <c r="J684" t="s">
        <v>28</v>
      </c>
      <c r="K684" t="s">
        <v>17</v>
      </c>
      <c r="L684" t="s">
        <v>41</v>
      </c>
      <c r="M684" t="s">
        <v>1489</v>
      </c>
      <c r="N684" s="7">
        <f t="shared" si="20"/>
        <v>1630632</v>
      </c>
      <c r="O684" s="7">
        <f t="shared" si="21"/>
        <v>13588.6</v>
      </c>
    </row>
    <row r="685" spans="1:15" x14ac:dyDescent="0.35">
      <c r="A685" s="5">
        <v>684</v>
      </c>
      <c r="B685" t="s">
        <v>766</v>
      </c>
      <c r="C685" t="s">
        <v>1148</v>
      </c>
      <c r="D685" t="s">
        <v>1485</v>
      </c>
      <c r="E685" t="s">
        <v>32</v>
      </c>
      <c r="F685" s="1">
        <v>40009</v>
      </c>
      <c r="G685" s="28">
        <v>12</v>
      </c>
      <c r="H685" s="26">
        <v>77924</v>
      </c>
      <c r="I685" t="s">
        <v>226</v>
      </c>
      <c r="J685" t="s">
        <v>39</v>
      </c>
      <c r="K685" t="s">
        <v>40</v>
      </c>
      <c r="L685" t="s">
        <v>34</v>
      </c>
      <c r="M685" t="s">
        <v>1489</v>
      </c>
      <c r="N685" s="7">
        <f t="shared" si="20"/>
        <v>935088</v>
      </c>
      <c r="O685" s="7">
        <f t="shared" si="21"/>
        <v>7792.4000000000005</v>
      </c>
    </row>
    <row r="686" spans="1:15" x14ac:dyDescent="0.35">
      <c r="A686" s="5">
        <v>685</v>
      </c>
      <c r="B686" t="s">
        <v>587</v>
      </c>
      <c r="C686" t="s">
        <v>1149</v>
      </c>
      <c r="D686" t="s">
        <v>1486</v>
      </c>
      <c r="E686" t="s">
        <v>129</v>
      </c>
      <c r="F686" s="1">
        <v>44537</v>
      </c>
      <c r="G686" s="28">
        <v>13</v>
      </c>
      <c r="H686" s="26">
        <v>136356</v>
      </c>
      <c r="I686" t="s">
        <v>217</v>
      </c>
      <c r="J686" t="s">
        <v>46</v>
      </c>
      <c r="K686" t="s">
        <v>17</v>
      </c>
      <c r="L686" t="s">
        <v>41</v>
      </c>
      <c r="M686" t="s">
        <v>1489</v>
      </c>
      <c r="N686" s="7">
        <f t="shared" si="20"/>
        <v>1636272</v>
      </c>
      <c r="O686" s="7">
        <f t="shared" si="21"/>
        <v>13635.6</v>
      </c>
    </row>
    <row r="687" spans="1:15" x14ac:dyDescent="0.35">
      <c r="A687" s="5">
        <v>686</v>
      </c>
      <c r="B687" t="s">
        <v>161</v>
      </c>
      <c r="C687" t="s">
        <v>1150</v>
      </c>
      <c r="D687" t="s">
        <v>1485</v>
      </c>
      <c r="E687" t="s">
        <v>53</v>
      </c>
      <c r="F687" s="1">
        <v>38070</v>
      </c>
      <c r="G687" s="28">
        <v>17</v>
      </c>
      <c r="H687" s="26">
        <v>104444</v>
      </c>
      <c r="I687" t="s">
        <v>115</v>
      </c>
      <c r="J687" t="s">
        <v>16</v>
      </c>
      <c r="K687" t="s">
        <v>17</v>
      </c>
      <c r="L687" t="s">
        <v>23</v>
      </c>
      <c r="M687" t="s">
        <v>1489</v>
      </c>
      <c r="N687" s="7">
        <f t="shared" si="20"/>
        <v>1253328</v>
      </c>
      <c r="O687" s="7">
        <f t="shared" si="21"/>
        <v>10444.400000000001</v>
      </c>
    </row>
    <row r="688" spans="1:15" x14ac:dyDescent="0.35">
      <c r="A688" s="5">
        <v>687</v>
      </c>
      <c r="B688" t="s">
        <v>314</v>
      </c>
      <c r="C688" t="s">
        <v>1151</v>
      </c>
      <c r="D688" t="s">
        <v>1486</v>
      </c>
      <c r="E688" t="s">
        <v>14</v>
      </c>
      <c r="F688" s="1">
        <v>36863</v>
      </c>
      <c r="G688" s="28">
        <v>21</v>
      </c>
      <c r="H688" s="26">
        <v>49693</v>
      </c>
      <c r="I688" t="s">
        <v>287</v>
      </c>
      <c r="J688" t="s">
        <v>16</v>
      </c>
      <c r="K688" t="s">
        <v>17</v>
      </c>
      <c r="L688" t="s">
        <v>18</v>
      </c>
      <c r="M688" t="s">
        <v>1489</v>
      </c>
      <c r="N688" s="7">
        <f t="shared" si="20"/>
        <v>596316</v>
      </c>
      <c r="O688" s="7">
        <f t="shared" si="21"/>
        <v>4969.3</v>
      </c>
    </row>
    <row r="689" spans="1:15" x14ac:dyDescent="0.35">
      <c r="A689" s="5">
        <v>688</v>
      </c>
      <c r="B689" t="s">
        <v>150</v>
      </c>
      <c r="C689" t="s">
        <v>1152</v>
      </c>
      <c r="D689" t="s">
        <v>1485</v>
      </c>
      <c r="E689" t="s">
        <v>89</v>
      </c>
      <c r="F689" s="1">
        <v>41089</v>
      </c>
      <c r="G689" s="28">
        <v>9</v>
      </c>
      <c r="H689" s="26">
        <v>90829</v>
      </c>
      <c r="I689" t="s">
        <v>391</v>
      </c>
      <c r="J689" t="s">
        <v>50</v>
      </c>
      <c r="K689" t="s">
        <v>40</v>
      </c>
      <c r="L689" t="s">
        <v>41</v>
      </c>
      <c r="M689" t="s">
        <v>1489</v>
      </c>
      <c r="N689" s="7">
        <f t="shared" si="20"/>
        <v>1089948</v>
      </c>
      <c r="O689" s="7">
        <f t="shared" si="21"/>
        <v>9082.9</v>
      </c>
    </row>
    <row r="690" spans="1:15" x14ac:dyDescent="0.35">
      <c r="A690" s="5">
        <v>689</v>
      </c>
      <c r="B690" t="s">
        <v>325</v>
      </c>
      <c r="C690" t="s">
        <v>1153</v>
      </c>
      <c r="D690" t="s">
        <v>1486</v>
      </c>
      <c r="E690" t="s">
        <v>94</v>
      </c>
      <c r="F690" s="1">
        <v>44135</v>
      </c>
      <c r="G690" s="28">
        <v>14</v>
      </c>
      <c r="H690" s="26">
        <v>62293</v>
      </c>
      <c r="I690" t="s">
        <v>441</v>
      </c>
      <c r="J690" t="s">
        <v>55</v>
      </c>
      <c r="K690" t="s">
        <v>17</v>
      </c>
      <c r="L690" t="s">
        <v>18</v>
      </c>
      <c r="M690" t="s">
        <v>1489</v>
      </c>
      <c r="N690" s="7">
        <f t="shared" si="20"/>
        <v>747516</v>
      </c>
      <c r="O690" s="7">
        <f t="shared" si="21"/>
        <v>6229.3</v>
      </c>
    </row>
    <row r="691" spans="1:15" x14ac:dyDescent="0.35">
      <c r="A691" s="5">
        <v>690</v>
      </c>
      <c r="B691" t="s">
        <v>318</v>
      </c>
      <c r="C691" t="s">
        <v>1154</v>
      </c>
      <c r="D691" t="s">
        <v>1485</v>
      </c>
      <c r="E691" t="s">
        <v>238</v>
      </c>
      <c r="F691" s="1">
        <v>36655</v>
      </c>
      <c r="G691" s="28">
        <v>21</v>
      </c>
      <c r="H691" s="26">
        <v>57988</v>
      </c>
      <c r="I691" t="s">
        <v>228</v>
      </c>
      <c r="J691" t="s">
        <v>55</v>
      </c>
      <c r="K691" t="s">
        <v>17</v>
      </c>
      <c r="L691" t="s">
        <v>63</v>
      </c>
      <c r="M691" t="s">
        <v>1489</v>
      </c>
      <c r="N691" s="7">
        <f t="shared" si="20"/>
        <v>695856</v>
      </c>
      <c r="O691" s="7">
        <f t="shared" si="21"/>
        <v>5798.8</v>
      </c>
    </row>
    <row r="692" spans="1:15" x14ac:dyDescent="0.35">
      <c r="A692" s="5">
        <v>691</v>
      </c>
      <c r="B692" t="s">
        <v>934</v>
      </c>
      <c r="C692" t="s">
        <v>1155</v>
      </c>
      <c r="D692" t="s">
        <v>1486</v>
      </c>
      <c r="E692" t="s">
        <v>129</v>
      </c>
      <c r="F692" s="1">
        <v>44961</v>
      </c>
      <c r="G692" s="28">
        <v>11</v>
      </c>
      <c r="H692" s="26">
        <v>113893</v>
      </c>
      <c r="I692" t="s">
        <v>397</v>
      </c>
      <c r="J692" t="s">
        <v>39</v>
      </c>
      <c r="K692" t="s">
        <v>40</v>
      </c>
      <c r="L692" t="s">
        <v>41</v>
      </c>
      <c r="M692" t="s">
        <v>1489</v>
      </c>
      <c r="N692" s="7">
        <f t="shared" si="20"/>
        <v>1366716</v>
      </c>
      <c r="O692" s="7">
        <f t="shared" si="21"/>
        <v>11389.300000000001</v>
      </c>
    </row>
    <row r="693" spans="1:15" x14ac:dyDescent="0.35">
      <c r="A693" s="5">
        <v>692</v>
      </c>
      <c r="B693" t="s">
        <v>118</v>
      </c>
      <c r="C693" t="s">
        <v>1156</v>
      </c>
      <c r="D693" t="s">
        <v>1485</v>
      </c>
      <c r="E693" t="s">
        <v>312</v>
      </c>
      <c r="F693" s="1">
        <v>41344</v>
      </c>
      <c r="G693" s="28">
        <v>8</v>
      </c>
      <c r="H693" s="26">
        <v>58265</v>
      </c>
      <c r="I693" t="s">
        <v>111</v>
      </c>
      <c r="J693" t="s">
        <v>28</v>
      </c>
      <c r="K693" t="s">
        <v>17</v>
      </c>
      <c r="L693" t="s">
        <v>41</v>
      </c>
      <c r="M693" t="s">
        <v>1489</v>
      </c>
      <c r="N693" s="7">
        <f t="shared" si="20"/>
        <v>699180</v>
      </c>
      <c r="O693" s="7">
        <f t="shared" si="21"/>
        <v>5826.5</v>
      </c>
    </row>
    <row r="694" spans="1:15" x14ac:dyDescent="0.35">
      <c r="A694" s="5">
        <v>693</v>
      </c>
      <c r="B694" t="s">
        <v>24</v>
      </c>
      <c r="C694" t="s">
        <v>1157</v>
      </c>
      <c r="D694" t="s">
        <v>1485</v>
      </c>
      <c r="E694" t="s">
        <v>110</v>
      </c>
      <c r="F694" s="1">
        <v>38369</v>
      </c>
      <c r="G694" s="28">
        <v>16</v>
      </c>
      <c r="H694" s="26">
        <v>143570</v>
      </c>
      <c r="I694" t="s">
        <v>908</v>
      </c>
      <c r="J694" t="s">
        <v>55</v>
      </c>
      <c r="K694" t="s">
        <v>17</v>
      </c>
      <c r="L694" t="s">
        <v>112</v>
      </c>
      <c r="M694" t="s">
        <v>1489</v>
      </c>
      <c r="N694" s="7">
        <f t="shared" si="20"/>
        <v>1722840</v>
      </c>
      <c r="O694" s="7">
        <f t="shared" si="21"/>
        <v>14357</v>
      </c>
    </row>
    <row r="695" spans="1:15" x14ac:dyDescent="0.35">
      <c r="A695" s="5">
        <v>694</v>
      </c>
      <c r="B695" t="s">
        <v>354</v>
      </c>
      <c r="C695" t="s">
        <v>1158</v>
      </c>
      <c r="D695" t="s">
        <v>1486</v>
      </c>
      <c r="E695" t="s">
        <v>37</v>
      </c>
      <c r="F695" s="1">
        <v>43940</v>
      </c>
      <c r="G695" s="28">
        <v>14</v>
      </c>
      <c r="H695" s="26">
        <v>116894</v>
      </c>
      <c r="I695" t="s">
        <v>958</v>
      </c>
      <c r="J695" t="s">
        <v>50</v>
      </c>
      <c r="K695" t="s">
        <v>40</v>
      </c>
      <c r="L695" t="s">
        <v>41</v>
      </c>
      <c r="M695" t="s">
        <v>1489</v>
      </c>
      <c r="N695" s="7">
        <f t="shared" si="20"/>
        <v>1402728</v>
      </c>
      <c r="O695" s="7">
        <f t="shared" si="21"/>
        <v>11689.400000000001</v>
      </c>
    </row>
    <row r="696" spans="1:15" x14ac:dyDescent="0.35">
      <c r="A696" s="5">
        <v>695</v>
      </c>
      <c r="B696" t="s">
        <v>491</v>
      </c>
      <c r="C696" t="s">
        <v>1159</v>
      </c>
      <c r="D696" t="s">
        <v>1486</v>
      </c>
      <c r="E696" t="s">
        <v>26</v>
      </c>
      <c r="F696" s="1">
        <v>38741</v>
      </c>
      <c r="G696" s="28">
        <v>15</v>
      </c>
      <c r="H696" s="26">
        <v>82244</v>
      </c>
      <c r="I696" t="s">
        <v>717</v>
      </c>
      <c r="J696" t="s">
        <v>16</v>
      </c>
      <c r="K696" t="s">
        <v>17</v>
      </c>
      <c r="L696" t="s">
        <v>29</v>
      </c>
      <c r="M696" t="s">
        <v>1489</v>
      </c>
      <c r="N696" s="7">
        <f t="shared" si="20"/>
        <v>986928</v>
      </c>
      <c r="O696" s="7">
        <f t="shared" si="21"/>
        <v>8224.4</v>
      </c>
    </row>
    <row r="697" spans="1:15" x14ac:dyDescent="0.35">
      <c r="A697" s="5">
        <v>696</v>
      </c>
      <c r="B697" t="s">
        <v>483</v>
      </c>
      <c r="C697" t="s">
        <v>1160</v>
      </c>
      <c r="D697" t="s">
        <v>1485</v>
      </c>
      <c r="E697" t="s">
        <v>79</v>
      </c>
      <c r="F697" s="1">
        <v>41189</v>
      </c>
      <c r="G697" s="28">
        <v>9</v>
      </c>
      <c r="H697" s="26">
        <v>92640</v>
      </c>
      <c r="I697" t="s">
        <v>45</v>
      </c>
      <c r="J697" t="s">
        <v>39</v>
      </c>
      <c r="K697" t="s">
        <v>40</v>
      </c>
      <c r="L697" t="s">
        <v>41</v>
      </c>
      <c r="M697" t="s">
        <v>1489</v>
      </c>
      <c r="N697" s="7">
        <f t="shared" si="20"/>
        <v>1111680</v>
      </c>
      <c r="O697" s="7">
        <f t="shared" si="21"/>
        <v>9264</v>
      </c>
    </row>
    <row r="698" spans="1:15" x14ac:dyDescent="0.35">
      <c r="A698" s="5">
        <v>697</v>
      </c>
      <c r="B698" t="s">
        <v>488</v>
      </c>
      <c r="C698" t="s">
        <v>1161</v>
      </c>
      <c r="D698" t="s">
        <v>1485</v>
      </c>
      <c r="E698" t="s">
        <v>129</v>
      </c>
      <c r="F698" s="1">
        <v>36700</v>
      </c>
      <c r="G698" s="28">
        <v>21</v>
      </c>
      <c r="H698" s="26">
        <v>123995</v>
      </c>
      <c r="I698" t="s">
        <v>142</v>
      </c>
      <c r="J698" t="s">
        <v>91</v>
      </c>
      <c r="K698" t="s">
        <v>40</v>
      </c>
      <c r="L698" t="s">
        <v>41</v>
      </c>
      <c r="M698" t="s">
        <v>1489</v>
      </c>
      <c r="N698" s="7">
        <f t="shared" si="20"/>
        <v>1487940</v>
      </c>
      <c r="O698" s="7">
        <f t="shared" si="21"/>
        <v>12399.5</v>
      </c>
    </row>
    <row r="699" spans="1:15" x14ac:dyDescent="0.35">
      <c r="A699" s="5">
        <v>698</v>
      </c>
      <c r="B699" t="s">
        <v>1039</v>
      </c>
      <c r="C699" t="s">
        <v>1162</v>
      </c>
      <c r="D699" t="s">
        <v>1485</v>
      </c>
      <c r="E699" t="s">
        <v>110</v>
      </c>
      <c r="F699" s="1">
        <v>38698</v>
      </c>
      <c r="G699" s="28">
        <v>16</v>
      </c>
      <c r="H699" s="26">
        <v>97351</v>
      </c>
      <c r="I699" t="s">
        <v>632</v>
      </c>
      <c r="J699" t="s">
        <v>55</v>
      </c>
      <c r="K699" t="s">
        <v>17</v>
      </c>
      <c r="L699" t="s">
        <v>112</v>
      </c>
      <c r="M699" t="s">
        <v>1489</v>
      </c>
      <c r="N699" s="7">
        <f t="shared" si="20"/>
        <v>1168212</v>
      </c>
      <c r="O699" s="7">
        <f t="shared" si="21"/>
        <v>9735.1</v>
      </c>
    </row>
    <row r="700" spans="1:15" x14ac:dyDescent="0.35">
      <c r="A700" s="5">
        <v>699</v>
      </c>
      <c r="B700" t="s">
        <v>124</v>
      </c>
      <c r="C700" t="s">
        <v>1163</v>
      </c>
      <c r="D700" t="s">
        <v>1486</v>
      </c>
      <c r="E700" t="s">
        <v>69</v>
      </c>
      <c r="F700" s="1">
        <v>37646</v>
      </c>
      <c r="G700" s="28">
        <v>18</v>
      </c>
      <c r="H700" s="26">
        <v>133091</v>
      </c>
      <c r="I700" t="s">
        <v>196</v>
      </c>
      <c r="J700" t="s">
        <v>39</v>
      </c>
      <c r="K700" t="s">
        <v>40</v>
      </c>
      <c r="L700" t="s">
        <v>41</v>
      </c>
      <c r="M700" t="s">
        <v>1489</v>
      </c>
      <c r="N700" s="7">
        <f t="shared" si="20"/>
        <v>1597092</v>
      </c>
      <c r="O700" s="7">
        <f t="shared" si="21"/>
        <v>13309.1</v>
      </c>
    </row>
    <row r="701" spans="1:15" x14ac:dyDescent="0.35">
      <c r="A701" s="5">
        <v>700</v>
      </c>
      <c r="B701" t="s">
        <v>602</v>
      </c>
      <c r="C701" t="s">
        <v>1164</v>
      </c>
      <c r="D701" t="s">
        <v>1485</v>
      </c>
      <c r="E701" t="s">
        <v>110</v>
      </c>
      <c r="F701" s="1">
        <v>38183</v>
      </c>
      <c r="G701" s="28">
        <v>17</v>
      </c>
      <c r="H701" s="26">
        <v>100746</v>
      </c>
      <c r="I701" t="s">
        <v>97</v>
      </c>
      <c r="J701" t="s">
        <v>50</v>
      </c>
      <c r="K701" t="s">
        <v>40</v>
      </c>
      <c r="L701" t="s">
        <v>112</v>
      </c>
      <c r="M701" t="s">
        <v>1489</v>
      </c>
      <c r="N701" s="7">
        <f t="shared" si="20"/>
        <v>1208952</v>
      </c>
      <c r="O701" s="7">
        <f t="shared" si="21"/>
        <v>10074.6</v>
      </c>
    </row>
    <row r="702" spans="1:15" x14ac:dyDescent="0.35">
      <c r="A702" s="5">
        <v>701</v>
      </c>
      <c r="B702" t="s">
        <v>268</v>
      </c>
      <c r="C702" t="s">
        <v>1165</v>
      </c>
      <c r="D702" t="s">
        <v>1485</v>
      </c>
      <c r="E702" t="s">
        <v>32</v>
      </c>
      <c r="F702" s="1">
        <v>37542</v>
      </c>
      <c r="G702" s="28">
        <v>19</v>
      </c>
      <c r="H702" s="26">
        <v>101599</v>
      </c>
      <c r="I702" t="s">
        <v>1166</v>
      </c>
      <c r="J702" t="s">
        <v>39</v>
      </c>
      <c r="K702" t="s">
        <v>40</v>
      </c>
      <c r="L702" t="s">
        <v>34</v>
      </c>
      <c r="M702" t="s">
        <v>1489</v>
      </c>
      <c r="N702" s="7">
        <f t="shared" si="20"/>
        <v>1219188</v>
      </c>
      <c r="O702" s="7">
        <f t="shared" si="21"/>
        <v>10159.900000000001</v>
      </c>
    </row>
    <row r="703" spans="1:15" x14ac:dyDescent="0.35">
      <c r="A703" s="5">
        <v>702</v>
      </c>
      <c r="B703" t="s">
        <v>337</v>
      </c>
      <c r="C703" t="s">
        <v>1167</v>
      </c>
      <c r="D703" t="s">
        <v>1485</v>
      </c>
      <c r="E703" t="s">
        <v>21</v>
      </c>
      <c r="F703" s="1">
        <v>41792</v>
      </c>
      <c r="G703" s="28">
        <v>7</v>
      </c>
      <c r="H703" s="26">
        <v>77293</v>
      </c>
      <c r="I703" t="s">
        <v>490</v>
      </c>
      <c r="J703" t="s">
        <v>91</v>
      </c>
      <c r="K703" t="s">
        <v>40</v>
      </c>
      <c r="L703" t="s">
        <v>23</v>
      </c>
      <c r="M703" t="s">
        <v>1489</v>
      </c>
      <c r="N703" s="7">
        <f t="shared" si="20"/>
        <v>927516</v>
      </c>
      <c r="O703" s="7">
        <f t="shared" si="21"/>
        <v>7729.3</v>
      </c>
    </row>
    <row r="704" spans="1:15" x14ac:dyDescent="0.35">
      <c r="A704" s="5">
        <v>703</v>
      </c>
      <c r="B704" t="s">
        <v>402</v>
      </c>
      <c r="C704" t="s">
        <v>1168</v>
      </c>
      <c r="D704" t="s">
        <v>1486</v>
      </c>
      <c r="E704" t="s">
        <v>79</v>
      </c>
      <c r="F704" s="1">
        <v>46450</v>
      </c>
      <c r="G704" s="28">
        <v>7</v>
      </c>
      <c r="H704" s="26">
        <v>119787</v>
      </c>
      <c r="I704" t="s">
        <v>344</v>
      </c>
      <c r="J704" t="s">
        <v>46</v>
      </c>
      <c r="K704" t="s">
        <v>17</v>
      </c>
      <c r="L704" t="s">
        <v>41</v>
      </c>
      <c r="M704" t="s">
        <v>1489</v>
      </c>
      <c r="N704" s="7">
        <f t="shared" si="20"/>
        <v>1437444</v>
      </c>
      <c r="O704" s="7">
        <f t="shared" si="21"/>
        <v>11978.7</v>
      </c>
    </row>
    <row r="705" spans="1:15" x14ac:dyDescent="0.35">
      <c r="A705" s="5">
        <v>704</v>
      </c>
      <c r="B705" t="s">
        <v>620</v>
      </c>
      <c r="C705" t="s">
        <v>1169</v>
      </c>
      <c r="D705" t="s">
        <v>1485</v>
      </c>
      <c r="E705" t="s">
        <v>14</v>
      </c>
      <c r="F705" s="1">
        <v>41437</v>
      </c>
      <c r="G705" s="28">
        <v>8</v>
      </c>
      <c r="H705" s="26">
        <v>114690</v>
      </c>
      <c r="I705" t="s">
        <v>669</v>
      </c>
      <c r="J705" t="s">
        <v>16</v>
      </c>
      <c r="K705" t="s">
        <v>17</v>
      </c>
      <c r="L705" t="s">
        <v>18</v>
      </c>
      <c r="M705" t="s">
        <v>1489</v>
      </c>
      <c r="N705" s="7">
        <f t="shared" si="20"/>
        <v>1376280</v>
      </c>
      <c r="O705" s="7">
        <f t="shared" si="21"/>
        <v>11469</v>
      </c>
    </row>
    <row r="706" spans="1:15" x14ac:dyDescent="0.35">
      <c r="A706" s="5">
        <v>705</v>
      </c>
      <c r="B706" t="s">
        <v>642</v>
      </c>
      <c r="C706" t="s">
        <v>1170</v>
      </c>
      <c r="D706" t="s">
        <v>1485</v>
      </c>
      <c r="E706" t="s">
        <v>61</v>
      </c>
      <c r="F706" s="1">
        <v>40111</v>
      </c>
      <c r="G706" s="28">
        <v>12</v>
      </c>
      <c r="H706" s="26">
        <v>97150</v>
      </c>
      <c r="I706" t="s">
        <v>196</v>
      </c>
      <c r="J706" t="s">
        <v>50</v>
      </c>
      <c r="K706" t="s">
        <v>40</v>
      </c>
      <c r="L706" t="s">
        <v>63</v>
      </c>
      <c r="M706" t="s">
        <v>1489</v>
      </c>
      <c r="N706" s="7">
        <f t="shared" ref="N706:N769" si="22">H706*12</f>
        <v>1165800</v>
      </c>
      <c r="O706" s="7">
        <f t="shared" ref="O706:O769" si="23">H706*10%</f>
        <v>9715</v>
      </c>
    </row>
    <row r="707" spans="1:15" x14ac:dyDescent="0.35">
      <c r="A707" s="5">
        <v>706</v>
      </c>
      <c r="B707" t="s">
        <v>986</v>
      </c>
      <c r="C707" t="s">
        <v>1171</v>
      </c>
      <c r="D707" t="s">
        <v>1486</v>
      </c>
      <c r="E707" t="s">
        <v>89</v>
      </c>
      <c r="F707" s="1">
        <v>45631</v>
      </c>
      <c r="G707" s="28">
        <v>10</v>
      </c>
      <c r="H707" s="26">
        <v>91655</v>
      </c>
      <c r="I707" t="s">
        <v>691</v>
      </c>
      <c r="J707" t="s">
        <v>91</v>
      </c>
      <c r="K707" t="s">
        <v>40</v>
      </c>
      <c r="L707" t="s">
        <v>41</v>
      </c>
      <c r="M707" t="s">
        <v>1489</v>
      </c>
      <c r="N707" s="7">
        <f t="shared" si="22"/>
        <v>1099860</v>
      </c>
      <c r="O707" s="7">
        <f t="shared" si="23"/>
        <v>9165.5</v>
      </c>
    </row>
    <row r="708" spans="1:15" x14ac:dyDescent="0.35">
      <c r="A708" s="5">
        <v>707</v>
      </c>
      <c r="B708" t="s">
        <v>889</v>
      </c>
      <c r="C708" t="s">
        <v>1172</v>
      </c>
      <c r="D708" t="s">
        <v>1485</v>
      </c>
      <c r="E708" t="s">
        <v>100</v>
      </c>
      <c r="F708" s="1">
        <v>39029</v>
      </c>
      <c r="G708" s="28">
        <v>15</v>
      </c>
      <c r="H708" s="26">
        <v>124296</v>
      </c>
      <c r="I708" t="s">
        <v>167</v>
      </c>
      <c r="J708" t="s">
        <v>46</v>
      </c>
      <c r="K708" t="s">
        <v>17</v>
      </c>
      <c r="L708" t="s">
        <v>29</v>
      </c>
      <c r="M708" t="s">
        <v>1489</v>
      </c>
      <c r="N708" s="7">
        <f t="shared" si="22"/>
        <v>1491552</v>
      </c>
      <c r="O708" s="7">
        <f t="shared" si="23"/>
        <v>12429.6</v>
      </c>
    </row>
    <row r="709" spans="1:15" x14ac:dyDescent="0.35">
      <c r="A709" s="5">
        <v>708</v>
      </c>
      <c r="B709" t="s">
        <v>379</v>
      </c>
      <c r="C709" t="s">
        <v>1173</v>
      </c>
      <c r="D709" t="s">
        <v>1486</v>
      </c>
      <c r="E709" t="s">
        <v>26</v>
      </c>
      <c r="F709" s="1">
        <v>45650</v>
      </c>
      <c r="G709" s="28">
        <v>10</v>
      </c>
      <c r="H709" s="26">
        <v>66063</v>
      </c>
      <c r="I709" t="s">
        <v>437</v>
      </c>
      <c r="J709" t="s">
        <v>39</v>
      </c>
      <c r="K709" t="s">
        <v>40</v>
      </c>
      <c r="L709" t="s">
        <v>29</v>
      </c>
      <c r="M709" t="s">
        <v>1489</v>
      </c>
      <c r="N709" s="7">
        <f t="shared" si="22"/>
        <v>792756</v>
      </c>
      <c r="O709" s="7">
        <f t="shared" si="23"/>
        <v>6606.3</v>
      </c>
    </row>
    <row r="710" spans="1:15" x14ac:dyDescent="0.35">
      <c r="A710" s="5">
        <v>709</v>
      </c>
      <c r="B710" t="s">
        <v>791</v>
      </c>
      <c r="C710" t="s">
        <v>1174</v>
      </c>
      <c r="D710" t="s">
        <v>1486</v>
      </c>
      <c r="E710" t="s">
        <v>122</v>
      </c>
      <c r="F710" s="1">
        <v>43842</v>
      </c>
      <c r="G710" s="28">
        <v>14</v>
      </c>
      <c r="H710" s="26">
        <v>138137</v>
      </c>
      <c r="I710" t="s">
        <v>666</v>
      </c>
      <c r="J710" t="s">
        <v>16</v>
      </c>
      <c r="K710" t="s">
        <v>17</v>
      </c>
      <c r="L710" t="s">
        <v>123</v>
      </c>
      <c r="M710" t="s">
        <v>1489</v>
      </c>
      <c r="N710" s="7">
        <f t="shared" si="22"/>
        <v>1657644</v>
      </c>
      <c r="O710" s="7">
        <f t="shared" si="23"/>
        <v>13813.7</v>
      </c>
    </row>
    <row r="711" spans="1:15" x14ac:dyDescent="0.35">
      <c r="A711" s="5">
        <v>710</v>
      </c>
      <c r="B711" t="s">
        <v>224</v>
      </c>
      <c r="C711" t="s">
        <v>1175</v>
      </c>
      <c r="D711" t="s">
        <v>1486</v>
      </c>
      <c r="E711" t="s">
        <v>238</v>
      </c>
      <c r="F711" s="1">
        <v>38374</v>
      </c>
      <c r="G711" s="28">
        <v>16</v>
      </c>
      <c r="H711" s="26">
        <v>49326</v>
      </c>
      <c r="I711" t="s">
        <v>287</v>
      </c>
      <c r="J711" t="s">
        <v>39</v>
      </c>
      <c r="K711" t="s">
        <v>40</v>
      </c>
      <c r="L711" t="s">
        <v>63</v>
      </c>
      <c r="M711" t="s">
        <v>1489</v>
      </c>
      <c r="N711" s="7">
        <f t="shared" si="22"/>
        <v>591912</v>
      </c>
      <c r="O711" s="7">
        <f t="shared" si="23"/>
        <v>4932.6000000000004</v>
      </c>
    </row>
    <row r="712" spans="1:15" x14ac:dyDescent="0.35">
      <c r="A712" s="5">
        <v>711</v>
      </c>
      <c r="B712" t="s">
        <v>414</v>
      </c>
      <c r="C712" t="s">
        <v>1176</v>
      </c>
      <c r="D712" t="s">
        <v>1485</v>
      </c>
      <c r="E712" t="s">
        <v>69</v>
      </c>
      <c r="F712" s="1">
        <v>40046</v>
      </c>
      <c r="G712" s="28">
        <v>12</v>
      </c>
      <c r="H712" s="26">
        <v>80743</v>
      </c>
      <c r="I712" t="s">
        <v>500</v>
      </c>
      <c r="J712" t="s">
        <v>55</v>
      </c>
      <c r="K712" t="s">
        <v>17</v>
      </c>
      <c r="L712" t="s">
        <v>41</v>
      </c>
      <c r="M712" t="s">
        <v>1489</v>
      </c>
      <c r="N712" s="7">
        <f t="shared" si="22"/>
        <v>968916</v>
      </c>
      <c r="O712" s="7">
        <f t="shared" si="23"/>
        <v>8074.3</v>
      </c>
    </row>
    <row r="713" spans="1:15" x14ac:dyDescent="0.35">
      <c r="A713" s="5">
        <v>712</v>
      </c>
      <c r="B713" t="s">
        <v>134</v>
      </c>
      <c r="C713" t="s">
        <v>1177</v>
      </c>
      <c r="D713" t="s">
        <v>1485</v>
      </c>
      <c r="E713" t="s">
        <v>32</v>
      </c>
      <c r="F713" s="1">
        <v>39439</v>
      </c>
      <c r="G713" s="28">
        <v>14</v>
      </c>
      <c r="H713" s="26">
        <v>105686</v>
      </c>
      <c r="I713" t="s">
        <v>107</v>
      </c>
      <c r="J713" t="s">
        <v>50</v>
      </c>
      <c r="K713" t="s">
        <v>40</v>
      </c>
      <c r="L713" t="s">
        <v>34</v>
      </c>
      <c r="M713" t="s">
        <v>1489</v>
      </c>
      <c r="N713" s="7">
        <f t="shared" si="22"/>
        <v>1268232</v>
      </c>
      <c r="O713" s="7">
        <f t="shared" si="23"/>
        <v>10568.6</v>
      </c>
    </row>
    <row r="714" spans="1:15" x14ac:dyDescent="0.35">
      <c r="A714" s="5">
        <v>713</v>
      </c>
      <c r="B714" t="s">
        <v>377</v>
      </c>
      <c r="C714" t="s">
        <v>1178</v>
      </c>
      <c r="D714" t="s">
        <v>1486</v>
      </c>
      <c r="E714" t="s">
        <v>21</v>
      </c>
      <c r="F714" s="1">
        <v>46379</v>
      </c>
      <c r="G714" s="28">
        <v>8</v>
      </c>
      <c r="H714" s="26">
        <v>65650</v>
      </c>
      <c r="I714" t="s">
        <v>454</v>
      </c>
      <c r="J714" t="s">
        <v>46</v>
      </c>
      <c r="K714" t="s">
        <v>17</v>
      </c>
      <c r="L714" t="s">
        <v>23</v>
      </c>
      <c r="M714" t="s">
        <v>1489</v>
      </c>
      <c r="N714" s="7">
        <f t="shared" si="22"/>
        <v>787800</v>
      </c>
      <c r="O714" s="7">
        <f t="shared" si="23"/>
        <v>6565</v>
      </c>
    </row>
    <row r="715" spans="1:15" x14ac:dyDescent="0.35">
      <c r="A715" s="5">
        <v>714</v>
      </c>
      <c r="B715" t="s">
        <v>215</v>
      </c>
      <c r="C715" t="s">
        <v>1179</v>
      </c>
      <c r="D715" t="s">
        <v>1485</v>
      </c>
      <c r="E715" t="s">
        <v>79</v>
      </c>
      <c r="F715" s="1">
        <v>37890</v>
      </c>
      <c r="G715" s="28">
        <v>18</v>
      </c>
      <c r="H715" s="26">
        <v>86446</v>
      </c>
      <c r="I715" t="s">
        <v>517</v>
      </c>
      <c r="J715" t="s">
        <v>55</v>
      </c>
      <c r="K715" t="s">
        <v>17</v>
      </c>
      <c r="L715" t="s">
        <v>41</v>
      </c>
      <c r="M715" t="s">
        <v>1489</v>
      </c>
      <c r="N715" s="7">
        <f t="shared" si="22"/>
        <v>1037352</v>
      </c>
      <c r="O715" s="7">
        <f t="shared" si="23"/>
        <v>8644.6</v>
      </c>
    </row>
    <row r="716" spans="1:15" x14ac:dyDescent="0.35">
      <c r="A716" s="5">
        <v>715</v>
      </c>
      <c r="B716" t="s">
        <v>426</v>
      </c>
      <c r="C716" t="s">
        <v>1180</v>
      </c>
      <c r="D716" t="s">
        <v>1486</v>
      </c>
      <c r="E716" t="s">
        <v>79</v>
      </c>
      <c r="F716" s="1">
        <v>45103</v>
      </c>
      <c r="G716" s="28">
        <v>11</v>
      </c>
      <c r="H716" s="26">
        <v>132421</v>
      </c>
      <c r="I716" t="s">
        <v>1131</v>
      </c>
      <c r="J716" t="s">
        <v>46</v>
      </c>
      <c r="K716" t="s">
        <v>17</v>
      </c>
      <c r="L716" t="s">
        <v>41</v>
      </c>
      <c r="M716" t="s">
        <v>1489</v>
      </c>
      <c r="N716" s="7">
        <f t="shared" si="22"/>
        <v>1589052</v>
      </c>
      <c r="O716" s="7">
        <f t="shared" si="23"/>
        <v>13242.1</v>
      </c>
    </row>
    <row r="717" spans="1:15" x14ac:dyDescent="0.35">
      <c r="A717" s="5">
        <v>716</v>
      </c>
      <c r="B717" t="s">
        <v>64</v>
      </c>
      <c r="C717" t="s">
        <v>1181</v>
      </c>
      <c r="D717" t="s">
        <v>1485</v>
      </c>
      <c r="E717" t="s">
        <v>94</v>
      </c>
      <c r="F717" s="1">
        <v>38156</v>
      </c>
      <c r="G717" s="28">
        <v>17</v>
      </c>
      <c r="H717" s="26">
        <v>69855</v>
      </c>
      <c r="I717" t="s">
        <v>149</v>
      </c>
      <c r="J717" t="s">
        <v>55</v>
      </c>
      <c r="K717" t="s">
        <v>17</v>
      </c>
      <c r="L717" t="s">
        <v>18</v>
      </c>
      <c r="M717" t="s">
        <v>1489</v>
      </c>
      <c r="N717" s="7">
        <f t="shared" si="22"/>
        <v>838260</v>
      </c>
      <c r="O717" s="7">
        <f t="shared" si="23"/>
        <v>6985.5</v>
      </c>
    </row>
    <row r="718" spans="1:15" x14ac:dyDescent="0.35">
      <c r="A718" s="5">
        <v>717</v>
      </c>
      <c r="B718" t="s">
        <v>137</v>
      </c>
      <c r="C718" t="s">
        <v>1182</v>
      </c>
      <c r="D718" t="s">
        <v>1486</v>
      </c>
      <c r="E718" t="s">
        <v>148</v>
      </c>
      <c r="F718" s="1">
        <v>44020</v>
      </c>
      <c r="G718" s="28">
        <v>14</v>
      </c>
      <c r="H718" s="26">
        <v>80999</v>
      </c>
      <c r="I718" t="s">
        <v>842</v>
      </c>
      <c r="J718" t="s">
        <v>50</v>
      </c>
      <c r="K718" t="s">
        <v>40</v>
      </c>
      <c r="L718" t="s">
        <v>112</v>
      </c>
      <c r="M718" t="s">
        <v>1489</v>
      </c>
      <c r="N718" s="7">
        <f t="shared" si="22"/>
        <v>971988</v>
      </c>
      <c r="O718" s="7">
        <f t="shared" si="23"/>
        <v>8099.9000000000005</v>
      </c>
    </row>
    <row r="719" spans="1:15" x14ac:dyDescent="0.35">
      <c r="A719" s="5">
        <v>718</v>
      </c>
      <c r="B719" t="s">
        <v>19</v>
      </c>
      <c r="C719" t="s">
        <v>1183</v>
      </c>
      <c r="D719" t="s">
        <v>1485</v>
      </c>
      <c r="E719" t="s">
        <v>203</v>
      </c>
      <c r="F719" s="1">
        <v>37624</v>
      </c>
      <c r="G719" s="28">
        <v>18</v>
      </c>
      <c r="H719" s="26">
        <v>66447</v>
      </c>
      <c r="I719" t="s">
        <v>617</v>
      </c>
      <c r="J719" t="s">
        <v>16</v>
      </c>
      <c r="K719" t="s">
        <v>17</v>
      </c>
      <c r="L719" t="s">
        <v>41</v>
      </c>
      <c r="M719" t="s">
        <v>1489</v>
      </c>
      <c r="N719" s="7">
        <f t="shared" si="22"/>
        <v>797364</v>
      </c>
      <c r="O719" s="7">
        <f t="shared" si="23"/>
        <v>6644.7000000000007</v>
      </c>
    </row>
    <row r="720" spans="1:15" x14ac:dyDescent="0.35">
      <c r="A720" s="5">
        <v>719</v>
      </c>
      <c r="B720" t="s">
        <v>350</v>
      </c>
      <c r="C720" t="s">
        <v>1184</v>
      </c>
      <c r="D720" t="s">
        <v>1485</v>
      </c>
      <c r="E720" t="s">
        <v>129</v>
      </c>
      <c r="F720" s="1">
        <v>41278</v>
      </c>
      <c r="G720" s="28">
        <v>8</v>
      </c>
      <c r="H720" s="26">
        <v>135445</v>
      </c>
      <c r="I720" t="s">
        <v>235</v>
      </c>
      <c r="J720" t="s">
        <v>16</v>
      </c>
      <c r="K720" t="s">
        <v>17</v>
      </c>
      <c r="L720" t="s">
        <v>41</v>
      </c>
      <c r="M720" t="s">
        <v>1489</v>
      </c>
      <c r="N720" s="7">
        <f t="shared" si="22"/>
        <v>1625340</v>
      </c>
      <c r="O720" s="7">
        <f t="shared" si="23"/>
        <v>13544.5</v>
      </c>
    </row>
    <row r="721" spans="1:15" x14ac:dyDescent="0.35">
      <c r="A721" s="5">
        <v>720</v>
      </c>
      <c r="B721" t="s">
        <v>762</v>
      </c>
      <c r="C721" t="s">
        <v>1185</v>
      </c>
      <c r="D721" t="s">
        <v>1486</v>
      </c>
      <c r="E721" t="s">
        <v>32</v>
      </c>
      <c r="F721" s="1">
        <v>45238</v>
      </c>
      <c r="G721" s="28">
        <v>11</v>
      </c>
      <c r="H721" s="26">
        <v>57781</v>
      </c>
      <c r="I721" t="s">
        <v>49</v>
      </c>
      <c r="J721" t="s">
        <v>55</v>
      </c>
      <c r="K721" t="s">
        <v>17</v>
      </c>
      <c r="L721" t="s">
        <v>34</v>
      </c>
      <c r="M721" t="s">
        <v>1489</v>
      </c>
      <c r="N721" s="7">
        <f t="shared" si="22"/>
        <v>693372</v>
      </c>
      <c r="O721" s="7">
        <f t="shared" si="23"/>
        <v>5778.1</v>
      </c>
    </row>
    <row r="722" spans="1:15" x14ac:dyDescent="0.35">
      <c r="A722" s="5">
        <v>721</v>
      </c>
      <c r="B722" t="s">
        <v>143</v>
      </c>
      <c r="C722" t="s">
        <v>1186</v>
      </c>
      <c r="D722" t="s">
        <v>1486</v>
      </c>
      <c r="E722" t="s">
        <v>203</v>
      </c>
      <c r="F722" s="1">
        <v>38616</v>
      </c>
      <c r="G722" s="28">
        <v>16</v>
      </c>
      <c r="H722" s="26">
        <v>83802</v>
      </c>
      <c r="I722" t="s">
        <v>904</v>
      </c>
      <c r="J722" t="s">
        <v>39</v>
      </c>
      <c r="K722" t="s">
        <v>40</v>
      </c>
      <c r="L722" t="s">
        <v>41</v>
      </c>
      <c r="M722" t="s">
        <v>1489</v>
      </c>
      <c r="N722" s="7">
        <f t="shared" si="22"/>
        <v>1005624</v>
      </c>
      <c r="O722" s="7">
        <f t="shared" si="23"/>
        <v>8380.2000000000007</v>
      </c>
    </row>
    <row r="723" spans="1:15" x14ac:dyDescent="0.35">
      <c r="A723" s="5">
        <v>722</v>
      </c>
      <c r="B723" t="s">
        <v>1187</v>
      </c>
      <c r="C723" t="s">
        <v>1188</v>
      </c>
      <c r="D723" t="s">
        <v>1486</v>
      </c>
      <c r="E723" t="s">
        <v>69</v>
      </c>
      <c r="F723" s="1">
        <v>37499</v>
      </c>
      <c r="G723" s="28">
        <v>19</v>
      </c>
      <c r="H723" s="26">
        <v>73262</v>
      </c>
      <c r="I723" t="s">
        <v>200</v>
      </c>
      <c r="J723" t="s">
        <v>91</v>
      </c>
      <c r="K723" t="s">
        <v>40</v>
      </c>
      <c r="L723" t="s">
        <v>41</v>
      </c>
      <c r="M723" t="s">
        <v>1489</v>
      </c>
      <c r="N723" s="7">
        <f t="shared" si="22"/>
        <v>879144</v>
      </c>
      <c r="O723" s="7">
        <f t="shared" si="23"/>
        <v>7326.2000000000007</v>
      </c>
    </row>
    <row r="724" spans="1:15" x14ac:dyDescent="0.35">
      <c r="A724" s="5">
        <v>723</v>
      </c>
      <c r="B724" t="s">
        <v>532</v>
      </c>
      <c r="C724" t="s">
        <v>1189</v>
      </c>
      <c r="D724" t="s">
        <v>1486</v>
      </c>
      <c r="E724" t="s">
        <v>73</v>
      </c>
      <c r="F724" s="1">
        <v>37318</v>
      </c>
      <c r="G724" s="28">
        <v>19</v>
      </c>
      <c r="H724" s="26">
        <v>89035</v>
      </c>
      <c r="I724" t="s">
        <v>181</v>
      </c>
      <c r="J724" t="s">
        <v>91</v>
      </c>
      <c r="K724" t="s">
        <v>40</v>
      </c>
      <c r="L724" t="s">
        <v>41</v>
      </c>
      <c r="M724" t="s">
        <v>1489</v>
      </c>
      <c r="N724" s="7">
        <f t="shared" si="22"/>
        <v>1068420</v>
      </c>
      <c r="O724" s="7">
        <f t="shared" si="23"/>
        <v>8903.5</v>
      </c>
    </row>
    <row r="725" spans="1:15" x14ac:dyDescent="0.35">
      <c r="A725" s="5">
        <v>724</v>
      </c>
      <c r="B725" t="s">
        <v>347</v>
      </c>
      <c r="C725" t="s">
        <v>1190</v>
      </c>
      <c r="D725" t="s">
        <v>1485</v>
      </c>
      <c r="E725" t="s">
        <v>100</v>
      </c>
      <c r="F725" s="1">
        <v>37031</v>
      </c>
      <c r="G725" s="28">
        <v>20</v>
      </c>
      <c r="H725" s="26">
        <v>125115</v>
      </c>
      <c r="I725" t="s">
        <v>764</v>
      </c>
      <c r="J725" t="s">
        <v>28</v>
      </c>
      <c r="K725" t="s">
        <v>17</v>
      </c>
      <c r="L725" t="s">
        <v>29</v>
      </c>
      <c r="M725" t="s">
        <v>1489</v>
      </c>
      <c r="N725" s="7">
        <f t="shared" si="22"/>
        <v>1501380</v>
      </c>
      <c r="O725" s="7">
        <f t="shared" si="23"/>
        <v>12511.5</v>
      </c>
    </row>
    <row r="726" spans="1:15" x14ac:dyDescent="0.35">
      <c r="A726" s="5">
        <v>725</v>
      </c>
      <c r="B726" t="s">
        <v>969</v>
      </c>
      <c r="C726" t="s">
        <v>1191</v>
      </c>
      <c r="D726" t="s">
        <v>1485</v>
      </c>
      <c r="E726" t="s">
        <v>73</v>
      </c>
      <c r="F726" s="1">
        <v>37896</v>
      </c>
      <c r="G726" s="28">
        <v>18</v>
      </c>
      <c r="H726" s="26">
        <v>80939</v>
      </c>
      <c r="I726" t="s">
        <v>425</v>
      </c>
      <c r="J726" t="s">
        <v>46</v>
      </c>
      <c r="K726" t="s">
        <v>17</v>
      </c>
      <c r="L726" t="s">
        <v>41</v>
      </c>
      <c r="M726" t="s">
        <v>1489</v>
      </c>
      <c r="N726" s="7">
        <f t="shared" si="22"/>
        <v>971268</v>
      </c>
      <c r="O726" s="7">
        <f t="shared" si="23"/>
        <v>8093.9000000000005</v>
      </c>
    </row>
    <row r="727" spans="1:15" x14ac:dyDescent="0.35">
      <c r="A727" s="5">
        <v>726</v>
      </c>
      <c r="B727" t="s">
        <v>259</v>
      </c>
      <c r="C727" t="s">
        <v>1192</v>
      </c>
      <c r="D727" t="s">
        <v>1485</v>
      </c>
      <c r="E727" t="s">
        <v>89</v>
      </c>
      <c r="F727" s="1">
        <v>39702</v>
      </c>
      <c r="G727" s="28">
        <v>13</v>
      </c>
      <c r="H727" s="26">
        <v>49463</v>
      </c>
      <c r="I727" t="s">
        <v>370</v>
      </c>
      <c r="J727" t="s">
        <v>46</v>
      </c>
      <c r="K727" t="s">
        <v>17</v>
      </c>
      <c r="L727" t="s">
        <v>41</v>
      </c>
      <c r="M727" t="s">
        <v>1489</v>
      </c>
      <c r="N727" s="7">
        <f t="shared" si="22"/>
        <v>593556</v>
      </c>
      <c r="O727" s="7">
        <f t="shared" si="23"/>
        <v>4946.3</v>
      </c>
    </row>
    <row r="728" spans="1:15" x14ac:dyDescent="0.35">
      <c r="A728" s="5">
        <v>727</v>
      </c>
      <c r="B728" t="s">
        <v>175</v>
      </c>
      <c r="C728" t="s">
        <v>1193</v>
      </c>
      <c r="D728" t="s">
        <v>1485</v>
      </c>
      <c r="E728" t="s">
        <v>61</v>
      </c>
      <c r="F728" s="1">
        <v>41050</v>
      </c>
      <c r="G728" s="28">
        <v>9</v>
      </c>
      <c r="H728" s="26">
        <v>83165</v>
      </c>
      <c r="I728" t="s">
        <v>952</v>
      </c>
      <c r="J728" t="s">
        <v>91</v>
      </c>
      <c r="K728" t="s">
        <v>40</v>
      </c>
      <c r="L728" t="s">
        <v>63</v>
      </c>
      <c r="M728" t="s">
        <v>1489</v>
      </c>
      <c r="N728" s="7">
        <f t="shared" si="22"/>
        <v>997980</v>
      </c>
      <c r="O728" s="7">
        <f t="shared" si="23"/>
        <v>8316.5</v>
      </c>
    </row>
    <row r="729" spans="1:15" x14ac:dyDescent="0.35">
      <c r="A729" s="5">
        <v>728</v>
      </c>
      <c r="B729" t="s">
        <v>412</v>
      </c>
      <c r="C729" t="s">
        <v>1194</v>
      </c>
      <c r="D729" t="s">
        <v>1486</v>
      </c>
      <c r="E729" t="s">
        <v>148</v>
      </c>
      <c r="F729" s="1">
        <v>38828</v>
      </c>
      <c r="G729" s="28">
        <v>15</v>
      </c>
      <c r="H729" s="26">
        <v>125574</v>
      </c>
      <c r="I729" t="s">
        <v>709</v>
      </c>
      <c r="J729" t="s">
        <v>46</v>
      </c>
      <c r="K729" t="s">
        <v>17</v>
      </c>
      <c r="L729" t="s">
        <v>112</v>
      </c>
      <c r="M729" t="s">
        <v>1489</v>
      </c>
      <c r="N729" s="7">
        <f t="shared" si="22"/>
        <v>1506888</v>
      </c>
      <c r="O729" s="7">
        <f t="shared" si="23"/>
        <v>12557.400000000001</v>
      </c>
    </row>
    <row r="730" spans="1:15" x14ac:dyDescent="0.35">
      <c r="A730" s="5">
        <v>729</v>
      </c>
      <c r="B730" t="s">
        <v>630</v>
      </c>
      <c r="C730" t="s">
        <v>1195</v>
      </c>
      <c r="D730" t="s">
        <v>1485</v>
      </c>
      <c r="E730" t="s">
        <v>32</v>
      </c>
      <c r="F730" s="1">
        <v>41593</v>
      </c>
      <c r="G730" s="28">
        <v>8</v>
      </c>
      <c r="H730" s="26">
        <v>119747</v>
      </c>
      <c r="I730" t="s">
        <v>336</v>
      </c>
      <c r="J730" t="s">
        <v>91</v>
      </c>
      <c r="K730" t="s">
        <v>40</v>
      </c>
      <c r="L730" t="s">
        <v>34</v>
      </c>
      <c r="M730" t="s">
        <v>1489</v>
      </c>
      <c r="N730" s="7">
        <f t="shared" si="22"/>
        <v>1436964</v>
      </c>
      <c r="O730" s="7">
        <f t="shared" si="23"/>
        <v>11974.7</v>
      </c>
    </row>
    <row r="731" spans="1:15" x14ac:dyDescent="0.35">
      <c r="A731" s="5">
        <v>730</v>
      </c>
      <c r="B731" t="s">
        <v>594</v>
      </c>
      <c r="C731" t="s">
        <v>1196</v>
      </c>
      <c r="D731" t="s">
        <v>1486</v>
      </c>
      <c r="E731" t="s">
        <v>21</v>
      </c>
      <c r="F731" s="1">
        <v>44524</v>
      </c>
      <c r="G731" s="28">
        <v>13</v>
      </c>
      <c r="H731" s="26">
        <v>57651</v>
      </c>
      <c r="I731" t="s">
        <v>327</v>
      </c>
      <c r="J731" t="s">
        <v>50</v>
      </c>
      <c r="K731" t="s">
        <v>40</v>
      </c>
      <c r="L731" t="s">
        <v>23</v>
      </c>
      <c r="M731" t="s">
        <v>1489</v>
      </c>
      <c r="N731" s="7">
        <f t="shared" si="22"/>
        <v>691812</v>
      </c>
      <c r="O731" s="7">
        <f t="shared" si="23"/>
        <v>5765.1</v>
      </c>
    </row>
    <row r="732" spans="1:15" x14ac:dyDescent="0.35">
      <c r="A732" s="5">
        <v>731</v>
      </c>
      <c r="B732" t="s">
        <v>163</v>
      </c>
      <c r="C732" t="s">
        <v>1197</v>
      </c>
      <c r="D732" t="s">
        <v>1486</v>
      </c>
      <c r="E732" t="s">
        <v>89</v>
      </c>
      <c r="F732" s="1">
        <v>44740</v>
      </c>
      <c r="G732" s="28">
        <v>12</v>
      </c>
      <c r="H732" s="26">
        <v>70524</v>
      </c>
      <c r="I732" t="s">
        <v>196</v>
      </c>
      <c r="J732" t="s">
        <v>16</v>
      </c>
      <c r="K732" t="s">
        <v>17</v>
      </c>
      <c r="L732" t="s">
        <v>41</v>
      </c>
      <c r="M732" t="s">
        <v>1489</v>
      </c>
      <c r="N732" s="7">
        <f t="shared" si="22"/>
        <v>846288</v>
      </c>
      <c r="O732" s="7">
        <f t="shared" si="23"/>
        <v>7052.4000000000005</v>
      </c>
    </row>
    <row r="733" spans="1:15" x14ac:dyDescent="0.35">
      <c r="A733" s="5">
        <v>732</v>
      </c>
      <c r="B733" t="s">
        <v>30</v>
      </c>
      <c r="C733" t="s">
        <v>1198</v>
      </c>
      <c r="D733" t="s">
        <v>1485</v>
      </c>
      <c r="E733" t="s">
        <v>69</v>
      </c>
      <c r="F733" s="1">
        <v>38214</v>
      </c>
      <c r="G733" s="28">
        <v>17</v>
      </c>
      <c r="H733" s="26">
        <v>50511</v>
      </c>
      <c r="I733" t="s">
        <v>290</v>
      </c>
      <c r="J733" t="s">
        <v>28</v>
      </c>
      <c r="K733" t="s">
        <v>17</v>
      </c>
      <c r="L733" t="s">
        <v>41</v>
      </c>
      <c r="M733" t="s">
        <v>1489</v>
      </c>
      <c r="N733" s="7">
        <f t="shared" si="22"/>
        <v>606132</v>
      </c>
      <c r="O733" s="7">
        <f t="shared" si="23"/>
        <v>5051.1000000000004</v>
      </c>
    </row>
    <row r="734" spans="1:15" x14ac:dyDescent="0.35">
      <c r="A734" s="5">
        <v>733</v>
      </c>
      <c r="B734" t="s">
        <v>410</v>
      </c>
      <c r="C734" t="s">
        <v>1199</v>
      </c>
      <c r="D734" t="s">
        <v>1485</v>
      </c>
      <c r="E734" t="s">
        <v>89</v>
      </c>
      <c r="F734" s="1">
        <v>36850</v>
      </c>
      <c r="G734" s="28">
        <v>21</v>
      </c>
      <c r="H734" s="26">
        <v>58847</v>
      </c>
      <c r="I734" t="s">
        <v>66</v>
      </c>
      <c r="J734" t="s">
        <v>55</v>
      </c>
      <c r="K734" t="s">
        <v>17</v>
      </c>
      <c r="L734" t="s">
        <v>41</v>
      </c>
      <c r="M734" t="s">
        <v>1489</v>
      </c>
      <c r="N734" s="7">
        <f t="shared" si="22"/>
        <v>706164</v>
      </c>
      <c r="O734" s="7">
        <f t="shared" si="23"/>
        <v>5884.7000000000007</v>
      </c>
    </row>
    <row r="735" spans="1:15" x14ac:dyDescent="0.35">
      <c r="A735" s="5">
        <v>734</v>
      </c>
      <c r="B735" t="s">
        <v>165</v>
      </c>
      <c r="C735" t="s">
        <v>1200</v>
      </c>
      <c r="D735" t="s">
        <v>1486</v>
      </c>
      <c r="E735" t="s">
        <v>26</v>
      </c>
      <c r="F735" s="1">
        <v>38403</v>
      </c>
      <c r="G735" s="28">
        <v>16</v>
      </c>
      <c r="H735" s="26">
        <v>58555</v>
      </c>
      <c r="I735" t="s">
        <v>736</v>
      </c>
      <c r="J735" t="s">
        <v>16</v>
      </c>
      <c r="K735" t="s">
        <v>17</v>
      </c>
      <c r="L735" t="s">
        <v>29</v>
      </c>
      <c r="M735" t="s">
        <v>1489</v>
      </c>
      <c r="N735" s="7">
        <f t="shared" si="22"/>
        <v>702660</v>
      </c>
      <c r="O735" s="7">
        <f t="shared" si="23"/>
        <v>5855.5</v>
      </c>
    </row>
    <row r="736" spans="1:15" x14ac:dyDescent="0.35">
      <c r="A736" s="5">
        <v>735</v>
      </c>
      <c r="B736" t="s">
        <v>969</v>
      </c>
      <c r="C736" t="s">
        <v>1201</v>
      </c>
      <c r="D736" t="s">
        <v>1485</v>
      </c>
      <c r="E736" t="s">
        <v>69</v>
      </c>
      <c r="F736" s="1">
        <v>41957</v>
      </c>
      <c r="G736" s="28">
        <v>7</v>
      </c>
      <c r="H736" s="26">
        <v>116333</v>
      </c>
      <c r="I736" t="s">
        <v>330</v>
      </c>
      <c r="J736" t="s">
        <v>91</v>
      </c>
      <c r="K736" t="s">
        <v>40</v>
      </c>
      <c r="L736" t="s">
        <v>41</v>
      </c>
      <c r="M736" t="s">
        <v>1489</v>
      </c>
      <c r="N736" s="7">
        <f t="shared" si="22"/>
        <v>1395996</v>
      </c>
      <c r="O736" s="7">
        <f t="shared" si="23"/>
        <v>11633.300000000001</v>
      </c>
    </row>
    <row r="737" spans="1:15" x14ac:dyDescent="0.35">
      <c r="A737" s="5">
        <v>736</v>
      </c>
      <c r="B737" t="s">
        <v>83</v>
      </c>
      <c r="C737" t="s">
        <v>1202</v>
      </c>
      <c r="D737" t="s">
        <v>1485</v>
      </c>
      <c r="E737" t="s">
        <v>73</v>
      </c>
      <c r="F737" s="1">
        <v>40052</v>
      </c>
      <c r="G737" s="28">
        <v>12</v>
      </c>
      <c r="H737" s="26">
        <v>80813</v>
      </c>
      <c r="I737" t="s">
        <v>764</v>
      </c>
      <c r="J737" t="s">
        <v>50</v>
      </c>
      <c r="K737" t="s">
        <v>40</v>
      </c>
      <c r="L737" t="s">
        <v>41</v>
      </c>
      <c r="M737" t="s">
        <v>1489</v>
      </c>
      <c r="N737" s="7">
        <f t="shared" si="22"/>
        <v>969756</v>
      </c>
      <c r="O737" s="7">
        <f t="shared" si="23"/>
        <v>8081.3</v>
      </c>
    </row>
    <row r="738" spans="1:15" x14ac:dyDescent="0.35">
      <c r="A738" s="5">
        <v>737</v>
      </c>
      <c r="B738" t="s">
        <v>124</v>
      </c>
      <c r="C738" t="s">
        <v>1203</v>
      </c>
      <c r="D738" t="s">
        <v>1485</v>
      </c>
      <c r="E738" t="s">
        <v>203</v>
      </c>
      <c r="F738" s="1">
        <v>38194</v>
      </c>
      <c r="G738" s="28">
        <v>17</v>
      </c>
      <c r="H738" s="26">
        <v>142794</v>
      </c>
      <c r="I738" t="s">
        <v>27</v>
      </c>
      <c r="J738" t="s">
        <v>46</v>
      </c>
      <c r="K738" t="s">
        <v>17</v>
      </c>
      <c r="L738" t="s">
        <v>41</v>
      </c>
      <c r="M738" t="s">
        <v>1489</v>
      </c>
      <c r="N738" s="7">
        <f t="shared" si="22"/>
        <v>1713528</v>
      </c>
      <c r="O738" s="7">
        <f t="shared" si="23"/>
        <v>14279.400000000001</v>
      </c>
    </row>
    <row r="739" spans="1:15" x14ac:dyDescent="0.35">
      <c r="A739" s="5">
        <v>738</v>
      </c>
      <c r="B739" t="s">
        <v>720</v>
      </c>
      <c r="C739" t="s">
        <v>1204</v>
      </c>
      <c r="D739" t="s">
        <v>1486</v>
      </c>
      <c r="E739" t="s">
        <v>14</v>
      </c>
      <c r="F739" s="1">
        <v>37625</v>
      </c>
      <c r="G739" s="28">
        <v>18</v>
      </c>
      <c r="H739" s="26">
        <v>65083</v>
      </c>
      <c r="I739" t="s">
        <v>104</v>
      </c>
      <c r="J739" t="s">
        <v>50</v>
      </c>
      <c r="K739" t="s">
        <v>40</v>
      </c>
      <c r="L739" t="s">
        <v>18</v>
      </c>
      <c r="M739" t="s">
        <v>1489</v>
      </c>
      <c r="N739" s="7">
        <f t="shared" si="22"/>
        <v>780996</v>
      </c>
      <c r="O739" s="7">
        <f t="shared" si="23"/>
        <v>6508.3</v>
      </c>
    </row>
    <row r="740" spans="1:15" x14ac:dyDescent="0.35">
      <c r="A740" s="5">
        <v>739</v>
      </c>
      <c r="B740" t="s">
        <v>416</v>
      </c>
      <c r="C740" t="s">
        <v>1205</v>
      </c>
      <c r="D740" t="s">
        <v>1486</v>
      </c>
      <c r="E740" t="s">
        <v>73</v>
      </c>
      <c r="F740" s="1">
        <v>46459</v>
      </c>
      <c r="G740" s="28">
        <v>7</v>
      </c>
      <c r="H740" s="26">
        <v>125398</v>
      </c>
      <c r="I740" t="s">
        <v>537</v>
      </c>
      <c r="J740" t="s">
        <v>16</v>
      </c>
      <c r="K740" t="s">
        <v>17</v>
      </c>
      <c r="L740" t="s">
        <v>41</v>
      </c>
      <c r="M740" t="s">
        <v>1489</v>
      </c>
      <c r="N740" s="7">
        <f t="shared" si="22"/>
        <v>1504776</v>
      </c>
      <c r="O740" s="7">
        <f t="shared" si="23"/>
        <v>12539.800000000001</v>
      </c>
    </row>
    <row r="741" spans="1:15" x14ac:dyDescent="0.35">
      <c r="A741" s="5">
        <v>740</v>
      </c>
      <c r="B741" t="s">
        <v>652</v>
      </c>
      <c r="C741" t="s">
        <v>1206</v>
      </c>
      <c r="D741" t="s">
        <v>1486</v>
      </c>
      <c r="E741" t="s">
        <v>85</v>
      </c>
      <c r="F741" s="1">
        <v>44209</v>
      </c>
      <c r="G741" s="28">
        <v>13</v>
      </c>
      <c r="H741" s="26">
        <v>98502</v>
      </c>
      <c r="I741" t="s">
        <v>490</v>
      </c>
      <c r="J741" t="s">
        <v>39</v>
      </c>
      <c r="K741" t="s">
        <v>40</v>
      </c>
      <c r="L741" t="s">
        <v>41</v>
      </c>
      <c r="M741" t="s">
        <v>1489</v>
      </c>
      <c r="N741" s="7">
        <f t="shared" si="22"/>
        <v>1182024</v>
      </c>
      <c r="O741" s="7">
        <f t="shared" si="23"/>
        <v>9850.2000000000007</v>
      </c>
    </row>
    <row r="742" spans="1:15" x14ac:dyDescent="0.35">
      <c r="A742" s="5">
        <v>741</v>
      </c>
      <c r="B742" t="s">
        <v>816</v>
      </c>
      <c r="C742" t="s">
        <v>1207</v>
      </c>
      <c r="D742" t="s">
        <v>1486</v>
      </c>
      <c r="E742" t="s">
        <v>312</v>
      </c>
      <c r="F742" s="1">
        <v>37621</v>
      </c>
      <c r="G742" s="28">
        <v>19</v>
      </c>
      <c r="H742" s="26">
        <v>90086</v>
      </c>
      <c r="I742" t="s">
        <v>709</v>
      </c>
      <c r="J742" t="s">
        <v>55</v>
      </c>
      <c r="K742" t="s">
        <v>17</v>
      </c>
      <c r="L742" t="s">
        <v>41</v>
      </c>
      <c r="M742" t="s">
        <v>1489</v>
      </c>
      <c r="N742" s="7">
        <f t="shared" si="22"/>
        <v>1081032</v>
      </c>
      <c r="O742" s="7">
        <f t="shared" si="23"/>
        <v>9008.6</v>
      </c>
    </row>
    <row r="743" spans="1:15" x14ac:dyDescent="0.35">
      <c r="A743" s="5">
        <v>742</v>
      </c>
      <c r="B743" t="s">
        <v>87</v>
      </c>
      <c r="C743" t="s">
        <v>1208</v>
      </c>
      <c r="D743" t="s">
        <v>1485</v>
      </c>
      <c r="E743" t="s">
        <v>21</v>
      </c>
      <c r="F743" s="1">
        <v>39419</v>
      </c>
      <c r="G743" s="28">
        <v>14</v>
      </c>
      <c r="H743" s="26">
        <v>77382</v>
      </c>
      <c r="I743" t="s">
        <v>186</v>
      </c>
      <c r="J743" t="s">
        <v>50</v>
      </c>
      <c r="K743" t="s">
        <v>40</v>
      </c>
      <c r="L743" t="s">
        <v>23</v>
      </c>
      <c r="M743" t="s">
        <v>1489</v>
      </c>
      <c r="N743" s="7">
        <f t="shared" si="22"/>
        <v>928584</v>
      </c>
      <c r="O743" s="7">
        <f t="shared" si="23"/>
        <v>7738.2000000000007</v>
      </c>
    </row>
    <row r="744" spans="1:15" x14ac:dyDescent="0.35">
      <c r="A744" s="5">
        <v>743</v>
      </c>
      <c r="B744" t="s">
        <v>722</v>
      </c>
      <c r="C744" t="s">
        <v>1209</v>
      </c>
      <c r="D744" t="s">
        <v>1486</v>
      </c>
      <c r="E744" t="s">
        <v>94</v>
      </c>
      <c r="F744" s="1">
        <v>46744</v>
      </c>
      <c r="G744" s="28">
        <v>7</v>
      </c>
      <c r="H744" s="26">
        <v>113278</v>
      </c>
      <c r="I744" t="s">
        <v>306</v>
      </c>
      <c r="J744" t="s">
        <v>16</v>
      </c>
      <c r="K744" t="s">
        <v>17</v>
      </c>
      <c r="L744" t="s">
        <v>18</v>
      </c>
      <c r="M744" t="s">
        <v>1489</v>
      </c>
      <c r="N744" s="7">
        <f t="shared" si="22"/>
        <v>1359336</v>
      </c>
      <c r="O744" s="7">
        <f t="shared" si="23"/>
        <v>11327.800000000001</v>
      </c>
    </row>
    <row r="745" spans="1:15" x14ac:dyDescent="0.35">
      <c r="A745" s="5">
        <v>744</v>
      </c>
      <c r="B745" t="s">
        <v>480</v>
      </c>
      <c r="C745" t="s">
        <v>1210</v>
      </c>
      <c r="D745" t="s">
        <v>1485</v>
      </c>
      <c r="E745" t="s">
        <v>26</v>
      </c>
      <c r="F745" s="1">
        <v>37152</v>
      </c>
      <c r="G745" s="28">
        <v>20</v>
      </c>
      <c r="H745" s="26">
        <v>129324</v>
      </c>
      <c r="I745" t="s">
        <v>1211</v>
      </c>
      <c r="J745" t="s">
        <v>55</v>
      </c>
      <c r="K745" t="s">
        <v>17</v>
      </c>
      <c r="L745" t="s">
        <v>29</v>
      </c>
      <c r="M745" t="s">
        <v>1489</v>
      </c>
      <c r="N745" s="7">
        <f t="shared" si="22"/>
        <v>1551888</v>
      </c>
      <c r="O745" s="7">
        <f t="shared" si="23"/>
        <v>12932.400000000001</v>
      </c>
    </row>
    <row r="746" spans="1:15" x14ac:dyDescent="0.35">
      <c r="A746" s="5">
        <v>745</v>
      </c>
      <c r="B746" t="s">
        <v>140</v>
      </c>
      <c r="C746" t="s">
        <v>1212</v>
      </c>
      <c r="D746" t="s">
        <v>1486</v>
      </c>
      <c r="E746" t="s">
        <v>148</v>
      </c>
      <c r="F746" s="1">
        <v>38677</v>
      </c>
      <c r="G746" s="28">
        <v>16</v>
      </c>
      <c r="H746" s="26">
        <v>108504</v>
      </c>
      <c r="I746" t="s">
        <v>386</v>
      </c>
      <c r="J746" t="s">
        <v>46</v>
      </c>
      <c r="K746" t="s">
        <v>17</v>
      </c>
      <c r="L746" t="s">
        <v>112</v>
      </c>
      <c r="M746" t="s">
        <v>1489</v>
      </c>
      <c r="N746" s="7">
        <f t="shared" si="22"/>
        <v>1302048</v>
      </c>
      <c r="O746" s="7">
        <f t="shared" si="23"/>
        <v>10850.400000000001</v>
      </c>
    </row>
    <row r="747" spans="1:15" x14ac:dyDescent="0.35">
      <c r="A747" s="5">
        <v>746</v>
      </c>
      <c r="B747" t="s">
        <v>198</v>
      </c>
      <c r="C747" t="s">
        <v>1213</v>
      </c>
      <c r="D747" t="s">
        <v>1485</v>
      </c>
      <c r="E747" t="s">
        <v>100</v>
      </c>
      <c r="F747" s="1">
        <v>37168</v>
      </c>
      <c r="G747" s="28">
        <v>20</v>
      </c>
      <c r="H747" s="26">
        <v>145283</v>
      </c>
      <c r="I747" t="s">
        <v>149</v>
      </c>
      <c r="J747" t="s">
        <v>46</v>
      </c>
      <c r="K747" t="s">
        <v>17</v>
      </c>
      <c r="L747" t="s">
        <v>29</v>
      </c>
      <c r="M747" t="s">
        <v>1489</v>
      </c>
      <c r="N747" s="7">
        <f t="shared" si="22"/>
        <v>1743396</v>
      </c>
      <c r="O747" s="7">
        <f t="shared" si="23"/>
        <v>14528.300000000001</v>
      </c>
    </row>
    <row r="748" spans="1:15" x14ac:dyDescent="0.35">
      <c r="A748" s="5">
        <v>747</v>
      </c>
      <c r="B748" t="s">
        <v>416</v>
      </c>
      <c r="C748" t="s">
        <v>1214</v>
      </c>
      <c r="D748" t="s">
        <v>1485</v>
      </c>
      <c r="E748" t="s">
        <v>85</v>
      </c>
      <c r="F748" s="1">
        <v>38928</v>
      </c>
      <c r="G748" s="28">
        <v>15</v>
      </c>
      <c r="H748" s="26">
        <v>82674</v>
      </c>
      <c r="I748" t="s">
        <v>172</v>
      </c>
      <c r="J748" t="s">
        <v>55</v>
      </c>
      <c r="K748" t="s">
        <v>17</v>
      </c>
      <c r="L748" t="s">
        <v>41</v>
      </c>
      <c r="M748" t="s">
        <v>1489</v>
      </c>
      <c r="N748" s="7">
        <f t="shared" si="22"/>
        <v>992088</v>
      </c>
      <c r="O748" s="7">
        <f t="shared" si="23"/>
        <v>8267.4</v>
      </c>
    </row>
    <row r="749" spans="1:15" x14ac:dyDescent="0.35">
      <c r="A749" s="5">
        <v>748</v>
      </c>
      <c r="B749" t="s">
        <v>347</v>
      </c>
      <c r="C749" t="s">
        <v>1215</v>
      </c>
      <c r="D749" t="s">
        <v>1485</v>
      </c>
      <c r="E749" t="s">
        <v>69</v>
      </c>
      <c r="F749" s="1">
        <v>40156</v>
      </c>
      <c r="G749" s="28">
        <v>12</v>
      </c>
      <c r="H749" s="26">
        <v>119097</v>
      </c>
      <c r="I749" t="s">
        <v>604</v>
      </c>
      <c r="J749" t="s">
        <v>16</v>
      </c>
      <c r="K749" t="s">
        <v>17</v>
      </c>
      <c r="L749" t="s">
        <v>41</v>
      </c>
      <c r="M749" t="s">
        <v>1489</v>
      </c>
      <c r="N749" s="7">
        <f t="shared" si="22"/>
        <v>1429164</v>
      </c>
      <c r="O749" s="7">
        <f t="shared" si="23"/>
        <v>11909.7</v>
      </c>
    </row>
    <row r="750" spans="1:15" x14ac:dyDescent="0.35">
      <c r="A750" s="5">
        <v>749</v>
      </c>
      <c r="B750" t="s">
        <v>816</v>
      </c>
      <c r="C750" t="s">
        <v>1216</v>
      </c>
      <c r="D750" t="s">
        <v>1486</v>
      </c>
      <c r="E750" t="s">
        <v>32</v>
      </c>
      <c r="F750" s="1">
        <v>45905</v>
      </c>
      <c r="G750" s="28">
        <v>9</v>
      </c>
      <c r="H750" s="26">
        <v>60498</v>
      </c>
      <c r="I750" t="s">
        <v>133</v>
      </c>
      <c r="J750" t="s">
        <v>55</v>
      </c>
      <c r="K750" t="s">
        <v>17</v>
      </c>
      <c r="L750" t="s">
        <v>34</v>
      </c>
      <c r="M750" t="s">
        <v>1489</v>
      </c>
      <c r="N750" s="7">
        <f t="shared" si="22"/>
        <v>725976</v>
      </c>
      <c r="O750" s="7">
        <f t="shared" si="23"/>
        <v>6049.8</v>
      </c>
    </row>
    <row r="751" spans="1:15" x14ac:dyDescent="0.35">
      <c r="A751" s="5">
        <v>750</v>
      </c>
      <c r="B751" t="s">
        <v>809</v>
      </c>
      <c r="C751" t="s">
        <v>1217</v>
      </c>
      <c r="D751" t="s">
        <v>1485</v>
      </c>
      <c r="E751" t="s">
        <v>238</v>
      </c>
      <c r="F751" s="1">
        <v>41836</v>
      </c>
      <c r="G751" s="28">
        <v>7</v>
      </c>
      <c r="H751" s="26">
        <v>108228</v>
      </c>
      <c r="I751" t="s">
        <v>95</v>
      </c>
      <c r="J751" t="s">
        <v>28</v>
      </c>
      <c r="K751" t="s">
        <v>17</v>
      </c>
      <c r="L751" t="s">
        <v>63</v>
      </c>
      <c r="M751" t="s">
        <v>1489</v>
      </c>
      <c r="N751" s="7">
        <f t="shared" si="22"/>
        <v>1298736</v>
      </c>
      <c r="O751" s="7">
        <f t="shared" si="23"/>
        <v>10822.800000000001</v>
      </c>
    </row>
    <row r="752" spans="1:15" x14ac:dyDescent="0.35">
      <c r="A752" s="5">
        <v>751</v>
      </c>
      <c r="B752" t="s">
        <v>12</v>
      </c>
      <c r="C752" t="s">
        <v>1218</v>
      </c>
      <c r="D752" t="s">
        <v>1485</v>
      </c>
      <c r="E752" t="s">
        <v>94</v>
      </c>
      <c r="F752" s="1">
        <v>38479</v>
      </c>
      <c r="G752" s="28">
        <v>16</v>
      </c>
      <c r="H752" s="26">
        <v>106602</v>
      </c>
      <c r="I752" t="s">
        <v>209</v>
      </c>
      <c r="J752" t="s">
        <v>16</v>
      </c>
      <c r="K752" t="s">
        <v>17</v>
      </c>
      <c r="L752" t="s">
        <v>18</v>
      </c>
      <c r="M752" t="s">
        <v>1489</v>
      </c>
      <c r="N752" s="7">
        <f t="shared" si="22"/>
        <v>1279224</v>
      </c>
      <c r="O752" s="7">
        <f t="shared" si="23"/>
        <v>10660.2</v>
      </c>
    </row>
    <row r="753" spans="1:15" x14ac:dyDescent="0.35">
      <c r="A753" s="5">
        <v>752</v>
      </c>
      <c r="B753" t="s">
        <v>569</v>
      </c>
      <c r="C753" t="s">
        <v>1219</v>
      </c>
      <c r="D753" t="s">
        <v>1486</v>
      </c>
      <c r="E753" t="s">
        <v>89</v>
      </c>
      <c r="F753" s="1">
        <v>45315</v>
      </c>
      <c r="G753" s="28">
        <v>10</v>
      </c>
      <c r="H753" s="26">
        <v>95810</v>
      </c>
      <c r="I753" t="s">
        <v>613</v>
      </c>
      <c r="J753" t="s">
        <v>55</v>
      </c>
      <c r="K753" t="s">
        <v>17</v>
      </c>
      <c r="L753" t="s">
        <v>41</v>
      </c>
      <c r="M753" t="s">
        <v>1489</v>
      </c>
      <c r="N753" s="7">
        <f t="shared" si="22"/>
        <v>1149720</v>
      </c>
      <c r="O753" s="7">
        <f t="shared" si="23"/>
        <v>9581</v>
      </c>
    </row>
    <row r="754" spans="1:15" x14ac:dyDescent="0.35">
      <c r="A754" s="5">
        <v>753</v>
      </c>
      <c r="B754" t="s">
        <v>1220</v>
      </c>
      <c r="C754" t="s">
        <v>1221</v>
      </c>
      <c r="D754" t="s">
        <v>1486</v>
      </c>
      <c r="E754" t="s">
        <v>94</v>
      </c>
      <c r="F754" s="1">
        <v>38388</v>
      </c>
      <c r="G754" s="28">
        <v>16</v>
      </c>
      <c r="H754" s="26">
        <v>149597</v>
      </c>
      <c r="I754" t="s">
        <v>490</v>
      </c>
      <c r="J754" t="s">
        <v>46</v>
      </c>
      <c r="K754" t="s">
        <v>17</v>
      </c>
      <c r="L754" t="s">
        <v>18</v>
      </c>
      <c r="M754" t="s">
        <v>1489</v>
      </c>
      <c r="N754" s="7">
        <f t="shared" si="22"/>
        <v>1795164</v>
      </c>
      <c r="O754" s="7">
        <f t="shared" si="23"/>
        <v>14959.7</v>
      </c>
    </row>
    <row r="755" spans="1:15" x14ac:dyDescent="0.35">
      <c r="A755" s="5">
        <v>754</v>
      </c>
      <c r="B755" t="s">
        <v>986</v>
      </c>
      <c r="C755" t="s">
        <v>1222</v>
      </c>
      <c r="D755" t="s">
        <v>1486</v>
      </c>
      <c r="E755" t="s">
        <v>94</v>
      </c>
      <c r="F755" s="1">
        <v>36602</v>
      </c>
      <c r="G755" s="28">
        <v>21</v>
      </c>
      <c r="H755" s="26">
        <v>57331</v>
      </c>
      <c r="I755" t="s">
        <v>209</v>
      </c>
      <c r="J755" t="s">
        <v>28</v>
      </c>
      <c r="K755" t="s">
        <v>17</v>
      </c>
      <c r="L755" t="s">
        <v>18</v>
      </c>
      <c r="M755" t="s">
        <v>1489</v>
      </c>
      <c r="N755" s="7">
        <f t="shared" si="22"/>
        <v>687972</v>
      </c>
      <c r="O755" s="7">
        <f t="shared" si="23"/>
        <v>5733.1</v>
      </c>
    </row>
    <row r="756" spans="1:15" x14ac:dyDescent="0.35">
      <c r="A756" s="5">
        <v>755</v>
      </c>
      <c r="B756" t="s">
        <v>564</v>
      </c>
      <c r="C756" t="s">
        <v>1223</v>
      </c>
      <c r="D756" t="s">
        <v>1485</v>
      </c>
      <c r="E756" t="s">
        <v>100</v>
      </c>
      <c r="F756" s="1">
        <v>40772</v>
      </c>
      <c r="G756" s="28">
        <v>10</v>
      </c>
      <c r="H756" s="26">
        <v>49113</v>
      </c>
      <c r="I756" t="s">
        <v>115</v>
      </c>
      <c r="J756" t="s">
        <v>39</v>
      </c>
      <c r="K756" t="s">
        <v>40</v>
      </c>
      <c r="L756" t="s">
        <v>29</v>
      </c>
      <c r="M756" t="s">
        <v>1489</v>
      </c>
      <c r="N756" s="7">
        <f t="shared" si="22"/>
        <v>589356</v>
      </c>
      <c r="O756" s="7">
        <f t="shared" si="23"/>
        <v>4911.3</v>
      </c>
    </row>
    <row r="757" spans="1:15" x14ac:dyDescent="0.35">
      <c r="A757" s="5">
        <v>756</v>
      </c>
      <c r="B757" t="s">
        <v>341</v>
      </c>
      <c r="C757" t="s">
        <v>1224</v>
      </c>
      <c r="D757" t="s">
        <v>1486</v>
      </c>
      <c r="E757" t="s">
        <v>37</v>
      </c>
      <c r="F757" s="1">
        <v>38550</v>
      </c>
      <c r="G757" s="28">
        <v>16</v>
      </c>
      <c r="H757" s="26">
        <v>80417</v>
      </c>
      <c r="I757" t="s">
        <v>142</v>
      </c>
      <c r="J757" t="s">
        <v>39</v>
      </c>
      <c r="K757" t="s">
        <v>40</v>
      </c>
      <c r="L757" t="s">
        <v>41</v>
      </c>
      <c r="M757" t="s">
        <v>1489</v>
      </c>
      <c r="N757" s="7">
        <f t="shared" si="22"/>
        <v>965004</v>
      </c>
      <c r="O757" s="7">
        <f t="shared" si="23"/>
        <v>8041.7000000000007</v>
      </c>
    </row>
    <row r="758" spans="1:15" x14ac:dyDescent="0.35">
      <c r="A758" s="5">
        <v>757</v>
      </c>
      <c r="B758" t="s">
        <v>345</v>
      </c>
      <c r="C758" t="s">
        <v>1225</v>
      </c>
      <c r="D758" t="s">
        <v>1485</v>
      </c>
      <c r="E758" t="s">
        <v>79</v>
      </c>
      <c r="F758" s="1">
        <v>41004</v>
      </c>
      <c r="G758" s="28">
        <v>9</v>
      </c>
      <c r="H758" s="26">
        <v>122595</v>
      </c>
      <c r="I758" t="s">
        <v>189</v>
      </c>
      <c r="J758" t="s">
        <v>50</v>
      </c>
      <c r="K758" t="s">
        <v>40</v>
      </c>
      <c r="L758" t="s">
        <v>41</v>
      </c>
      <c r="M758" t="s">
        <v>1489</v>
      </c>
      <c r="N758" s="7">
        <f t="shared" si="22"/>
        <v>1471140</v>
      </c>
      <c r="O758" s="7">
        <f t="shared" si="23"/>
        <v>12259.5</v>
      </c>
    </row>
    <row r="759" spans="1:15" x14ac:dyDescent="0.35">
      <c r="A759" s="5">
        <v>758</v>
      </c>
      <c r="B759" t="s">
        <v>689</v>
      </c>
      <c r="C759" t="s">
        <v>1226</v>
      </c>
      <c r="D759" t="s">
        <v>1485</v>
      </c>
      <c r="E759" t="s">
        <v>53</v>
      </c>
      <c r="F759" s="1">
        <v>41570</v>
      </c>
      <c r="G759" s="28">
        <v>8</v>
      </c>
      <c r="H759" s="26">
        <v>126661</v>
      </c>
      <c r="I759" t="s">
        <v>836</v>
      </c>
      <c r="J759" t="s">
        <v>16</v>
      </c>
      <c r="K759" t="s">
        <v>17</v>
      </c>
      <c r="L759" t="s">
        <v>23</v>
      </c>
      <c r="M759" t="s">
        <v>1489</v>
      </c>
      <c r="N759" s="7">
        <f t="shared" si="22"/>
        <v>1519932</v>
      </c>
      <c r="O759" s="7">
        <f t="shared" si="23"/>
        <v>12666.1</v>
      </c>
    </row>
    <row r="760" spans="1:15" x14ac:dyDescent="0.35">
      <c r="A760" s="5">
        <v>759</v>
      </c>
      <c r="B760" t="s">
        <v>233</v>
      </c>
      <c r="C760" t="s">
        <v>1227</v>
      </c>
      <c r="D760" t="s">
        <v>1485</v>
      </c>
      <c r="E760" t="s">
        <v>110</v>
      </c>
      <c r="F760" s="1">
        <v>36618</v>
      </c>
      <c r="G760" s="28">
        <v>21</v>
      </c>
      <c r="H760" s="26">
        <v>127695</v>
      </c>
      <c r="I760" t="s">
        <v>836</v>
      </c>
      <c r="J760" t="s">
        <v>39</v>
      </c>
      <c r="K760" t="s">
        <v>40</v>
      </c>
      <c r="L760" t="s">
        <v>112</v>
      </c>
      <c r="M760" t="s">
        <v>1489</v>
      </c>
      <c r="N760" s="7">
        <f t="shared" si="22"/>
        <v>1532340</v>
      </c>
      <c r="O760" s="7">
        <f t="shared" si="23"/>
        <v>12769.5</v>
      </c>
    </row>
    <row r="761" spans="1:15" x14ac:dyDescent="0.35">
      <c r="A761" s="5">
        <v>760</v>
      </c>
      <c r="B761" t="s">
        <v>300</v>
      </c>
      <c r="C761" t="s">
        <v>1228</v>
      </c>
      <c r="D761" t="s">
        <v>1485</v>
      </c>
      <c r="E761" t="s">
        <v>73</v>
      </c>
      <c r="F761" s="1">
        <v>39653</v>
      </c>
      <c r="G761" s="28">
        <v>13</v>
      </c>
      <c r="H761" s="26">
        <v>66608</v>
      </c>
      <c r="I761" t="s">
        <v>321</v>
      </c>
      <c r="J761" t="s">
        <v>46</v>
      </c>
      <c r="K761" t="s">
        <v>17</v>
      </c>
      <c r="L761" t="s">
        <v>41</v>
      </c>
      <c r="M761" t="s">
        <v>1489</v>
      </c>
      <c r="N761" s="7">
        <f t="shared" si="22"/>
        <v>799296</v>
      </c>
      <c r="O761" s="7">
        <f t="shared" si="23"/>
        <v>6660.8</v>
      </c>
    </row>
    <row r="762" spans="1:15" x14ac:dyDescent="0.35">
      <c r="A762" s="5">
        <v>761</v>
      </c>
      <c r="B762" t="s">
        <v>620</v>
      </c>
      <c r="C762" t="s">
        <v>1229</v>
      </c>
      <c r="D762" t="s">
        <v>1486</v>
      </c>
      <c r="E762" t="s">
        <v>89</v>
      </c>
      <c r="F762" s="1">
        <v>46735</v>
      </c>
      <c r="G762" s="28">
        <v>7</v>
      </c>
      <c r="H762" s="26">
        <v>106033</v>
      </c>
      <c r="I762" t="s">
        <v>313</v>
      </c>
      <c r="J762" t="s">
        <v>46</v>
      </c>
      <c r="K762" t="s">
        <v>17</v>
      </c>
      <c r="L762" t="s">
        <v>41</v>
      </c>
      <c r="M762" t="s">
        <v>1489</v>
      </c>
      <c r="N762" s="7">
        <f t="shared" si="22"/>
        <v>1272396</v>
      </c>
      <c r="O762" s="7">
        <f t="shared" si="23"/>
        <v>10603.300000000001</v>
      </c>
    </row>
    <row r="763" spans="1:15" x14ac:dyDescent="0.35">
      <c r="A763" s="5">
        <v>762</v>
      </c>
      <c r="B763" t="s">
        <v>494</v>
      </c>
      <c r="C763" t="s">
        <v>1230</v>
      </c>
      <c r="D763" t="s">
        <v>1485</v>
      </c>
      <c r="E763" t="s">
        <v>94</v>
      </c>
      <c r="F763" s="1">
        <v>41495</v>
      </c>
      <c r="G763" s="28">
        <v>8</v>
      </c>
      <c r="H763" s="26">
        <v>103237</v>
      </c>
      <c r="I763" t="s">
        <v>401</v>
      </c>
      <c r="J763" t="s">
        <v>39</v>
      </c>
      <c r="K763" t="s">
        <v>40</v>
      </c>
      <c r="L763" t="s">
        <v>18</v>
      </c>
      <c r="M763" t="s">
        <v>1489</v>
      </c>
      <c r="N763" s="7">
        <f t="shared" si="22"/>
        <v>1238844</v>
      </c>
      <c r="O763" s="7">
        <f t="shared" si="23"/>
        <v>10323.700000000001</v>
      </c>
    </row>
    <row r="764" spans="1:15" x14ac:dyDescent="0.35">
      <c r="A764" s="5">
        <v>763</v>
      </c>
      <c r="B764" t="s">
        <v>300</v>
      </c>
      <c r="C764" t="s">
        <v>1231</v>
      </c>
      <c r="D764" t="s">
        <v>1485</v>
      </c>
      <c r="E764" t="s">
        <v>14</v>
      </c>
      <c r="F764" s="1">
        <v>37368</v>
      </c>
      <c r="G764" s="28">
        <v>19</v>
      </c>
      <c r="H764" s="26">
        <v>122843</v>
      </c>
      <c r="I764" t="s">
        <v>381</v>
      </c>
      <c r="J764" t="s">
        <v>16</v>
      </c>
      <c r="K764" t="s">
        <v>17</v>
      </c>
      <c r="L764" t="s">
        <v>18</v>
      </c>
      <c r="M764" t="s">
        <v>1489</v>
      </c>
      <c r="N764" s="7">
        <f t="shared" si="22"/>
        <v>1474116</v>
      </c>
      <c r="O764" s="7">
        <f t="shared" si="23"/>
        <v>12284.300000000001</v>
      </c>
    </row>
    <row r="765" spans="1:15" x14ac:dyDescent="0.35">
      <c r="A765" s="5">
        <v>764</v>
      </c>
      <c r="B765" t="s">
        <v>64</v>
      </c>
      <c r="C765" t="s">
        <v>1232</v>
      </c>
      <c r="D765" t="s">
        <v>1486</v>
      </c>
      <c r="E765" t="s">
        <v>238</v>
      </c>
      <c r="F765" s="1">
        <v>38174</v>
      </c>
      <c r="G765" s="28">
        <v>17</v>
      </c>
      <c r="H765" s="26">
        <v>51771</v>
      </c>
      <c r="I765" t="s">
        <v>659</v>
      </c>
      <c r="J765" t="s">
        <v>28</v>
      </c>
      <c r="K765" t="s">
        <v>17</v>
      </c>
      <c r="L765" t="s">
        <v>63</v>
      </c>
      <c r="M765" t="s">
        <v>1489</v>
      </c>
      <c r="N765" s="7">
        <f t="shared" si="22"/>
        <v>621252</v>
      </c>
      <c r="O765" s="7">
        <f t="shared" si="23"/>
        <v>5177.1000000000004</v>
      </c>
    </row>
    <row r="766" spans="1:15" x14ac:dyDescent="0.35">
      <c r="A766" s="5">
        <v>765</v>
      </c>
      <c r="B766" t="s">
        <v>268</v>
      </c>
      <c r="C766" t="s">
        <v>1233</v>
      </c>
      <c r="D766" t="s">
        <v>1485</v>
      </c>
      <c r="E766" t="s">
        <v>44</v>
      </c>
      <c r="F766" s="1">
        <v>40124</v>
      </c>
      <c r="G766" s="28">
        <v>12</v>
      </c>
      <c r="H766" s="26">
        <v>107709</v>
      </c>
      <c r="I766" t="s">
        <v>136</v>
      </c>
      <c r="J766" t="s">
        <v>46</v>
      </c>
      <c r="K766" t="s">
        <v>17</v>
      </c>
      <c r="L766" t="s">
        <v>29</v>
      </c>
      <c r="M766" t="s">
        <v>1489</v>
      </c>
      <c r="N766" s="7">
        <f t="shared" si="22"/>
        <v>1292508</v>
      </c>
      <c r="O766" s="7">
        <f t="shared" si="23"/>
        <v>10770.900000000001</v>
      </c>
    </row>
    <row r="767" spans="1:15" x14ac:dyDescent="0.35">
      <c r="A767" s="5">
        <v>766</v>
      </c>
      <c r="B767" t="s">
        <v>347</v>
      </c>
      <c r="C767" t="s">
        <v>1234</v>
      </c>
      <c r="D767" t="s">
        <v>1485</v>
      </c>
      <c r="E767" t="s">
        <v>122</v>
      </c>
      <c r="F767" s="1">
        <v>40165</v>
      </c>
      <c r="G767" s="28">
        <v>12</v>
      </c>
      <c r="H767" s="26">
        <v>104149</v>
      </c>
      <c r="I767" t="s">
        <v>613</v>
      </c>
      <c r="J767" t="s">
        <v>16</v>
      </c>
      <c r="K767" t="s">
        <v>17</v>
      </c>
      <c r="L767" t="s">
        <v>123</v>
      </c>
      <c r="M767" t="s">
        <v>1489</v>
      </c>
      <c r="N767" s="7">
        <f t="shared" si="22"/>
        <v>1249788</v>
      </c>
      <c r="O767" s="7">
        <f t="shared" si="23"/>
        <v>10414.900000000001</v>
      </c>
    </row>
    <row r="768" spans="1:15" x14ac:dyDescent="0.35">
      <c r="A768" s="5">
        <v>767</v>
      </c>
      <c r="B768" t="s">
        <v>766</v>
      </c>
      <c r="C768" t="s">
        <v>1235</v>
      </c>
      <c r="D768" t="s">
        <v>1485</v>
      </c>
      <c r="E768" t="s">
        <v>122</v>
      </c>
      <c r="F768" s="1">
        <v>38201</v>
      </c>
      <c r="G768" s="28">
        <v>17</v>
      </c>
      <c r="H768" s="26">
        <v>91501</v>
      </c>
      <c r="I768" t="s">
        <v>179</v>
      </c>
      <c r="J768" t="s">
        <v>39</v>
      </c>
      <c r="K768" t="s">
        <v>40</v>
      </c>
      <c r="L768" t="s">
        <v>123</v>
      </c>
      <c r="M768" t="s">
        <v>1489</v>
      </c>
      <c r="N768" s="7">
        <f t="shared" si="22"/>
        <v>1098012</v>
      </c>
      <c r="O768" s="7">
        <f t="shared" si="23"/>
        <v>9150.1</v>
      </c>
    </row>
    <row r="769" spans="1:15" x14ac:dyDescent="0.35">
      <c r="A769" s="5">
        <v>768</v>
      </c>
      <c r="B769" t="s">
        <v>407</v>
      </c>
      <c r="C769" t="s">
        <v>1236</v>
      </c>
      <c r="D769" t="s">
        <v>1486</v>
      </c>
      <c r="E769" t="s">
        <v>26</v>
      </c>
      <c r="F769" s="1">
        <v>46592</v>
      </c>
      <c r="G769" s="28">
        <v>7</v>
      </c>
      <c r="H769" s="26">
        <v>42602</v>
      </c>
      <c r="I769" t="s">
        <v>86</v>
      </c>
      <c r="J769" t="s">
        <v>16</v>
      </c>
      <c r="K769" t="s">
        <v>17</v>
      </c>
      <c r="L769" t="s">
        <v>29</v>
      </c>
      <c r="M769" t="s">
        <v>1489</v>
      </c>
      <c r="N769" s="7">
        <f t="shared" si="22"/>
        <v>511224</v>
      </c>
      <c r="O769" s="7">
        <f t="shared" si="23"/>
        <v>4260.2</v>
      </c>
    </row>
    <row r="770" spans="1:15" x14ac:dyDescent="0.35">
      <c r="A770" s="5">
        <v>769</v>
      </c>
      <c r="B770" t="s">
        <v>108</v>
      </c>
      <c r="C770" t="s">
        <v>1237</v>
      </c>
      <c r="D770" t="s">
        <v>1486</v>
      </c>
      <c r="E770" t="s">
        <v>85</v>
      </c>
      <c r="F770" s="1">
        <v>46350</v>
      </c>
      <c r="G770" s="28">
        <v>8</v>
      </c>
      <c r="H770" s="26">
        <v>132676</v>
      </c>
      <c r="I770" t="s">
        <v>49</v>
      </c>
      <c r="J770" t="s">
        <v>55</v>
      </c>
      <c r="K770" t="s">
        <v>17</v>
      </c>
      <c r="L770" t="s">
        <v>41</v>
      </c>
      <c r="M770" t="s">
        <v>1489</v>
      </c>
      <c r="N770" s="7">
        <f t="shared" ref="N770:N833" si="24">H770*12</f>
        <v>1592112</v>
      </c>
      <c r="O770" s="7">
        <f t="shared" ref="O770:O833" si="25">H770*10%</f>
        <v>13267.6</v>
      </c>
    </row>
    <row r="771" spans="1:15" x14ac:dyDescent="0.35">
      <c r="A771" s="5">
        <v>770</v>
      </c>
      <c r="B771" t="s">
        <v>358</v>
      </c>
      <c r="C771" t="s">
        <v>1238</v>
      </c>
      <c r="D771" t="s">
        <v>1486</v>
      </c>
      <c r="E771" t="s">
        <v>79</v>
      </c>
      <c r="F771" s="1">
        <v>38841</v>
      </c>
      <c r="G771" s="28">
        <v>15</v>
      </c>
      <c r="H771" s="26">
        <v>140688</v>
      </c>
      <c r="I771" t="s">
        <v>733</v>
      </c>
      <c r="J771" t="s">
        <v>28</v>
      </c>
      <c r="K771" t="s">
        <v>17</v>
      </c>
      <c r="L771" t="s">
        <v>41</v>
      </c>
      <c r="M771" t="s">
        <v>1489</v>
      </c>
      <c r="N771" s="7">
        <f t="shared" si="24"/>
        <v>1688256</v>
      </c>
      <c r="O771" s="7">
        <f t="shared" si="25"/>
        <v>14068.800000000001</v>
      </c>
    </row>
    <row r="772" spans="1:15" x14ac:dyDescent="0.35">
      <c r="A772" s="5">
        <v>771</v>
      </c>
      <c r="B772" t="s">
        <v>642</v>
      </c>
      <c r="C772" t="s">
        <v>1239</v>
      </c>
      <c r="D772" t="s">
        <v>1486</v>
      </c>
      <c r="E772" t="s">
        <v>110</v>
      </c>
      <c r="F772" s="1">
        <v>46639</v>
      </c>
      <c r="G772" s="28">
        <v>7</v>
      </c>
      <c r="H772" s="26">
        <v>51792</v>
      </c>
      <c r="I772" t="s">
        <v>101</v>
      </c>
      <c r="J772" t="s">
        <v>55</v>
      </c>
      <c r="K772" t="s">
        <v>17</v>
      </c>
      <c r="L772" t="s">
        <v>112</v>
      </c>
      <c r="M772" t="s">
        <v>1489</v>
      </c>
      <c r="N772" s="7">
        <f t="shared" si="24"/>
        <v>621504</v>
      </c>
      <c r="O772" s="7">
        <f t="shared" si="25"/>
        <v>5179.2000000000007</v>
      </c>
    </row>
    <row r="773" spans="1:15" x14ac:dyDescent="0.35">
      <c r="A773" s="5">
        <v>772</v>
      </c>
      <c r="B773" t="s">
        <v>347</v>
      </c>
      <c r="C773" t="s">
        <v>1240</v>
      </c>
      <c r="D773" t="s">
        <v>1485</v>
      </c>
      <c r="E773" t="s">
        <v>61</v>
      </c>
      <c r="F773" s="1">
        <v>38273</v>
      </c>
      <c r="G773" s="28">
        <v>17</v>
      </c>
      <c r="H773" s="26">
        <v>100570</v>
      </c>
      <c r="I773" t="s">
        <v>247</v>
      </c>
      <c r="J773" t="s">
        <v>91</v>
      </c>
      <c r="K773" t="s">
        <v>40</v>
      </c>
      <c r="L773" t="s">
        <v>63</v>
      </c>
      <c r="M773" t="s">
        <v>1489</v>
      </c>
      <c r="N773" s="7">
        <f t="shared" si="24"/>
        <v>1206840</v>
      </c>
      <c r="O773" s="7">
        <f t="shared" si="25"/>
        <v>10057</v>
      </c>
    </row>
    <row r="774" spans="1:15" x14ac:dyDescent="0.35">
      <c r="A774" s="5">
        <v>773</v>
      </c>
      <c r="B774" t="s">
        <v>182</v>
      </c>
      <c r="C774" t="s">
        <v>1241</v>
      </c>
      <c r="D774" t="s">
        <v>1485</v>
      </c>
      <c r="E774" t="s">
        <v>44</v>
      </c>
      <c r="F774" s="1">
        <v>39265</v>
      </c>
      <c r="G774" s="28">
        <v>14</v>
      </c>
      <c r="H774" s="26">
        <v>60383</v>
      </c>
      <c r="I774" t="s">
        <v>459</v>
      </c>
      <c r="J774" t="s">
        <v>46</v>
      </c>
      <c r="K774" t="s">
        <v>17</v>
      </c>
      <c r="L774" t="s">
        <v>29</v>
      </c>
      <c r="M774" t="s">
        <v>1489</v>
      </c>
      <c r="N774" s="7">
        <f t="shared" si="24"/>
        <v>724596</v>
      </c>
      <c r="O774" s="7">
        <f t="shared" si="25"/>
        <v>6038.3</v>
      </c>
    </row>
    <row r="775" spans="1:15" x14ac:dyDescent="0.35">
      <c r="A775" s="5">
        <v>774</v>
      </c>
      <c r="B775" t="s">
        <v>969</v>
      </c>
      <c r="C775" t="s">
        <v>1242</v>
      </c>
      <c r="D775" t="s">
        <v>1485</v>
      </c>
      <c r="E775" t="s">
        <v>312</v>
      </c>
      <c r="F775" s="1">
        <v>38797</v>
      </c>
      <c r="G775" s="28">
        <v>15</v>
      </c>
      <c r="H775" s="26">
        <v>68761</v>
      </c>
      <c r="I775" t="s">
        <v>336</v>
      </c>
      <c r="J775" t="s">
        <v>46</v>
      </c>
      <c r="K775" t="s">
        <v>17</v>
      </c>
      <c r="L775" t="s">
        <v>41</v>
      </c>
      <c r="M775" t="s">
        <v>1489</v>
      </c>
      <c r="N775" s="7">
        <f t="shared" si="24"/>
        <v>825132</v>
      </c>
      <c r="O775" s="7">
        <f t="shared" si="25"/>
        <v>6876.1</v>
      </c>
    </row>
    <row r="776" spans="1:15" x14ac:dyDescent="0.35">
      <c r="A776" s="5">
        <v>775</v>
      </c>
      <c r="B776" t="s">
        <v>548</v>
      </c>
      <c r="C776" t="s">
        <v>1243</v>
      </c>
      <c r="D776" t="s">
        <v>1486</v>
      </c>
      <c r="E776" t="s">
        <v>44</v>
      </c>
      <c r="F776" s="1">
        <v>44848</v>
      </c>
      <c r="G776" s="28">
        <v>12</v>
      </c>
      <c r="H776" s="26">
        <v>131830</v>
      </c>
      <c r="I776" t="s">
        <v>610</v>
      </c>
      <c r="J776" t="s">
        <v>16</v>
      </c>
      <c r="K776" t="s">
        <v>17</v>
      </c>
      <c r="L776" t="s">
        <v>29</v>
      </c>
      <c r="M776" t="s">
        <v>1489</v>
      </c>
      <c r="N776" s="7">
        <f t="shared" si="24"/>
        <v>1581960</v>
      </c>
      <c r="O776" s="7">
        <f t="shared" si="25"/>
        <v>13183</v>
      </c>
    </row>
    <row r="777" spans="1:15" x14ac:dyDescent="0.35">
      <c r="A777" s="5">
        <v>776</v>
      </c>
      <c r="B777" t="s">
        <v>801</v>
      </c>
      <c r="C777" t="s">
        <v>1244</v>
      </c>
      <c r="D777" t="s">
        <v>1486</v>
      </c>
      <c r="E777" t="s">
        <v>69</v>
      </c>
      <c r="F777" s="1">
        <v>46292</v>
      </c>
      <c r="G777" s="28">
        <v>8</v>
      </c>
      <c r="H777" s="26">
        <v>107535</v>
      </c>
      <c r="I777" t="s">
        <v>796</v>
      </c>
      <c r="J777" t="s">
        <v>39</v>
      </c>
      <c r="K777" t="s">
        <v>40</v>
      </c>
      <c r="L777" t="s">
        <v>41</v>
      </c>
      <c r="M777" t="s">
        <v>1489</v>
      </c>
      <c r="N777" s="7">
        <f t="shared" si="24"/>
        <v>1290420</v>
      </c>
      <c r="O777" s="7">
        <f t="shared" si="25"/>
        <v>10753.5</v>
      </c>
    </row>
    <row r="778" spans="1:15" x14ac:dyDescent="0.35">
      <c r="A778" s="5">
        <v>777</v>
      </c>
      <c r="B778" t="s">
        <v>333</v>
      </c>
      <c r="C778" t="s">
        <v>1245</v>
      </c>
      <c r="D778" t="s">
        <v>1485</v>
      </c>
      <c r="E778" t="s">
        <v>100</v>
      </c>
      <c r="F778" s="1">
        <v>37210</v>
      </c>
      <c r="G778" s="28">
        <v>20</v>
      </c>
      <c r="H778" s="26">
        <v>95548</v>
      </c>
      <c r="I778" t="s">
        <v>58</v>
      </c>
      <c r="J778" t="s">
        <v>28</v>
      </c>
      <c r="K778" t="s">
        <v>17</v>
      </c>
      <c r="L778" t="s">
        <v>29</v>
      </c>
      <c r="M778" t="s">
        <v>1489</v>
      </c>
      <c r="N778" s="7">
        <f t="shared" si="24"/>
        <v>1146576</v>
      </c>
      <c r="O778" s="7">
        <f t="shared" si="25"/>
        <v>9554.8000000000011</v>
      </c>
    </row>
    <row r="779" spans="1:15" x14ac:dyDescent="0.35">
      <c r="A779" s="5">
        <v>778</v>
      </c>
      <c r="B779" t="s">
        <v>279</v>
      </c>
      <c r="C779" t="s">
        <v>1246</v>
      </c>
      <c r="D779" t="s">
        <v>1485</v>
      </c>
      <c r="E779" t="s">
        <v>26</v>
      </c>
      <c r="F779" s="1">
        <v>41410</v>
      </c>
      <c r="G779" s="28">
        <v>8</v>
      </c>
      <c r="H779" s="26">
        <v>116487</v>
      </c>
      <c r="I779" t="s">
        <v>336</v>
      </c>
      <c r="J779" t="s">
        <v>46</v>
      </c>
      <c r="K779" t="s">
        <v>17</v>
      </c>
      <c r="L779" t="s">
        <v>29</v>
      </c>
      <c r="M779" t="s">
        <v>1489</v>
      </c>
      <c r="N779" s="7">
        <f t="shared" si="24"/>
        <v>1397844</v>
      </c>
      <c r="O779" s="7">
        <f t="shared" si="25"/>
        <v>11648.7</v>
      </c>
    </row>
    <row r="780" spans="1:15" x14ac:dyDescent="0.35">
      <c r="A780" s="5">
        <v>779</v>
      </c>
      <c r="B780" t="s">
        <v>548</v>
      </c>
      <c r="C780" t="s">
        <v>1247</v>
      </c>
      <c r="D780" t="s">
        <v>1485</v>
      </c>
      <c r="E780" t="s">
        <v>37</v>
      </c>
      <c r="F780" s="1">
        <v>38386</v>
      </c>
      <c r="G780" s="28">
        <v>16</v>
      </c>
      <c r="H780" s="26">
        <v>148106</v>
      </c>
      <c r="I780" t="s">
        <v>62</v>
      </c>
      <c r="J780" t="s">
        <v>16</v>
      </c>
      <c r="K780" t="s">
        <v>17</v>
      </c>
      <c r="L780" t="s">
        <v>41</v>
      </c>
      <c r="M780" t="s">
        <v>1489</v>
      </c>
      <c r="N780" s="7">
        <f t="shared" si="24"/>
        <v>1777272</v>
      </c>
      <c r="O780" s="7">
        <f t="shared" si="25"/>
        <v>14810.6</v>
      </c>
    </row>
    <row r="781" spans="1:15" x14ac:dyDescent="0.35">
      <c r="A781" s="5">
        <v>780</v>
      </c>
      <c r="B781" t="s">
        <v>943</v>
      </c>
      <c r="C781" t="s">
        <v>1248</v>
      </c>
      <c r="D781" t="s">
        <v>1485</v>
      </c>
      <c r="E781" t="s">
        <v>79</v>
      </c>
      <c r="F781" s="1">
        <v>39176</v>
      </c>
      <c r="G781" s="28">
        <v>14</v>
      </c>
      <c r="H781" s="26">
        <v>135719</v>
      </c>
      <c r="I781" t="s">
        <v>394</v>
      </c>
      <c r="J781" t="s">
        <v>91</v>
      </c>
      <c r="K781" t="s">
        <v>40</v>
      </c>
      <c r="L781" t="s">
        <v>41</v>
      </c>
      <c r="M781" t="s">
        <v>1489</v>
      </c>
      <c r="N781" s="7">
        <f t="shared" si="24"/>
        <v>1628628</v>
      </c>
      <c r="O781" s="7">
        <f t="shared" si="25"/>
        <v>13571.900000000001</v>
      </c>
    </row>
    <row r="782" spans="1:15" x14ac:dyDescent="0.35">
      <c r="A782" s="5">
        <v>781</v>
      </c>
      <c r="B782" t="s">
        <v>71</v>
      </c>
      <c r="C782" t="s">
        <v>1249</v>
      </c>
      <c r="D782" t="s">
        <v>1486</v>
      </c>
      <c r="E782" t="s">
        <v>26</v>
      </c>
      <c r="F782" s="1">
        <v>45020</v>
      </c>
      <c r="G782" s="28">
        <v>11</v>
      </c>
      <c r="H782" s="26">
        <v>121300</v>
      </c>
      <c r="I782" t="s">
        <v>543</v>
      </c>
      <c r="J782" t="s">
        <v>91</v>
      </c>
      <c r="K782" t="s">
        <v>40</v>
      </c>
      <c r="L782" t="s">
        <v>29</v>
      </c>
      <c r="M782" t="s">
        <v>1489</v>
      </c>
      <c r="N782" s="7">
        <f t="shared" si="24"/>
        <v>1455600</v>
      </c>
      <c r="O782" s="7">
        <f t="shared" si="25"/>
        <v>12130</v>
      </c>
    </row>
    <row r="783" spans="1:15" x14ac:dyDescent="0.35">
      <c r="A783" s="5">
        <v>782</v>
      </c>
      <c r="B783" t="s">
        <v>127</v>
      </c>
      <c r="C783" t="s">
        <v>1250</v>
      </c>
      <c r="D783" t="s">
        <v>1485</v>
      </c>
      <c r="E783" t="s">
        <v>61</v>
      </c>
      <c r="F783" s="1">
        <v>40856</v>
      </c>
      <c r="G783" s="28">
        <v>10</v>
      </c>
      <c r="H783" s="26">
        <v>120226</v>
      </c>
      <c r="I783" t="s">
        <v>1038</v>
      </c>
      <c r="J783" t="s">
        <v>55</v>
      </c>
      <c r="K783" t="s">
        <v>17</v>
      </c>
      <c r="L783" t="s">
        <v>63</v>
      </c>
      <c r="M783" t="s">
        <v>1489</v>
      </c>
      <c r="N783" s="7">
        <f t="shared" si="24"/>
        <v>1442712</v>
      </c>
      <c r="O783" s="7">
        <f t="shared" si="25"/>
        <v>12022.6</v>
      </c>
    </row>
    <row r="784" spans="1:15" x14ac:dyDescent="0.35">
      <c r="A784" s="5">
        <v>783</v>
      </c>
      <c r="B784" t="s">
        <v>445</v>
      </c>
      <c r="C784" t="s">
        <v>1251</v>
      </c>
      <c r="D784" t="s">
        <v>1485</v>
      </c>
      <c r="E784" t="s">
        <v>26</v>
      </c>
      <c r="F784" s="1">
        <v>38212</v>
      </c>
      <c r="G784" s="28">
        <v>17</v>
      </c>
      <c r="H784" s="26">
        <v>44377</v>
      </c>
      <c r="I784" t="s">
        <v>349</v>
      </c>
      <c r="J784" t="s">
        <v>55</v>
      </c>
      <c r="K784" t="s">
        <v>17</v>
      </c>
      <c r="L784" t="s">
        <v>29</v>
      </c>
      <c r="M784" t="s">
        <v>1489</v>
      </c>
      <c r="N784" s="7">
        <f t="shared" si="24"/>
        <v>532524</v>
      </c>
      <c r="O784" s="7">
        <f t="shared" si="25"/>
        <v>4437.7</v>
      </c>
    </row>
    <row r="785" spans="1:15" x14ac:dyDescent="0.35">
      <c r="A785" s="5">
        <v>784</v>
      </c>
      <c r="B785" t="s">
        <v>445</v>
      </c>
      <c r="C785" t="s">
        <v>1252</v>
      </c>
      <c r="D785" t="s">
        <v>1485</v>
      </c>
      <c r="E785" t="s">
        <v>94</v>
      </c>
      <c r="F785" s="1">
        <v>39493</v>
      </c>
      <c r="G785" s="28">
        <v>13</v>
      </c>
      <c r="H785" s="26">
        <v>102001</v>
      </c>
      <c r="I785" t="s">
        <v>167</v>
      </c>
      <c r="J785" t="s">
        <v>55</v>
      </c>
      <c r="K785" t="s">
        <v>17</v>
      </c>
      <c r="L785" t="s">
        <v>18</v>
      </c>
      <c r="M785" t="s">
        <v>1489</v>
      </c>
      <c r="N785" s="7">
        <f t="shared" si="24"/>
        <v>1224012</v>
      </c>
      <c r="O785" s="7">
        <f t="shared" si="25"/>
        <v>10200.1</v>
      </c>
    </row>
    <row r="786" spans="1:15" x14ac:dyDescent="0.35">
      <c r="A786" s="5">
        <v>785</v>
      </c>
      <c r="B786" t="s">
        <v>589</v>
      </c>
      <c r="C786" t="s">
        <v>1253</v>
      </c>
      <c r="D786" t="s">
        <v>1485</v>
      </c>
      <c r="E786" t="s">
        <v>238</v>
      </c>
      <c r="F786" s="1">
        <v>39882</v>
      </c>
      <c r="G786" s="28">
        <v>12</v>
      </c>
      <c r="H786" s="26">
        <v>99151</v>
      </c>
      <c r="I786" t="s">
        <v>200</v>
      </c>
      <c r="J786" t="s">
        <v>46</v>
      </c>
      <c r="K786" t="s">
        <v>17</v>
      </c>
      <c r="L786" t="s">
        <v>63</v>
      </c>
      <c r="M786" t="s">
        <v>1489</v>
      </c>
      <c r="N786" s="7">
        <f t="shared" si="24"/>
        <v>1189812</v>
      </c>
      <c r="O786" s="7">
        <f t="shared" si="25"/>
        <v>9915.1</v>
      </c>
    </row>
    <row r="787" spans="1:15" x14ac:dyDescent="0.35">
      <c r="A787" s="5">
        <v>786</v>
      </c>
      <c r="B787" t="s">
        <v>131</v>
      </c>
      <c r="C787" t="s">
        <v>1254</v>
      </c>
      <c r="D787" t="s">
        <v>1485</v>
      </c>
      <c r="E787" t="s">
        <v>110</v>
      </c>
      <c r="F787" s="1">
        <v>36807</v>
      </c>
      <c r="G787" s="28">
        <v>21</v>
      </c>
      <c r="H787" s="26">
        <v>123427</v>
      </c>
      <c r="I787" t="s">
        <v>321</v>
      </c>
      <c r="J787" t="s">
        <v>55</v>
      </c>
      <c r="K787" t="s">
        <v>17</v>
      </c>
      <c r="L787" t="s">
        <v>112</v>
      </c>
      <c r="M787" t="s">
        <v>1489</v>
      </c>
      <c r="N787" s="7">
        <f t="shared" si="24"/>
        <v>1481124</v>
      </c>
      <c r="O787" s="7">
        <f t="shared" si="25"/>
        <v>12342.7</v>
      </c>
    </row>
    <row r="788" spans="1:15" x14ac:dyDescent="0.35">
      <c r="A788" s="5">
        <v>787</v>
      </c>
      <c r="B788" t="s">
        <v>47</v>
      </c>
      <c r="C788" t="s">
        <v>1255</v>
      </c>
      <c r="D788" t="s">
        <v>1486</v>
      </c>
      <c r="E788" t="s">
        <v>44</v>
      </c>
      <c r="F788" s="1">
        <v>37689</v>
      </c>
      <c r="G788" s="28">
        <v>18</v>
      </c>
      <c r="H788" s="26">
        <v>135695</v>
      </c>
      <c r="I788" t="s">
        <v>916</v>
      </c>
      <c r="J788" t="s">
        <v>50</v>
      </c>
      <c r="K788" t="s">
        <v>40</v>
      </c>
      <c r="L788" t="s">
        <v>29</v>
      </c>
      <c r="M788" t="s">
        <v>1489</v>
      </c>
      <c r="N788" s="7">
        <f t="shared" si="24"/>
        <v>1628340</v>
      </c>
      <c r="O788" s="7">
        <f t="shared" si="25"/>
        <v>13569.5</v>
      </c>
    </row>
    <row r="789" spans="1:15" x14ac:dyDescent="0.35">
      <c r="A789" s="5">
        <v>788</v>
      </c>
      <c r="B789" t="s">
        <v>42</v>
      </c>
      <c r="C789" t="s">
        <v>1256</v>
      </c>
      <c r="D789" t="s">
        <v>1486</v>
      </c>
      <c r="E789" t="s">
        <v>53</v>
      </c>
      <c r="F789" s="1">
        <v>38106</v>
      </c>
      <c r="G789" s="28">
        <v>17</v>
      </c>
      <c r="H789" s="26">
        <v>102793</v>
      </c>
      <c r="I789" t="s">
        <v>179</v>
      </c>
      <c r="J789" t="s">
        <v>55</v>
      </c>
      <c r="K789" t="s">
        <v>17</v>
      </c>
      <c r="L789" t="s">
        <v>23</v>
      </c>
      <c r="M789" t="s">
        <v>1489</v>
      </c>
      <c r="N789" s="7">
        <f t="shared" si="24"/>
        <v>1233516</v>
      </c>
      <c r="O789" s="7">
        <f t="shared" si="25"/>
        <v>10279.300000000001</v>
      </c>
    </row>
    <row r="790" spans="1:15" x14ac:dyDescent="0.35">
      <c r="A790" s="5">
        <v>789</v>
      </c>
      <c r="B790" t="s">
        <v>56</v>
      </c>
      <c r="C790" t="s">
        <v>1257</v>
      </c>
      <c r="D790" t="s">
        <v>1485</v>
      </c>
      <c r="E790" t="s">
        <v>69</v>
      </c>
      <c r="F790" s="1">
        <v>38431</v>
      </c>
      <c r="G790" s="28">
        <v>16</v>
      </c>
      <c r="H790" s="26">
        <v>130188</v>
      </c>
      <c r="I790" t="s">
        <v>490</v>
      </c>
      <c r="J790" t="s">
        <v>46</v>
      </c>
      <c r="K790" t="s">
        <v>17</v>
      </c>
      <c r="L790" t="s">
        <v>41</v>
      </c>
      <c r="M790" t="s">
        <v>1489</v>
      </c>
      <c r="N790" s="7">
        <f t="shared" si="24"/>
        <v>1562256</v>
      </c>
      <c r="O790" s="7">
        <f t="shared" si="25"/>
        <v>13018.800000000001</v>
      </c>
    </row>
    <row r="791" spans="1:15" x14ac:dyDescent="0.35">
      <c r="A791" s="5">
        <v>790</v>
      </c>
      <c r="B791" t="s">
        <v>30</v>
      </c>
      <c r="C791" t="s">
        <v>1258</v>
      </c>
      <c r="D791" t="s">
        <v>1486</v>
      </c>
      <c r="E791" t="s">
        <v>89</v>
      </c>
      <c r="F791" s="1">
        <v>46137</v>
      </c>
      <c r="G791" s="28">
        <v>8</v>
      </c>
      <c r="H791" s="26">
        <v>97607</v>
      </c>
      <c r="I791" t="s">
        <v>381</v>
      </c>
      <c r="J791" t="s">
        <v>28</v>
      </c>
      <c r="K791" t="s">
        <v>17</v>
      </c>
      <c r="L791" t="s">
        <v>41</v>
      </c>
      <c r="M791" t="s">
        <v>1489</v>
      </c>
      <c r="N791" s="7">
        <f t="shared" si="24"/>
        <v>1171284</v>
      </c>
      <c r="O791" s="7">
        <f t="shared" si="25"/>
        <v>9760.7000000000007</v>
      </c>
    </row>
    <row r="792" spans="1:15" x14ac:dyDescent="0.35">
      <c r="A792" s="5">
        <v>791</v>
      </c>
      <c r="B792" t="s">
        <v>42</v>
      </c>
      <c r="C792" t="s">
        <v>1259</v>
      </c>
      <c r="D792" t="s">
        <v>1486</v>
      </c>
      <c r="E792" t="s">
        <v>21</v>
      </c>
      <c r="F792" s="1">
        <v>46367</v>
      </c>
      <c r="G792" s="28">
        <v>8</v>
      </c>
      <c r="H792" s="26">
        <v>93534</v>
      </c>
      <c r="I792" t="s">
        <v>992</v>
      </c>
      <c r="J792" t="s">
        <v>46</v>
      </c>
      <c r="K792" t="s">
        <v>17</v>
      </c>
      <c r="L792" t="s">
        <v>23</v>
      </c>
      <c r="M792" t="s">
        <v>1489</v>
      </c>
      <c r="N792" s="7">
        <f t="shared" si="24"/>
        <v>1122408</v>
      </c>
      <c r="O792" s="7">
        <f t="shared" si="25"/>
        <v>9353.4</v>
      </c>
    </row>
    <row r="793" spans="1:15" x14ac:dyDescent="0.35">
      <c r="A793" s="5">
        <v>792</v>
      </c>
      <c r="B793" t="s">
        <v>682</v>
      </c>
      <c r="C793" t="s">
        <v>1260</v>
      </c>
      <c r="D793" t="s">
        <v>1485</v>
      </c>
      <c r="E793" t="s">
        <v>100</v>
      </c>
      <c r="F793" s="1">
        <v>39345</v>
      </c>
      <c r="G793" s="28">
        <v>14</v>
      </c>
      <c r="H793" s="26">
        <v>95787</v>
      </c>
      <c r="I793" t="s">
        <v>493</v>
      </c>
      <c r="J793" t="s">
        <v>16</v>
      </c>
      <c r="K793" t="s">
        <v>17</v>
      </c>
      <c r="L793" t="s">
        <v>29</v>
      </c>
      <c r="M793" t="s">
        <v>1489</v>
      </c>
      <c r="N793" s="7">
        <f t="shared" si="24"/>
        <v>1149444</v>
      </c>
      <c r="O793" s="7">
        <f t="shared" si="25"/>
        <v>9578.7000000000007</v>
      </c>
    </row>
    <row r="794" spans="1:15" x14ac:dyDescent="0.35">
      <c r="A794" s="5">
        <v>793</v>
      </c>
      <c r="B794" t="s">
        <v>108</v>
      </c>
      <c r="C794" t="s">
        <v>1261</v>
      </c>
      <c r="D794" t="s">
        <v>1486</v>
      </c>
      <c r="E794" t="s">
        <v>79</v>
      </c>
      <c r="F794" s="1">
        <v>45398</v>
      </c>
      <c r="G794" s="28">
        <v>10</v>
      </c>
      <c r="H794" s="26">
        <v>120086</v>
      </c>
      <c r="I794" t="s">
        <v>497</v>
      </c>
      <c r="J794" t="s">
        <v>50</v>
      </c>
      <c r="K794" t="s">
        <v>40</v>
      </c>
      <c r="L794" t="s">
        <v>41</v>
      </c>
      <c r="M794" t="s">
        <v>1489</v>
      </c>
      <c r="N794" s="7">
        <f t="shared" si="24"/>
        <v>1441032</v>
      </c>
      <c r="O794" s="7">
        <f t="shared" si="25"/>
        <v>12008.6</v>
      </c>
    </row>
    <row r="795" spans="1:15" x14ac:dyDescent="0.35">
      <c r="A795" s="5">
        <v>794</v>
      </c>
      <c r="B795" t="s">
        <v>412</v>
      </c>
      <c r="C795" t="s">
        <v>1262</v>
      </c>
      <c r="D795" t="s">
        <v>1486</v>
      </c>
      <c r="E795" t="s">
        <v>148</v>
      </c>
      <c r="F795" s="1">
        <v>44562</v>
      </c>
      <c r="G795" s="28">
        <v>12</v>
      </c>
      <c r="H795" s="26">
        <v>119414</v>
      </c>
      <c r="I795" t="s">
        <v>904</v>
      </c>
      <c r="J795" t="s">
        <v>46</v>
      </c>
      <c r="K795" t="s">
        <v>17</v>
      </c>
      <c r="L795" t="s">
        <v>112</v>
      </c>
      <c r="M795" t="s">
        <v>1489</v>
      </c>
      <c r="N795" s="7">
        <f t="shared" si="24"/>
        <v>1432968</v>
      </c>
      <c r="O795" s="7">
        <f t="shared" si="25"/>
        <v>11941.400000000001</v>
      </c>
    </row>
    <row r="796" spans="1:15" x14ac:dyDescent="0.35">
      <c r="A796" s="5">
        <v>795</v>
      </c>
      <c r="B796" t="s">
        <v>934</v>
      </c>
      <c r="C796" t="s">
        <v>1263</v>
      </c>
      <c r="D796" t="s">
        <v>1486</v>
      </c>
      <c r="E796" t="s">
        <v>110</v>
      </c>
      <c r="F796" s="1">
        <v>44451</v>
      </c>
      <c r="G796" s="28">
        <v>13</v>
      </c>
      <c r="H796" s="26">
        <v>79952</v>
      </c>
      <c r="I796" t="s">
        <v>74</v>
      </c>
      <c r="J796" t="s">
        <v>55</v>
      </c>
      <c r="K796" t="s">
        <v>17</v>
      </c>
      <c r="L796" t="s">
        <v>112</v>
      </c>
      <c r="M796" t="s">
        <v>1489</v>
      </c>
      <c r="N796" s="7">
        <f t="shared" si="24"/>
        <v>959424</v>
      </c>
      <c r="O796" s="7">
        <f t="shared" si="25"/>
        <v>7995.2000000000007</v>
      </c>
    </row>
    <row r="797" spans="1:15" x14ac:dyDescent="0.35">
      <c r="A797" s="5">
        <v>796</v>
      </c>
      <c r="B797" t="s">
        <v>118</v>
      </c>
      <c r="C797" t="s">
        <v>1264</v>
      </c>
      <c r="D797" t="s">
        <v>1485</v>
      </c>
      <c r="E797" t="s">
        <v>129</v>
      </c>
      <c r="F797" s="1">
        <v>38216</v>
      </c>
      <c r="G797" s="28">
        <v>17</v>
      </c>
      <c r="H797" s="26">
        <v>138682</v>
      </c>
      <c r="I797" t="s">
        <v>425</v>
      </c>
      <c r="J797" t="s">
        <v>39</v>
      </c>
      <c r="K797" t="s">
        <v>40</v>
      </c>
      <c r="L797" t="s">
        <v>41</v>
      </c>
      <c r="M797" t="s">
        <v>1489</v>
      </c>
      <c r="N797" s="7">
        <f t="shared" si="24"/>
        <v>1664184</v>
      </c>
      <c r="O797" s="7">
        <f t="shared" si="25"/>
        <v>13868.2</v>
      </c>
    </row>
    <row r="798" spans="1:15" x14ac:dyDescent="0.35">
      <c r="A798" s="5">
        <v>797</v>
      </c>
      <c r="B798" t="s">
        <v>772</v>
      </c>
      <c r="C798" t="s">
        <v>1265</v>
      </c>
      <c r="D798" t="s">
        <v>1486</v>
      </c>
      <c r="E798" t="s">
        <v>203</v>
      </c>
      <c r="F798" s="1">
        <v>37761</v>
      </c>
      <c r="G798" s="28">
        <v>18</v>
      </c>
      <c r="H798" s="26">
        <v>49667</v>
      </c>
      <c r="I798" t="s">
        <v>581</v>
      </c>
      <c r="J798" t="s">
        <v>50</v>
      </c>
      <c r="K798" t="s">
        <v>40</v>
      </c>
      <c r="L798" t="s">
        <v>41</v>
      </c>
      <c r="M798" t="s">
        <v>1489</v>
      </c>
      <c r="N798" s="7">
        <f t="shared" si="24"/>
        <v>596004</v>
      </c>
      <c r="O798" s="7">
        <f t="shared" si="25"/>
        <v>4966.7000000000007</v>
      </c>
    </row>
    <row r="799" spans="1:15" x14ac:dyDescent="0.35">
      <c r="A799" s="5">
        <v>798</v>
      </c>
      <c r="B799" t="s">
        <v>1008</v>
      </c>
      <c r="C799" t="s">
        <v>1266</v>
      </c>
      <c r="D799" t="s">
        <v>1485</v>
      </c>
      <c r="E799" t="s">
        <v>110</v>
      </c>
      <c r="F799" s="1">
        <v>39642</v>
      </c>
      <c r="G799" s="28">
        <v>13</v>
      </c>
      <c r="H799" s="26">
        <v>83798</v>
      </c>
      <c r="I799" t="s">
        <v>349</v>
      </c>
      <c r="J799" t="s">
        <v>91</v>
      </c>
      <c r="K799" t="s">
        <v>40</v>
      </c>
      <c r="L799" t="s">
        <v>112</v>
      </c>
      <c r="M799" t="s">
        <v>1489</v>
      </c>
      <c r="N799" s="7">
        <f t="shared" si="24"/>
        <v>1005576</v>
      </c>
      <c r="O799" s="7">
        <f t="shared" si="25"/>
        <v>8379.8000000000011</v>
      </c>
    </row>
    <row r="800" spans="1:15" x14ac:dyDescent="0.35">
      <c r="A800" s="5">
        <v>799</v>
      </c>
      <c r="B800" t="s">
        <v>333</v>
      </c>
      <c r="C800" t="s">
        <v>1267</v>
      </c>
      <c r="D800" t="s">
        <v>1486</v>
      </c>
      <c r="E800" t="s">
        <v>69</v>
      </c>
      <c r="F800" s="1">
        <v>46090</v>
      </c>
      <c r="G800" s="28">
        <v>8</v>
      </c>
      <c r="H800" s="26">
        <v>146024</v>
      </c>
      <c r="I800" t="s">
        <v>908</v>
      </c>
      <c r="J800" t="s">
        <v>39</v>
      </c>
      <c r="K800" t="s">
        <v>40</v>
      </c>
      <c r="L800" t="s">
        <v>41</v>
      </c>
      <c r="M800" t="s">
        <v>1489</v>
      </c>
      <c r="N800" s="7">
        <f t="shared" si="24"/>
        <v>1752288</v>
      </c>
      <c r="O800" s="7">
        <f t="shared" si="25"/>
        <v>14602.400000000001</v>
      </c>
    </row>
    <row r="801" spans="1:15" x14ac:dyDescent="0.35">
      <c r="A801" s="5">
        <v>800</v>
      </c>
      <c r="B801" t="s">
        <v>519</v>
      </c>
      <c r="C801" t="s">
        <v>1268</v>
      </c>
      <c r="D801" t="s">
        <v>1485</v>
      </c>
      <c r="E801" t="s">
        <v>148</v>
      </c>
      <c r="F801" s="1">
        <v>36777</v>
      </c>
      <c r="G801" s="28">
        <v>21</v>
      </c>
      <c r="H801" s="26">
        <v>144841</v>
      </c>
      <c r="I801" t="s">
        <v>228</v>
      </c>
      <c r="J801" t="s">
        <v>55</v>
      </c>
      <c r="K801" t="s">
        <v>17</v>
      </c>
      <c r="L801" t="s">
        <v>112</v>
      </c>
      <c r="M801" t="s">
        <v>1489</v>
      </c>
      <c r="N801" s="7">
        <f t="shared" si="24"/>
        <v>1738092</v>
      </c>
      <c r="O801" s="7">
        <f t="shared" si="25"/>
        <v>14484.1</v>
      </c>
    </row>
    <row r="802" spans="1:15" x14ac:dyDescent="0.35">
      <c r="A802" s="5">
        <v>801</v>
      </c>
      <c r="B802" t="s">
        <v>275</v>
      </c>
      <c r="C802" t="s">
        <v>1269</v>
      </c>
      <c r="D802" t="s">
        <v>1486</v>
      </c>
      <c r="E802" t="s">
        <v>61</v>
      </c>
      <c r="F802" s="1">
        <v>45920</v>
      </c>
      <c r="G802" s="28">
        <v>9</v>
      </c>
      <c r="H802" s="26">
        <v>101582</v>
      </c>
      <c r="I802" t="s">
        <v>1270</v>
      </c>
      <c r="J802" t="s">
        <v>39</v>
      </c>
      <c r="K802" t="s">
        <v>40</v>
      </c>
      <c r="L802" t="s">
        <v>63</v>
      </c>
      <c r="M802" t="s">
        <v>1489</v>
      </c>
      <c r="N802" s="7">
        <f t="shared" si="24"/>
        <v>1218984</v>
      </c>
      <c r="O802" s="7">
        <f t="shared" si="25"/>
        <v>10158.200000000001</v>
      </c>
    </row>
    <row r="803" spans="1:15" x14ac:dyDescent="0.35">
      <c r="A803" s="5">
        <v>802</v>
      </c>
      <c r="B803" t="s">
        <v>236</v>
      </c>
      <c r="C803" t="s">
        <v>1271</v>
      </c>
      <c r="D803" t="s">
        <v>1486</v>
      </c>
      <c r="E803" t="s">
        <v>61</v>
      </c>
      <c r="F803" s="1">
        <v>38867</v>
      </c>
      <c r="G803" s="28">
        <v>15</v>
      </c>
      <c r="H803" s="26">
        <v>100716</v>
      </c>
      <c r="I803" t="s">
        <v>327</v>
      </c>
      <c r="J803" t="s">
        <v>28</v>
      </c>
      <c r="K803" t="s">
        <v>17</v>
      </c>
      <c r="L803" t="s">
        <v>63</v>
      </c>
      <c r="M803" t="s">
        <v>1489</v>
      </c>
      <c r="N803" s="7">
        <f t="shared" si="24"/>
        <v>1208592</v>
      </c>
      <c r="O803" s="7">
        <f t="shared" si="25"/>
        <v>10071.6</v>
      </c>
    </row>
    <row r="804" spans="1:15" x14ac:dyDescent="0.35">
      <c r="A804" s="5">
        <v>803</v>
      </c>
      <c r="B804" t="s">
        <v>288</v>
      </c>
      <c r="C804" t="s">
        <v>1272</v>
      </c>
      <c r="D804" t="s">
        <v>1486</v>
      </c>
      <c r="E804" t="s">
        <v>129</v>
      </c>
      <c r="F804" s="1">
        <v>45367</v>
      </c>
      <c r="G804" s="28">
        <v>10</v>
      </c>
      <c r="H804" s="26">
        <v>72016</v>
      </c>
      <c r="I804" t="s">
        <v>598</v>
      </c>
      <c r="J804" t="s">
        <v>55</v>
      </c>
      <c r="K804" t="s">
        <v>17</v>
      </c>
      <c r="L804" t="s">
        <v>41</v>
      </c>
      <c r="M804" t="s">
        <v>1489</v>
      </c>
      <c r="N804" s="7">
        <f t="shared" si="24"/>
        <v>864192</v>
      </c>
      <c r="O804" s="7">
        <f t="shared" si="25"/>
        <v>7201.6</v>
      </c>
    </row>
    <row r="805" spans="1:15" x14ac:dyDescent="0.35">
      <c r="A805" s="5">
        <v>804</v>
      </c>
      <c r="B805" t="s">
        <v>650</v>
      </c>
      <c r="C805" t="s">
        <v>1273</v>
      </c>
      <c r="D805" t="s">
        <v>1486</v>
      </c>
      <c r="E805" t="s">
        <v>122</v>
      </c>
      <c r="F805" s="1">
        <v>38564</v>
      </c>
      <c r="G805" s="28">
        <v>16</v>
      </c>
      <c r="H805" s="26">
        <v>123156</v>
      </c>
      <c r="I805" t="s">
        <v>472</v>
      </c>
      <c r="J805" t="s">
        <v>46</v>
      </c>
      <c r="K805" t="s">
        <v>17</v>
      </c>
      <c r="L805" t="s">
        <v>123</v>
      </c>
      <c r="M805" t="s">
        <v>1489</v>
      </c>
      <c r="N805" s="7">
        <f t="shared" si="24"/>
        <v>1477872</v>
      </c>
      <c r="O805" s="7">
        <f t="shared" si="25"/>
        <v>12315.6</v>
      </c>
    </row>
    <row r="806" spans="1:15" x14ac:dyDescent="0.35">
      <c r="A806" s="5">
        <v>805</v>
      </c>
      <c r="B806" t="s">
        <v>480</v>
      </c>
      <c r="C806" t="s">
        <v>1274</v>
      </c>
      <c r="D806" t="s">
        <v>1485</v>
      </c>
      <c r="E806" t="s">
        <v>73</v>
      </c>
      <c r="F806" s="1">
        <v>41864</v>
      </c>
      <c r="G806" s="28">
        <v>7</v>
      </c>
      <c r="H806" s="26">
        <v>110058</v>
      </c>
      <c r="I806" t="s">
        <v>115</v>
      </c>
      <c r="J806" t="s">
        <v>46</v>
      </c>
      <c r="K806" t="s">
        <v>17</v>
      </c>
      <c r="L806" t="s">
        <v>41</v>
      </c>
      <c r="M806" t="s">
        <v>1489</v>
      </c>
      <c r="N806" s="7">
        <f t="shared" si="24"/>
        <v>1320696</v>
      </c>
      <c r="O806" s="7">
        <f t="shared" si="25"/>
        <v>11005.800000000001</v>
      </c>
    </row>
    <row r="807" spans="1:15" x14ac:dyDescent="0.35">
      <c r="A807" s="5">
        <v>806</v>
      </c>
      <c r="B807" t="s">
        <v>1187</v>
      </c>
      <c r="C807" t="s">
        <v>1275</v>
      </c>
      <c r="D807" t="s">
        <v>1485</v>
      </c>
      <c r="E807" t="s">
        <v>312</v>
      </c>
      <c r="F807" s="1">
        <v>40892</v>
      </c>
      <c r="G807" s="28">
        <v>10</v>
      </c>
      <c r="H807" s="26">
        <v>117092</v>
      </c>
      <c r="I807" t="s">
        <v>459</v>
      </c>
      <c r="J807" t="s">
        <v>91</v>
      </c>
      <c r="K807" t="s">
        <v>40</v>
      </c>
      <c r="L807" t="s">
        <v>41</v>
      </c>
      <c r="M807" t="s">
        <v>1489</v>
      </c>
      <c r="N807" s="7">
        <f t="shared" si="24"/>
        <v>1405104</v>
      </c>
      <c r="O807" s="7">
        <f t="shared" si="25"/>
        <v>11709.2</v>
      </c>
    </row>
    <row r="808" spans="1:15" x14ac:dyDescent="0.35">
      <c r="A808" s="5">
        <v>807</v>
      </c>
      <c r="B808" t="s">
        <v>363</v>
      </c>
      <c r="C808" t="s">
        <v>1276</v>
      </c>
      <c r="D808" t="s">
        <v>1485</v>
      </c>
      <c r="E808" t="s">
        <v>100</v>
      </c>
      <c r="F808" s="1">
        <v>38701</v>
      </c>
      <c r="G808" s="28">
        <v>16</v>
      </c>
      <c r="H808" s="26">
        <v>148816</v>
      </c>
      <c r="I808" t="s">
        <v>235</v>
      </c>
      <c r="J808" t="s">
        <v>55</v>
      </c>
      <c r="K808" t="s">
        <v>17</v>
      </c>
      <c r="L808" t="s">
        <v>29</v>
      </c>
      <c r="M808" t="s">
        <v>1489</v>
      </c>
      <c r="N808" s="7">
        <f t="shared" si="24"/>
        <v>1785792</v>
      </c>
      <c r="O808" s="7">
        <f t="shared" si="25"/>
        <v>14881.6</v>
      </c>
    </row>
    <row r="809" spans="1:15" x14ac:dyDescent="0.35">
      <c r="A809" s="5">
        <v>808</v>
      </c>
      <c r="B809" t="s">
        <v>224</v>
      </c>
      <c r="C809" t="s">
        <v>1277</v>
      </c>
      <c r="D809" t="s">
        <v>1486</v>
      </c>
      <c r="E809" t="s">
        <v>79</v>
      </c>
      <c r="F809" s="1">
        <v>44665</v>
      </c>
      <c r="G809" s="28">
        <v>12</v>
      </c>
      <c r="H809" s="26">
        <v>79031</v>
      </c>
      <c r="I809" t="s">
        <v>169</v>
      </c>
      <c r="J809" t="s">
        <v>28</v>
      </c>
      <c r="K809" t="s">
        <v>17</v>
      </c>
      <c r="L809" t="s">
        <v>41</v>
      </c>
      <c r="M809" t="s">
        <v>1489</v>
      </c>
      <c r="N809" s="7">
        <f t="shared" si="24"/>
        <v>948372</v>
      </c>
      <c r="O809" s="7">
        <f t="shared" si="25"/>
        <v>7903.1</v>
      </c>
    </row>
    <row r="810" spans="1:15" x14ac:dyDescent="0.35">
      <c r="A810" s="5">
        <v>809</v>
      </c>
      <c r="B810" t="s">
        <v>465</v>
      </c>
      <c r="C810" t="s">
        <v>1278</v>
      </c>
      <c r="D810" t="s">
        <v>1485</v>
      </c>
      <c r="E810" t="s">
        <v>26</v>
      </c>
      <c r="F810" s="1">
        <v>38938</v>
      </c>
      <c r="G810" s="28">
        <v>15</v>
      </c>
      <c r="H810" s="26">
        <v>128448</v>
      </c>
      <c r="I810" t="s">
        <v>349</v>
      </c>
      <c r="J810" t="s">
        <v>28</v>
      </c>
      <c r="K810" t="s">
        <v>17</v>
      </c>
      <c r="L810" t="s">
        <v>29</v>
      </c>
      <c r="M810" t="s">
        <v>1489</v>
      </c>
      <c r="N810" s="7">
        <f t="shared" si="24"/>
        <v>1541376</v>
      </c>
      <c r="O810" s="7">
        <f t="shared" si="25"/>
        <v>12844.800000000001</v>
      </c>
    </row>
    <row r="811" spans="1:15" x14ac:dyDescent="0.35">
      <c r="A811" s="5">
        <v>810</v>
      </c>
      <c r="B811" t="s">
        <v>521</v>
      </c>
      <c r="C811" t="s">
        <v>1279</v>
      </c>
      <c r="D811" t="s">
        <v>1486</v>
      </c>
      <c r="E811" t="s">
        <v>203</v>
      </c>
      <c r="F811" s="1">
        <v>46029</v>
      </c>
      <c r="G811" s="28">
        <v>8</v>
      </c>
      <c r="H811" s="26">
        <v>138478</v>
      </c>
      <c r="I811" t="s">
        <v>1071</v>
      </c>
      <c r="J811" t="s">
        <v>55</v>
      </c>
      <c r="K811" t="s">
        <v>17</v>
      </c>
      <c r="L811" t="s">
        <v>41</v>
      </c>
      <c r="M811" t="s">
        <v>1489</v>
      </c>
      <c r="N811" s="7">
        <f t="shared" si="24"/>
        <v>1661736</v>
      </c>
      <c r="O811" s="7">
        <f t="shared" si="25"/>
        <v>13847.800000000001</v>
      </c>
    </row>
    <row r="812" spans="1:15" x14ac:dyDescent="0.35">
      <c r="A812" s="5">
        <v>811</v>
      </c>
      <c r="B812" t="s">
        <v>474</v>
      </c>
      <c r="C812" t="s">
        <v>1280</v>
      </c>
      <c r="D812" t="s">
        <v>1485</v>
      </c>
      <c r="E812" t="s">
        <v>32</v>
      </c>
      <c r="F812" s="1">
        <v>40459</v>
      </c>
      <c r="G812" s="28">
        <v>11</v>
      </c>
      <c r="H812" s="26">
        <v>41026</v>
      </c>
      <c r="I812" t="s">
        <v>497</v>
      </c>
      <c r="J812" t="s">
        <v>46</v>
      </c>
      <c r="K812" t="s">
        <v>17</v>
      </c>
      <c r="L812" t="s">
        <v>34</v>
      </c>
      <c r="M812" t="s">
        <v>1489</v>
      </c>
      <c r="N812" s="7">
        <f t="shared" si="24"/>
        <v>492312</v>
      </c>
      <c r="O812" s="7">
        <f t="shared" si="25"/>
        <v>4102.6000000000004</v>
      </c>
    </row>
    <row r="813" spans="1:15" x14ac:dyDescent="0.35">
      <c r="A813" s="5">
        <v>812</v>
      </c>
      <c r="B813" t="s">
        <v>375</v>
      </c>
      <c r="C813" t="s">
        <v>1281</v>
      </c>
      <c r="D813" t="s">
        <v>1485</v>
      </c>
      <c r="E813" t="s">
        <v>129</v>
      </c>
      <c r="F813" s="1">
        <v>38985</v>
      </c>
      <c r="G813" s="28">
        <v>15</v>
      </c>
      <c r="H813" s="26">
        <v>131816</v>
      </c>
      <c r="I813" t="s">
        <v>62</v>
      </c>
      <c r="J813" t="s">
        <v>46</v>
      </c>
      <c r="K813" t="s">
        <v>17</v>
      </c>
      <c r="L813" t="s">
        <v>41</v>
      </c>
      <c r="M813" t="s">
        <v>1489</v>
      </c>
      <c r="N813" s="7">
        <f t="shared" si="24"/>
        <v>1581792</v>
      </c>
      <c r="O813" s="7">
        <f t="shared" si="25"/>
        <v>13181.6</v>
      </c>
    </row>
    <row r="814" spans="1:15" x14ac:dyDescent="0.35">
      <c r="A814" s="5">
        <v>813</v>
      </c>
      <c r="B814" t="s">
        <v>1282</v>
      </c>
      <c r="C814" t="s">
        <v>1283</v>
      </c>
      <c r="D814" t="s">
        <v>1486</v>
      </c>
      <c r="E814" t="s">
        <v>37</v>
      </c>
      <c r="F814" s="1">
        <v>46337</v>
      </c>
      <c r="G814" s="28">
        <v>8</v>
      </c>
      <c r="H814" s="26">
        <v>85647</v>
      </c>
      <c r="I814" t="s">
        <v>344</v>
      </c>
      <c r="J814" t="s">
        <v>50</v>
      </c>
      <c r="K814" t="s">
        <v>40</v>
      </c>
      <c r="L814" t="s">
        <v>41</v>
      </c>
      <c r="M814" t="s">
        <v>1489</v>
      </c>
      <c r="N814" s="7">
        <f t="shared" si="24"/>
        <v>1027764</v>
      </c>
      <c r="O814" s="7">
        <f t="shared" si="25"/>
        <v>8564.7000000000007</v>
      </c>
    </row>
    <row r="815" spans="1:15" x14ac:dyDescent="0.35">
      <c r="A815" s="5">
        <v>814</v>
      </c>
      <c r="B815" t="s">
        <v>423</v>
      </c>
      <c r="C815" t="s">
        <v>1284</v>
      </c>
      <c r="D815" t="s">
        <v>1485</v>
      </c>
      <c r="E815" t="s">
        <v>32</v>
      </c>
      <c r="F815" s="1">
        <v>36584</v>
      </c>
      <c r="G815" s="28">
        <v>21</v>
      </c>
      <c r="H815" s="26">
        <v>49457</v>
      </c>
      <c r="I815" t="s">
        <v>74</v>
      </c>
      <c r="J815" t="s">
        <v>55</v>
      </c>
      <c r="K815" t="s">
        <v>17</v>
      </c>
      <c r="L815" t="s">
        <v>34</v>
      </c>
      <c r="M815" t="s">
        <v>1489</v>
      </c>
      <c r="N815" s="7">
        <f t="shared" si="24"/>
        <v>593484</v>
      </c>
      <c r="O815" s="7">
        <f t="shared" si="25"/>
        <v>4945.7000000000007</v>
      </c>
    </row>
    <row r="816" spans="1:15" x14ac:dyDescent="0.35">
      <c r="A816" s="5">
        <v>815</v>
      </c>
      <c r="B816" t="s">
        <v>358</v>
      </c>
      <c r="C816" t="s">
        <v>1285</v>
      </c>
      <c r="D816" t="s">
        <v>1486</v>
      </c>
      <c r="E816" t="s">
        <v>110</v>
      </c>
      <c r="F816" s="1">
        <v>46661</v>
      </c>
      <c r="G816" s="28">
        <v>7</v>
      </c>
      <c r="H816" s="26">
        <v>80763</v>
      </c>
      <c r="I816" t="s">
        <v>66</v>
      </c>
      <c r="J816" t="s">
        <v>28</v>
      </c>
      <c r="K816" t="s">
        <v>17</v>
      </c>
      <c r="L816" t="s">
        <v>112</v>
      </c>
      <c r="M816" t="s">
        <v>1489</v>
      </c>
      <c r="N816" s="7">
        <f t="shared" si="24"/>
        <v>969156</v>
      </c>
      <c r="O816" s="7">
        <f t="shared" si="25"/>
        <v>8076.3</v>
      </c>
    </row>
    <row r="817" spans="1:15" x14ac:dyDescent="0.35">
      <c r="A817" s="5">
        <v>816</v>
      </c>
      <c r="B817" t="s">
        <v>1286</v>
      </c>
      <c r="C817" t="s">
        <v>1287</v>
      </c>
      <c r="D817" t="s">
        <v>1486</v>
      </c>
      <c r="E817" t="s">
        <v>129</v>
      </c>
      <c r="F817" s="1">
        <v>46385</v>
      </c>
      <c r="G817" s="28">
        <v>8</v>
      </c>
      <c r="H817" s="26">
        <v>107093</v>
      </c>
      <c r="I817" t="s">
        <v>169</v>
      </c>
      <c r="J817" t="s">
        <v>28</v>
      </c>
      <c r="K817" t="s">
        <v>17</v>
      </c>
      <c r="L817" t="s">
        <v>41</v>
      </c>
      <c r="M817" t="s">
        <v>1489</v>
      </c>
      <c r="N817" s="7">
        <f t="shared" si="24"/>
        <v>1285116</v>
      </c>
      <c r="O817" s="7">
        <f t="shared" si="25"/>
        <v>10709.300000000001</v>
      </c>
    </row>
    <row r="818" spans="1:15" x14ac:dyDescent="0.35">
      <c r="A818" s="5">
        <v>817</v>
      </c>
      <c r="B818" t="s">
        <v>182</v>
      </c>
      <c r="C818" t="s">
        <v>1288</v>
      </c>
      <c r="D818" t="s">
        <v>1485</v>
      </c>
      <c r="E818" t="s">
        <v>73</v>
      </c>
      <c r="F818" s="1">
        <v>39462</v>
      </c>
      <c r="G818" s="28">
        <v>13</v>
      </c>
      <c r="H818" s="26">
        <v>138970</v>
      </c>
      <c r="I818" t="s">
        <v>490</v>
      </c>
      <c r="J818" t="s">
        <v>39</v>
      </c>
      <c r="K818" t="s">
        <v>40</v>
      </c>
      <c r="L818" t="s">
        <v>41</v>
      </c>
      <c r="M818" t="s">
        <v>1489</v>
      </c>
      <c r="N818" s="7">
        <f t="shared" si="24"/>
        <v>1667640</v>
      </c>
      <c r="O818" s="7">
        <f t="shared" si="25"/>
        <v>13897</v>
      </c>
    </row>
    <row r="819" spans="1:15" x14ac:dyDescent="0.35">
      <c r="A819" s="5">
        <v>818</v>
      </c>
      <c r="B819" t="s">
        <v>762</v>
      </c>
      <c r="C819" t="s">
        <v>1289</v>
      </c>
      <c r="D819" t="s">
        <v>1486</v>
      </c>
      <c r="E819" t="s">
        <v>61</v>
      </c>
      <c r="F819" s="1">
        <v>37351</v>
      </c>
      <c r="G819" s="28">
        <v>19</v>
      </c>
      <c r="H819" s="26">
        <v>82077</v>
      </c>
      <c r="I819" t="s">
        <v>70</v>
      </c>
      <c r="J819" t="s">
        <v>55</v>
      </c>
      <c r="K819" t="s">
        <v>17</v>
      </c>
      <c r="L819" t="s">
        <v>63</v>
      </c>
      <c r="M819" t="s">
        <v>1489</v>
      </c>
      <c r="N819" s="7">
        <f t="shared" si="24"/>
        <v>984924</v>
      </c>
      <c r="O819" s="7">
        <f t="shared" si="25"/>
        <v>8207.7000000000007</v>
      </c>
    </row>
    <row r="820" spans="1:15" x14ac:dyDescent="0.35">
      <c r="A820" s="5">
        <v>819</v>
      </c>
      <c r="B820" t="s">
        <v>30</v>
      </c>
      <c r="C820" t="s">
        <v>1290</v>
      </c>
      <c r="D820" t="s">
        <v>1485</v>
      </c>
      <c r="E820" t="s">
        <v>100</v>
      </c>
      <c r="F820" s="1">
        <v>41979</v>
      </c>
      <c r="G820" s="28">
        <v>7</v>
      </c>
      <c r="H820" s="26">
        <v>83237</v>
      </c>
      <c r="I820" t="s">
        <v>179</v>
      </c>
      <c r="J820" t="s">
        <v>55</v>
      </c>
      <c r="K820" t="s">
        <v>17</v>
      </c>
      <c r="L820" t="s">
        <v>29</v>
      </c>
      <c r="M820" t="s">
        <v>1489</v>
      </c>
      <c r="N820" s="7">
        <f t="shared" si="24"/>
        <v>998844</v>
      </c>
      <c r="O820" s="7">
        <f t="shared" si="25"/>
        <v>8323.7000000000007</v>
      </c>
    </row>
    <row r="821" spans="1:15" x14ac:dyDescent="0.35">
      <c r="A821" s="5">
        <v>820</v>
      </c>
      <c r="B821" t="s">
        <v>198</v>
      </c>
      <c r="C821" t="s">
        <v>1291</v>
      </c>
      <c r="D821" t="s">
        <v>1485</v>
      </c>
      <c r="E821" t="s">
        <v>53</v>
      </c>
      <c r="F821" s="1">
        <v>37276</v>
      </c>
      <c r="G821" s="28">
        <v>19</v>
      </c>
      <c r="H821" s="26">
        <v>107749</v>
      </c>
      <c r="I821" t="s">
        <v>336</v>
      </c>
      <c r="J821" t="s">
        <v>16</v>
      </c>
      <c r="K821" t="s">
        <v>17</v>
      </c>
      <c r="L821" t="s">
        <v>23</v>
      </c>
      <c r="M821" t="s">
        <v>1489</v>
      </c>
      <c r="N821" s="7">
        <f t="shared" si="24"/>
        <v>1292988</v>
      </c>
      <c r="O821" s="7">
        <f t="shared" si="25"/>
        <v>10774.900000000001</v>
      </c>
    </row>
    <row r="822" spans="1:15" x14ac:dyDescent="0.35">
      <c r="A822" s="5">
        <v>821</v>
      </c>
      <c r="B822" t="s">
        <v>514</v>
      </c>
      <c r="C822" t="s">
        <v>1292</v>
      </c>
      <c r="D822" t="s">
        <v>1485</v>
      </c>
      <c r="E822" t="s">
        <v>32</v>
      </c>
      <c r="F822" s="1">
        <v>41079</v>
      </c>
      <c r="G822" s="28">
        <v>9</v>
      </c>
      <c r="H822" s="26">
        <v>149114</v>
      </c>
      <c r="I822" t="s">
        <v>115</v>
      </c>
      <c r="J822" t="s">
        <v>39</v>
      </c>
      <c r="K822" t="s">
        <v>40</v>
      </c>
      <c r="L822" t="s">
        <v>34</v>
      </c>
      <c r="M822" t="s">
        <v>1489</v>
      </c>
      <c r="N822" s="7">
        <f t="shared" si="24"/>
        <v>1789368</v>
      </c>
      <c r="O822" s="7">
        <f t="shared" si="25"/>
        <v>14911.400000000001</v>
      </c>
    </row>
    <row r="823" spans="1:15" x14ac:dyDescent="0.35">
      <c r="A823" s="5">
        <v>822</v>
      </c>
      <c r="B823" t="s">
        <v>548</v>
      </c>
      <c r="C823" t="s">
        <v>1293</v>
      </c>
      <c r="D823" t="s">
        <v>1485</v>
      </c>
      <c r="E823" t="s">
        <v>203</v>
      </c>
      <c r="F823" s="1">
        <v>39303</v>
      </c>
      <c r="G823" s="28">
        <v>14</v>
      </c>
      <c r="H823" s="26">
        <v>107240</v>
      </c>
      <c r="I823" t="s">
        <v>310</v>
      </c>
      <c r="J823" t="s">
        <v>55</v>
      </c>
      <c r="K823" t="s">
        <v>17</v>
      </c>
      <c r="L823" t="s">
        <v>41</v>
      </c>
      <c r="M823" t="s">
        <v>1489</v>
      </c>
      <c r="N823" s="7">
        <f t="shared" si="24"/>
        <v>1286880</v>
      </c>
      <c r="O823" s="7">
        <f t="shared" si="25"/>
        <v>10724</v>
      </c>
    </row>
    <row r="824" spans="1:15" x14ac:dyDescent="0.35">
      <c r="A824" s="5">
        <v>823</v>
      </c>
      <c r="B824" t="s">
        <v>474</v>
      </c>
      <c r="C824" t="s">
        <v>1294</v>
      </c>
      <c r="D824" t="s">
        <v>1486</v>
      </c>
      <c r="E824" t="s">
        <v>73</v>
      </c>
      <c r="F824" s="1">
        <v>44346</v>
      </c>
      <c r="G824" s="28">
        <v>13</v>
      </c>
      <c r="H824" s="26">
        <v>134334</v>
      </c>
      <c r="I824" t="s">
        <v>562</v>
      </c>
      <c r="J824" t="s">
        <v>39</v>
      </c>
      <c r="K824" t="s">
        <v>40</v>
      </c>
      <c r="L824" t="s">
        <v>41</v>
      </c>
      <c r="M824" t="s">
        <v>1489</v>
      </c>
      <c r="N824" s="7">
        <f t="shared" si="24"/>
        <v>1612008</v>
      </c>
      <c r="O824" s="7">
        <f t="shared" si="25"/>
        <v>13433.400000000001</v>
      </c>
    </row>
    <row r="825" spans="1:15" x14ac:dyDescent="0.35">
      <c r="A825" s="5">
        <v>824</v>
      </c>
      <c r="B825" t="s">
        <v>328</v>
      </c>
      <c r="C825" t="s">
        <v>1295</v>
      </c>
      <c r="D825" t="s">
        <v>1485</v>
      </c>
      <c r="E825" t="s">
        <v>37</v>
      </c>
      <c r="F825" s="1">
        <v>37525</v>
      </c>
      <c r="G825" s="28">
        <v>19</v>
      </c>
      <c r="H825" s="26">
        <v>72008</v>
      </c>
      <c r="I825" t="s">
        <v>610</v>
      </c>
      <c r="J825" t="s">
        <v>16</v>
      </c>
      <c r="K825" t="s">
        <v>17</v>
      </c>
      <c r="L825" t="s">
        <v>41</v>
      </c>
      <c r="M825" t="s">
        <v>1489</v>
      </c>
      <c r="N825" s="7">
        <f t="shared" si="24"/>
        <v>864096</v>
      </c>
      <c r="O825" s="7">
        <f t="shared" si="25"/>
        <v>7200.8</v>
      </c>
    </row>
    <row r="826" spans="1:15" x14ac:dyDescent="0.35">
      <c r="A826" s="5">
        <v>825</v>
      </c>
      <c r="B826" t="s">
        <v>788</v>
      </c>
      <c r="C826" t="s">
        <v>1296</v>
      </c>
      <c r="D826" t="s">
        <v>1485</v>
      </c>
      <c r="E826" t="s">
        <v>122</v>
      </c>
      <c r="F826" s="1">
        <v>36619</v>
      </c>
      <c r="G826" s="28">
        <v>21</v>
      </c>
      <c r="H826" s="26">
        <v>89285</v>
      </c>
      <c r="I826" t="s">
        <v>66</v>
      </c>
      <c r="J826" t="s">
        <v>91</v>
      </c>
      <c r="K826" t="s">
        <v>40</v>
      </c>
      <c r="L826" t="s">
        <v>123</v>
      </c>
      <c r="M826" t="s">
        <v>1489</v>
      </c>
      <c r="N826" s="7">
        <f t="shared" si="24"/>
        <v>1071420</v>
      </c>
      <c r="O826" s="7">
        <f t="shared" si="25"/>
        <v>8928.5</v>
      </c>
    </row>
    <row r="827" spans="1:15" x14ac:dyDescent="0.35">
      <c r="A827" s="5">
        <v>826</v>
      </c>
      <c r="B827" t="s">
        <v>201</v>
      </c>
      <c r="C827" t="s">
        <v>1297</v>
      </c>
      <c r="D827" t="s">
        <v>1486</v>
      </c>
      <c r="E827" t="s">
        <v>37</v>
      </c>
      <c r="F827" s="1">
        <v>37843</v>
      </c>
      <c r="G827" s="28">
        <v>18</v>
      </c>
      <c r="H827" s="26">
        <v>131075</v>
      </c>
      <c r="I827" t="s">
        <v>327</v>
      </c>
      <c r="J827" t="s">
        <v>16</v>
      </c>
      <c r="K827" t="s">
        <v>17</v>
      </c>
      <c r="L827" t="s">
        <v>41</v>
      </c>
      <c r="M827" t="s">
        <v>1489</v>
      </c>
      <c r="N827" s="7">
        <f t="shared" si="24"/>
        <v>1572900</v>
      </c>
      <c r="O827" s="7">
        <f t="shared" si="25"/>
        <v>13107.5</v>
      </c>
    </row>
    <row r="828" spans="1:15" x14ac:dyDescent="0.35">
      <c r="A828" s="5">
        <v>827</v>
      </c>
      <c r="B828" t="s">
        <v>523</v>
      </c>
      <c r="C828" t="s">
        <v>1298</v>
      </c>
      <c r="D828" t="s">
        <v>1485</v>
      </c>
      <c r="E828" t="s">
        <v>73</v>
      </c>
      <c r="F828" s="1">
        <v>39940</v>
      </c>
      <c r="G828" s="28">
        <v>12</v>
      </c>
      <c r="H828" s="26">
        <v>110383</v>
      </c>
      <c r="I828" t="s">
        <v>958</v>
      </c>
      <c r="J828" t="s">
        <v>55</v>
      </c>
      <c r="K828" t="s">
        <v>17</v>
      </c>
      <c r="L828" t="s">
        <v>41</v>
      </c>
      <c r="M828" t="s">
        <v>1489</v>
      </c>
      <c r="N828" s="7">
        <f t="shared" si="24"/>
        <v>1324596</v>
      </c>
      <c r="O828" s="7">
        <f t="shared" si="25"/>
        <v>11038.300000000001</v>
      </c>
    </row>
    <row r="829" spans="1:15" x14ac:dyDescent="0.35">
      <c r="A829" s="5">
        <v>828</v>
      </c>
      <c r="B829" t="s">
        <v>159</v>
      </c>
      <c r="C829" t="s">
        <v>1299</v>
      </c>
      <c r="D829" t="s">
        <v>1486</v>
      </c>
      <c r="E829" t="s">
        <v>44</v>
      </c>
      <c r="F829" s="1">
        <v>38551</v>
      </c>
      <c r="G829" s="28">
        <v>16</v>
      </c>
      <c r="H829" s="26">
        <v>149586</v>
      </c>
      <c r="I829" t="s">
        <v>617</v>
      </c>
      <c r="J829" t="s">
        <v>46</v>
      </c>
      <c r="K829" t="s">
        <v>17</v>
      </c>
      <c r="L829" t="s">
        <v>29</v>
      </c>
      <c r="M829" t="s">
        <v>1489</v>
      </c>
      <c r="N829" s="7">
        <f t="shared" si="24"/>
        <v>1795032</v>
      </c>
      <c r="O829" s="7">
        <f t="shared" si="25"/>
        <v>14958.6</v>
      </c>
    </row>
    <row r="830" spans="1:15" x14ac:dyDescent="0.35">
      <c r="A830" s="5">
        <v>829</v>
      </c>
      <c r="B830" t="s">
        <v>816</v>
      </c>
      <c r="C830" t="s">
        <v>1300</v>
      </c>
      <c r="D830" t="s">
        <v>1485</v>
      </c>
      <c r="E830" t="s">
        <v>203</v>
      </c>
      <c r="F830" s="1">
        <v>37587</v>
      </c>
      <c r="G830" s="28">
        <v>19</v>
      </c>
      <c r="H830" s="26">
        <v>89503</v>
      </c>
      <c r="I830" t="s">
        <v>709</v>
      </c>
      <c r="J830" t="s">
        <v>16</v>
      </c>
      <c r="K830" t="s">
        <v>17</v>
      </c>
      <c r="L830" t="s">
        <v>41</v>
      </c>
      <c r="M830" t="s">
        <v>1489</v>
      </c>
      <c r="N830" s="7">
        <f t="shared" si="24"/>
        <v>1074036</v>
      </c>
      <c r="O830" s="7">
        <f t="shared" si="25"/>
        <v>8950.3000000000011</v>
      </c>
    </row>
    <row r="831" spans="1:15" x14ac:dyDescent="0.35">
      <c r="A831" s="5">
        <v>830</v>
      </c>
      <c r="B831" t="s">
        <v>229</v>
      </c>
      <c r="C831" t="s">
        <v>1301</v>
      </c>
      <c r="D831" t="s">
        <v>1486</v>
      </c>
      <c r="E831" t="s">
        <v>14</v>
      </c>
      <c r="F831" s="1">
        <v>44999</v>
      </c>
      <c r="G831" s="28">
        <v>11</v>
      </c>
      <c r="H831" s="26">
        <v>149336</v>
      </c>
      <c r="I831" t="s">
        <v>226</v>
      </c>
      <c r="J831" t="s">
        <v>46</v>
      </c>
      <c r="K831" t="s">
        <v>17</v>
      </c>
      <c r="L831" t="s">
        <v>18</v>
      </c>
      <c r="M831" t="s">
        <v>1489</v>
      </c>
      <c r="N831" s="7">
        <f t="shared" si="24"/>
        <v>1792032</v>
      </c>
      <c r="O831" s="7">
        <f t="shared" si="25"/>
        <v>14933.6</v>
      </c>
    </row>
    <row r="832" spans="1:15" x14ac:dyDescent="0.35">
      <c r="A832" s="5">
        <v>831</v>
      </c>
      <c r="B832" t="s">
        <v>221</v>
      </c>
      <c r="C832" t="s">
        <v>1302</v>
      </c>
      <c r="D832" t="s">
        <v>1486</v>
      </c>
      <c r="E832" t="s">
        <v>148</v>
      </c>
      <c r="F832" s="1">
        <v>38959</v>
      </c>
      <c r="G832" s="28">
        <v>15</v>
      </c>
      <c r="H832" s="26">
        <v>140276</v>
      </c>
      <c r="I832" t="s">
        <v>169</v>
      </c>
      <c r="J832" t="s">
        <v>91</v>
      </c>
      <c r="K832" t="s">
        <v>40</v>
      </c>
      <c r="L832" t="s">
        <v>112</v>
      </c>
      <c r="M832" t="s">
        <v>1489</v>
      </c>
      <c r="N832" s="7">
        <f t="shared" si="24"/>
        <v>1683312</v>
      </c>
      <c r="O832" s="7">
        <f t="shared" si="25"/>
        <v>14027.6</v>
      </c>
    </row>
    <row r="833" spans="1:15" x14ac:dyDescent="0.35">
      <c r="A833" s="5">
        <v>832</v>
      </c>
      <c r="B833" t="s">
        <v>788</v>
      </c>
      <c r="C833" t="s">
        <v>1303</v>
      </c>
      <c r="D833" t="s">
        <v>1486</v>
      </c>
      <c r="E833" t="s">
        <v>79</v>
      </c>
      <c r="F833" s="1">
        <v>36989</v>
      </c>
      <c r="G833" s="28">
        <v>20</v>
      </c>
      <c r="H833" s="26">
        <v>127875</v>
      </c>
      <c r="I833" t="s">
        <v>659</v>
      </c>
      <c r="J833" t="s">
        <v>39</v>
      </c>
      <c r="K833" t="s">
        <v>40</v>
      </c>
      <c r="L833" t="s">
        <v>41</v>
      </c>
      <c r="M833" t="s">
        <v>1489</v>
      </c>
      <c r="N833" s="7">
        <f t="shared" si="24"/>
        <v>1534500</v>
      </c>
      <c r="O833" s="7">
        <f t="shared" si="25"/>
        <v>12787.5</v>
      </c>
    </row>
    <row r="834" spans="1:15" x14ac:dyDescent="0.35">
      <c r="A834" s="5">
        <v>833</v>
      </c>
      <c r="B834" t="s">
        <v>354</v>
      </c>
      <c r="C834" t="s">
        <v>1304</v>
      </c>
      <c r="D834" t="s">
        <v>1486</v>
      </c>
      <c r="E834" t="s">
        <v>238</v>
      </c>
      <c r="F834" s="1">
        <v>44710</v>
      </c>
      <c r="G834" s="28">
        <v>12</v>
      </c>
      <c r="H834" s="26">
        <v>137704</v>
      </c>
      <c r="I834" t="s">
        <v>581</v>
      </c>
      <c r="J834" t="s">
        <v>55</v>
      </c>
      <c r="K834" t="s">
        <v>17</v>
      </c>
      <c r="L834" t="s">
        <v>63</v>
      </c>
      <c r="M834" t="s">
        <v>1489</v>
      </c>
      <c r="N834" s="7">
        <f t="shared" ref="N834:N897" si="26">H834*12</f>
        <v>1652448</v>
      </c>
      <c r="O834" s="7">
        <f t="shared" ref="O834:O897" si="27">H834*10%</f>
        <v>13770.400000000001</v>
      </c>
    </row>
    <row r="835" spans="1:15" x14ac:dyDescent="0.35">
      <c r="A835" s="5">
        <v>834</v>
      </c>
      <c r="B835" t="s">
        <v>943</v>
      </c>
      <c r="C835" t="s">
        <v>1305</v>
      </c>
      <c r="D835" t="s">
        <v>1486</v>
      </c>
      <c r="E835" t="s">
        <v>79</v>
      </c>
      <c r="F835" s="1">
        <v>46039</v>
      </c>
      <c r="G835" s="28">
        <v>8</v>
      </c>
      <c r="H835" s="26">
        <v>149221</v>
      </c>
      <c r="I835" t="s">
        <v>247</v>
      </c>
      <c r="J835" t="s">
        <v>16</v>
      </c>
      <c r="K835" t="s">
        <v>17</v>
      </c>
      <c r="L835" t="s">
        <v>41</v>
      </c>
      <c r="M835" t="s">
        <v>1489</v>
      </c>
      <c r="N835" s="7">
        <f t="shared" si="26"/>
        <v>1790652</v>
      </c>
      <c r="O835" s="7">
        <f t="shared" si="27"/>
        <v>14922.1</v>
      </c>
    </row>
    <row r="836" spans="1:15" x14ac:dyDescent="0.35">
      <c r="A836" s="5">
        <v>835</v>
      </c>
      <c r="B836" t="s">
        <v>564</v>
      </c>
      <c r="C836" t="s">
        <v>1306</v>
      </c>
      <c r="D836" t="s">
        <v>1485</v>
      </c>
      <c r="E836" t="s">
        <v>73</v>
      </c>
      <c r="F836" s="1">
        <v>41794</v>
      </c>
      <c r="G836" s="28">
        <v>7</v>
      </c>
      <c r="H836" s="26">
        <v>148573</v>
      </c>
      <c r="I836" t="s">
        <v>111</v>
      </c>
      <c r="J836" t="s">
        <v>55</v>
      </c>
      <c r="K836" t="s">
        <v>17</v>
      </c>
      <c r="L836" t="s">
        <v>41</v>
      </c>
      <c r="M836" t="s">
        <v>1489</v>
      </c>
      <c r="N836" s="7">
        <f t="shared" si="26"/>
        <v>1782876</v>
      </c>
      <c r="O836" s="7">
        <f t="shared" si="27"/>
        <v>14857.300000000001</v>
      </c>
    </row>
    <row r="837" spans="1:15" x14ac:dyDescent="0.35">
      <c r="A837" s="5">
        <v>836</v>
      </c>
      <c r="B837" t="s">
        <v>233</v>
      </c>
      <c r="C837" t="s">
        <v>1307</v>
      </c>
      <c r="D837" t="s">
        <v>1486</v>
      </c>
      <c r="E837" t="s">
        <v>79</v>
      </c>
      <c r="F837" s="1">
        <v>37519</v>
      </c>
      <c r="G837" s="28">
        <v>19</v>
      </c>
      <c r="H837" s="26">
        <v>125378</v>
      </c>
      <c r="I837" t="s">
        <v>107</v>
      </c>
      <c r="J837" t="s">
        <v>55</v>
      </c>
      <c r="K837" t="s">
        <v>17</v>
      </c>
      <c r="L837" t="s">
        <v>41</v>
      </c>
      <c r="M837" t="s">
        <v>1489</v>
      </c>
      <c r="N837" s="7">
        <f t="shared" si="26"/>
        <v>1504536</v>
      </c>
      <c r="O837" s="7">
        <f t="shared" si="27"/>
        <v>12537.800000000001</v>
      </c>
    </row>
    <row r="838" spans="1:15" x14ac:dyDescent="0.35">
      <c r="A838" s="5">
        <v>837</v>
      </c>
      <c r="B838" t="s">
        <v>882</v>
      </c>
      <c r="C838" t="s">
        <v>1308</v>
      </c>
      <c r="D838" t="s">
        <v>1486</v>
      </c>
      <c r="E838" t="s">
        <v>32</v>
      </c>
      <c r="F838" s="1">
        <v>38972</v>
      </c>
      <c r="G838" s="28">
        <v>15</v>
      </c>
      <c r="H838" s="26">
        <v>66420</v>
      </c>
      <c r="I838" t="s">
        <v>397</v>
      </c>
      <c r="J838" t="s">
        <v>39</v>
      </c>
      <c r="K838" t="s">
        <v>40</v>
      </c>
      <c r="L838" t="s">
        <v>34</v>
      </c>
      <c r="M838" t="s">
        <v>1489</v>
      </c>
      <c r="N838" s="7">
        <f t="shared" si="26"/>
        <v>797040</v>
      </c>
      <c r="O838" s="7">
        <f t="shared" si="27"/>
        <v>6642</v>
      </c>
    </row>
    <row r="839" spans="1:15" x14ac:dyDescent="0.35">
      <c r="A839" s="5">
        <v>838</v>
      </c>
      <c r="B839" t="s">
        <v>67</v>
      </c>
      <c r="C839" t="s">
        <v>1309</v>
      </c>
      <c r="D839" t="s">
        <v>1485</v>
      </c>
      <c r="E839" t="s">
        <v>53</v>
      </c>
      <c r="F839" s="1">
        <v>39719</v>
      </c>
      <c r="G839" s="28">
        <v>13</v>
      </c>
      <c r="H839" s="26">
        <v>117171</v>
      </c>
      <c r="I839" t="s">
        <v>169</v>
      </c>
      <c r="J839" t="s">
        <v>55</v>
      </c>
      <c r="K839" t="s">
        <v>17</v>
      </c>
      <c r="L839" t="s">
        <v>23</v>
      </c>
      <c r="M839" t="s">
        <v>1489</v>
      </c>
      <c r="N839" s="7">
        <f t="shared" si="26"/>
        <v>1406052</v>
      </c>
      <c r="O839" s="7">
        <f t="shared" si="27"/>
        <v>11717.1</v>
      </c>
    </row>
    <row r="840" spans="1:15" x14ac:dyDescent="0.35">
      <c r="A840" s="5">
        <v>839</v>
      </c>
      <c r="B840" t="s">
        <v>638</v>
      </c>
      <c r="C840" t="s">
        <v>1310</v>
      </c>
      <c r="D840" t="s">
        <v>1486</v>
      </c>
      <c r="E840" t="s">
        <v>203</v>
      </c>
      <c r="F840" s="1">
        <v>44492</v>
      </c>
      <c r="G840" s="28">
        <v>13</v>
      </c>
      <c r="H840" s="26">
        <v>145962</v>
      </c>
      <c r="I840" t="s">
        <v>691</v>
      </c>
      <c r="J840" t="s">
        <v>28</v>
      </c>
      <c r="K840" t="s">
        <v>17</v>
      </c>
      <c r="L840" t="s">
        <v>41</v>
      </c>
      <c r="M840" t="s">
        <v>1489</v>
      </c>
      <c r="N840" s="7">
        <f t="shared" si="26"/>
        <v>1751544</v>
      </c>
      <c r="O840" s="7">
        <f t="shared" si="27"/>
        <v>14596.2</v>
      </c>
    </row>
    <row r="841" spans="1:15" x14ac:dyDescent="0.35">
      <c r="A841" s="5">
        <v>840</v>
      </c>
      <c r="B841" t="s">
        <v>273</v>
      </c>
      <c r="C841" t="s">
        <v>1311</v>
      </c>
      <c r="D841" t="s">
        <v>1485</v>
      </c>
      <c r="E841" t="s">
        <v>122</v>
      </c>
      <c r="F841" s="1">
        <v>37183</v>
      </c>
      <c r="G841" s="28">
        <v>20</v>
      </c>
      <c r="H841" s="26">
        <v>73778</v>
      </c>
      <c r="I841" t="s">
        <v>62</v>
      </c>
      <c r="J841" t="s">
        <v>16</v>
      </c>
      <c r="K841" t="s">
        <v>17</v>
      </c>
      <c r="L841" t="s">
        <v>123</v>
      </c>
      <c r="M841" t="s">
        <v>1489</v>
      </c>
      <c r="N841" s="7">
        <f t="shared" si="26"/>
        <v>885336</v>
      </c>
      <c r="O841" s="7">
        <f t="shared" si="27"/>
        <v>7377.8</v>
      </c>
    </row>
    <row r="842" spans="1:15" x14ac:dyDescent="0.35">
      <c r="A842" s="5">
        <v>841</v>
      </c>
      <c r="B842" t="s">
        <v>433</v>
      </c>
      <c r="C842" t="s">
        <v>1312</v>
      </c>
      <c r="D842" t="s">
        <v>1485</v>
      </c>
      <c r="E842" t="s">
        <v>85</v>
      </c>
      <c r="F842" s="1">
        <v>39511</v>
      </c>
      <c r="G842" s="28">
        <v>13</v>
      </c>
      <c r="H842" s="26">
        <v>76731</v>
      </c>
      <c r="I842" t="s">
        <v>1033</v>
      </c>
      <c r="J842" t="s">
        <v>16</v>
      </c>
      <c r="K842" t="s">
        <v>17</v>
      </c>
      <c r="L842" t="s">
        <v>41</v>
      </c>
      <c r="M842" t="s">
        <v>1489</v>
      </c>
      <c r="N842" s="7">
        <f t="shared" si="26"/>
        <v>920772</v>
      </c>
      <c r="O842" s="7">
        <f t="shared" si="27"/>
        <v>7673.1</v>
      </c>
    </row>
    <row r="843" spans="1:15" x14ac:dyDescent="0.35">
      <c r="A843" s="5">
        <v>842</v>
      </c>
      <c r="B843" t="s">
        <v>845</v>
      </c>
      <c r="C843" t="s">
        <v>1313</v>
      </c>
      <c r="D843" t="s">
        <v>1486</v>
      </c>
      <c r="E843" t="s">
        <v>129</v>
      </c>
      <c r="F843" s="1">
        <v>44390</v>
      </c>
      <c r="G843" s="28">
        <v>13</v>
      </c>
      <c r="H843" s="26">
        <v>101653</v>
      </c>
      <c r="I843" t="s">
        <v>803</v>
      </c>
      <c r="J843" t="s">
        <v>50</v>
      </c>
      <c r="K843" t="s">
        <v>40</v>
      </c>
      <c r="L843" t="s">
        <v>41</v>
      </c>
      <c r="M843" t="s">
        <v>1489</v>
      </c>
      <c r="N843" s="7">
        <f t="shared" si="26"/>
        <v>1219836</v>
      </c>
      <c r="O843" s="7">
        <f t="shared" si="27"/>
        <v>10165.300000000001</v>
      </c>
    </row>
    <row r="844" spans="1:15" x14ac:dyDescent="0.35">
      <c r="A844" s="5">
        <v>843</v>
      </c>
      <c r="B844" t="s">
        <v>192</v>
      </c>
      <c r="C844" t="s">
        <v>1314</v>
      </c>
      <c r="D844" t="s">
        <v>1485</v>
      </c>
      <c r="E844" t="s">
        <v>110</v>
      </c>
      <c r="F844" s="1">
        <v>36902</v>
      </c>
      <c r="G844" s="28">
        <v>20</v>
      </c>
      <c r="H844" s="26">
        <v>62534</v>
      </c>
      <c r="I844" t="s">
        <v>181</v>
      </c>
      <c r="J844" t="s">
        <v>28</v>
      </c>
      <c r="K844" t="s">
        <v>17</v>
      </c>
      <c r="L844" t="s">
        <v>112</v>
      </c>
      <c r="M844" t="s">
        <v>1489</v>
      </c>
      <c r="N844" s="7">
        <f t="shared" si="26"/>
        <v>750408</v>
      </c>
      <c r="O844" s="7">
        <f t="shared" si="27"/>
        <v>6253.4000000000005</v>
      </c>
    </row>
    <row r="845" spans="1:15" x14ac:dyDescent="0.35">
      <c r="A845" s="5">
        <v>844</v>
      </c>
      <c r="B845" t="s">
        <v>766</v>
      </c>
      <c r="C845" t="s">
        <v>1315</v>
      </c>
      <c r="D845" t="s">
        <v>1485</v>
      </c>
      <c r="E845" t="s">
        <v>148</v>
      </c>
      <c r="F845" s="1">
        <v>41394</v>
      </c>
      <c r="G845" s="28">
        <v>8</v>
      </c>
      <c r="H845" s="26">
        <v>100428</v>
      </c>
      <c r="I845" t="s">
        <v>1316</v>
      </c>
      <c r="J845" t="s">
        <v>28</v>
      </c>
      <c r="K845" t="s">
        <v>17</v>
      </c>
      <c r="L845" t="s">
        <v>112</v>
      </c>
      <c r="M845" t="s">
        <v>1489</v>
      </c>
      <c r="N845" s="7">
        <f t="shared" si="26"/>
        <v>1205136</v>
      </c>
      <c r="O845" s="7">
        <f t="shared" si="27"/>
        <v>10042.800000000001</v>
      </c>
    </row>
    <row r="846" spans="1:15" x14ac:dyDescent="0.35">
      <c r="A846" s="5">
        <v>845</v>
      </c>
      <c r="B846" t="s">
        <v>243</v>
      </c>
      <c r="C846" t="s">
        <v>1317</v>
      </c>
      <c r="D846" t="s">
        <v>1485</v>
      </c>
      <c r="E846" t="s">
        <v>85</v>
      </c>
      <c r="F846" s="1">
        <v>37227</v>
      </c>
      <c r="G846" s="28">
        <v>20</v>
      </c>
      <c r="H846" s="26">
        <v>109828</v>
      </c>
      <c r="I846" t="s">
        <v>97</v>
      </c>
      <c r="J846" t="s">
        <v>50</v>
      </c>
      <c r="K846" t="s">
        <v>40</v>
      </c>
      <c r="L846" t="s">
        <v>41</v>
      </c>
      <c r="M846" t="s">
        <v>1489</v>
      </c>
      <c r="N846" s="7">
        <f t="shared" si="26"/>
        <v>1317936</v>
      </c>
      <c r="O846" s="7">
        <f t="shared" si="27"/>
        <v>10982.800000000001</v>
      </c>
    </row>
    <row r="847" spans="1:15" x14ac:dyDescent="0.35">
      <c r="A847" s="5">
        <v>846</v>
      </c>
      <c r="B847" t="s">
        <v>508</v>
      </c>
      <c r="C847" t="s">
        <v>1318</v>
      </c>
      <c r="D847" t="s">
        <v>1486</v>
      </c>
      <c r="E847" t="s">
        <v>32</v>
      </c>
      <c r="F847" s="1">
        <v>36971</v>
      </c>
      <c r="G847" s="28">
        <v>20</v>
      </c>
      <c r="H847" s="26">
        <v>63133</v>
      </c>
      <c r="I847" t="s">
        <v>397</v>
      </c>
      <c r="J847" t="s">
        <v>91</v>
      </c>
      <c r="K847" t="s">
        <v>40</v>
      </c>
      <c r="L847" t="s">
        <v>34</v>
      </c>
      <c r="M847" t="s">
        <v>1489</v>
      </c>
      <c r="N847" s="7">
        <f t="shared" si="26"/>
        <v>757596</v>
      </c>
      <c r="O847" s="7">
        <f t="shared" si="27"/>
        <v>6313.3</v>
      </c>
    </row>
    <row r="848" spans="1:15" x14ac:dyDescent="0.35">
      <c r="A848" s="5">
        <v>847</v>
      </c>
      <c r="B848" t="s">
        <v>236</v>
      </c>
      <c r="C848" t="s">
        <v>1319</v>
      </c>
      <c r="D848" t="s">
        <v>1486</v>
      </c>
      <c r="E848" t="s">
        <v>69</v>
      </c>
      <c r="F848" s="1">
        <v>44277</v>
      </c>
      <c r="G848" s="28">
        <v>13</v>
      </c>
      <c r="H848" s="26">
        <v>91532</v>
      </c>
      <c r="I848" t="s">
        <v>235</v>
      </c>
      <c r="J848" t="s">
        <v>55</v>
      </c>
      <c r="K848" t="s">
        <v>17</v>
      </c>
      <c r="L848" t="s">
        <v>41</v>
      </c>
      <c r="M848" t="s">
        <v>1489</v>
      </c>
      <c r="N848" s="7">
        <f t="shared" si="26"/>
        <v>1098384</v>
      </c>
      <c r="O848" s="7">
        <f t="shared" si="27"/>
        <v>9153.2000000000007</v>
      </c>
    </row>
    <row r="849" spans="1:15" x14ac:dyDescent="0.35">
      <c r="A849" s="5">
        <v>848</v>
      </c>
      <c r="B849" t="s">
        <v>325</v>
      </c>
      <c r="C849" t="s">
        <v>1320</v>
      </c>
      <c r="D849" t="s">
        <v>1486</v>
      </c>
      <c r="E849" t="s">
        <v>312</v>
      </c>
      <c r="F849" s="1">
        <v>38378</v>
      </c>
      <c r="G849" s="28">
        <v>16</v>
      </c>
      <c r="H849" s="26">
        <v>101646</v>
      </c>
      <c r="I849" t="s">
        <v>194</v>
      </c>
      <c r="J849" t="s">
        <v>46</v>
      </c>
      <c r="K849" t="s">
        <v>17</v>
      </c>
      <c r="L849" t="s">
        <v>41</v>
      </c>
      <c r="M849" t="s">
        <v>1489</v>
      </c>
      <c r="N849" s="7">
        <f t="shared" si="26"/>
        <v>1219752</v>
      </c>
      <c r="O849" s="7">
        <f t="shared" si="27"/>
        <v>10164.6</v>
      </c>
    </row>
    <row r="850" spans="1:15" x14ac:dyDescent="0.35">
      <c r="A850" s="5">
        <v>849</v>
      </c>
      <c r="B850" t="s">
        <v>762</v>
      </c>
      <c r="C850" t="s">
        <v>1321</v>
      </c>
      <c r="D850" t="s">
        <v>1485</v>
      </c>
      <c r="E850" t="s">
        <v>37</v>
      </c>
      <c r="F850" s="1">
        <v>37470</v>
      </c>
      <c r="G850" s="28">
        <v>19</v>
      </c>
      <c r="H850" s="26">
        <v>68034</v>
      </c>
      <c r="I850" t="s">
        <v>247</v>
      </c>
      <c r="J850" t="s">
        <v>55</v>
      </c>
      <c r="K850" t="s">
        <v>17</v>
      </c>
      <c r="L850" t="s">
        <v>41</v>
      </c>
      <c r="M850" t="s">
        <v>1489</v>
      </c>
      <c r="N850" s="7">
        <f t="shared" si="26"/>
        <v>816408</v>
      </c>
      <c r="O850" s="7">
        <f t="shared" si="27"/>
        <v>6803.4000000000005</v>
      </c>
    </row>
    <row r="851" spans="1:15" x14ac:dyDescent="0.35">
      <c r="A851" s="5">
        <v>850</v>
      </c>
      <c r="B851" t="s">
        <v>12</v>
      </c>
      <c r="C851" t="s">
        <v>1322</v>
      </c>
      <c r="D851" t="s">
        <v>1485</v>
      </c>
      <c r="E851" t="s">
        <v>85</v>
      </c>
      <c r="F851" s="1">
        <v>41003</v>
      </c>
      <c r="G851" s="28">
        <v>9</v>
      </c>
      <c r="H851" s="26">
        <v>55214</v>
      </c>
      <c r="I851" t="s">
        <v>764</v>
      </c>
      <c r="J851" t="s">
        <v>16</v>
      </c>
      <c r="K851" t="s">
        <v>17</v>
      </c>
      <c r="L851" t="s">
        <v>41</v>
      </c>
      <c r="M851" t="s">
        <v>1489</v>
      </c>
      <c r="N851" s="7">
        <f t="shared" si="26"/>
        <v>662568</v>
      </c>
      <c r="O851" s="7">
        <f t="shared" si="27"/>
        <v>5521.4000000000005</v>
      </c>
    </row>
    <row r="852" spans="1:15" x14ac:dyDescent="0.35">
      <c r="A852" s="5">
        <v>851</v>
      </c>
      <c r="B852" t="s">
        <v>480</v>
      </c>
      <c r="C852" t="s">
        <v>1323</v>
      </c>
      <c r="D852" t="s">
        <v>1486</v>
      </c>
      <c r="E852" t="s">
        <v>26</v>
      </c>
      <c r="F852" s="1">
        <v>37619</v>
      </c>
      <c r="G852" s="28">
        <v>19</v>
      </c>
      <c r="H852" s="26">
        <v>136448</v>
      </c>
      <c r="I852" t="s">
        <v>1324</v>
      </c>
      <c r="J852" t="s">
        <v>55</v>
      </c>
      <c r="K852" t="s">
        <v>17</v>
      </c>
      <c r="L852" t="s">
        <v>29</v>
      </c>
      <c r="M852" t="s">
        <v>1489</v>
      </c>
      <c r="N852" s="7">
        <f t="shared" si="26"/>
        <v>1637376</v>
      </c>
      <c r="O852" s="7">
        <f t="shared" si="27"/>
        <v>13644.800000000001</v>
      </c>
    </row>
    <row r="853" spans="1:15" x14ac:dyDescent="0.35">
      <c r="A853" s="5">
        <v>852</v>
      </c>
      <c r="B853" t="s">
        <v>379</v>
      </c>
      <c r="C853" t="s">
        <v>1325</v>
      </c>
      <c r="D853" t="s">
        <v>1485</v>
      </c>
      <c r="E853" t="s">
        <v>312</v>
      </c>
      <c r="F853" s="1">
        <v>40299</v>
      </c>
      <c r="G853" s="28">
        <v>11</v>
      </c>
      <c r="H853" s="26">
        <v>76086</v>
      </c>
      <c r="I853" t="s">
        <v>239</v>
      </c>
      <c r="J853" t="s">
        <v>39</v>
      </c>
      <c r="K853" t="s">
        <v>40</v>
      </c>
      <c r="L853" t="s">
        <v>41</v>
      </c>
      <c r="M853" t="s">
        <v>1489</v>
      </c>
      <c r="N853" s="7">
        <f t="shared" si="26"/>
        <v>913032</v>
      </c>
      <c r="O853" s="7">
        <f t="shared" si="27"/>
        <v>7608.6</v>
      </c>
    </row>
    <row r="854" spans="1:15" x14ac:dyDescent="0.35">
      <c r="A854" s="5">
        <v>853</v>
      </c>
      <c r="B854" t="s">
        <v>986</v>
      </c>
      <c r="C854" t="s">
        <v>1326</v>
      </c>
      <c r="D854" t="s">
        <v>1485</v>
      </c>
      <c r="E854" t="s">
        <v>129</v>
      </c>
      <c r="F854" s="1">
        <v>41489</v>
      </c>
      <c r="G854" s="28">
        <v>8</v>
      </c>
      <c r="H854" s="26">
        <v>128947</v>
      </c>
      <c r="I854" t="s">
        <v>327</v>
      </c>
      <c r="J854" t="s">
        <v>91</v>
      </c>
      <c r="K854" t="s">
        <v>40</v>
      </c>
      <c r="L854" t="s">
        <v>41</v>
      </c>
      <c r="M854" t="s">
        <v>1489</v>
      </c>
      <c r="N854" s="7">
        <f t="shared" si="26"/>
        <v>1547364</v>
      </c>
      <c r="O854" s="7">
        <f t="shared" si="27"/>
        <v>12894.7</v>
      </c>
    </row>
    <row r="855" spans="1:15" x14ac:dyDescent="0.35">
      <c r="A855" s="5">
        <v>854</v>
      </c>
      <c r="B855" t="s">
        <v>544</v>
      </c>
      <c r="C855" t="s">
        <v>1327</v>
      </c>
      <c r="D855" t="s">
        <v>1485</v>
      </c>
      <c r="E855" t="s">
        <v>44</v>
      </c>
      <c r="F855" s="1">
        <v>39004</v>
      </c>
      <c r="G855" s="28">
        <v>15</v>
      </c>
      <c r="H855" s="26">
        <v>113354</v>
      </c>
      <c r="I855" t="s">
        <v>97</v>
      </c>
      <c r="J855" t="s">
        <v>55</v>
      </c>
      <c r="K855" t="s">
        <v>17</v>
      </c>
      <c r="L855" t="s">
        <v>29</v>
      </c>
      <c r="M855" t="s">
        <v>1489</v>
      </c>
      <c r="N855" s="7">
        <f t="shared" si="26"/>
        <v>1360248</v>
      </c>
      <c r="O855" s="7">
        <f t="shared" si="27"/>
        <v>11335.400000000001</v>
      </c>
    </row>
    <row r="856" spans="1:15" x14ac:dyDescent="0.35">
      <c r="A856" s="5">
        <v>855</v>
      </c>
      <c r="B856" t="s">
        <v>889</v>
      </c>
      <c r="C856" t="s">
        <v>1328</v>
      </c>
      <c r="D856" t="s">
        <v>1485</v>
      </c>
      <c r="E856" t="s">
        <v>110</v>
      </c>
      <c r="F856" s="1">
        <v>41050</v>
      </c>
      <c r="G856" s="28">
        <v>9</v>
      </c>
      <c r="H856" s="26">
        <v>75125</v>
      </c>
      <c r="I856" t="s">
        <v>191</v>
      </c>
      <c r="J856" t="s">
        <v>39</v>
      </c>
      <c r="K856" t="s">
        <v>40</v>
      </c>
      <c r="L856" t="s">
        <v>112</v>
      </c>
      <c r="M856" t="s">
        <v>1489</v>
      </c>
      <c r="N856" s="7">
        <f t="shared" si="26"/>
        <v>901500</v>
      </c>
      <c r="O856" s="7">
        <f t="shared" si="27"/>
        <v>7512.5</v>
      </c>
    </row>
    <row r="857" spans="1:15" x14ac:dyDescent="0.35">
      <c r="A857" s="5">
        <v>856</v>
      </c>
      <c r="B857" t="s">
        <v>414</v>
      </c>
      <c r="C857" t="s">
        <v>1329</v>
      </c>
      <c r="D857" t="s">
        <v>1486</v>
      </c>
      <c r="E857" t="s">
        <v>69</v>
      </c>
      <c r="F857" s="1">
        <v>38038</v>
      </c>
      <c r="G857" s="28">
        <v>17</v>
      </c>
      <c r="H857" s="26">
        <v>139714</v>
      </c>
      <c r="I857" t="s">
        <v>327</v>
      </c>
      <c r="J857" t="s">
        <v>16</v>
      </c>
      <c r="K857" t="s">
        <v>17</v>
      </c>
      <c r="L857" t="s">
        <v>41</v>
      </c>
      <c r="M857" t="s">
        <v>1489</v>
      </c>
      <c r="N857" s="7">
        <f t="shared" si="26"/>
        <v>1676568</v>
      </c>
      <c r="O857" s="7">
        <f t="shared" si="27"/>
        <v>13971.400000000001</v>
      </c>
    </row>
    <row r="858" spans="1:15" x14ac:dyDescent="0.35">
      <c r="A858" s="5">
        <v>857</v>
      </c>
      <c r="B858" t="s">
        <v>367</v>
      </c>
      <c r="C858" t="s">
        <v>1330</v>
      </c>
      <c r="D858" t="s">
        <v>1485</v>
      </c>
      <c r="E858" t="s">
        <v>53</v>
      </c>
      <c r="F858" s="1">
        <v>37914</v>
      </c>
      <c r="G858" s="28">
        <v>18</v>
      </c>
      <c r="H858" s="26">
        <v>43537</v>
      </c>
      <c r="I858" t="s">
        <v>327</v>
      </c>
      <c r="J858" t="s">
        <v>55</v>
      </c>
      <c r="K858" t="s">
        <v>17</v>
      </c>
      <c r="L858" t="s">
        <v>23</v>
      </c>
      <c r="M858" t="s">
        <v>1489</v>
      </c>
      <c r="N858" s="7">
        <f t="shared" si="26"/>
        <v>522444</v>
      </c>
      <c r="O858" s="7">
        <f t="shared" si="27"/>
        <v>4353.7</v>
      </c>
    </row>
    <row r="859" spans="1:15" x14ac:dyDescent="0.35">
      <c r="A859" s="5">
        <v>858</v>
      </c>
      <c r="B859" t="s">
        <v>710</v>
      </c>
      <c r="C859" t="s">
        <v>1331</v>
      </c>
      <c r="D859" t="s">
        <v>1486</v>
      </c>
      <c r="E859" t="s">
        <v>26</v>
      </c>
      <c r="F859" s="1">
        <v>37218</v>
      </c>
      <c r="G859" s="28">
        <v>20</v>
      </c>
      <c r="H859" s="26">
        <v>127521</v>
      </c>
      <c r="I859" t="s">
        <v>153</v>
      </c>
      <c r="J859" t="s">
        <v>55</v>
      </c>
      <c r="K859" t="s">
        <v>17</v>
      </c>
      <c r="L859" t="s">
        <v>29</v>
      </c>
      <c r="M859" t="s">
        <v>1489</v>
      </c>
      <c r="N859" s="7">
        <f t="shared" si="26"/>
        <v>1530252</v>
      </c>
      <c r="O859" s="7">
        <f t="shared" si="27"/>
        <v>12752.1</v>
      </c>
    </row>
    <row r="860" spans="1:15" x14ac:dyDescent="0.35">
      <c r="A860" s="5">
        <v>859</v>
      </c>
      <c r="B860" t="s">
        <v>642</v>
      </c>
      <c r="C860" t="s">
        <v>1332</v>
      </c>
      <c r="D860" t="s">
        <v>1485</v>
      </c>
      <c r="E860" t="s">
        <v>203</v>
      </c>
      <c r="F860" s="1">
        <v>39132</v>
      </c>
      <c r="G860" s="28">
        <v>14</v>
      </c>
      <c r="H860" s="26">
        <v>112510</v>
      </c>
      <c r="I860" t="s">
        <v>200</v>
      </c>
      <c r="J860" t="s">
        <v>55</v>
      </c>
      <c r="K860" t="s">
        <v>17</v>
      </c>
      <c r="L860" t="s">
        <v>41</v>
      </c>
      <c r="M860" t="s">
        <v>1489</v>
      </c>
      <c r="N860" s="7">
        <f t="shared" si="26"/>
        <v>1350120</v>
      </c>
      <c r="O860" s="7">
        <f t="shared" si="27"/>
        <v>11251</v>
      </c>
    </row>
    <row r="861" spans="1:15" x14ac:dyDescent="0.35">
      <c r="A861" s="5">
        <v>860</v>
      </c>
      <c r="B861" t="s">
        <v>483</v>
      </c>
      <c r="C861" t="s">
        <v>1333</v>
      </c>
      <c r="D861" t="s">
        <v>1485</v>
      </c>
      <c r="E861" t="s">
        <v>21</v>
      </c>
      <c r="F861" s="1">
        <v>38347</v>
      </c>
      <c r="G861" s="28">
        <v>17</v>
      </c>
      <c r="H861" s="26">
        <v>115009</v>
      </c>
      <c r="I861" t="s">
        <v>15</v>
      </c>
      <c r="J861" t="s">
        <v>55</v>
      </c>
      <c r="K861" t="s">
        <v>17</v>
      </c>
      <c r="L861" t="s">
        <v>23</v>
      </c>
      <c r="M861" t="s">
        <v>1489</v>
      </c>
      <c r="N861" s="7">
        <f t="shared" si="26"/>
        <v>1380108</v>
      </c>
      <c r="O861" s="7">
        <f t="shared" si="27"/>
        <v>11500.900000000001</v>
      </c>
    </row>
    <row r="862" spans="1:15" x14ac:dyDescent="0.35">
      <c r="A862" s="5">
        <v>861</v>
      </c>
      <c r="B862" t="s">
        <v>521</v>
      </c>
      <c r="C862" t="s">
        <v>1334</v>
      </c>
      <c r="D862" t="s">
        <v>1486</v>
      </c>
      <c r="E862" t="s">
        <v>94</v>
      </c>
      <c r="F862" s="1">
        <v>46143</v>
      </c>
      <c r="G862" s="28">
        <v>8</v>
      </c>
      <c r="H862" s="26">
        <v>64381</v>
      </c>
      <c r="I862" t="s">
        <v>497</v>
      </c>
      <c r="J862" t="s">
        <v>39</v>
      </c>
      <c r="K862" t="s">
        <v>40</v>
      </c>
      <c r="L862" t="s">
        <v>18</v>
      </c>
      <c r="M862" t="s">
        <v>1489</v>
      </c>
      <c r="N862" s="7">
        <f t="shared" si="26"/>
        <v>772572</v>
      </c>
      <c r="O862" s="7">
        <f t="shared" si="27"/>
        <v>6438.1</v>
      </c>
    </row>
    <row r="863" spans="1:15" x14ac:dyDescent="0.35">
      <c r="A863" s="5">
        <v>862</v>
      </c>
      <c r="B863" t="s">
        <v>494</v>
      </c>
      <c r="C863" t="s">
        <v>1335</v>
      </c>
      <c r="D863" t="s">
        <v>1486</v>
      </c>
      <c r="E863" t="s">
        <v>37</v>
      </c>
      <c r="F863" s="1">
        <v>36932</v>
      </c>
      <c r="G863" s="28">
        <v>20</v>
      </c>
      <c r="H863" s="26">
        <v>149929</v>
      </c>
      <c r="I863" t="s">
        <v>242</v>
      </c>
      <c r="J863" t="s">
        <v>50</v>
      </c>
      <c r="K863" t="s">
        <v>40</v>
      </c>
      <c r="L863" t="s">
        <v>41</v>
      </c>
      <c r="M863" t="s">
        <v>1489</v>
      </c>
      <c r="N863" s="7">
        <f t="shared" si="26"/>
        <v>1799148</v>
      </c>
      <c r="O863" s="7">
        <f t="shared" si="27"/>
        <v>14992.900000000001</v>
      </c>
    </row>
    <row r="864" spans="1:15" x14ac:dyDescent="0.35">
      <c r="A864" s="5">
        <v>863</v>
      </c>
      <c r="B864" t="s">
        <v>569</v>
      </c>
      <c r="C864" t="s">
        <v>1336</v>
      </c>
      <c r="D864" t="s">
        <v>1486</v>
      </c>
      <c r="E864" t="s">
        <v>26</v>
      </c>
      <c r="F864" s="1">
        <v>37141</v>
      </c>
      <c r="G864" s="28">
        <v>20</v>
      </c>
      <c r="H864" s="26">
        <v>101006</v>
      </c>
      <c r="I864" t="s">
        <v>58</v>
      </c>
      <c r="J864" t="s">
        <v>16</v>
      </c>
      <c r="K864" t="s">
        <v>17</v>
      </c>
      <c r="L864" t="s">
        <v>29</v>
      </c>
      <c r="M864" t="s">
        <v>1489</v>
      </c>
      <c r="N864" s="7">
        <f t="shared" si="26"/>
        <v>1212072</v>
      </c>
      <c r="O864" s="7">
        <f t="shared" si="27"/>
        <v>10100.6</v>
      </c>
    </row>
    <row r="865" spans="1:15" x14ac:dyDescent="0.35">
      <c r="A865" s="5">
        <v>864</v>
      </c>
      <c r="B865" t="s">
        <v>1028</v>
      </c>
      <c r="C865" t="s">
        <v>1337</v>
      </c>
      <c r="D865" t="s">
        <v>1486</v>
      </c>
      <c r="E865" t="s">
        <v>129</v>
      </c>
      <c r="F865" s="1">
        <v>46266</v>
      </c>
      <c r="G865" s="28">
        <v>8</v>
      </c>
      <c r="H865" s="26">
        <v>47716</v>
      </c>
      <c r="I865" t="s">
        <v>126</v>
      </c>
      <c r="J865" t="s">
        <v>16</v>
      </c>
      <c r="K865" t="s">
        <v>17</v>
      </c>
      <c r="L865" t="s">
        <v>41</v>
      </c>
      <c r="M865" t="s">
        <v>1489</v>
      </c>
      <c r="N865" s="7">
        <f t="shared" si="26"/>
        <v>572592</v>
      </c>
      <c r="O865" s="7">
        <f t="shared" si="27"/>
        <v>4771.6000000000004</v>
      </c>
    </row>
    <row r="866" spans="1:15" x14ac:dyDescent="0.35">
      <c r="A866" s="5">
        <v>865</v>
      </c>
      <c r="B866" t="s">
        <v>182</v>
      </c>
      <c r="C866" t="s">
        <v>1338</v>
      </c>
      <c r="D866" t="s">
        <v>1486</v>
      </c>
      <c r="E866" t="s">
        <v>21</v>
      </c>
      <c r="F866" s="1">
        <v>44559</v>
      </c>
      <c r="G866" s="28">
        <v>13</v>
      </c>
      <c r="H866" s="26">
        <v>126420</v>
      </c>
      <c r="I866" t="s">
        <v>490</v>
      </c>
      <c r="J866" t="s">
        <v>50</v>
      </c>
      <c r="K866" t="s">
        <v>40</v>
      </c>
      <c r="L866" t="s">
        <v>23</v>
      </c>
      <c r="M866" t="s">
        <v>1489</v>
      </c>
      <c r="N866" s="7">
        <f t="shared" si="26"/>
        <v>1517040</v>
      </c>
      <c r="O866" s="7">
        <f t="shared" si="27"/>
        <v>12642</v>
      </c>
    </row>
    <row r="867" spans="1:15" x14ac:dyDescent="0.35">
      <c r="A867" s="5">
        <v>866</v>
      </c>
      <c r="B867" t="s">
        <v>108</v>
      </c>
      <c r="C867" t="s">
        <v>1339</v>
      </c>
      <c r="D867" t="s">
        <v>1486</v>
      </c>
      <c r="E867" t="s">
        <v>21</v>
      </c>
      <c r="F867" s="1">
        <v>45536</v>
      </c>
      <c r="G867" s="28">
        <v>10</v>
      </c>
      <c r="H867" s="26">
        <v>55265</v>
      </c>
      <c r="I867" t="s">
        <v>539</v>
      </c>
      <c r="J867" t="s">
        <v>46</v>
      </c>
      <c r="K867" t="s">
        <v>17</v>
      </c>
      <c r="L867" t="s">
        <v>23</v>
      </c>
      <c r="M867" t="s">
        <v>1489</v>
      </c>
      <c r="N867" s="7">
        <f t="shared" si="26"/>
        <v>663180</v>
      </c>
      <c r="O867" s="7">
        <f t="shared" si="27"/>
        <v>5526.5</v>
      </c>
    </row>
    <row r="868" spans="1:15" x14ac:dyDescent="0.35">
      <c r="A868" s="5">
        <v>867</v>
      </c>
      <c r="B868" t="s">
        <v>175</v>
      </c>
      <c r="C868" t="s">
        <v>1340</v>
      </c>
      <c r="D868" t="s">
        <v>1486</v>
      </c>
      <c r="E868" t="s">
        <v>122</v>
      </c>
      <c r="F868" s="1">
        <v>45734</v>
      </c>
      <c r="G868" s="28">
        <v>9</v>
      </c>
      <c r="H868" s="26">
        <v>95679</v>
      </c>
      <c r="I868" t="s">
        <v>360</v>
      </c>
      <c r="J868" t="s">
        <v>28</v>
      </c>
      <c r="K868" t="s">
        <v>17</v>
      </c>
      <c r="L868" t="s">
        <v>123</v>
      </c>
      <c r="M868" t="s">
        <v>1489</v>
      </c>
      <c r="N868" s="7">
        <f t="shared" si="26"/>
        <v>1148148</v>
      </c>
      <c r="O868" s="7">
        <f t="shared" si="27"/>
        <v>9567.9</v>
      </c>
    </row>
    <row r="869" spans="1:15" x14ac:dyDescent="0.35">
      <c r="A869" s="5">
        <v>868</v>
      </c>
      <c r="B869" t="s">
        <v>124</v>
      </c>
      <c r="C869" t="s">
        <v>1341</v>
      </c>
      <c r="D869" t="s">
        <v>1485</v>
      </c>
      <c r="E869" t="s">
        <v>61</v>
      </c>
      <c r="F869" s="1">
        <v>37645</v>
      </c>
      <c r="G869" s="28">
        <v>18</v>
      </c>
      <c r="H869" s="26">
        <v>52612</v>
      </c>
      <c r="I869" t="s">
        <v>425</v>
      </c>
      <c r="J869" t="s">
        <v>39</v>
      </c>
      <c r="K869" t="s">
        <v>40</v>
      </c>
      <c r="L869" t="s">
        <v>63</v>
      </c>
      <c r="M869" t="s">
        <v>1489</v>
      </c>
      <c r="N869" s="7">
        <f t="shared" si="26"/>
        <v>631344</v>
      </c>
      <c r="O869" s="7">
        <f t="shared" si="27"/>
        <v>5261.2000000000007</v>
      </c>
    </row>
    <row r="870" spans="1:15" x14ac:dyDescent="0.35">
      <c r="A870" s="5">
        <v>869</v>
      </c>
      <c r="B870" t="s">
        <v>788</v>
      </c>
      <c r="C870" t="s">
        <v>1342</v>
      </c>
      <c r="D870" t="s">
        <v>1486</v>
      </c>
      <c r="E870" t="s">
        <v>312</v>
      </c>
      <c r="F870" s="1">
        <v>45270</v>
      </c>
      <c r="G870" s="28">
        <v>11</v>
      </c>
      <c r="H870" s="26">
        <v>130849</v>
      </c>
      <c r="I870" t="s">
        <v>33</v>
      </c>
      <c r="J870" t="s">
        <v>91</v>
      </c>
      <c r="K870" t="s">
        <v>40</v>
      </c>
      <c r="L870" t="s">
        <v>41</v>
      </c>
      <c r="M870" t="s">
        <v>1489</v>
      </c>
      <c r="N870" s="7">
        <f t="shared" si="26"/>
        <v>1570188</v>
      </c>
      <c r="O870" s="7">
        <f t="shared" si="27"/>
        <v>13084.900000000001</v>
      </c>
    </row>
    <row r="871" spans="1:15" x14ac:dyDescent="0.35">
      <c r="A871" s="5">
        <v>870</v>
      </c>
      <c r="B871" t="s">
        <v>532</v>
      </c>
      <c r="C871" t="s">
        <v>1343</v>
      </c>
      <c r="D871" t="s">
        <v>1485</v>
      </c>
      <c r="E871" t="s">
        <v>148</v>
      </c>
      <c r="F871" s="1">
        <v>38950</v>
      </c>
      <c r="G871" s="28">
        <v>15</v>
      </c>
      <c r="H871" s="26">
        <v>141753</v>
      </c>
      <c r="I871" t="s">
        <v>537</v>
      </c>
      <c r="J871" t="s">
        <v>28</v>
      </c>
      <c r="K871" t="s">
        <v>17</v>
      </c>
      <c r="L871" t="s">
        <v>112</v>
      </c>
      <c r="M871" t="s">
        <v>1489</v>
      </c>
      <c r="N871" s="7">
        <f t="shared" si="26"/>
        <v>1701036</v>
      </c>
      <c r="O871" s="7">
        <f t="shared" si="27"/>
        <v>14175.300000000001</v>
      </c>
    </row>
    <row r="872" spans="1:15" x14ac:dyDescent="0.35">
      <c r="A872" s="5">
        <v>871</v>
      </c>
      <c r="B872" t="s">
        <v>544</v>
      </c>
      <c r="C872" t="s">
        <v>1344</v>
      </c>
      <c r="D872" t="s">
        <v>1485</v>
      </c>
      <c r="E872" t="s">
        <v>203</v>
      </c>
      <c r="F872" s="1">
        <v>39321</v>
      </c>
      <c r="G872" s="28">
        <v>14</v>
      </c>
      <c r="H872" s="26">
        <v>133492</v>
      </c>
      <c r="I872" t="s">
        <v>562</v>
      </c>
      <c r="J872" t="s">
        <v>28</v>
      </c>
      <c r="K872" t="s">
        <v>17</v>
      </c>
      <c r="L872" t="s">
        <v>41</v>
      </c>
      <c r="M872" t="s">
        <v>1489</v>
      </c>
      <c r="N872" s="7">
        <f t="shared" si="26"/>
        <v>1601904</v>
      </c>
      <c r="O872" s="7">
        <f t="shared" si="27"/>
        <v>13349.2</v>
      </c>
    </row>
    <row r="873" spans="1:15" x14ac:dyDescent="0.35">
      <c r="A873" s="5">
        <v>872</v>
      </c>
      <c r="B873" t="s">
        <v>766</v>
      </c>
      <c r="C873" t="s">
        <v>1345</v>
      </c>
      <c r="D873" t="s">
        <v>1485</v>
      </c>
      <c r="E873" t="s">
        <v>85</v>
      </c>
      <c r="F873" s="1">
        <v>38349</v>
      </c>
      <c r="G873" s="28">
        <v>17</v>
      </c>
      <c r="H873" s="26">
        <v>112126</v>
      </c>
      <c r="I873" t="s">
        <v>200</v>
      </c>
      <c r="J873" t="s">
        <v>28</v>
      </c>
      <c r="K873" t="s">
        <v>17</v>
      </c>
      <c r="L873" t="s">
        <v>41</v>
      </c>
      <c r="M873" t="s">
        <v>1489</v>
      </c>
      <c r="N873" s="7">
        <f t="shared" si="26"/>
        <v>1345512</v>
      </c>
      <c r="O873" s="7">
        <f t="shared" si="27"/>
        <v>11212.6</v>
      </c>
    </row>
    <row r="874" spans="1:15" x14ac:dyDescent="0.35">
      <c r="A874" s="5">
        <v>873</v>
      </c>
      <c r="B874" t="s">
        <v>102</v>
      </c>
      <c r="C874" t="s">
        <v>1346</v>
      </c>
      <c r="D874" t="s">
        <v>1486</v>
      </c>
      <c r="E874" t="s">
        <v>53</v>
      </c>
      <c r="F874" s="1">
        <v>38903</v>
      </c>
      <c r="G874" s="28">
        <v>15</v>
      </c>
      <c r="H874" s="26">
        <v>140078</v>
      </c>
      <c r="I874" t="s">
        <v>253</v>
      </c>
      <c r="J874" t="s">
        <v>28</v>
      </c>
      <c r="K874" t="s">
        <v>17</v>
      </c>
      <c r="L874" t="s">
        <v>23</v>
      </c>
      <c r="M874" t="s">
        <v>1489</v>
      </c>
      <c r="N874" s="7">
        <f t="shared" si="26"/>
        <v>1680936</v>
      </c>
      <c r="O874" s="7">
        <f t="shared" si="27"/>
        <v>14007.800000000001</v>
      </c>
    </row>
    <row r="875" spans="1:15" x14ac:dyDescent="0.35">
      <c r="A875" s="5">
        <v>874</v>
      </c>
      <c r="B875" t="s">
        <v>572</v>
      </c>
      <c r="C875" t="s">
        <v>1347</v>
      </c>
      <c r="D875" t="s">
        <v>1485</v>
      </c>
      <c r="E875" t="s">
        <v>122</v>
      </c>
      <c r="F875" s="1">
        <v>41181</v>
      </c>
      <c r="G875" s="28">
        <v>9</v>
      </c>
      <c r="H875" s="26">
        <v>119769</v>
      </c>
      <c r="I875" t="s">
        <v>242</v>
      </c>
      <c r="J875" t="s">
        <v>16</v>
      </c>
      <c r="K875" t="s">
        <v>17</v>
      </c>
      <c r="L875" t="s">
        <v>123</v>
      </c>
      <c r="M875" t="s">
        <v>1489</v>
      </c>
      <c r="N875" s="7">
        <f t="shared" si="26"/>
        <v>1437228</v>
      </c>
      <c r="O875" s="7">
        <f t="shared" si="27"/>
        <v>11976.900000000001</v>
      </c>
    </row>
    <row r="876" spans="1:15" x14ac:dyDescent="0.35">
      <c r="A876" s="5">
        <v>875</v>
      </c>
      <c r="B876" t="s">
        <v>679</v>
      </c>
      <c r="C876" t="s">
        <v>1348</v>
      </c>
      <c r="D876" t="s">
        <v>1486</v>
      </c>
      <c r="E876" t="s">
        <v>203</v>
      </c>
      <c r="F876" s="1">
        <v>43876</v>
      </c>
      <c r="G876" s="28">
        <v>14</v>
      </c>
      <c r="H876" s="26">
        <v>115911</v>
      </c>
      <c r="I876" t="s">
        <v>156</v>
      </c>
      <c r="J876" t="s">
        <v>39</v>
      </c>
      <c r="K876" t="s">
        <v>40</v>
      </c>
      <c r="L876" t="s">
        <v>41</v>
      </c>
      <c r="M876" t="s">
        <v>1489</v>
      </c>
      <c r="N876" s="7">
        <f t="shared" si="26"/>
        <v>1390932</v>
      </c>
      <c r="O876" s="7">
        <f t="shared" si="27"/>
        <v>11591.1</v>
      </c>
    </row>
    <row r="877" spans="1:15" x14ac:dyDescent="0.35">
      <c r="A877" s="5">
        <v>876</v>
      </c>
      <c r="B877" t="s">
        <v>371</v>
      </c>
      <c r="C877" t="s">
        <v>1349</v>
      </c>
      <c r="D877" t="s">
        <v>1485</v>
      </c>
      <c r="E877" t="s">
        <v>312</v>
      </c>
      <c r="F877" s="1">
        <v>37977</v>
      </c>
      <c r="G877" s="28">
        <v>18</v>
      </c>
      <c r="H877" s="26">
        <v>75676</v>
      </c>
      <c r="I877" t="s">
        <v>27</v>
      </c>
      <c r="J877" t="s">
        <v>28</v>
      </c>
      <c r="K877" t="s">
        <v>17</v>
      </c>
      <c r="L877" t="s">
        <v>41</v>
      </c>
      <c r="M877" t="s">
        <v>1489</v>
      </c>
      <c r="N877" s="7">
        <f t="shared" si="26"/>
        <v>908112</v>
      </c>
      <c r="O877" s="7">
        <f t="shared" si="27"/>
        <v>7567.6</v>
      </c>
    </row>
    <row r="878" spans="1:15" x14ac:dyDescent="0.35">
      <c r="A878" s="5">
        <v>877</v>
      </c>
      <c r="B878" t="s">
        <v>75</v>
      </c>
      <c r="C878" t="s">
        <v>1350</v>
      </c>
      <c r="D878" t="s">
        <v>1485</v>
      </c>
      <c r="E878" t="s">
        <v>148</v>
      </c>
      <c r="F878" s="1">
        <v>38455</v>
      </c>
      <c r="G878" s="28">
        <v>16</v>
      </c>
      <c r="H878" s="26">
        <v>144932</v>
      </c>
      <c r="I878" t="s">
        <v>104</v>
      </c>
      <c r="J878" t="s">
        <v>55</v>
      </c>
      <c r="K878" t="s">
        <v>17</v>
      </c>
      <c r="L878" t="s">
        <v>112</v>
      </c>
      <c r="M878" t="s">
        <v>1489</v>
      </c>
      <c r="N878" s="7">
        <f t="shared" si="26"/>
        <v>1739184</v>
      </c>
      <c r="O878" s="7">
        <f t="shared" si="27"/>
        <v>14493.2</v>
      </c>
    </row>
    <row r="879" spans="1:15" x14ac:dyDescent="0.35">
      <c r="A879" s="5">
        <v>878</v>
      </c>
      <c r="B879" t="s">
        <v>47</v>
      </c>
      <c r="C879" t="s">
        <v>1351</v>
      </c>
      <c r="D879" t="s">
        <v>1485</v>
      </c>
      <c r="E879" t="s">
        <v>100</v>
      </c>
      <c r="F879" s="1">
        <v>40476</v>
      </c>
      <c r="G879" s="28">
        <v>11</v>
      </c>
      <c r="H879" s="26">
        <v>80102</v>
      </c>
      <c r="I879" t="s">
        <v>336</v>
      </c>
      <c r="J879" t="s">
        <v>16</v>
      </c>
      <c r="K879" t="s">
        <v>17</v>
      </c>
      <c r="L879" t="s">
        <v>29</v>
      </c>
      <c r="M879" t="s">
        <v>1489</v>
      </c>
      <c r="N879" s="7">
        <f t="shared" si="26"/>
        <v>961224</v>
      </c>
      <c r="O879" s="7">
        <f t="shared" si="27"/>
        <v>8010.2000000000007</v>
      </c>
    </row>
    <row r="880" spans="1:15" x14ac:dyDescent="0.35">
      <c r="A880" s="5">
        <v>879</v>
      </c>
      <c r="B880" t="s">
        <v>1187</v>
      </c>
      <c r="C880" t="s">
        <v>1352</v>
      </c>
      <c r="D880" t="s">
        <v>1485</v>
      </c>
      <c r="E880" t="s">
        <v>44</v>
      </c>
      <c r="F880" s="1">
        <v>40819</v>
      </c>
      <c r="G880" s="28">
        <v>10</v>
      </c>
      <c r="H880" s="26">
        <v>144661</v>
      </c>
      <c r="I880" t="s">
        <v>204</v>
      </c>
      <c r="J880" t="s">
        <v>28</v>
      </c>
      <c r="K880" t="s">
        <v>17</v>
      </c>
      <c r="L880" t="s">
        <v>29</v>
      </c>
      <c r="M880" t="s">
        <v>1489</v>
      </c>
      <c r="N880" s="7">
        <f t="shared" si="26"/>
        <v>1735932</v>
      </c>
      <c r="O880" s="7">
        <f t="shared" si="27"/>
        <v>14466.1</v>
      </c>
    </row>
    <row r="881" spans="1:15" x14ac:dyDescent="0.35">
      <c r="A881" s="5">
        <v>880</v>
      </c>
      <c r="B881" t="s">
        <v>248</v>
      </c>
      <c r="C881" t="s">
        <v>1353</v>
      </c>
      <c r="D881" t="s">
        <v>1486</v>
      </c>
      <c r="E881" t="s">
        <v>238</v>
      </c>
      <c r="F881" s="1">
        <v>37160</v>
      </c>
      <c r="G881" s="28">
        <v>20</v>
      </c>
      <c r="H881" s="26">
        <v>60268</v>
      </c>
      <c r="I881" t="s">
        <v>204</v>
      </c>
      <c r="J881" t="s">
        <v>28</v>
      </c>
      <c r="K881" t="s">
        <v>17</v>
      </c>
      <c r="L881" t="s">
        <v>63</v>
      </c>
      <c r="M881" t="s">
        <v>1489</v>
      </c>
      <c r="N881" s="7">
        <f t="shared" si="26"/>
        <v>723216</v>
      </c>
      <c r="O881" s="7">
        <f t="shared" si="27"/>
        <v>6026.8</v>
      </c>
    </row>
    <row r="882" spans="1:15" x14ac:dyDescent="0.35">
      <c r="A882" s="5">
        <v>881</v>
      </c>
      <c r="B882" t="s">
        <v>710</v>
      </c>
      <c r="C882" t="s">
        <v>1354</v>
      </c>
      <c r="D882" t="s">
        <v>1486</v>
      </c>
      <c r="E882" t="s">
        <v>44</v>
      </c>
      <c r="F882" s="1">
        <v>46640</v>
      </c>
      <c r="G882" s="28">
        <v>7</v>
      </c>
      <c r="H882" s="26">
        <v>94072</v>
      </c>
      <c r="I882" t="s">
        <v>472</v>
      </c>
      <c r="J882" t="s">
        <v>28</v>
      </c>
      <c r="K882" t="s">
        <v>17</v>
      </c>
      <c r="L882" t="s">
        <v>29</v>
      </c>
      <c r="M882" t="s">
        <v>1489</v>
      </c>
      <c r="N882" s="7">
        <f t="shared" si="26"/>
        <v>1128864</v>
      </c>
      <c r="O882" s="7">
        <f t="shared" si="27"/>
        <v>9407.2000000000007</v>
      </c>
    </row>
    <row r="883" spans="1:15" x14ac:dyDescent="0.35">
      <c r="A883" s="5">
        <v>882</v>
      </c>
      <c r="B883" t="s">
        <v>264</v>
      </c>
      <c r="C883" t="s">
        <v>1355</v>
      </c>
      <c r="D883" t="s">
        <v>1485</v>
      </c>
      <c r="E883" t="s">
        <v>312</v>
      </c>
      <c r="F883" s="1">
        <v>38771</v>
      </c>
      <c r="G883" s="28">
        <v>15</v>
      </c>
      <c r="H883" s="26">
        <v>85249</v>
      </c>
      <c r="I883" t="s">
        <v>636</v>
      </c>
      <c r="J883" t="s">
        <v>16</v>
      </c>
      <c r="K883" t="s">
        <v>17</v>
      </c>
      <c r="L883" t="s">
        <v>41</v>
      </c>
      <c r="M883" t="s">
        <v>1489</v>
      </c>
      <c r="N883" s="7">
        <f t="shared" si="26"/>
        <v>1022988</v>
      </c>
      <c r="O883" s="7">
        <f t="shared" si="27"/>
        <v>8524.9</v>
      </c>
    </row>
    <row r="884" spans="1:15" x14ac:dyDescent="0.35">
      <c r="A884" s="5">
        <v>883</v>
      </c>
      <c r="B884" t="s">
        <v>264</v>
      </c>
      <c r="C884" t="s">
        <v>1356</v>
      </c>
      <c r="D884" t="s">
        <v>1485</v>
      </c>
      <c r="E884" t="s">
        <v>37</v>
      </c>
      <c r="F884" s="1">
        <v>39367</v>
      </c>
      <c r="G884" s="28">
        <v>14</v>
      </c>
      <c r="H884" s="26">
        <v>66059</v>
      </c>
      <c r="I884" t="s">
        <v>1071</v>
      </c>
      <c r="J884" t="s">
        <v>91</v>
      </c>
      <c r="K884" t="s">
        <v>40</v>
      </c>
      <c r="L884" t="s">
        <v>41</v>
      </c>
      <c r="M884" t="s">
        <v>1489</v>
      </c>
      <c r="N884" s="7">
        <f t="shared" si="26"/>
        <v>792708</v>
      </c>
      <c r="O884" s="7">
        <f t="shared" si="27"/>
        <v>6605.9000000000005</v>
      </c>
    </row>
    <row r="885" spans="1:15" x14ac:dyDescent="0.35">
      <c r="A885" s="5">
        <v>884</v>
      </c>
      <c r="B885" t="s">
        <v>555</v>
      </c>
      <c r="C885" t="s">
        <v>1357</v>
      </c>
      <c r="D885" t="s">
        <v>1486</v>
      </c>
      <c r="E885" t="s">
        <v>94</v>
      </c>
      <c r="F885" s="1">
        <v>38682</v>
      </c>
      <c r="G885" s="28">
        <v>16</v>
      </c>
      <c r="H885" s="26">
        <v>80931</v>
      </c>
      <c r="I885" t="s">
        <v>691</v>
      </c>
      <c r="J885" t="s">
        <v>46</v>
      </c>
      <c r="K885" t="s">
        <v>17</v>
      </c>
      <c r="L885" t="s">
        <v>18</v>
      </c>
      <c r="M885" t="s">
        <v>1489</v>
      </c>
      <c r="N885" s="7">
        <f t="shared" si="26"/>
        <v>971172</v>
      </c>
      <c r="O885" s="7">
        <f t="shared" si="27"/>
        <v>8093.1</v>
      </c>
    </row>
    <row r="886" spans="1:15" x14ac:dyDescent="0.35">
      <c r="A886" s="5">
        <v>885</v>
      </c>
      <c r="B886" t="s">
        <v>282</v>
      </c>
      <c r="C886" t="s">
        <v>1358</v>
      </c>
      <c r="D886" t="s">
        <v>1486</v>
      </c>
      <c r="E886" t="s">
        <v>53</v>
      </c>
      <c r="F886" s="1">
        <v>45552</v>
      </c>
      <c r="G886" s="28">
        <v>10</v>
      </c>
      <c r="H886" s="26">
        <v>118793</v>
      </c>
      <c r="I886" t="s">
        <v>1062</v>
      </c>
      <c r="J886" t="s">
        <v>28</v>
      </c>
      <c r="K886" t="s">
        <v>17</v>
      </c>
      <c r="L886" t="s">
        <v>23</v>
      </c>
      <c r="M886" t="s">
        <v>1489</v>
      </c>
      <c r="N886" s="7">
        <f t="shared" si="26"/>
        <v>1425516</v>
      </c>
      <c r="O886" s="7">
        <f t="shared" si="27"/>
        <v>11879.300000000001</v>
      </c>
    </row>
    <row r="887" spans="1:15" x14ac:dyDescent="0.35">
      <c r="A887" s="5">
        <v>886</v>
      </c>
      <c r="B887" t="s">
        <v>622</v>
      </c>
      <c r="C887" t="s">
        <v>1359</v>
      </c>
      <c r="D887" t="s">
        <v>1486</v>
      </c>
      <c r="E887" t="s">
        <v>73</v>
      </c>
      <c r="F887" s="1">
        <v>46656</v>
      </c>
      <c r="G887" s="28">
        <v>7</v>
      </c>
      <c r="H887" s="26">
        <v>62114</v>
      </c>
      <c r="I887" t="s">
        <v>425</v>
      </c>
      <c r="J887" t="s">
        <v>39</v>
      </c>
      <c r="K887" t="s">
        <v>40</v>
      </c>
      <c r="L887" t="s">
        <v>41</v>
      </c>
      <c r="M887" t="s">
        <v>1489</v>
      </c>
      <c r="N887" s="7">
        <f t="shared" si="26"/>
        <v>745368</v>
      </c>
      <c r="O887" s="7">
        <f t="shared" si="27"/>
        <v>6211.4000000000005</v>
      </c>
    </row>
    <row r="888" spans="1:15" x14ac:dyDescent="0.35">
      <c r="A888" s="5">
        <v>887</v>
      </c>
      <c r="B888" t="s">
        <v>233</v>
      </c>
      <c r="C888" t="s">
        <v>1360</v>
      </c>
      <c r="D888" t="s">
        <v>1485</v>
      </c>
      <c r="E888" t="s">
        <v>129</v>
      </c>
      <c r="F888" s="1">
        <v>41762</v>
      </c>
      <c r="G888" s="28">
        <v>7</v>
      </c>
      <c r="H888" s="26">
        <v>131811</v>
      </c>
      <c r="I888" t="s">
        <v>472</v>
      </c>
      <c r="J888" t="s">
        <v>55</v>
      </c>
      <c r="K888" t="s">
        <v>17</v>
      </c>
      <c r="L888" t="s">
        <v>41</v>
      </c>
      <c r="M888" t="s">
        <v>1489</v>
      </c>
      <c r="N888" s="7">
        <f t="shared" si="26"/>
        <v>1581732</v>
      </c>
      <c r="O888" s="7">
        <f t="shared" si="27"/>
        <v>13181.1</v>
      </c>
    </row>
    <row r="889" spans="1:15" x14ac:dyDescent="0.35">
      <c r="A889" s="5">
        <v>888</v>
      </c>
      <c r="B889" t="s">
        <v>1282</v>
      </c>
      <c r="C889" t="s">
        <v>1361</v>
      </c>
      <c r="D889" t="s">
        <v>1486</v>
      </c>
      <c r="E889" t="s">
        <v>148</v>
      </c>
      <c r="F889" s="1">
        <v>44104</v>
      </c>
      <c r="G889" s="28">
        <v>14</v>
      </c>
      <c r="H889" s="26">
        <v>143034</v>
      </c>
      <c r="I889" t="s">
        <v>916</v>
      </c>
      <c r="J889" t="s">
        <v>28</v>
      </c>
      <c r="K889" t="s">
        <v>17</v>
      </c>
      <c r="L889" t="s">
        <v>112</v>
      </c>
      <c r="M889" t="s">
        <v>1489</v>
      </c>
      <c r="N889" s="7">
        <f t="shared" si="26"/>
        <v>1716408</v>
      </c>
      <c r="O889" s="7">
        <f t="shared" si="27"/>
        <v>14303.400000000001</v>
      </c>
    </row>
    <row r="890" spans="1:15" x14ac:dyDescent="0.35">
      <c r="A890" s="5">
        <v>889</v>
      </c>
      <c r="B890" t="s">
        <v>1286</v>
      </c>
      <c r="C890" t="s">
        <v>1362</v>
      </c>
      <c r="D890" t="s">
        <v>1485</v>
      </c>
      <c r="E890" t="s">
        <v>79</v>
      </c>
      <c r="F890" s="1">
        <v>41401</v>
      </c>
      <c r="G890" s="28">
        <v>8</v>
      </c>
      <c r="H890" s="26">
        <v>41516</v>
      </c>
      <c r="I890" t="s">
        <v>153</v>
      </c>
      <c r="J890" t="s">
        <v>46</v>
      </c>
      <c r="K890" t="s">
        <v>17</v>
      </c>
      <c r="L890" t="s">
        <v>41</v>
      </c>
      <c r="M890" t="s">
        <v>1489</v>
      </c>
      <c r="N890" s="7">
        <f t="shared" si="26"/>
        <v>498192</v>
      </c>
      <c r="O890" s="7">
        <f t="shared" si="27"/>
        <v>4151.6000000000004</v>
      </c>
    </row>
    <row r="891" spans="1:15" x14ac:dyDescent="0.35">
      <c r="A891" s="5">
        <v>890</v>
      </c>
      <c r="B891" t="s">
        <v>322</v>
      </c>
      <c r="C891" t="s">
        <v>1363</v>
      </c>
      <c r="D891" t="s">
        <v>1486</v>
      </c>
      <c r="E891" t="s">
        <v>73</v>
      </c>
      <c r="F891" s="1">
        <v>45987</v>
      </c>
      <c r="G891" s="28">
        <v>9</v>
      </c>
      <c r="H891" s="26">
        <v>72534</v>
      </c>
      <c r="I891" t="s">
        <v>401</v>
      </c>
      <c r="J891" t="s">
        <v>55</v>
      </c>
      <c r="K891" t="s">
        <v>17</v>
      </c>
      <c r="L891" t="s">
        <v>41</v>
      </c>
      <c r="M891" t="s">
        <v>1489</v>
      </c>
      <c r="N891" s="7">
        <f t="shared" si="26"/>
        <v>870408</v>
      </c>
      <c r="O891" s="7">
        <f t="shared" si="27"/>
        <v>7253.4000000000005</v>
      </c>
    </row>
    <row r="892" spans="1:15" x14ac:dyDescent="0.35">
      <c r="A892" s="5">
        <v>891</v>
      </c>
      <c r="B892" t="s">
        <v>969</v>
      </c>
      <c r="C892" t="s">
        <v>1364</v>
      </c>
      <c r="D892" t="s">
        <v>1485</v>
      </c>
      <c r="E892" t="s">
        <v>73</v>
      </c>
      <c r="F892" s="1">
        <v>40703</v>
      </c>
      <c r="G892" s="28">
        <v>10</v>
      </c>
      <c r="H892" s="26">
        <v>140004</v>
      </c>
      <c r="I892" t="s">
        <v>186</v>
      </c>
      <c r="J892" t="s">
        <v>39</v>
      </c>
      <c r="K892" t="s">
        <v>40</v>
      </c>
      <c r="L892" t="s">
        <v>41</v>
      </c>
      <c r="M892" t="s">
        <v>1489</v>
      </c>
      <c r="N892" s="7">
        <f t="shared" si="26"/>
        <v>1680048</v>
      </c>
      <c r="O892" s="7">
        <f t="shared" si="27"/>
        <v>14000.400000000001</v>
      </c>
    </row>
    <row r="893" spans="1:15" x14ac:dyDescent="0.35">
      <c r="A893" s="5">
        <v>892</v>
      </c>
      <c r="B893" t="s">
        <v>177</v>
      </c>
      <c r="C893" t="s">
        <v>1365</v>
      </c>
      <c r="D893" t="s">
        <v>1485</v>
      </c>
      <c r="E893" t="s">
        <v>129</v>
      </c>
      <c r="F893" s="1">
        <v>38161</v>
      </c>
      <c r="G893" s="28">
        <v>17</v>
      </c>
      <c r="H893" s="26">
        <v>114436</v>
      </c>
      <c r="I893" t="s">
        <v>1366</v>
      </c>
      <c r="J893" t="s">
        <v>91</v>
      </c>
      <c r="K893" t="s">
        <v>40</v>
      </c>
      <c r="L893" t="s">
        <v>41</v>
      </c>
      <c r="M893" t="s">
        <v>1489</v>
      </c>
      <c r="N893" s="7">
        <f t="shared" si="26"/>
        <v>1373232</v>
      </c>
      <c r="O893" s="7">
        <f t="shared" si="27"/>
        <v>11443.6</v>
      </c>
    </row>
    <row r="894" spans="1:15" x14ac:dyDescent="0.35">
      <c r="A894" s="5">
        <v>893</v>
      </c>
      <c r="B894" t="s">
        <v>182</v>
      </c>
      <c r="C894" t="s">
        <v>1367</v>
      </c>
      <c r="D894" t="s">
        <v>1485</v>
      </c>
      <c r="E894" t="s">
        <v>37</v>
      </c>
      <c r="F894" s="1">
        <v>39903</v>
      </c>
      <c r="G894" s="28">
        <v>12</v>
      </c>
      <c r="H894" s="26">
        <v>68684</v>
      </c>
      <c r="I894" t="s">
        <v>669</v>
      </c>
      <c r="J894" t="s">
        <v>28</v>
      </c>
      <c r="K894" t="s">
        <v>17</v>
      </c>
      <c r="L894" t="s">
        <v>41</v>
      </c>
      <c r="M894" t="s">
        <v>1489</v>
      </c>
      <c r="N894" s="7">
        <f t="shared" si="26"/>
        <v>824208</v>
      </c>
      <c r="O894" s="7">
        <f t="shared" si="27"/>
        <v>6868.4000000000005</v>
      </c>
    </row>
    <row r="895" spans="1:15" x14ac:dyDescent="0.35">
      <c r="A895" s="5">
        <v>894</v>
      </c>
      <c r="B895" t="s">
        <v>118</v>
      </c>
      <c r="C895" t="s">
        <v>1368</v>
      </c>
      <c r="D895" t="s">
        <v>1485</v>
      </c>
      <c r="E895" t="s">
        <v>26</v>
      </c>
      <c r="F895" s="1">
        <v>36787</v>
      </c>
      <c r="G895" s="28">
        <v>21</v>
      </c>
      <c r="H895" s="26">
        <v>135326</v>
      </c>
      <c r="I895" t="s">
        <v>336</v>
      </c>
      <c r="J895" t="s">
        <v>46</v>
      </c>
      <c r="K895" t="s">
        <v>17</v>
      </c>
      <c r="L895" t="s">
        <v>29</v>
      </c>
      <c r="M895" t="s">
        <v>1489</v>
      </c>
      <c r="N895" s="7">
        <f t="shared" si="26"/>
        <v>1623912</v>
      </c>
      <c r="O895" s="7">
        <f t="shared" si="27"/>
        <v>13532.6</v>
      </c>
    </row>
    <row r="896" spans="1:15" x14ac:dyDescent="0.35">
      <c r="A896" s="5">
        <v>895</v>
      </c>
      <c r="B896" t="s">
        <v>331</v>
      </c>
      <c r="C896" t="s">
        <v>1369</v>
      </c>
      <c r="D896" t="s">
        <v>1485</v>
      </c>
      <c r="E896" t="s">
        <v>100</v>
      </c>
      <c r="F896" s="1">
        <v>41693</v>
      </c>
      <c r="G896" s="28">
        <v>7</v>
      </c>
      <c r="H896" s="26">
        <v>40194</v>
      </c>
      <c r="I896" t="s">
        <v>253</v>
      </c>
      <c r="J896" t="s">
        <v>91</v>
      </c>
      <c r="K896" t="s">
        <v>40</v>
      </c>
      <c r="L896" t="s">
        <v>29</v>
      </c>
      <c r="M896" t="s">
        <v>1489</v>
      </c>
      <c r="N896" s="7">
        <f t="shared" si="26"/>
        <v>482328</v>
      </c>
      <c r="O896" s="7">
        <f t="shared" si="27"/>
        <v>4019.4</v>
      </c>
    </row>
    <row r="897" spans="1:15" x14ac:dyDescent="0.35">
      <c r="A897" s="5">
        <v>896</v>
      </c>
      <c r="B897" t="s">
        <v>845</v>
      </c>
      <c r="C897" t="s">
        <v>1370</v>
      </c>
      <c r="D897" t="s">
        <v>1486</v>
      </c>
      <c r="E897" t="s">
        <v>89</v>
      </c>
      <c r="F897" s="1">
        <v>45227</v>
      </c>
      <c r="G897" s="28">
        <v>11</v>
      </c>
      <c r="H897" s="26">
        <v>134813</v>
      </c>
      <c r="I897" t="s">
        <v>632</v>
      </c>
      <c r="J897" t="s">
        <v>39</v>
      </c>
      <c r="K897" t="s">
        <v>40</v>
      </c>
      <c r="L897" t="s">
        <v>41</v>
      </c>
      <c r="M897" t="s">
        <v>1489</v>
      </c>
      <c r="N897" s="7">
        <f t="shared" si="26"/>
        <v>1617756</v>
      </c>
      <c r="O897" s="7">
        <f t="shared" si="27"/>
        <v>13481.300000000001</v>
      </c>
    </row>
    <row r="898" spans="1:15" x14ac:dyDescent="0.35">
      <c r="A898" s="5">
        <v>897</v>
      </c>
      <c r="B898" t="s">
        <v>1119</v>
      </c>
      <c r="C898" t="s">
        <v>1371</v>
      </c>
      <c r="D898" t="s">
        <v>1485</v>
      </c>
      <c r="E898" t="s">
        <v>129</v>
      </c>
      <c r="F898" s="1">
        <v>37324</v>
      </c>
      <c r="G898" s="28">
        <v>19</v>
      </c>
      <c r="H898" s="26">
        <v>79718</v>
      </c>
      <c r="I898" t="s">
        <v>583</v>
      </c>
      <c r="J898" t="s">
        <v>55</v>
      </c>
      <c r="K898" t="s">
        <v>17</v>
      </c>
      <c r="L898" t="s">
        <v>41</v>
      </c>
      <c r="M898" t="s">
        <v>1489</v>
      </c>
      <c r="N898" s="7">
        <f t="shared" ref="N898:N961" si="28">H898*12</f>
        <v>956616</v>
      </c>
      <c r="O898" s="7">
        <f t="shared" ref="O898:O961" si="29">H898*10%</f>
        <v>7971.8</v>
      </c>
    </row>
    <row r="899" spans="1:15" x14ac:dyDescent="0.35">
      <c r="A899" s="5">
        <v>898</v>
      </c>
      <c r="B899" t="s">
        <v>856</v>
      </c>
      <c r="C899" t="s">
        <v>1372</v>
      </c>
      <c r="D899" t="s">
        <v>1486</v>
      </c>
      <c r="E899" t="s">
        <v>100</v>
      </c>
      <c r="F899" s="1">
        <v>45269</v>
      </c>
      <c r="G899" s="28">
        <v>11</v>
      </c>
      <c r="H899" s="26">
        <v>115085</v>
      </c>
      <c r="I899" t="s">
        <v>764</v>
      </c>
      <c r="J899" t="s">
        <v>39</v>
      </c>
      <c r="K899" t="s">
        <v>40</v>
      </c>
      <c r="L899" t="s">
        <v>29</v>
      </c>
      <c r="M899" t="s">
        <v>1489</v>
      </c>
      <c r="N899" s="7">
        <f t="shared" si="28"/>
        <v>1381020</v>
      </c>
      <c r="O899" s="7">
        <f t="shared" si="29"/>
        <v>11508.5</v>
      </c>
    </row>
    <row r="900" spans="1:15" x14ac:dyDescent="0.35">
      <c r="A900" s="5">
        <v>899</v>
      </c>
      <c r="B900" t="s">
        <v>358</v>
      </c>
      <c r="C900" t="s">
        <v>1373</v>
      </c>
      <c r="D900" t="s">
        <v>1486</v>
      </c>
      <c r="E900" t="s">
        <v>312</v>
      </c>
      <c r="F900" s="1">
        <v>38416</v>
      </c>
      <c r="G900" s="28">
        <v>16</v>
      </c>
      <c r="H900" s="26">
        <v>67758</v>
      </c>
      <c r="I900" t="s">
        <v>287</v>
      </c>
      <c r="J900" t="s">
        <v>16</v>
      </c>
      <c r="K900" t="s">
        <v>17</v>
      </c>
      <c r="L900" t="s">
        <v>41</v>
      </c>
      <c r="M900" t="s">
        <v>1489</v>
      </c>
      <c r="N900" s="7">
        <f t="shared" si="28"/>
        <v>813096</v>
      </c>
      <c r="O900" s="7">
        <f t="shared" si="29"/>
        <v>6775.8</v>
      </c>
    </row>
    <row r="901" spans="1:15" x14ac:dyDescent="0.35">
      <c r="A901" s="5">
        <v>900</v>
      </c>
      <c r="B901" t="s">
        <v>218</v>
      </c>
      <c r="C901" t="s">
        <v>1374</v>
      </c>
      <c r="D901" t="s">
        <v>1485</v>
      </c>
      <c r="E901" t="s">
        <v>53</v>
      </c>
      <c r="F901" s="1">
        <v>40962</v>
      </c>
      <c r="G901" s="28">
        <v>9</v>
      </c>
      <c r="H901" s="26">
        <v>115776</v>
      </c>
      <c r="I901" t="s">
        <v>394</v>
      </c>
      <c r="J901" t="s">
        <v>16</v>
      </c>
      <c r="K901" t="s">
        <v>17</v>
      </c>
      <c r="L901" t="s">
        <v>23</v>
      </c>
      <c r="M901" t="s">
        <v>1489</v>
      </c>
      <c r="N901" s="7">
        <f t="shared" si="28"/>
        <v>1389312</v>
      </c>
      <c r="O901" s="7">
        <f t="shared" si="29"/>
        <v>11577.6</v>
      </c>
    </row>
    <row r="902" spans="1:15" x14ac:dyDescent="0.35">
      <c r="A902" s="5">
        <v>901</v>
      </c>
      <c r="B902" t="s">
        <v>889</v>
      </c>
      <c r="C902" t="s">
        <v>1375</v>
      </c>
      <c r="D902" t="s">
        <v>1485</v>
      </c>
      <c r="E902" t="s">
        <v>122</v>
      </c>
      <c r="F902" s="1">
        <v>41623</v>
      </c>
      <c r="G902" s="28">
        <v>8</v>
      </c>
      <c r="H902" s="26">
        <v>146701</v>
      </c>
      <c r="I902" t="s">
        <v>904</v>
      </c>
      <c r="J902" t="s">
        <v>39</v>
      </c>
      <c r="K902" t="s">
        <v>40</v>
      </c>
      <c r="L902" t="s">
        <v>123</v>
      </c>
      <c r="M902" t="s">
        <v>1489</v>
      </c>
      <c r="N902" s="7">
        <f t="shared" si="28"/>
        <v>1760412</v>
      </c>
      <c r="O902" s="7">
        <f t="shared" si="29"/>
        <v>14670.1</v>
      </c>
    </row>
    <row r="903" spans="1:15" x14ac:dyDescent="0.35">
      <c r="A903" s="5">
        <v>902</v>
      </c>
      <c r="B903" t="s">
        <v>710</v>
      </c>
      <c r="C903" t="s">
        <v>1376</v>
      </c>
      <c r="D903" t="s">
        <v>1485</v>
      </c>
      <c r="E903" t="s">
        <v>312</v>
      </c>
      <c r="F903" s="1">
        <v>40893</v>
      </c>
      <c r="G903" s="28">
        <v>10</v>
      </c>
      <c r="H903" s="26">
        <v>109233</v>
      </c>
      <c r="I903" t="s">
        <v>214</v>
      </c>
      <c r="J903" t="s">
        <v>55</v>
      </c>
      <c r="K903" t="s">
        <v>17</v>
      </c>
      <c r="L903" t="s">
        <v>41</v>
      </c>
      <c r="M903" t="s">
        <v>1489</v>
      </c>
      <c r="N903" s="7">
        <f t="shared" si="28"/>
        <v>1310796</v>
      </c>
      <c r="O903" s="7">
        <f t="shared" si="29"/>
        <v>10923.300000000001</v>
      </c>
    </row>
    <row r="904" spans="1:15" x14ac:dyDescent="0.35">
      <c r="A904" s="5">
        <v>903</v>
      </c>
      <c r="B904" t="s">
        <v>445</v>
      </c>
      <c r="C904" t="s">
        <v>1377</v>
      </c>
      <c r="D904" t="s">
        <v>1486</v>
      </c>
      <c r="E904" t="s">
        <v>148</v>
      </c>
      <c r="F904" s="1">
        <v>43837</v>
      </c>
      <c r="G904" s="28">
        <v>14</v>
      </c>
      <c r="H904" s="26">
        <v>113654</v>
      </c>
      <c r="I904" t="s">
        <v>992</v>
      </c>
      <c r="J904" t="s">
        <v>46</v>
      </c>
      <c r="K904" t="s">
        <v>17</v>
      </c>
      <c r="L904" t="s">
        <v>112</v>
      </c>
      <c r="M904" t="s">
        <v>1489</v>
      </c>
      <c r="N904" s="7">
        <f t="shared" si="28"/>
        <v>1363848</v>
      </c>
      <c r="O904" s="7">
        <f t="shared" si="29"/>
        <v>11365.400000000001</v>
      </c>
    </row>
    <row r="905" spans="1:15" x14ac:dyDescent="0.35">
      <c r="A905" s="5">
        <v>904</v>
      </c>
      <c r="B905" t="s">
        <v>414</v>
      </c>
      <c r="C905" t="s">
        <v>1378</v>
      </c>
      <c r="D905" t="s">
        <v>1486</v>
      </c>
      <c r="E905" t="s">
        <v>44</v>
      </c>
      <c r="F905" s="1">
        <v>38224</v>
      </c>
      <c r="G905" s="28">
        <v>17</v>
      </c>
      <c r="H905" s="26">
        <v>90937</v>
      </c>
      <c r="I905" t="s">
        <v>691</v>
      </c>
      <c r="J905" t="s">
        <v>50</v>
      </c>
      <c r="K905" t="s">
        <v>40</v>
      </c>
      <c r="L905" t="s">
        <v>29</v>
      </c>
      <c r="M905" t="s">
        <v>1489</v>
      </c>
      <c r="N905" s="7">
        <f t="shared" si="28"/>
        <v>1091244</v>
      </c>
      <c r="O905" s="7">
        <f t="shared" si="29"/>
        <v>9093.7000000000007</v>
      </c>
    </row>
    <row r="906" spans="1:15" x14ac:dyDescent="0.35">
      <c r="A906" s="5">
        <v>905</v>
      </c>
      <c r="B906" t="s">
        <v>75</v>
      </c>
      <c r="C906" t="s">
        <v>1379</v>
      </c>
      <c r="D906" t="s">
        <v>1485</v>
      </c>
      <c r="E906" t="s">
        <v>26</v>
      </c>
      <c r="F906" s="1">
        <v>39365</v>
      </c>
      <c r="G906" s="28">
        <v>14</v>
      </c>
      <c r="H906" s="26">
        <v>111689</v>
      </c>
      <c r="I906" t="s">
        <v>610</v>
      </c>
      <c r="J906" t="s">
        <v>91</v>
      </c>
      <c r="K906" t="s">
        <v>40</v>
      </c>
      <c r="L906" t="s">
        <v>29</v>
      </c>
      <c r="M906" t="s">
        <v>1489</v>
      </c>
      <c r="N906" s="7">
        <f t="shared" si="28"/>
        <v>1340268</v>
      </c>
      <c r="O906" s="7">
        <f t="shared" si="29"/>
        <v>11168.900000000001</v>
      </c>
    </row>
    <row r="907" spans="1:15" x14ac:dyDescent="0.35">
      <c r="A907" s="5">
        <v>906</v>
      </c>
      <c r="B907" t="s">
        <v>572</v>
      </c>
      <c r="C907" t="s">
        <v>1380</v>
      </c>
      <c r="D907" t="s">
        <v>1485</v>
      </c>
      <c r="E907" t="s">
        <v>94</v>
      </c>
      <c r="F907" s="1">
        <v>41747</v>
      </c>
      <c r="G907" s="28">
        <v>7</v>
      </c>
      <c r="H907" s="26">
        <v>110881</v>
      </c>
      <c r="I907" t="s">
        <v>169</v>
      </c>
      <c r="J907" t="s">
        <v>46</v>
      </c>
      <c r="K907" t="s">
        <v>17</v>
      </c>
      <c r="L907" t="s">
        <v>18</v>
      </c>
      <c r="M907" t="s">
        <v>1489</v>
      </c>
      <c r="N907" s="7">
        <f t="shared" si="28"/>
        <v>1330572</v>
      </c>
      <c r="O907" s="7">
        <f t="shared" si="29"/>
        <v>11088.1</v>
      </c>
    </row>
    <row r="908" spans="1:15" x14ac:dyDescent="0.35">
      <c r="A908" s="5">
        <v>907</v>
      </c>
      <c r="B908" t="s">
        <v>745</v>
      </c>
      <c r="C908" t="s">
        <v>1381</v>
      </c>
      <c r="D908" t="s">
        <v>1486</v>
      </c>
      <c r="E908" t="s">
        <v>44</v>
      </c>
      <c r="F908" s="1">
        <v>44826</v>
      </c>
      <c r="G908" s="28">
        <v>12</v>
      </c>
      <c r="H908" s="26">
        <v>104326</v>
      </c>
      <c r="I908" t="s">
        <v>139</v>
      </c>
      <c r="J908" t="s">
        <v>91</v>
      </c>
      <c r="K908" t="s">
        <v>40</v>
      </c>
      <c r="L908" t="s">
        <v>29</v>
      </c>
      <c r="M908" t="s">
        <v>1489</v>
      </c>
      <c r="N908" s="7">
        <f t="shared" si="28"/>
        <v>1251912</v>
      </c>
      <c r="O908" s="7">
        <f t="shared" si="29"/>
        <v>10432.6</v>
      </c>
    </row>
    <row r="909" spans="1:15" x14ac:dyDescent="0.35">
      <c r="A909" s="5">
        <v>908</v>
      </c>
      <c r="B909" t="s">
        <v>544</v>
      </c>
      <c r="C909" t="s">
        <v>1382</v>
      </c>
      <c r="D909" t="s">
        <v>1486</v>
      </c>
      <c r="E909" t="s">
        <v>94</v>
      </c>
      <c r="F909" s="1">
        <v>37952</v>
      </c>
      <c r="G909" s="28">
        <v>18</v>
      </c>
      <c r="H909" s="26">
        <v>144767</v>
      </c>
      <c r="I909" t="s">
        <v>45</v>
      </c>
      <c r="J909" t="s">
        <v>91</v>
      </c>
      <c r="K909" t="s">
        <v>40</v>
      </c>
      <c r="L909" t="s">
        <v>18</v>
      </c>
      <c r="M909" t="s">
        <v>1489</v>
      </c>
      <c r="N909" s="7">
        <f t="shared" si="28"/>
        <v>1737204</v>
      </c>
      <c r="O909" s="7">
        <f t="shared" si="29"/>
        <v>14476.7</v>
      </c>
    </row>
    <row r="910" spans="1:15" x14ac:dyDescent="0.35">
      <c r="A910" s="5">
        <v>909</v>
      </c>
      <c r="B910" t="s">
        <v>781</v>
      </c>
      <c r="C910" t="s">
        <v>1383</v>
      </c>
      <c r="D910" t="s">
        <v>1485</v>
      </c>
      <c r="E910" t="s">
        <v>26</v>
      </c>
      <c r="F910" s="1">
        <v>40173</v>
      </c>
      <c r="G910" s="28">
        <v>12</v>
      </c>
      <c r="H910" s="26">
        <v>111041</v>
      </c>
      <c r="I910" t="s">
        <v>904</v>
      </c>
      <c r="J910" t="s">
        <v>50</v>
      </c>
      <c r="K910" t="s">
        <v>40</v>
      </c>
      <c r="L910" t="s">
        <v>29</v>
      </c>
      <c r="M910" t="s">
        <v>1489</v>
      </c>
      <c r="N910" s="7">
        <f t="shared" si="28"/>
        <v>1332492</v>
      </c>
      <c r="O910" s="7">
        <f t="shared" si="29"/>
        <v>11104.1</v>
      </c>
    </row>
    <row r="911" spans="1:15" x14ac:dyDescent="0.35">
      <c r="A911" s="5">
        <v>910</v>
      </c>
      <c r="B911" t="s">
        <v>973</v>
      </c>
      <c r="C911" t="s">
        <v>1384</v>
      </c>
      <c r="D911" t="s">
        <v>1486</v>
      </c>
      <c r="E911" t="s">
        <v>110</v>
      </c>
      <c r="F911" s="1">
        <v>38707</v>
      </c>
      <c r="G911" s="28">
        <v>16</v>
      </c>
      <c r="H911" s="26">
        <v>148860</v>
      </c>
      <c r="I911" t="s">
        <v>223</v>
      </c>
      <c r="J911" t="s">
        <v>55</v>
      </c>
      <c r="K911" t="s">
        <v>17</v>
      </c>
      <c r="L911" t="s">
        <v>112</v>
      </c>
      <c r="M911" t="s">
        <v>1489</v>
      </c>
      <c r="N911" s="7">
        <f t="shared" si="28"/>
        <v>1786320</v>
      </c>
      <c r="O911" s="7">
        <f t="shared" si="29"/>
        <v>14886</v>
      </c>
    </row>
    <row r="912" spans="1:15" x14ac:dyDescent="0.35">
      <c r="A912" s="5">
        <v>911</v>
      </c>
      <c r="B912" t="s">
        <v>519</v>
      </c>
      <c r="C912" t="s">
        <v>1385</v>
      </c>
      <c r="D912" t="s">
        <v>1485</v>
      </c>
      <c r="E912" t="s">
        <v>26</v>
      </c>
      <c r="F912" s="1">
        <v>37276</v>
      </c>
      <c r="G912" s="28">
        <v>19</v>
      </c>
      <c r="H912" s="26">
        <v>53964</v>
      </c>
      <c r="I912" t="s">
        <v>386</v>
      </c>
      <c r="J912" t="s">
        <v>46</v>
      </c>
      <c r="K912" t="s">
        <v>17</v>
      </c>
      <c r="L912" t="s">
        <v>29</v>
      </c>
      <c r="M912" t="s">
        <v>1489</v>
      </c>
      <c r="N912" s="7">
        <f t="shared" si="28"/>
        <v>647568</v>
      </c>
      <c r="O912" s="7">
        <f t="shared" si="29"/>
        <v>5396.4000000000005</v>
      </c>
    </row>
    <row r="913" spans="1:15" x14ac:dyDescent="0.35">
      <c r="A913" s="5">
        <v>912</v>
      </c>
      <c r="B913" t="s">
        <v>462</v>
      </c>
      <c r="C913" t="s">
        <v>1386</v>
      </c>
      <c r="D913" t="s">
        <v>1486</v>
      </c>
      <c r="E913" t="s">
        <v>129</v>
      </c>
      <c r="F913" s="1">
        <v>43891</v>
      </c>
      <c r="G913" s="28">
        <v>14</v>
      </c>
      <c r="H913" s="26">
        <v>131152</v>
      </c>
      <c r="I913" t="s">
        <v>1387</v>
      </c>
      <c r="J913" t="s">
        <v>16</v>
      </c>
      <c r="K913" t="s">
        <v>17</v>
      </c>
      <c r="L913" t="s">
        <v>41</v>
      </c>
      <c r="M913" t="s">
        <v>1489</v>
      </c>
      <c r="N913" s="7">
        <f t="shared" si="28"/>
        <v>1573824</v>
      </c>
      <c r="O913" s="7">
        <f t="shared" si="29"/>
        <v>13115.2</v>
      </c>
    </row>
    <row r="914" spans="1:15" x14ac:dyDescent="0.35">
      <c r="A914" s="5">
        <v>913</v>
      </c>
      <c r="B914" t="s">
        <v>12</v>
      </c>
      <c r="C914" t="s">
        <v>1388</v>
      </c>
      <c r="D914" t="s">
        <v>1486</v>
      </c>
      <c r="E914" t="s">
        <v>69</v>
      </c>
      <c r="F914" s="1">
        <v>45708</v>
      </c>
      <c r="G914" s="28">
        <v>9</v>
      </c>
      <c r="H914" s="26">
        <v>116266</v>
      </c>
      <c r="I914" t="s">
        <v>104</v>
      </c>
      <c r="J914" t="s">
        <v>50</v>
      </c>
      <c r="K914" t="s">
        <v>40</v>
      </c>
      <c r="L914" t="s">
        <v>41</v>
      </c>
      <c r="M914" t="s">
        <v>1489</v>
      </c>
      <c r="N914" s="7">
        <f t="shared" si="28"/>
        <v>1395192</v>
      </c>
      <c r="O914" s="7">
        <f t="shared" si="29"/>
        <v>11626.6</v>
      </c>
    </row>
    <row r="915" spans="1:15" x14ac:dyDescent="0.35">
      <c r="A915" s="5">
        <v>914</v>
      </c>
      <c r="B915" t="s">
        <v>19</v>
      </c>
      <c r="C915" t="s">
        <v>1389</v>
      </c>
      <c r="D915" t="s">
        <v>1486</v>
      </c>
      <c r="E915" t="s">
        <v>129</v>
      </c>
      <c r="F915" s="1">
        <v>38875</v>
      </c>
      <c r="G915" s="28">
        <v>15</v>
      </c>
      <c r="H915" s="26">
        <v>143853</v>
      </c>
      <c r="I915" t="s">
        <v>186</v>
      </c>
      <c r="J915" t="s">
        <v>16</v>
      </c>
      <c r="K915" t="s">
        <v>17</v>
      </c>
      <c r="L915" t="s">
        <v>41</v>
      </c>
      <c r="M915" t="s">
        <v>1489</v>
      </c>
      <c r="N915" s="7">
        <f t="shared" si="28"/>
        <v>1726236</v>
      </c>
      <c r="O915" s="7">
        <f t="shared" si="29"/>
        <v>14385.300000000001</v>
      </c>
    </row>
    <row r="916" spans="1:15" x14ac:dyDescent="0.35">
      <c r="A916" s="5">
        <v>915</v>
      </c>
      <c r="B916" t="s">
        <v>300</v>
      </c>
      <c r="C916" t="s">
        <v>1390</v>
      </c>
      <c r="D916" t="s">
        <v>1485</v>
      </c>
      <c r="E916" t="s">
        <v>44</v>
      </c>
      <c r="F916" s="1">
        <v>40324</v>
      </c>
      <c r="G916" s="28">
        <v>11</v>
      </c>
      <c r="H916" s="26">
        <v>92561</v>
      </c>
      <c r="I916" t="s">
        <v>226</v>
      </c>
      <c r="J916" t="s">
        <v>46</v>
      </c>
      <c r="K916" t="s">
        <v>17</v>
      </c>
      <c r="L916" t="s">
        <v>29</v>
      </c>
      <c r="M916" t="s">
        <v>1489</v>
      </c>
      <c r="N916" s="7">
        <f t="shared" si="28"/>
        <v>1110732</v>
      </c>
      <c r="O916" s="7">
        <f t="shared" si="29"/>
        <v>9256.1</v>
      </c>
    </row>
    <row r="917" spans="1:15" x14ac:dyDescent="0.35">
      <c r="A917" s="5">
        <v>916</v>
      </c>
      <c r="B917" t="s">
        <v>791</v>
      </c>
      <c r="C917" t="s">
        <v>1391</v>
      </c>
      <c r="D917" t="s">
        <v>1486</v>
      </c>
      <c r="E917" t="s">
        <v>37</v>
      </c>
      <c r="F917" s="1">
        <v>38939</v>
      </c>
      <c r="G917" s="28">
        <v>15</v>
      </c>
      <c r="H917" s="26">
        <v>45486</v>
      </c>
      <c r="I917" t="s">
        <v>610</v>
      </c>
      <c r="J917" t="s">
        <v>46</v>
      </c>
      <c r="K917" t="s">
        <v>17</v>
      </c>
      <c r="L917" t="s">
        <v>41</v>
      </c>
      <c r="M917" t="s">
        <v>1489</v>
      </c>
      <c r="N917" s="7">
        <f t="shared" si="28"/>
        <v>545832</v>
      </c>
      <c r="O917" s="7">
        <f t="shared" si="29"/>
        <v>4548.6000000000004</v>
      </c>
    </row>
    <row r="918" spans="1:15" x14ac:dyDescent="0.35">
      <c r="A918" s="5">
        <v>917</v>
      </c>
      <c r="B918" t="s">
        <v>392</v>
      </c>
      <c r="C918" t="s">
        <v>1392</v>
      </c>
      <c r="D918" t="s">
        <v>1485</v>
      </c>
      <c r="E918" t="s">
        <v>129</v>
      </c>
      <c r="F918" s="1">
        <v>38332</v>
      </c>
      <c r="G918" s="28">
        <v>17</v>
      </c>
      <c r="H918" s="26">
        <v>95424</v>
      </c>
      <c r="I918" t="s">
        <v>459</v>
      </c>
      <c r="J918" t="s">
        <v>16</v>
      </c>
      <c r="K918" t="s">
        <v>17</v>
      </c>
      <c r="L918" t="s">
        <v>41</v>
      </c>
      <c r="M918" t="s">
        <v>1489</v>
      </c>
      <c r="N918" s="7">
        <f t="shared" si="28"/>
        <v>1145088</v>
      </c>
      <c r="O918" s="7">
        <f t="shared" si="29"/>
        <v>9542.4</v>
      </c>
    </row>
    <row r="919" spans="1:15" x14ac:dyDescent="0.35">
      <c r="A919" s="5">
        <v>918</v>
      </c>
      <c r="B919" t="s">
        <v>589</v>
      </c>
      <c r="C919" t="s">
        <v>1393</v>
      </c>
      <c r="D919" t="s">
        <v>1486</v>
      </c>
      <c r="E919" t="s">
        <v>73</v>
      </c>
      <c r="F919" s="1">
        <v>38260</v>
      </c>
      <c r="G919" s="28">
        <v>17</v>
      </c>
      <c r="H919" s="26">
        <v>73905</v>
      </c>
      <c r="I919" t="s">
        <v>186</v>
      </c>
      <c r="J919" t="s">
        <v>39</v>
      </c>
      <c r="K919" t="s">
        <v>40</v>
      </c>
      <c r="L919" t="s">
        <v>41</v>
      </c>
      <c r="M919" t="s">
        <v>1489</v>
      </c>
      <c r="N919" s="7">
        <f t="shared" si="28"/>
        <v>886860</v>
      </c>
      <c r="O919" s="7">
        <f t="shared" si="29"/>
        <v>7390.5</v>
      </c>
    </row>
    <row r="920" spans="1:15" x14ac:dyDescent="0.35">
      <c r="A920" s="5">
        <v>919</v>
      </c>
      <c r="B920" t="s">
        <v>852</v>
      </c>
      <c r="C920" t="s">
        <v>1394</v>
      </c>
      <c r="D920" t="s">
        <v>1486</v>
      </c>
      <c r="E920" t="s">
        <v>61</v>
      </c>
      <c r="F920" s="1">
        <v>45278</v>
      </c>
      <c r="G920" s="28">
        <v>11</v>
      </c>
      <c r="H920" s="26">
        <v>53798</v>
      </c>
      <c r="I920" t="s">
        <v>214</v>
      </c>
      <c r="J920" t="s">
        <v>46</v>
      </c>
      <c r="K920" t="s">
        <v>17</v>
      </c>
      <c r="L920" t="s">
        <v>63</v>
      </c>
      <c r="M920" t="s">
        <v>1489</v>
      </c>
      <c r="N920" s="7">
        <f t="shared" si="28"/>
        <v>645576</v>
      </c>
      <c r="O920" s="7">
        <f t="shared" si="29"/>
        <v>5379.8</v>
      </c>
    </row>
    <row r="921" spans="1:15" x14ac:dyDescent="0.35">
      <c r="A921" s="5">
        <v>920</v>
      </c>
      <c r="B921" t="s">
        <v>882</v>
      </c>
      <c r="C921" t="s">
        <v>1395</v>
      </c>
      <c r="D921" t="s">
        <v>1486</v>
      </c>
      <c r="E921" t="s">
        <v>44</v>
      </c>
      <c r="F921" s="1">
        <v>45048</v>
      </c>
      <c r="G921" s="28">
        <v>11</v>
      </c>
      <c r="H921" s="26">
        <v>116766</v>
      </c>
      <c r="I921" t="s">
        <v>1366</v>
      </c>
      <c r="J921" t="s">
        <v>55</v>
      </c>
      <c r="K921" t="s">
        <v>17</v>
      </c>
      <c r="L921" t="s">
        <v>29</v>
      </c>
      <c r="M921" t="s">
        <v>1489</v>
      </c>
      <c r="N921" s="7">
        <f t="shared" si="28"/>
        <v>1401192</v>
      </c>
      <c r="O921" s="7">
        <f t="shared" si="29"/>
        <v>11676.6</v>
      </c>
    </row>
    <row r="922" spans="1:15" x14ac:dyDescent="0.35">
      <c r="A922" s="5">
        <v>921</v>
      </c>
      <c r="B922" t="s">
        <v>331</v>
      </c>
      <c r="C922" t="s">
        <v>1396</v>
      </c>
      <c r="D922" t="s">
        <v>1486</v>
      </c>
      <c r="E922" t="s">
        <v>129</v>
      </c>
      <c r="F922" s="1">
        <v>46196</v>
      </c>
      <c r="G922" s="28">
        <v>8</v>
      </c>
      <c r="H922" s="26">
        <v>142101</v>
      </c>
      <c r="I922" t="s">
        <v>539</v>
      </c>
      <c r="J922" t="s">
        <v>16</v>
      </c>
      <c r="K922" t="s">
        <v>17</v>
      </c>
      <c r="L922" t="s">
        <v>41</v>
      </c>
      <c r="M922" t="s">
        <v>1489</v>
      </c>
      <c r="N922" s="7">
        <f t="shared" si="28"/>
        <v>1705212</v>
      </c>
      <c r="O922" s="7">
        <f t="shared" si="29"/>
        <v>14210.1</v>
      </c>
    </row>
    <row r="923" spans="1:15" x14ac:dyDescent="0.35">
      <c r="A923" s="5">
        <v>922</v>
      </c>
      <c r="B923" t="s">
        <v>161</v>
      </c>
      <c r="C923" t="s">
        <v>1397</v>
      </c>
      <c r="D923" t="s">
        <v>1486</v>
      </c>
      <c r="E923" t="s">
        <v>129</v>
      </c>
      <c r="F923" s="1">
        <v>36635</v>
      </c>
      <c r="G923" s="28">
        <v>21</v>
      </c>
      <c r="H923" s="26">
        <v>41299</v>
      </c>
      <c r="I923" t="s">
        <v>1105</v>
      </c>
      <c r="J923" t="s">
        <v>91</v>
      </c>
      <c r="K923" t="s">
        <v>40</v>
      </c>
      <c r="L923" t="s">
        <v>41</v>
      </c>
      <c r="M923" t="s">
        <v>1489</v>
      </c>
      <c r="N923" s="7">
        <f t="shared" si="28"/>
        <v>495588</v>
      </c>
      <c r="O923" s="7">
        <f t="shared" si="29"/>
        <v>4129.9000000000005</v>
      </c>
    </row>
    <row r="924" spans="1:15" x14ac:dyDescent="0.35">
      <c r="A924" s="5">
        <v>923</v>
      </c>
      <c r="B924" t="s">
        <v>587</v>
      </c>
      <c r="C924" t="s">
        <v>1398</v>
      </c>
      <c r="D924" t="s">
        <v>1485</v>
      </c>
      <c r="E924" t="s">
        <v>37</v>
      </c>
      <c r="F924" s="1">
        <v>37628</v>
      </c>
      <c r="G924" s="28">
        <v>18</v>
      </c>
      <c r="H924" s="26">
        <v>122130</v>
      </c>
      <c r="I924" t="s">
        <v>454</v>
      </c>
      <c r="J924" t="s">
        <v>46</v>
      </c>
      <c r="K924" t="s">
        <v>17</v>
      </c>
      <c r="L924" t="s">
        <v>41</v>
      </c>
      <c r="M924" t="s">
        <v>1489</v>
      </c>
      <c r="N924" s="7">
        <f t="shared" si="28"/>
        <v>1465560</v>
      </c>
      <c r="O924" s="7">
        <f t="shared" si="29"/>
        <v>12213</v>
      </c>
    </row>
    <row r="925" spans="1:15" x14ac:dyDescent="0.35">
      <c r="A925" s="5">
        <v>924</v>
      </c>
      <c r="B925" t="s">
        <v>1399</v>
      </c>
      <c r="C925" t="s">
        <v>1400</v>
      </c>
      <c r="D925" t="s">
        <v>1485</v>
      </c>
      <c r="E925" t="s">
        <v>129</v>
      </c>
      <c r="F925" s="1">
        <v>37686</v>
      </c>
      <c r="G925" s="28">
        <v>18</v>
      </c>
      <c r="H925" s="26">
        <v>122446</v>
      </c>
      <c r="I925" t="s">
        <v>272</v>
      </c>
      <c r="J925" t="s">
        <v>50</v>
      </c>
      <c r="K925" t="s">
        <v>40</v>
      </c>
      <c r="L925" t="s">
        <v>41</v>
      </c>
      <c r="M925" t="s">
        <v>1489</v>
      </c>
      <c r="N925" s="7">
        <f t="shared" si="28"/>
        <v>1469352</v>
      </c>
      <c r="O925" s="7">
        <f t="shared" si="29"/>
        <v>12244.6</v>
      </c>
    </row>
    <row r="926" spans="1:15" x14ac:dyDescent="0.35">
      <c r="A926" s="5">
        <v>925</v>
      </c>
      <c r="B926" t="s">
        <v>42</v>
      </c>
      <c r="C926" t="s">
        <v>1401</v>
      </c>
      <c r="D926" t="s">
        <v>1486</v>
      </c>
      <c r="E926" t="s">
        <v>110</v>
      </c>
      <c r="F926" s="1">
        <v>45568</v>
      </c>
      <c r="G926" s="28">
        <v>10</v>
      </c>
      <c r="H926" s="26">
        <v>127367</v>
      </c>
      <c r="I926" t="s">
        <v>27</v>
      </c>
      <c r="J926" t="s">
        <v>55</v>
      </c>
      <c r="K926" t="s">
        <v>17</v>
      </c>
      <c r="L926" t="s">
        <v>112</v>
      </c>
      <c r="M926" t="s">
        <v>1489</v>
      </c>
      <c r="N926" s="7">
        <f t="shared" si="28"/>
        <v>1528404</v>
      </c>
      <c r="O926" s="7">
        <f t="shared" si="29"/>
        <v>12736.7</v>
      </c>
    </row>
    <row r="927" spans="1:15" x14ac:dyDescent="0.35">
      <c r="A927" s="5">
        <v>926</v>
      </c>
      <c r="B927" t="s">
        <v>325</v>
      </c>
      <c r="C927" t="s">
        <v>1402</v>
      </c>
      <c r="D927" t="s">
        <v>1485</v>
      </c>
      <c r="E927" t="s">
        <v>53</v>
      </c>
      <c r="F927" s="1">
        <v>41730</v>
      </c>
      <c r="G927" s="28">
        <v>7</v>
      </c>
      <c r="H927" s="26">
        <v>50161</v>
      </c>
      <c r="I927" t="s">
        <v>401</v>
      </c>
      <c r="J927" t="s">
        <v>28</v>
      </c>
      <c r="K927" t="s">
        <v>17</v>
      </c>
      <c r="L927" t="s">
        <v>23</v>
      </c>
      <c r="M927" t="s">
        <v>1489</v>
      </c>
      <c r="N927" s="7">
        <f t="shared" si="28"/>
        <v>601932</v>
      </c>
      <c r="O927" s="7">
        <f t="shared" si="29"/>
        <v>5016.1000000000004</v>
      </c>
    </row>
    <row r="928" spans="1:15" x14ac:dyDescent="0.35">
      <c r="A928" s="5">
        <v>927</v>
      </c>
      <c r="B928" t="s">
        <v>532</v>
      </c>
      <c r="C928" t="s">
        <v>1403</v>
      </c>
      <c r="D928" t="s">
        <v>1485</v>
      </c>
      <c r="E928" t="s">
        <v>238</v>
      </c>
      <c r="F928" s="1">
        <v>37935</v>
      </c>
      <c r="G928" s="28">
        <v>18</v>
      </c>
      <c r="H928" s="26">
        <v>82080</v>
      </c>
      <c r="I928" t="s">
        <v>430</v>
      </c>
      <c r="J928" t="s">
        <v>16</v>
      </c>
      <c r="K928" t="s">
        <v>17</v>
      </c>
      <c r="L928" t="s">
        <v>63</v>
      </c>
      <c r="M928" t="s">
        <v>1489</v>
      </c>
      <c r="N928" s="7">
        <f t="shared" si="28"/>
        <v>984960</v>
      </c>
      <c r="O928" s="7">
        <f t="shared" si="29"/>
        <v>8208</v>
      </c>
    </row>
    <row r="929" spans="1:15" x14ac:dyDescent="0.35">
      <c r="A929" s="5">
        <v>928</v>
      </c>
      <c r="B929" t="s">
        <v>212</v>
      </c>
      <c r="C929" t="s">
        <v>1404</v>
      </c>
      <c r="D929" t="s">
        <v>1486</v>
      </c>
      <c r="E929" t="s">
        <v>85</v>
      </c>
      <c r="F929" s="1">
        <v>44916</v>
      </c>
      <c r="G929" s="28">
        <v>12</v>
      </c>
      <c r="H929" s="26">
        <v>62799</v>
      </c>
      <c r="I929" t="s">
        <v>235</v>
      </c>
      <c r="J929" t="s">
        <v>46</v>
      </c>
      <c r="K929" t="s">
        <v>17</v>
      </c>
      <c r="L929" t="s">
        <v>41</v>
      </c>
      <c r="M929" t="s">
        <v>1489</v>
      </c>
      <c r="N929" s="7">
        <f t="shared" si="28"/>
        <v>753588</v>
      </c>
      <c r="O929" s="7">
        <f t="shared" si="29"/>
        <v>6279.9000000000005</v>
      </c>
    </row>
    <row r="930" spans="1:15" x14ac:dyDescent="0.35">
      <c r="A930" s="5">
        <v>929</v>
      </c>
      <c r="B930" t="s">
        <v>762</v>
      </c>
      <c r="C930" t="s">
        <v>1405</v>
      </c>
      <c r="D930" t="s">
        <v>1486</v>
      </c>
      <c r="E930" t="s">
        <v>69</v>
      </c>
      <c r="F930" s="1">
        <v>37841</v>
      </c>
      <c r="G930" s="28">
        <v>18</v>
      </c>
      <c r="H930" s="26">
        <v>66357</v>
      </c>
      <c r="I930" t="s">
        <v>691</v>
      </c>
      <c r="J930" t="s">
        <v>28</v>
      </c>
      <c r="K930" t="s">
        <v>17</v>
      </c>
      <c r="L930" t="s">
        <v>41</v>
      </c>
      <c r="M930" t="s">
        <v>1489</v>
      </c>
      <c r="N930" s="7">
        <f t="shared" si="28"/>
        <v>796284</v>
      </c>
      <c r="O930" s="7">
        <f t="shared" si="29"/>
        <v>6635.7000000000007</v>
      </c>
    </row>
    <row r="931" spans="1:15" x14ac:dyDescent="0.35">
      <c r="A931" s="5">
        <v>930</v>
      </c>
      <c r="B931" t="s">
        <v>934</v>
      </c>
      <c r="C931" t="s">
        <v>1406</v>
      </c>
      <c r="D931" t="s">
        <v>1486</v>
      </c>
      <c r="E931" t="s">
        <v>110</v>
      </c>
      <c r="F931" s="1">
        <v>46138</v>
      </c>
      <c r="G931" s="28">
        <v>8</v>
      </c>
      <c r="H931" s="26">
        <v>129746</v>
      </c>
      <c r="I931" t="s">
        <v>500</v>
      </c>
      <c r="J931" t="s">
        <v>46</v>
      </c>
      <c r="K931" t="s">
        <v>17</v>
      </c>
      <c r="L931" t="s">
        <v>112</v>
      </c>
      <c r="M931" t="s">
        <v>1489</v>
      </c>
      <c r="N931" s="7">
        <f t="shared" si="28"/>
        <v>1556952</v>
      </c>
      <c r="O931" s="7">
        <f t="shared" si="29"/>
        <v>12974.6</v>
      </c>
    </row>
    <row r="932" spans="1:15" x14ac:dyDescent="0.35">
      <c r="A932" s="5">
        <v>931</v>
      </c>
      <c r="B932" t="s">
        <v>358</v>
      </c>
      <c r="C932" t="s">
        <v>1407</v>
      </c>
      <c r="D932" t="s">
        <v>1486</v>
      </c>
      <c r="E932" t="s">
        <v>53</v>
      </c>
      <c r="F932" s="1">
        <v>38223</v>
      </c>
      <c r="G932" s="28">
        <v>17</v>
      </c>
      <c r="H932" s="26">
        <v>63682</v>
      </c>
      <c r="I932" t="s">
        <v>27</v>
      </c>
      <c r="J932" t="s">
        <v>91</v>
      </c>
      <c r="K932" t="s">
        <v>40</v>
      </c>
      <c r="L932" t="s">
        <v>23</v>
      </c>
      <c r="M932" t="s">
        <v>1489</v>
      </c>
      <c r="N932" s="7">
        <f t="shared" si="28"/>
        <v>764184</v>
      </c>
      <c r="O932" s="7">
        <f t="shared" si="29"/>
        <v>6368.2000000000007</v>
      </c>
    </row>
    <row r="933" spans="1:15" x14ac:dyDescent="0.35">
      <c r="A933" s="5">
        <v>932</v>
      </c>
      <c r="B933" t="s">
        <v>973</v>
      </c>
      <c r="C933" t="s">
        <v>1408</v>
      </c>
      <c r="D933" t="s">
        <v>1486</v>
      </c>
      <c r="E933" t="s">
        <v>110</v>
      </c>
      <c r="F933" s="1">
        <v>44708</v>
      </c>
      <c r="G933" s="28">
        <v>12</v>
      </c>
      <c r="H933" s="26">
        <v>134114</v>
      </c>
      <c r="I933" t="s">
        <v>551</v>
      </c>
      <c r="J933" t="s">
        <v>16</v>
      </c>
      <c r="K933" t="s">
        <v>17</v>
      </c>
      <c r="L933" t="s">
        <v>112</v>
      </c>
      <c r="M933" t="s">
        <v>1489</v>
      </c>
      <c r="N933" s="7">
        <f t="shared" si="28"/>
        <v>1609368</v>
      </c>
      <c r="O933" s="7">
        <f t="shared" si="29"/>
        <v>13411.400000000001</v>
      </c>
    </row>
    <row r="934" spans="1:15" x14ac:dyDescent="0.35">
      <c r="A934" s="5">
        <v>933</v>
      </c>
      <c r="B934" t="s">
        <v>268</v>
      </c>
      <c r="C934" t="s">
        <v>1409</v>
      </c>
      <c r="D934" t="s">
        <v>1485</v>
      </c>
      <c r="E934" t="s">
        <v>73</v>
      </c>
      <c r="F934" s="1">
        <v>41721</v>
      </c>
      <c r="G934" s="28">
        <v>7</v>
      </c>
      <c r="H934" s="26">
        <v>131273</v>
      </c>
      <c r="I934" t="s">
        <v>954</v>
      </c>
      <c r="J934" t="s">
        <v>50</v>
      </c>
      <c r="K934" t="s">
        <v>40</v>
      </c>
      <c r="L934" t="s">
        <v>41</v>
      </c>
      <c r="M934" t="s">
        <v>1489</v>
      </c>
      <c r="N934" s="7">
        <f t="shared" si="28"/>
        <v>1575276</v>
      </c>
      <c r="O934" s="7">
        <f t="shared" si="29"/>
        <v>13127.300000000001</v>
      </c>
    </row>
    <row r="935" spans="1:15" x14ac:dyDescent="0.35">
      <c r="A935" s="5">
        <v>934</v>
      </c>
      <c r="B935" t="s">
        <v>1410</v>
      </c>
      <c r="C935" t="s">
        <v>1411</v>
      </c>
      <c r="D935" t="s">
        <v>1485</v>
      </c>
      <c r="E935" t="s">
        <v>53</v>
      </c>
      <c r="F935" s="1">
        <v>38617</v>
      </c>
      <c r="G935" s="28">
        <v>16</v>
      </c>
      <c r="H935" s="26">
        <v>93714</v>
      </c>
      <c r="I935" t="s">
        <v>472</v>
      </c>
      <c r="J935" t="s">
        <v>91</v>
      </c>
      <c r="K935" t="s">
        <v>40</v>
      </c>
      <c r="L935" t="s">
        <v>23</v>
      </c>
      <c r="M935" t="s">
        <v>1489</v>
      </c>
      <c r="N935" s="7">
        <f t="shared" si="28"/>
        <v>1124568</v>
      </c>
      <c r="O935" s="7">
        <f t="shared" si="29"/>
        <v>9371.4</v>
      </c>
    </row>
    <row r="936" spans="1:15" x14ac:dyDescent="0.35">
      <c r="A936" s="5">
        <v>935</v>
      </c>
      <c r="B936" t="s">
        <v>720</v>
      </c>
      <c r="C936" t="s">
        <v>1412</v>
      </c>
      <c r="D936" t="s">
        <v>1485</v>
      </c>
      <c r="E936" t="s">
        <v>122</v>
      </c>
      <c r="F936" s="1">
        <v>37233</v>
      </c>
      <c r="G936" s="28">
        <v>20</v>
      </c>
      <c r="H936" s="26">
        <v>146745</v>
      </c>
      <c r="I936" t="s">
        <v>142</v>
      </c>
      <c r="J936" t="s">
        <v>46</v>
      </c>
      <c r="K936" t="s">
        <v>17</v>
      </c>
      <c r="L936" t="s">
        <v>123</v>
      </c>
      <c r="M936" t="s">
        <v>1489</v>
      </c>
      <c r="N936" s="7">
        <f t="shared" si="28"/>
        <v>1760940</v>
      </c>
      <c r="O936" s="7">
        <f t="shared" si="29"/>
        <v>14674.5</v>
      </c>
    </row>
    <row r="937" spans="1:15" x14ac:dyDescent="0.35">
      <c r="A937" s="5">
        <v>936</v>
      </c>
      <c r="B937" t="s">
        <v>127</v>
      </c>
      <c r="C937" t="s">
        <v>1413</v>
      </c>
      <c r="D937" t="s">
        <v>1486</v>
      </c>
      <c r="E937" t="s">
        <v>14</v>
      </c>
      <c r="F937" s="1">
        <v>45280</v>
      </c>
      <c r="G937" s="28">
        <v>11</v>
      </c>
      <c r="H937" s="26">
        <v>126307</v>
      </c>
      <c r="I937" t="s">
        <v>497</v>
      </c>
      <c r="J937" t="s">
        <v>55</v>
      </c>
      <c r="K937" t="s">
        <v>17</v>
      </c>
      <c r="L937" t="s">
        <v>18</v>
      </c>
      <c r="M937" t="s">
        <v>1489</v>
      </c>
      <c r="N937" s="7">
        <f t="shared" si="28"/>
        <v>1515684</v>
      </c>
      <c r="O937" s="7">
        <f t="shared" si="29"/>
        <v>12630.7</v>
      </c>
    </row>
    <row r="938" spans="1:15" x14ac:dyDescent="0.35">
      <c r="A938" s="5">
        <v>937</v>
      </c>
      <c r="B938" t="s">
        <v>157</v>
      </c>
      <c r="C938" t="s">
        <v>1414</v>
      </c>
      <c r="D938" t="s">
        <v>1485</v>
      </c>
      <c r="E938" t="s">
        <v>21</v>
      </c>
      <c r="F938" s="1">
        <v>40811</v>
      </c>
      <c r="G938" s="28">
        <v>10</v>
      </c>
      <c r="H938" s="26">
        <v>134931</v>
      </c>
      <c r="I938" t="s">
        <v>220</v>
      </c>
      <c r="J938" t="s">
        <v>46</v>
      </c>
      <c r="K938" t="s">
        <v>17</v>
      </c>
      <c r="L938" t="s">
        <v>23</v>
      </c>
      <c r="M938" t="s">
        <v>1489</v>
      </c>
      <c r="N938" s="7">
        <f t="shared" si="28"/>
        <v>1619172</v>
      </c>
      <c r="O938" s="7">
        <f t="shared" si="29"/>
        <v>13493.1</v>
      </c>
    </row>
    <row r="939" spans="1:15" x14ac:dyDescent="0.35">
      <c r="A939" s="5">
        <v>938</v>
      </c>
      <c r="B939" t="s">
        <v>1028</v>
      </c>
      <c r="C939" t="s">
        <v>1415</v>
      </c>
      <c r="D939" t="s">
        <v>1486</v>
      </c>
      <c r="E939" t="s">
        <v>89</v>
      </c>
      <c r="F939" s="1">
        <v>37297</v>
      </c>
      <c r="G939" s="28">
        <v>19</v>
      </c>
      <c r="H939" s="26">
        <v>73668</v>
      </c>
      <c r="I939" t="s">
        <v>253</v>
      </c>
      <c r="J939" t="s">
        <v>16</v>
      </c>
      <c r="K939" t="s">
        <v>17</v>
      </c>
      <c r="L939" t="s">
        <v>41</v>
      </c>
      <c r="M939" t="s">
        <v>1489</v>
      </c>
      <c r="N939" s="7">
        <f t="shared" si="28"/>
        <v>884016</v>
      </c>
      <c r="O939" s="7">
        <f t="shared" si="29"/>
        <v>7366.8</v>
      </c>
    </row>
    <row r="940" spans="1:15" x14ac:dyDescent="0.35">
      <c r="A940" s="5">
        <v>939</v>
      </c>
      <c r="B940" t="s">
        <v>325</v>
      </c>
      <c r="C940" t="s">
        <v>1416</v>
      </c>
      <c r="D940" t="s">
        <v>1485</v>
      </c>
      <c r="E940" t="s">
        <v>100</v>
      </c>
      <c r="F940" s="1">
        <v>40927</v>
      </c>
      <c r="G940" s="28">
        <v>9</v>
      </c>
      <c r="H940" s="26">
        <v>48840</v>
      </c>
      <c r="I940" t="s">
        <v>223</v>
      </c>
      <c r="J940" t="s">
        <v>46</v>
      </c>
      <c r="K940" t="s">
        <v>17</v>
      </c>
      <c r="L940" t="s">
        <v>29</v>
      </c>
      <c r="M940" t="s">
        <v>1489</v>
      </c>
      <c r="N940" s="7">
        <f t="shared" si="28"/>
        <v>586080</v>
      </c>
      <c r="O940" s="7">
        <f t="shared" si="29"/>
        <v>4884</v>
      </c>
    </row>
    <row r="941" spans="1:15" x14ac:dyDescent="0.35">
      <c r="A941" s="5">
        <v>940</v>
      </c>
      <c r="B941" t="s">
        <v>788</v>
      </c>
      <c r="C941" t="s">
        <v>1417</v>
      </c>
      <c r="D941" t="s">
        <v>1485</v>
      </c>
      <c r="E941" t="s">
        <v>37</v>
      </c>
      <c r="F941" s="1">
        <v>41707</v>
      </c>
      <c r="G941" s="28">
        <v>7</v>
      </c>
      <c r="H941" s="26">
        <v>146952</v>
      </c>
      <c r="I941" t="s">
        <v>49</v>
      </c>
      <c r="J941" t="s">
        <v>16</v>
      </c>
      <c r="K941" t="s">
        <v>17</v>
      </c>
      <c r="L941" t="s">
        <v>41</v>
      </c>
      <c r="M941" t="s">
        <v>1489</v>
      </c>
      <c r="N941" s="7">
        <f t="shared" si="28"/>
        <v>1763424</v>
      </c>
      <c r="O941" s="7">
        <f t="shared" si="29"/>
        <v>14695.2</v>
      </c>
    </row>
    <row r="942" spans="1:15" x14ac:dyDescent="0.35">
      <c r="A942" s="5">
        <v>941</v>
      </c>
      <c r="B942" t="s">
        <v>255</v>
      </c>
      <c r="C942" t="s">
        <v>1418</v>
      </c>
      <c r="D942" t="s">
        <v>1486</v>
      </c>
      <c r="E942" t="s">
        <v>110</v>
      </c>
      <c r="F942" s="1">
        <v>38844</v>
      </c>
      <c r="G942" s="28">
        <v>15</v>
      </c>
      <c r="H942" s="26">
        <v>73565</v>
      </c>
      <c r="I942" t="s">
        <v>214</v>
      </c>
      <c r="J942" t="s">
        <v>39</v>
      </c>
      <c r="K942" t="s">
        <v>40</v>
      </c>
      <c r="L942" t="s">
        <v>112</v>
      </c>
      <c r="M942" t="s">
        <v>1489</v>
      </c>
      <c r="N942" s="7">
        <f t="shared" si="28"/>
        <v>882780</v>
      </c>
      <c r="O942" s="7">
        <f t="shared" si="29"/>
        <v>7356.5</v>
      </c>
    </row>
    <row r="943" spans="1:15" x14ac:dyDescent="0.35">
      <c r="A943" s="5">
        <v>942</v>
      </c>
      <c r="B943" t="s">
        <v>443</v>
      </c>
      <c r="C943" t="s">
        <v>1419</v>
      </c>
      <c r="D943" t="s">
        <v>1485</v>
      </c>
      <c r="E943" t="s">
        <v>312</v>
      </c>
      <c r="F943" s="1">
        <v>40336</v>
      </c>
      <c r="G943" s="28">
        <v>11</v>
      </c>
      <c r="H943" s="26">
        <v>64443</v>
      </c>
      <c r="I943" t="s">
        <v>226</v>
      </c>
      <c r="J943" t="s">
        <v>50</v>
      </c>
      <c r="K943" t="s">
        <v>40</v>
      </c>
      <c r="L943" t="s">
        <v>41</v>
      </c>
      <c r="M943" t="s">
        <v>1489</v>
      </c>
      <c r="N943" s="7">
        <f t="shared" si="28"/>
        <v>773316</v>
      </c>
      <c r="O943" s="7">
        <f t="shared" si="29"/>
        <v>6444.3</v>
      </c>
    </row>
    <row r="944" spans="1:15" x14ac:dyDescent="0.35">
      <c r="A944" s="5">
        <v>943</v>
      </c>
      <c r="B944" t="s">
        <v>42</v>
      </c>
      <c r="C944" t="s">
        <v>1420</v>
      </c>
      <c r="D944" t="s">
        <v>1486</v>
      </c>
      <c r="E944" t="s">
        <v>94</v>
      </c>
      <c r="F944" s="1">
        <v>44201</v>
      </c>
      <c r="G944" s="28">
        <v>13</v>
      </c>
      <c r="H944" s="26">
        <v>127171</v>
      </c>
      <c r="I944" t="s">
        <v>691</v>
      </c>
      <c r="J944" t="s">
        <v>55</v>
      </c>
      <c r="K944" t="s">
        <v>17</v>
      </c>
      <c r="L944" t="s">
        <v>18</v>
      </c>
      <c r="M944" t="s">
        <v>1489</v>
      </c>
      <c r="N944" s="7">
        <f t="shared" si="28"/>
        <v>1526052</v>
      </c>
      <c r="O944" s="7">
        <f t="shared" si="29"/>
        <v>12717.1</v>
      </c>
    </row>
    <row r="945" spans="1:15" x14ac:dyDescent="0.35">
      <c r="A945" s="5">
        <v>944</v>
      </c>
      <c r="B945" t="s">
        <v>308</v>
      </c>
      <c r="C945" t="s">
        <v>1421</v>
      </c>
      <c r="D945" t="s">
        <v>1486</v>
      </c>
      <c r="E945" t="s">
        <v>26</v>
      </c>
      <c r="F945" s="1">
        <v>37298</v>
      </c>
      <c r="G945" s="28">
        <v>19</v>
      </c>
      <c r="H945" s="26">
        <v>79045</v>
      </c>
      <c r="I945" t="s">
        <v>459</v>
      </c>
      <c r="J945" t="s">
        <v>28</v>
      </c>
      <c r="K945" t="s">
        <v>17</v>
      </c>
      <c r="L945" t="s">
        <v>29</v>
      </c>
      <c r="M945" t="s">
        <v>1489</v>
      </c>
      <c r="N945" s="7">
        <f t="shared" si="28"/>
        <v>948540</v>
      </c>
      <c r="O945" s="7">
        <f t="shared" si="29"/>
        <v>7904.5</v>
      </c>
    </row>
    <row r="946" spans="1:15" x14ac:dyDescent="0.35">
      <c r="A946" s="5">
        <v>945</v>
      </c>
      <c r="B946" t="s">
        <v>856</v>
      </c>
      <c r="C946" t="s">
        <v>1422</v>
      </c>
      <c r="D946" t="s">
        <v>1486</v>
      </c>
      <c r="E946" t="s">
        <v>32</v>
      </c>
      <c r="F946" s="1">
        <v>38792</v>
      </c>
      <c r="G946" s="28">
        <v>15</v>
      </c>
      <c r="H946" s="26">
        <v>117147</v>
      </c>
      <c r="I946" t="s">
        <v>406</v>
      </c>
      <c r="J946" t="s">
        <v>46</v>
      </c>
      <c r="K946" t="s">
        <v>17</v>
      </c>
      <c r="L946" t="s">
        <v>34</v>
      </c>
      <c r="M946" t="s">
        <v>1489</v>
      </c>
      <c r="N946" s="7">
        <f t="shared" si="28"/>
        <v>1405764</v>
      </c>
      <c r="O946" s="7">
        <f t="shared" si="29"/>
        <v>11714.7</v>
      </c>
    </row>
    <row r="947" spans="1:15" x14ac:dyDescent="0.35">
      <c r="A947" s="5">
        <v>946</v>
      </c>
      <c r="B947" t="s">
        <v>42</v>
      </c>
      <c r="C947" t="s">
        <v>1423</v>
      </c>
      <c r="D947" t="s">
        <v>1486</v>
      </c>
      <c r="E947" t="s">
        <v>148</v>
      </c>
      <c r="F947" s="1">
        <v>46393</v>
      </c>
      <c r="G947" s="28">
        <v>7</v>
      </c>
      <c r="H947" s="26">
        <v>69807</v>
      </c>
      <c r="I947" t="s">
        <v>1366</v>
      </c>
      <c r="J947" t="s">
        <v>28</v>
      </c>
      <c r="K947" t="s">
        <v>17</v>
      </c>
      <c r="L947" t="s">
        <v>112</v>
      </c>
      <c r="M947" t="s">
        <v>1489</v>
      </c>
      <c r="N947" s="7">
        <f t="shared" si="28"/>
        <v>837684</v>
      </c>
      <c r="O947" s="7">
        <f t="shared" si="29"/>
        <v>6980.7000000000007</v>
      </c>
    </row>
    <row r="948" spans="1:15" x14ac:dyDescent="0.35">
      <c r="A948" s="5">
        <v>947</v>
      </c>
      <c r="B948" t="s">
        <v>108</v>
      </c>
      <c r="C948" t="s">
        <v>1424</v>
      </c>
      <c r="D948" t="s">
        <v>1486</v>
      </c>
      <c r="E948" t="s">
        <v>312</v>
      </c>
      <c r="F948" s="1">
        <v>37995</v>
      </c>
      <c r="G948" s="28">
        <v>17</v>
      </c>
      <c r="H948" s="26">
        <v>128646</v>
      </c>
      <c r="I948" t="s">
        <v>181</v>
      </c>
      <c r="J948" t="s">
        <v>46</v>
      </c>
      <c r="K948" t="s">
        <v>17</v>
      </c>
      <c r="L948" t="s">
        <v>41</v>
      </c>
      <c r="M948" t="s">
        <v>1489</v>
      </c>
      <c r="N948" s="7">
        <f t="shared" si="28"/>
        <v>1543752</v>
      </c>
      <c r="O948" s="7">
        <f t="shared" si="29"/>
        <v>12864.6</v>
      </c>
    </row>
    <row r="949" spans="1:15" x14ac:dyDescent="0.35">
      <c r="A949" s="5">
        <v>948</v>
      </c>
      <c r="B949" t="s">
        <v>56</v>
      </c>
      <c r="C949" t="s">
        <v>1425</v>
      </c>
      <c r="D949" t="s">
        <v>1485</v>
      </c>
      <c r="E949" t="s">
        <v>44</v>
      </c>
      <c r="F949" s="1">
        <v>39491</v>
      </c>
      <c r="G949" s="28">
        <v>13</v>
      </c>
      <c r="H949" s="26">
        <v>47271</v>
      </c>
      <c r="I949" t="s">
        <v>1426</v>
      </c>
      <c r="J949" t="s">
        <v>46</v>
      </c>
      <c r="K949" t="s">
        <v>17</v>
      </c>
      <c r="L949" t="s">
        <v>29</v>
      </c>
      <c r="M949" t="s">
        <v>1489</v>
      </c>
      <c r="N949" s="7">
        <f t="shared" si="28"/>
        <v>567252</v>
      </c>
      <c r="O949" s="7">
        <f t="shared" si="29"/>
        <v>4727.1000000000004</v>
      </c>
    </row>
    <row r="950" spans="1:15" x14ac:dyDescent="0.35">
      <c r="A950" s="5">
        <v>949</v>
      </c>
      <c r="B950" t="s">
        <v>488</v>
      </c>
      <c r="C950" t="s">
        <v>1427</v>
      </c>
      <c r="D950" t="s">
        <v>1485</v>
      </c>
      <c r="E950" t="s">
        <v>312</v>
      </c>
      <c r="F950" s="1">
        <v>38711</v>
      </c>
      <c r="G950" s="28">
        <v>16</v>
      </c>
      <c r="H950" s="26">
        <v>59363</v>
      </c>
      <c r="I950" t="s">
        <v>1426</v>
      </c>
      <c r="J950" t="s">
        <v>46</v>
      </c>
      <c r="K950" t="s">
        <v>17</v>
      </c>
      <c r="L950" t="s">
        <v>41</v>
      </c>
      <c r="M950" t="s">
        <v>1489</v>
      </c>
      <c r="N950" s="7">
        <f t="shared" si="28"/>
        <v>712356</v>
      </c>
      <c r="O950" s="7">
        <f t="shared" si="29"/>
        <v>5936.3</v>
      </c>
    </row>
    <row r="951" spans="1:15" x14ac:dyDescent="0.35">
      <c r="A951" s="5">
        <v>950</v>
      </c>
      <c r="B951" t="s">
        <v>154</v>
      </c>
      <c r="C951" t="s">
        <v>1428</v>
      </c>
      <c r="D951" t="s">
        <v>1486</v>
      </c>
      <c r="E951" t="s">
        <v>312</v>
      </c>
      <c r="F951" s="1">
        <v>44399</v>
      </c>
      <c r="G951" s="28">
        <v>13</v>
      </c>
      <c r="H951" s="26">
        <v>68364</v>
      </c>
      <c r="I951" t="s">
        <v>497</v>
      </c>
      <c r="J951" t="s">
        <v>91</v>
      </c>
      <c r="K951" t="s">
        <v>40</v>
      </c>
      <c r="L951" t="s">
        <v>41</v>
      </c>
      <c r="M951" t="s">
        <v>1489</v>
      </c>
      <c r="N951" s="7">
        <f t="shared" si="28"/>
        <v>820368</v>
      </c>
      <c r="O951" s="7">
        <f t="shared" si="29"/>
        <v>6836.4000000000005</v>
      </c>
    </row>
    <row r="952" spans="1:15" x14ac:dyDescent="0.35">
      <c r="A952" s="5">
        <v>951</v>
      </c>
      <c r="B952" t="s">
        <v>614</v>
      </c>
      <c r="C952" t="s">
        <v>1429</v>
      </c>
      <c r="D952" t="s">
        <v>1486</v>
      </c>
      <c r="E952" t="s">
        <v>53</v>
      </c>
      <c r="F952" s="1">
        <v>46008</v>
      </c>
      <c r="G952" s="28">
        <v>9</v>
      </c>
      <c r="H952" s="26">
        <v>115975</v>
      </c>
      <c r="I952" t="s">
        <v>472</v>
      </c>
      <c r="J952" t="s">
        <v>39</v>
      </c>
      <c r="K952" t="s">
        <v>40</v>
      </c>
      <c r="L952" t="s">
        <v>23</v>
      </c>
      <c r="M952" t="s">
        <v>1489</v>
      </c>
      <c r="N952" s="7">
        <f t="shared" si="28"/>
        <v>1391700</v>
      </c>
      <c r="O952" s="7">
        <f t="shared" si="29"/>
        <v>11597.5</v>
      </c>
    </row>
    <row r="953" spans="1:15" x14ac:dyDescent="0.35">
      <c r="A953" s="5">
        <v>952</v>
      </c>
      <c r="B953" t="s">
        <v>882</v>
      </c>
      <c r="C953" t="s">
        <v>1430</v>
      </c>
      <c r="D953" t="s">
        <v>1486</v>
      </c>
      <c r="E953" t="s">
        <v>312</v>
      </c>
      <c r="F953" s="1">
        <v>44490</v>
      </c>
      <c r="G953" s="28">
        <v>13</v>
      </c>
      <c r="H953" s="26">
        <v>53905</v>
      </c>
      <c r="I953" t="s">
        <v>179</v>
      </c>
      <c r="J953" t="s">
        <v>39</v>
      </c>
      <c r="K953" t="s">
        <v>40</v>
      </c>
      <c r="L953" t="s">
        <v>41</v>
      </c>
      <c r="M953" t="s">
        <v>1489</v>
      </c>
      <c r="N953" s="7">
        <f t="shared" si="28"/>
        <v>646860</v>
      </c>
      <c r="O953" s="7">
        <f t="shared" si="29"/>
        <v>5390.5</v>
      </c>
    </row>
    <row r="954" spans="1:15" x14ac:dyDescent="0.35">
      <c r="A954" s="5">
        <v>953</v>
      </c>
      <c r="B954" t="s">
        <v>667</v>
      </c>
      <c r="C954" t="s">
        <v>1431</v>
      </c>
      <c r="D954" t="s">
        <v>1485</v>
      </c>
      <c r="E954" t="s">
        <v>37</v>
      </c>
      <c r="F954" s="1">
        <v>37867</v>
      </c>
      <c r="G954" s="28">
        <v>18</v>
      </c>
      <c r="H954" s="26">
        <v>115360</v>
      </c>
      <c r="I954" t="s">
        <v>472</v>
      </c>
      <c r="J954" t="s">
        <v>50</v>
      </c>
      <c r="K954" t="s">
        <v>40</v>
      </c>
      <c r="L954" t="s">
        <v>41</v>
      </c>
      <c r="M954" t="s">
        <v>1489</v>
      </c>
      <c r="N954" s="7">
        <f t="shared" si="28"/>
        <v>1384320</v>
      </c>
      <c r="O954" s="7">
        <f t="shared" si="29"/>
        <v>11536</v>
      </c>
    </row>
    <row r="955" spans="1:15" x14ac:dyDescent="0.35">
      <c r="A955" s="5">
        <v>954</v>
      </c>
      <c r="B955" t="s">
        <v>215</v>
      </c>
      <c r="C955" t="s">
        <v>1432</v>
      </c>
      <c r="D955" t="s">
        <v>1486</v>
      </c>
      <c r="E955" t="s">
        <v>94</v>
      </c>
      <c r="F955" s="1">
        <v>45492</v>
      </c>
      <c r="G955" s="28">
        <v>10</v>
      </c>
      <c r="H955" s="26">
        <v>120108</v>
      </c>
      <c r="I955" t="s">
        <v>1433</v>
      </c>
      <c r="J955" t="s">
        <v>91</v>
      </c>
      <c r="K955" t="s">
        <v>40</v>
      </c>
      <c r="L955" t="s">
        <v>18</v>
      </c>
      <c r="M955" t="s">
        <v>1489</v>
      </c>
      <c r="N955" s="7">
        <f t="shared" si="28"/>
        <v>1441296</v>
      </c>
      <c r="O955" s="7">
        <f t="shared" si="29"/>
        <v>12010.800000000001</v>
      </c>
    </row>
    <row r="956" spans="1:15" x14ac:dyDescent="0.35">
      <c r="A956" s="5">
        <v>955</v>
      </c>
      <c r="B956" t="s">
        <v>596</v>
      </c>
      <c r="C956" t="s">
        <v>1434</v>
      </c>
      <c r="D956" t="s">
        <v>1485</v>
      </c>
      <c r="E956" t="s">
        <v>69</v>
      </c>
      <c r="F956" s="1">
        <v>38460</v>
      </c>
      <c r="G956" s="28">
        <v>16</v>
      </c>
      <c r="H956" s="26">
        <v>59234</v>
      </c>
      <c r="I956" t="s">
        <v>459</v>
      </c>
      <c r="J956" t="s">
        <v>39</v>
      </c>
      <c r="K956" t="s">
        <v>40</v>
      </c>
      <c r="L956" t="s">
        <v>41</v>
      </c>
      <c r="M956" t="s">
        <v>1489</v>
      </c>
      <c r="N956" s="7">
        <f t="shared" si="28"/>
        <v>710808</v>
      </c>
      <c r="O956" s="7">
        <f t="shared" si="29"/>
        <v>5923.4000000000005</v>
      </c>
    </row>
    <row r="957" spans="1:15" x14ac:dyDescent="0.35">
      <c r="A957" s="5">
        <v>956</v>
      </c>
      <c r="B957" t="s">
        <v>325</v>
      </c>
      <c r="C957" t="s">
        <v>1435</v>
      </c>
      <c r="D957" t="s">
        <v>1486</v>
      </c>
      <c r="E957" t="s">
        <v>37</v>
      </c>
      <c r="F957" s="1">
        <v>43858</v>
      </c>
      <c r="G957" s="28">
        <v>14</v>
      </c>
      <c r="H957" s="26">
        <v>76812</v>
      </c>
      <c r="I957" t="s">
        <v>626</v>
      </c>
      <c r="J957" t="s">
        <v>39</v>
      </c>
      <c r="K957" t="s">
        <v>40</v>
      </c>
      <c r="L957" t="s">
        <v>41</v>
      </c>
      <c r="M957" t="s">
        <v>1489</v>
      </c>
      <c r="N957" s="7">
        <f t="shared" si="28"/>
        <v>921744</v>
      </c>
      <c r="O957" s="7">
        <f t="shared" si="29"/>
        <v>7681.2000000000007</v>
      </c>
    </row>
    <row r="958" spans="1:15" x14ac:dyDescent="0.35">
      <c r="A958" s="5">
        <v>957</v>
      </c>
      <c r="B958" t="s">
        <v>291</v>
      </c>
      <c r="C958" t="s">
        <v>1436</v>
      </c>
      <c r="D958" t="s">
        <v>1486</v>
      </c>
      <c r="E958" t="s">
        <v>79</v>
      </c>
      <c r="F958" s="1">
        <v>45785</v>
      </c>
      <c r="G958" s="28">
        <v>9</v>
      </c>
      <c r="H958" s="26">
        <v>42347</v>
      </c>
      <c r="I958" t="s">
        <v>459</v>
      </c>
      <c r="J958" t="s">
        <v>28</v>
      </c>
      <c r="K958" t="s">
        <v>17</v>
      </c>
      <c r="L958" t="s">
        <v>41</v>
      </c>
      <c r="M958" t="s">
        <v>1489</v>
      </c>
      <c r="N958" s="7">
        <f t="shared" si="28"/>
        <v>508164</v>
      </c>
      <c r="O958" s="7">
        <f t="shared" si="29"/>
        <v>4234.7</v>
      </c>
    </row>
    <row r="959" spans="1:15" x14ac:dyDescent="0.35">
      <c r="A959" s="5">
        <v>958</v>
      </c>
      <c r="B959" t="s">
        <v>1437</v>
      </c>
      <c r="C959" t="s">
        <v>1438</v>
      </c>
      <c r="D959" t="s">
        <v>1485</v>
      </c>
      <c r="E959" t="s">
        <v>44</v>
      </c>
      <c r="F959" s="1">
        <v>37960</v>
      </c>
      <c r="G959" s="28">
        <v>18</v>
      </c>
      <c r="H959" s="26">
        <v>82164</v>
      </c>
      <c r="I959" t="s">
        <v>74</v>
      </c>
      <c r="J959" t="s">
        <v>46</v>
      </c>
      <c r="K959" t="s">
        <v>17</v>
      </c>
      <c r="L959" t="s">
        <v>29</v>
      </c>
      <c r="M959" t="s">
        <v>1489</v>
      </c>
      <c r="N959" s="7">
        <f t="shared" si="28"/>
        <v>985968</v>
      </c>
      <c r="O959" s="7">
        <f t="shared" si="29"/>
        <v>8216.4</v>
      </c>
    </row>
    <row r="960" spans="1:15" x14ac:dyDescent="0.35">
      <c r="A960" s="5">
        <v>959</v>
      </c>
      <c r="B960" t="s">
        <v>212</v>
      </c>
      <c r="C960" t="s">
        <v>1439</v>
      </c>
      <c r="D960" t="s">
        <v>1485</v>
      </c>
      <c r="E960" t="s">
        <v>238</v>
      </c>
      <c r="F960" s="1">
        <v>36859</v>
      </c>
      <c r="G960" s="28">
        <v>21</v>
      </c>
      <c r="H960" s="26">
        <v>114695</v>
      </c>
      <c r="I960" t="s">
        <v>306</v>
      </c>
      <c r="J960" t="s">
        <v>46</v>
      </c>
      <c r="K960" t="s">
        <v>17</v>
      </c>
      <c r="L960" t="s">
        <v>63</v>
      </c>
      <c r="M960" t="s">
        <v>1489</v>
      </c>
      <c r="N960" s="7">
        <f t="shared" si="28"/>
        <v>1376340</v>
      </c>
      <c r="O960" s="7">
        <f t="shared" si="29"/>
        <v>11469.5</v>
      </c>
    </row>
    <row r="961" spans="1:15" x14ac:dyDescent="0.35">
      <c r="A961" s="5">
        <v>960</v>
      </c>
      <c r="B961" t="s">
        <v>205</v>
      </c>
      <c r="C961" t="s">
        <v>1440</v>
      </c>
      <c r="D961" t="s">
        <v>1485</v>
      </c>
      <c r="E961" t="s">
        <v>14</v>
      </c>
      <c r="F961" s="1">
        <v>37621</v>
      </c>
      <c r="G961" s="28">
        <v>19</v>
      </c>
      <c r="H961" s="26">
        <v>47541</v>
      </c>
      <c r="I961" t="s">
        <v>149</v>
      </c>
      <c r="J961" t="s">
        <v>16</v>
      </c>
      <c r="K961" t="s">
        <v>17</v>
      </c>
      <c r="L961" t="s">
        <v>18</v>
      </c>
      <c r="M961" t="s">
        <v>1489</v>
      </c>
      <c r="N961" s="7">
        <f t="shared" si="28"/>
        <v>570492</v>
      </c>
      <c r="O961" s="7">
        <f t="shared" si="29"/>
        <v>4754.1000000000004</v>
      </c>
    </row>
    <row r="962" spans="1:15" x14ac:dyDescent="0.35">
      <c r="A962" s="5">
        <v>961</v>
      </c>
      <c r="B962" t="s">
        <v>624</v>
      </c>
      <c r="C962" t="s">
        <v>1441</v>
      </c>
      <c r="D962" t="s">
        <v>1486</v>
      </c>
      <c r="E962" t="s">
        <v>73</v>
      </c>
      <c r="F962" s="1">
        <v>45610</v>
      </c>
      <c r="G962" s="28">
        <v>10</v>
      </c>
      <c r="H962" s="26">
        <v>116355</v>
      </c>
      <c r="I962" t="s">
        <v>15</v>
      </c>
      <c r="J962" t="s">
        <v>91</v>
      </c>
      <c r="K962" t="s">
        <v>40</v>
      </c>
      <c r="L962" t="s">
        <v>41</v>
      </c>
      <c r="M962" t="s">
        <v>1489</v>
      </c>
      <c r="N962" s="7">
        <f t="shared" ref="N962:N1001" si="30">H962*12</f>
        <v>1396260</v>
      </c>
      <c r="O962" s="7">
        <f t="shared" ref="O962:O1001" si="31">H962*10%</f>
        <v>11635.5</v>
      </c>
    </row>
    <row r="963" spans="1:15" x14ac:dyDescent="0.35">
      <c r="A963" s="5">
        <v>962</v>
      </c>
      <c r="B963" t="s">
        <v>423</v>
      </c>
      <c r="C963" t="s">
        <v>1442</v>
      </c>
      <c r="D963" t="s">
        <v>1486</v>
      </c>
      <c r="E963" t="s">
        <v>203</v>
      </c>
      <c r="F963" s="1">
        <v>36812</v>
      </c>
      <c r="G963" s="28">
        <v>21</v>
      </c>
      <c r="H963" s="26">
        <v>48339</v>
      </c>
      <c r="I963" t="s">
        <v>640</v>
      </c>
      <c r="J963" t="s">
        <v>91</v>
      </c>
      <c r="K963" t="s">
        <v>40</v>
      </c>
      <c r="L963" t="s">
        <v>41</v>
      </c>
      <c r="M963" t="s">
        <v>1489</v>
      </c>
      <c r="N963" s="7">
        <f t="shared" si="30"/>
        <v>580068</v>
      </c>
      <c r="O963" s="7">
        <f t="shared" si="31"/>
        <v>4833.9000000000005</v>
      </c>
    </row>
    <row r="964" spans="1:15" x14ac:dyDescent="0.35">
      <c r="A964" s="5">
        <v>963</v>
      </c>
      <c r="B964" t="s">
        <v>358</v>
      </c>
      <c r="C964" t="s">
        <v>1443</v>
      </c>
      <c r="D964" t="s">
        <v>1486</v>
      </c>
      <c r="E964" t="s">
        <v>69</v>
      </c>
      <c r="F964" s="1">
        <v>45828</v>
      </c>
      <c r="G964" s="28">
        <v>9</v>
      </c>
      <c r="H964" s="26">
        <v>58697</v>
      </c>
      <c r="I964" t="s">
        <v>527</v>
      </c>
      <c r="J964" t="s">
        <v>55</v>
      </c>
      <c r="K964" t="s">
        <v>17</v>
      </c>
      <c r="L964" t="s">
        <v>41</v>
      </c>
      <c r="M964" t="s">
        <v>1489</v>
      </c>
      <c r="N964" s="7">
        <f t="shared" si="30"/>
        <v>704364</v>
      </c>
      <c r="O964" s="7">
        <f t="shared" si="31"/>
        <v>5869.7000000000007</v>
      </c>
    </row>
    <row r="965" spans="1:15" x14ac:dyDescent="0.35">
      <c r="A965" s="5">
        <v>964</v>
      </c>
      <c r="B965" t="s">
        <v>772</v>
      </c>
      <c r="C965" t="s">
        <v>1444</v>
      </c>
      <c r="D965" t="s">
        <v>1485</v>
      </c>
      <c r="E965" t="s">
        <v>110</v>
      </c>
      <c r="F965" s="1">
        <v>37317</v>
      </c>
      <c r="G965" s="28">
        <v>19</v>
      </c>
      <c r="H965" s="26">
        <v>127268</v>
      </c>
      <c r="I965" t="s">
        <v>111</v>
      </c>
      <c r="J965" t="s">
        <v>55</v>
      </c>
      <c r="K965" t="s">
        <v>17</v>
      </c>
      <c r="L965" t="s">
        <v>112</v>
      </c>
      <c r="M965" t="s">
        <v>1489</v>
      </c>
      <c r="N965" s="7">
        <f t="shared" si="30"/>
        <v>1527216</v>
      </c>
      <c r="O965" s="7">
        <f t="shared" si="31"/>
        <v>12726.800000000001</v>
      </c>
    </row>
    <row r="966" spans="1:15" x14ac:dyDescent="0.35">
      <c r="A966" s="5">
        <v>965</v>
      </c>
      <c r="B966" t="s">
        <v>465</v>
      </c>
      <c r="C966" t="s">
        <v>1445</v>
      </c>
      <c r="D966" t="s">
        <v>1485</v>
      </c>
      <c r="E966" t="s">
        <v>79</v>
      </c>
      <c r="F966" s="1">
        <v>41731</v>
      </c>
      <c r="G966" s="28">
        <v>7</v>
      </c>
      <c r="H966" s="26">
        <v>115541</v>
      </c>
      <c r="I966" t="s">
        <v>386</v>
      </c>
      <c r="J966" t="s">
        <v>50</v>
      </c>
      <c r="K966" t="s">
        <v>40</v>
      </c>
      <c r="L966" t="s">
        <v>41</v>
      </c>
      <c r="M966" t="s">
        <v>1489</v>
      </c>
      <c r="N966" s="7">
        <f t="shared" si="30"/>
        <v>1386492</v>
      </c>
      <c r="O966" s="7">
        <f t="shared" si="31"/>
        <v>11554.1</v>
      </c>
    </row>
    <row r="967" spans="1:15" x14ac:dyDescent="0.35">
      <c r="A967" s="5">
        <v>966</v>
      </c>
      <c r="B967" t="s">
        <v>108</v>
      </c>
      <c r="C967" t="s">
        <v>1446</v>
      </c>
      <c r="D967" t="s">
        <v>1486</v>
      </c>
      <c r="E967" t="s">
        <v>100</v>
      </c>
      <c r="F967" s="1">
        <v>44240</v>
      </c>
      <c r="G967" s="28">
        <v>13</v>
      </c>
      <c r="H967" s="26">
        <v>54876</v>
      </c>
      <c r="I967" t="s">
        <v>709</v>
      </c>
      <c r="J967" t="s">
        <v>16</v>
      </c>
      <c r="K967" t="s">
        <v>17</v>
      </c>
      <c r="L967" t="s">
        <v>29</v>
      </c>
      <c r="M967" t="s">
        <v>1489</v>
      </c>
      <c r="N967" s="7">
        <f t="shared" si="30"/>
        <v>658512</v>
      </c>
      <c r="O967" s="7">
        <f t="shared" si="31"/>
        <v>5487.6</v>
      </c>
    </row>
    <row r="968" spans="1:15" x14ac:dyDescent="0.35">
      <c r="A968" s="5">
        <v>967</v>
      </c>
      <c r="B968" t="s">
        <v>439</v>
      </c>
      <c r="C968" t="s">
        <v>1447</v>
      </c>
      <c r="D968" t="s">
        <v>1486</v>
      </c>
      <c r="E968" t="s">
        <v>129</v>
      </c>
      <c r="F968" s="1">
        <v>45882</v>
      </c>
      <c r="G968" s="28">
        <v>9</v>
      </c>
      <c r="H968" s="26">
        <v>55081</v>
      </c>
      <c r="I968" t="s">
        <v>214</v>
      </c>
      <c r="J968" t="s">
        <v>91</v>
      </c>
      <c r="K968" t="s">
        <v>40</v>
      </c>
      <c r="L968" t="s">
        <v>41</v>
      </c>
      <c r="M968" t="s">
        <v>1489</v>
      </c>
      <c r="N968" s="7">
        <f t="shared" si="30"/>
        <v>660972</v>
      </c>
      <c r="O968" s="7">
        <f t="shared" si="31"/>
        <v>5508.1</v>
      </c>
    </row>
    <row r="969" spans="1:15" x14ac:dyDescent="0.35">
      <c r="A969" s="5">
        <v>968</v>
      </c>
      <c r="B969" t="s">
        <v>508</v>
      </c>
      <c r="C969" t="s">
        <v>1448</v>
      </c>
      <c r="D969" t="s">
        <v>1485</v>
      </c>
      <c r="E969" t="s">
        <v>129</v>
      </c>
      <c r="F969" s="1">
        <v>40082</v>
      </c>
      <c r="G969" s="28">
        <v>12</v>
      </c>
      <c r="H969" s="26">
        <v>123017</v>
      </c>
      <c r="I969" t="s">
        <v>344</v>
      </c>
      <c r="J969" t="s">
        <v>50</v>
      </c>
      <c r="K969" t="s">
        <v>40</v>
      </c>
      <c r="L969" t="s">
        <v>41</v>
      </c>
      <c r="M969" t="s">
        <v>1489</v>
      </c>
      <c r="N969" s="7">
        <f t="shared" si="30"/>
        <v>1476204</v>
      </c>
      <c r="O969" s="7">
        <f t="shared" si="31"/>
        <v>12301.7</v>
      </c>
    </row>
    <row r="970" spans="1:15" x14ac:dyDescent="0.35">
      <c r="A970" s="5">
        <v>969</v>
      </c>
      <c r="B970" t="s">
        <v>969</v>
      </c>
      <c r="C970" t="s">
        <v>1449</v>
      </c>
      <c r="D970" t="s">
        <v>1485</v>
      </c>
      <c r="E970" t="s">
        <v>69</v>
      </c>
      <c r="F970" s="1">
        <v>41825</v>
      </c>
      <c r="G970" s="28">
        <v>7</v>
      </c>
      <c r="H970" s="26">
        <v>85294</v>
      </c>
      <c r="I970" t="s">
        <v>715</v>
      </c>
      <c r="J970" t="s">
        <v>55</v>
      </c>
      <c r="K970" t="s">
        <v>17</v>
      </c>
      <c r="L970" t="s">
        <v>41</v>
      </c>
      <c r="M970" t="s">
        <v>1489</v>
      </c>
      <c r="N970" s="7">
        <f t="shared" si="30"/>
        <v>1023528</v>
      </c>
      <c r="O970" s="7">
        <f t="shared" si="31"/>
        <v>8529.4</v>
      </c>
    </row>
    <row r="971" spans="1:15" x14ac:dyDescent="0.35">
      <c r="A971" s="5">
        <v>970</v>
      </c>
      <c r="B971" t="s">
        <v>56</v>
      </c>
      <c r="C971" t="s">
        <v>1450</v>
      </c>
      <c r="D971" t="s">
        <v>1485</v>
      </c>
      <c r="E971" t="s">
        <v>85</v>
      </c>
      <c r="F971" s="1">
        <v>38204</v>
      </c>
      <c r="G971" s="28">
        <v>17</v>
      </c>
      <c r="H971" s="26">
        <v>54470</v>
      </c>
      <c r="I971" t="s">
        <v>551</v>
      </c>
      <c r="J971" t="s">
        <v>16</v>
      </c>
      <c r="K971" t="s">
        <v>17</v>
      </c>
      <c r="L971" t="s">
        <v>41</v>
      </c>
      <c r="M971" t="s">
        <v>1489</v>
      </c>
      <c r="N971" s="7">
        <f t="shared" si="30"/>
        <v>653640</v>
      </c>
      <c r="O971" s="7">
        <f t="shared" si="31"/>
        <v>5447</v>
      </c>
    </row>
    <row r="972" spans="1:15" x14ac:dyDescent="0.35">
      <c r="A972" s="5">
        <v>971</v>
      </c>
      <c r="B972" t="s">
        <v>718</v>
      </c>
      <c r="C972" t="s">
        <v>1451</v>
      </c>
      <c r="D972" t="s">
        <v>1486</v>
      </c>
      <c r="E972" t="s">
        <v>148</v>
      </c>
      <c r="F972" s="1">
        <v>45454</v>
      </c>
      <c r="G972" s="28">
        <v>10</v>
      </c>
      <c r="H972" s="26">
        <v>148889</v>
      </c>
      <c r="I972" t="s">
        <v>327</v>
      </c>
      <c r="J972" t="s">
        <v>55</v>
      </c>
      <c r="K972" t="s">
        <v>17</v>
      </c>
      <c r="L972" t="s">
        <v>112</v>
      </c>
      <c r="M972" t="s">
        <v>1489</v>
      </c>
      <c r="N972" s="7">
        <f t="shared" si="30"/>
        <v>1786668</v>
      </c>
      <c r="O972" s="7">
        <f t="shared" si="31"/>
        <v>14888.900000000001</v>
      </c>
    </row>
    <row r="973" spans="1:15" x14ac:dyDescent="0.35">
      <c r="A973" s="5">
        <v>972</v>
      </c>
      <c r="B973" t="s">
        <v>864</v>
      </c>
      <c r="C973" t="s">
        <v>1452</v>
      </c>
      <c r="D973" t="s">
        <v>1486</v>
      </c>
      <c r="E973" t="s">
        <v>73</v>
      </c>
      <c r="F973" s="1">
        <v>44206</v>
      </c>
      <c r="G973" s="28">
        <v>13</v>
      </c>
      <c r="H973" s="26">
        <v>94049</v>
      </c>
      <c r="I973" t="s">
        <v>247</v>
      </c>
      <c r="J973" t="s">
        <v>39</v>
      </c>
      <c r="K973" t="s">
        <v>40</v>
      </c>
      <c r="L973" t="s">
        <v>41</v>
      </c>
      <c r="M973" t="s">
        <v>1489</v>
      </c>
      <c r="N973" s="7">
        <f t="shared" si="30"/>
        <v>1128588</v>
      </c>
      <c r="O973" s="7">
        <f t="shared" si="31"/>
        <v>9404.9</v>
      </c>
    </row>
    <row r="974" spans="1:15" x14ac:dyDescent="0.35">
      <c r="A974" s="5">
        <v>973</v>
      </c>
      <c r="B974" t="s">
        <v>560</v>
      </c>
      <c r="C974" t="s">
        <v>1453</v>
      </c>
      <c r="D974" t="s">
        <v>1486</v>
      </c>
      <c r="E974" t="s">
        <v>61</v>
      </c>
      <c r="F974" s="1">
        <v>44692</v>
      </c>
      <c r="G974" s="28">
        <v>12</v>
      </c>
      <c r="H974" s="26">
        <v>51132</v>
      </c>
      <c r="I974" t="s">
        <v>139</v>
      </c>
      <c r="J974" t="s">
        <v>55</v>
      </c>
      <c r="K974" t="s">
        <v>17</v>
      </c>
      <c r="L974" t="s">
        <v>63</v>
      </c>
      <c r="M974" t="s">
        <v>1489</v>
      </c>
      <c r="N974" s="7">
        <f t="shared" si="30"/>
        <v>613584</v>
      </c>
      <c r="O974" s="7">
        <f t="shared" si="31"/>
        <v>5113.2000000000007</v>
      </c>
    </row>
    <row r="975" spans="1:15" x14ac:dyDescent="0.35">
      <c r="A975" s="5">
        <v>974</v>
      </c>
      <c r="B975" t="s">
        <v>259</v>
      </c>
      <c r="C975" t="s">
        <v>1454</v>
      </c>
      <c r="D975" t="s">
        <v>1485</v>
      </c>
      <c r="E975" t="s">
        <v>53</v>
      </c>
      <c r="F975" s="1">
        <v>37421</v>
      </c>
      <c r="G975" s="28">
        <v>19</v>
      </c>
      <c r="H975" s="26">
        <v>87422</v>
      </c>
      <c r="I975" t="s">
        <v>370</v>
      </c>
      <c r="J975" t="s">
        <v>28</v>
      </c>
      <c r="K975" t="s">
        <v>40</v>
      </c>
      <c r="L975" t="s">
        <v>23</v>
      </c>
      <c r="M975" t="s">
        <v>1489</v>
      </c>
      <c r="N975" s="7">
        <f t="shared" si="30"/>
        <v>1049064</v>
      </c>
      <c r="O975" s="7">
        <f t="shared" si="31"/>
        <v>8742.2000000000007</v>
      </c>
    </row>
    <row r="976" spans="1:15" x14ac:dyDescent="0.35">
      <c r="A976" s="5">
        <v>975</v>
      </c>
      <c r="B976" t="s">
        <v>523</v>
      </c>
      <c r="C976" t="s">
        <v>1455</v>
      </c>
      <c r="D976" t="s">
        <v>1486</v>
      </c>
      <c r="E976" t="s">
        <v>110</v>
      </c>
      <c r="F976" s="1">
        <v>46645</v>
      </c>
      <c r="G976" s="28">
        <v>7</v>
      </c>
      <c r="H976" s="26">
        <v>88439</v>
      </c>
      <c r="I976" t="s">
        <v>888</v>
      </c>
      <c r="J976" t="s">
        <v>16</v>
      </c>
      <c r="K976" t="s">
        <v>17</v>
      </c>
      <c r="L976" t="s">
        <v>112</v>
      </c>
      <c r="M976" t="s">
        <v>1489</v>
      </c>
      <c r="N976" s="7">
        <f t="shared" si="30"/>
        <v>1061268</v>
      </c>
      <c r="O976" s="7">
        <f t="shared" si="31"/>
        <v>8843.9</v>
      </c>
    </row>
    <row r="977" spans="1:15" x14ac:dyDescent="0.35">
      <c r="A977" s="5">
        <v>976</v>
      </c>
      <c r="B977" t="s">
        <v>105</v>
      </c>
      <c r="C977" t="s">
        <v>1456</v>
      </c>
      <c r="D977" t="s">
        <v>1485</v>
      </c>
      <c r="E977" t="s">
        <v>129</v>
      </c>
      <c r="F977" s="1">
        <v>38408</v>
      </c>
      <c r="G977" s="28">
        <v>16</v>
      </c>
      <c r="H977" s="26">
        <v>110749</v>
      </c>
      <c r="I977" t="s">
        <v>330</v>
      </c>
      <c r="J977" t="s">
        <v>39</v>
      </c>
      <c r="K977" t="s">
        <v>40</v>
      </c>
      <c r="L977" t="s">
        <v>41</v>
      </c>
      <c r="M977" t="s">
        <v>1489</v>
      </c>
      <c r="N977" s="7">
        <f t="shared" si="30"/>
        <v>1328988</v>
      </c>
      <c r="O977" s="7">
        <f t="shared" si="31"/>
        <v>11074.900000000001</v>
      </c>
    </row>
    <row r="978" spans="1:15" x14ac:dyDescent="0.35">
      <c r="A978" s="5">
        <v>977</v>
      </c>
      <c r="B978" t="s">
        <v>1282</v>
      </c>
      <c r="C978" t="s">
        <v>1457</v>
      </c>
      <c r="D978" t="s">
        <v>1485</v>
      </c>
      <c r="E978" t="s">
        <v>129</v>
      </c>
      <c r="F978" s="1">
        <v>39016</v>
      </c>
      <c r="G978" s="28">
        <v>15</v>
      </c>
      <c r="H978" s="26">
        <v>137911</v>
      </c>
      <c r="I978" t="s">
        <v>381</v>
      </c>
      <c r="J978" t="s">
        <v>55</v>
      </c>
      <c r="K978" t="s">
        <v>17</v>
      </c>
      <c r="L978" t="s">
        <v>41</v>
      </c>
      <c r="M978" t="s">
        <v>1489</v>
      </c>
      <c r="N978" s="7">
        <f t="shared" si="30"/>
        <v>1654932</v>
      </c>
      <c r="O978" s="7">
        <f t="shared" si="31"/>
        <v>13791.1</v>
      </c>
    </row>
    <row r="979" spans="1:15" x14ac:dyDescent="0.35">
      <c r="A979" s="5">
        <v>978</v>
      </c>
      <c r="B979" t="s">
        <v>288</v>
      </c>
      <c r="C979" t="s">
        <v>1458</v>
      </c>
      <c r="D979" t="s">
        <v>1485</v>
      </c>
      <c r="E979" t="s">
        <v>94</v>
      </c>
      <c r="F979" s="1">
        <v>39982</v>
      </c>
      <c r="G979" s="28">
        <v>12</v>
      </c>
      <c r="H979" s="26">
        <v>93665</v>
      </c>
      <c r="I979" t="s">
        <v>632</v>
      </c>
      <c r="J979" t="s">
        <v>28</v>
      </c>
      <c r="K979" t="s">
        <v>17</v>
      </c>
      <c r="L979" t="s">
        <v>18</v>
      </c>
      <c r="M979" t="s">
        <v>1489</v>
      </c>
      <c r="N979" s="7">
        <f t="shared" si="30"/>
        <v>1123980</v>
      </c>
      <c r="O979" s="7">
        <f t="shared" si="31"/>
        <v>9366.5</v>
      </c>
    </row>
    <row r="980" spans="1:15" x14ac:dyDescent="0.35">
      <c r="A980" s="5">
        <v>979</v>
      </c>
      <c r="B980" t="s">
        <v>80</v>
      </c>
      <c r="C980" t="s">
        <v>1459</v>
      </c>
      <c r="D980" t="s">
        <v>1485</v>
      </c>
      <c r="E980" t="s">
        <v>73</v>
      </c>
      <c r="F980" s="1">
        <v>40178</v>
      </c>
      <c r="G980" s="28">
        <v>12</v>
      </c>
      <c r="H980" s="26">
        <v>90068</v>
      </c>
      <c r="I980" t="s">
        <v>313</v>
      </c>
      <c r="J980" t="s">
        <v>50</v>
      </c>
      <c r="K980" t="s">
        <v>40</v>
      </c>
      <c r="L980" t="s">
        <v>41</v>
      </c>
      <c r="M980" t="s">
        <v>1489</v>
      </c>
      <c r="N980" s="7">
        <f t="shared" si="30"/>
        <v>1080816</v>
      </c>
      <c r="O980" s="7">
        <f t="shared" si="31"/>
        <v>9006.8000000000011</v>
      </c>
    </row>
    <row r="981" spans="1:15" x14ac:dyDescent="0.35">
      <c r="A981" s="5">
        <v>980</v>
      </c>
      <c r="B981" t="s">
        <v>59</v>
      </c>
      <c r="C981" t="s">
        <v>1460</v>
      </c>
      <c r="D981" t="s">
        <v>1486</v>
      </c>
      <c r="E981" t="s">
        <v>89</v>
      </c>
      <c r="F981" s="1">
        <v>46740</v>
      </c>
      <c r="G981" s="28">
        <v>7</v>
      </c>
      <c r="H981" s="26">
        <v>83704</v>
      </c>
      <c r="I981" t="s">
        <v>179</v>
      </c>
      <c r="J981" t="s">
        <v>91</v>
      </c>
      <c r="K981" t="s">
        <v>40</v>
      </c>
      <c r="L981" t="s">
        <v>41</v>
      </c>
      <c r="M981" t="s">
        <v>1489</v>
      </c>
      <c r="N981" s="7">
        <f t="shared" si="30"/>
        <v>1004448</v>
      </c>
      <c r="O981" s="7">
        <f t="shared" si="31"/>
        <v>8370.4</v>
      </c>
    </row>
    <row r="982" spans="1:15" x14ac:dyDescent="0.35">
      <c r="A982" s="5">
        <v>981</v>
      </c>
      <c r="B982" t="s">
        <v>165</v>
      </c>
      <c r="C982" t="s">
        <v>1461</v>
      </c>
      <c r="D982" t="s">
        <v>1485</v>
      </c>
      <c r="E982" t="s">
        <v>129</v>
      </c>
      <c r="F982" s="1">
        <v>40721</v>
      </c>
      <c r="G982" s="28">
        <v>10</v>
      </c>
      <c r="H982" s="26">
        <v>116767</v>
      </c>
      <c r="I982" t="s">
        <v>194</v>
      </c>
      <c r="J982" t="s">
        <v>28</v>
      </c>
      <c r="K982" t="s">
        <v>17</v>
      </c>
      <c r="L982" t="s">
        <v>41</v>
      </c>
      <c r="M982" t="s">
        <v>1489</v>
      </c>
      <c r="N982" s="7">
        <f t="shared" si="30"/>
        <v>1401204</v>
      </c>
      <c r="O982" s="7">
        <f t="shared" si="31"/>
        <v>11676.7</v>
      </c>
    </row>
    <row r="983" spans="1:15" x14ac:dyDescent="0.35">
      <c r="A983" s="5">
        <v>982</v>
      </c>
      <c r="B983" t="s">
        <v>986</v>
      </c>
      <c r="C983" t="s">
        <v>1462</v>
      </c>
      <c r="D983" t="s">
        <v>1486</v>
      </c>
      <c r="E983" t="s">
        <v>53</v>
      </c>
      <c r="F983" s="1">
        <v>36764</v>
      </c>
      <c r="G983" s="28">
        <v>21</v>
      </c>
      <c r="H983" s="26">
        <v>54599</v>
      </c>
      <c r="I983" t="s">
        <v>142</v>
      </c>
      <c r="J983" t="s">
        <v>28</v>
      </c>
      <c r="K983" t="s">
        <v>17</v>
      </c>
      <c r="L983" t="s">
        <v>23</v>
      </c>
      <c r="M983" t="s">
        <v>1489</v>
      </c>
      <c r="N983" s="7">
        <f t="shared" si="30"/>
        <v>655188</v>
      </c>
      <c r="O983" s="7">
        <f t="shared" si="31"/>
        <v>5459.9000000000005</v>
      </c>
    </row>
    <row r="984" spans="1:15" x14ac:dyDescent="0.35">
      <c r="A984" s="5">
        <v>983</v>
      </c>
      <c r="B984" t="s">
        <v>443</v>
      </c>
      <c r="C984" t="s">
        <v>1463</v>
      </c>
      <c r="D984" t="s">
        <v>1486</v>
      </c>
      <c r="E984" t="s">
        <v>21</v>
      </c>
      <c r="F984" s="1">
        <v>46435</v>
      </c>
      <c r="G984" s="28">
        <v>7</v>
      </c>
      <c r="H984" s="26">
        <v>94685</v>
      </c>
      <c r="I984" t="s">
        <v>370</v>
      </c>
      <c r="J984" t="s">
        <v>55</v>
      </c>
      <c r="K984" t="s">
        <v>17</v>
      </c>
      <c r="L984" t="s">
        <v>23</v>
      </c>
      <c r="M984" t="s">
        <v>1489</v>
      </c>
      <c r="N984" s="7">
        <f t="shared" si="30"/>
        <v>1136220</v>
      </c>
      <c r="O984" s="7">
        <f t="shared" si="31"/>
        <v>9468.5</v>
      </c>
    </row>
    <row r="985" spans="1:15" x14ac:dyDescent="0.35">
      <c r="A985" s="5">
        <v>984</v>
      </c>
      <c r="B985" t="s">
        <v>268</v>
      </c>
      <c r="C985" t="s">
        <v>1464</v>
      </c>
      <c r="D985" t="s">
        <v>1485</v>
      </c>
      <c r="E985" t="s">
        <v>32</v>
      </c>
      <c r="F985" s="1">
        <v>38280</v>
      </c>
      <c r="G985" s="28">
        <v>17</v>
      </c>
      <c r="H985" s="26">
        <v>91608</v>
      </c>
      <c r="I985" t="s">
        <v>669</v>
      </c>
      <c r="J985" t="s">
        <v>91</v>
      </c>
      <c r="K985" t="s">
        <v>40</v>
      </c>
      <c r="L985" t="s">
        <v>34</v>
      </c>
      <c r="M985" t="s">
        <v>1489</v>
      </c>
      <c r="N985" s="7">
        <f t="shared" si="30"/>
        <v>1099296</v>
      </c>
      <c r="O985" s="7">
        <f t="shared" si="31"/>
        <v>9160.8000000000011</v>
      </c>
    </row>
    <row r="986" spans="1:15" x14ac:dyDescent="0.35">
      <c r="A986" s="5">
        <v>985</v>
      </c>
      <c r="B986" t="s">
        <v>530</v>
      </c>
      <c r="C986" t="s">
        <v>1465</v>
      </c>
      <c r="D986" t="s">
        <v>1485</v>
      </c>
      <c r="E986" t="s">
        <v>94</v>
      </c>
      <c r="F986" s="1">
        <v>38776</v>
      </c>
      <c r="G986" s="28">
        <v>15</v>
      </c>
      <c r="H986" s="26">
        <v>118791</v>
      </c>
      <c r="I986" t="s">
        <v>418</v>
      </c>
      <c r="J986" t="s">
        <v>46</v>
      </c>
      <c r="K986" t="s">
        <v>17</v>
      </c>
      <c r="L986" t="s">
        <v>18</v>
      </c>
      <c r="M986" t="s">
        <v>1489</v>
      </c>
      <c r="N986" s="7">
        <f t="shared" si="30"/>
        <v>1425492</v>
      </c>
      <c r="O986" s="7">
        <f t="shared" si="31"/>
        <v>11879.1</v>
      </c>
    </row>
    <row r="987" spans="1:15" x14ac:dyDescent="0.35">
      <c r="A987" s="5">
        <v>986</v>
      </c>
      <c r="B987" t="s">
        <v>768</v>
      </c>
      <c r="C987" t="s">
        <v>1466</v>
      </c>
      <c r="D987" t="s">
        <v>1485</v>
      </c>
      <c r="E987" t="s">
        <v>129</v>
      </c>
      <c r="F987" s="1">
        <v>37587</v>
      </c>
      <c r="G987" s="28">
        <v>19</v>
      </c>
      <c r="H987" s="26">
        <v>115888</v>
      </c>
      <c r="I987" t="s">
        <v>145</v>
      </c>
      <c r="J987" t="s">
        <v>50</v>
      </c>
      <c r="K987" t="s">
        <v>40</v>
      </c>
      <c r="L987" t="s">
        <v>41</v>
      </c>
      <c r="M987" t="s">
        <v>1489</v>
      </c>
      <c r="N987" s="7">
        <f t="shared" si="30"/>
        <v>1390656</v>
      </c>
      <c r="O987" s="7">
        <f t="shared" si="31"/>
        <v>11588.800000000001</v>
      </c>
    </row>
    <row r="988" spans="1:15" x14ac:dyDescent="0.35">
      <c r="A988" s="5">
        <v>987</v>
      </c>
      <c r="B988" t="s">
        <v>170</v>
      </c>
      <c r="C988" t="s">
        <v>1467</v>
      </c>
      <c r="D988" t="s">
        <v>1486</v>
      </c>
      <c r="E988" t="s">
        <v>44</v>
      </c>
      <c r="F988" s="1">
        <v>36877</v>
      </c>
      <c r="G988" s="28">
        <v>21</v>
      </c>
      <c r="H988" s="26">
        <v>60743</v>
      </c>
      <c r="I988" t="s">
        <v>156</v>
      </c>
      <c r="J988" t="s">
        <v>91</v>
      </c>
      <c r="K988" t="s">
        <v>40</v>
      </c>
      <c r="L988" t="s">
        <v>29</v>
      </c>
      <c r="M988" t="s">
        <v>1489</v>
      </c>
      <c r="N988" s="7">
        <f t="shared" si="30"/>
        <v>728916</v>
      </c>
      <c r="O988" s="7">
        <f t="shared" si="31"/>
        <v>6074.3</v>
      </c>
    </row>
    <row r="989" spans="1:15" x14ac:dyDescent="0.35">
      <c r="A989" s="5">
        <v>988</v>
      </c>
      <c r="B989" t="s">
        <v>882</v>
      </c>
      <c r="C989" t="s">
        <v>1468</v>
      </c>
      <c r="D989" t="s">
        <v>1486</v>
      </c>
      <c r="E989" t="s">
        <v>129</v>
      </c>
      <c r="F989" s="1">
        <v>38459</v>
      </c>
      <c r="G989" s="28">
        <v>16</v>
      </c>
      <c r="H989" s="26">
        <v>117962</v>
      </c>
      <c r="I989" t="s">
        <v>659</v>
      </c>
      <c r="J989" t="s">
        <v>39</v>
      </c>
      <c r="K989" t="s">
        <v>40</v>
      </c>
      <c r="L989" t="s">
        <v>41</v>
      </c>
      <c r="M989" t="s">
        <v>1489</v>
      </c>
      <c r="N989" s="7">
        <f t="shared" si="30"/>
        <v>1415544</v>
      </c>
      <c r="O989" s="7">
        <f t="shared" si="31"/>
        <v>11796.2</v>
      </c>
    </row>
    <row r="990" spans="1:15" x14ac:dyDescent="0.35">
      <c r="A990" s="5">
        <v>989</v>
      </c>
      <c r="B990" t="s">
        <v>452</v>
      </c>
      <c r="C990" t="s">
        <v>1469</v>
      </c>
      <c r="D990" t="s">
        <v>1486</v>
      </c>
      <c r="E990" t="s">
        <v>238</v>
      </c>
      <c r="F990" s="1">
        <v>38053</v>
      </c>
      <c r="G990" s="28">
        <v>17</v>
      </c>
      <c r="H990" s="26">
        <v>67817</v>
      </c>
      <c r="I990" t="s">
        <v>204</v>
      </c>
      <c r="J990" t="s">
        <v>39</v>
      </c>
      <c r="K990" t="s">
        <v>40</v>
      </c>
      <c r="L990" t="s">
        <v>63</v>
      </c>
      <c r="M990" t="s">
        <v>1489</v>
      </c>
      <c r="N990" s="7">
        <f t="shared" si="30"/>
        <v>813804</v>
      </c>
      <c r="O990" s="7">
        <f t="shared" si="31"/>
        <v>6781.7000000000007</v>
      </c>
    </row>
    <row r="991" spans="1:15" x14ac:dyDescent="0.35">
      <c r="A991" s="5">
        <v>990</v>
      </c>
      <c r="B991" t="s">
        <v>279</v>
      </c>
      <c r="C991" t="s">
        <v>1470</v>
      </c>
      <c r="D991" t="s">
        <v>1485</v>
      </c>
      <c r="E991" t="s">
        <v>85</v>
      </c>
      <c r="F991" s="1">
        <v>37839</v>
      </c>
      <c r="G991" s="28">
        <v>18</v>
      </c>
      <c r="H991" s="26">
        <v>76229</v>
      </c>
      <c r="I991" t="s">
        <v>115</v>
      </c>
      <c r="J991" t="s">
        <v>55</v>
      </c>
      <c r="K991" t="s">
        <v>17</v>
      </c>
      <c r="L991" t="s">
        <v>41</v>
      </c>
      <c r="M991" t="s">
        <v>1489</v>
      </c>
      <c r="N991" s="7">
        <f t="shared" si="30"/>
        <v>914748</v>
      </c>
      <c r="O991" s="7">
        <f t="shared" si="31"/>
        <v>7622.9000000000005</v>
      </c>
    </row>
    <row r="992" spans="1:15" x14ac:dyDescent="0.35">
      <c r="A992" s="5">
        <v>991</v>
      </c>
      <c r="B992" t="s">
        <v>788</v>
      </c>
      <c r="C992" t="s">
        <v>1471</v>
      </c>
      <c r="D992" t="s">
        <v>1486</v>
      </c>
      <c r="E992" t="s">
        <v>94</v>
      </c>
      <c r="F992" s="1">
        <v>44908</v>
      </c>
      <c r="G992" s="28">
        <v>12</v>
      </c>
      <c r="H992" s="26">
        <v>62286</v>
      </c>
      <c r="I992" t="s">
        <v>226</v>
      </c>
      <c r="J992" t="s">
        <v>16</v>
      </c>
      <c r="K992" t="s">
        <v>17</v>
      </c>
      <c r="L992" t="s">
        <v>18</v>
      </c>
      <c r="M992" t="s">
        <v>1489</v>
      </c>
      <c r="N992" s="7">
        <f t="shared" si="30"/>
        <v>747432</v>
      </c>
      <c r="O992" s="7">
        <f t="shared" si="31"/>
        <v>6228.6</v>
      </c>
    </row>
    <row r="993" spans="1:15" x14ac:dyDescent="0.35">
      <c r="A993" s="5">
        <v>992</v>
      </c>
      <c r="B993" t="s">
        <v>667</v>
      </c>
      <c r="C993" t="s">
        <v>1472</v>
      </c>
      <c r="D993" t="s">
        <v>1485</v>
      </c>
      <c r="E993" t="s">
        <v>148</v>
      </c>
      <c r="F993" s="1">
        <v>39020</v>
      </c>
      <c r="G993" s="28">
        <v>15</v>
      </c>
      <c r="H993" s="26">
        <v>121713</v>
      </c>
      <c r="I993" t="s">
        <v>242</v>
      </c>
      <c r="J993" t="s">
        <v>91</v>
      </c>
      <c r="K993" t="s">
        <v>40</v>
      </c>
      <c r="L993" t="s">
        <v>112</v>
      </c>
      <c r="M993" t="s">
        <v>1489</v>
      </c>
      <c r="N993" s="7">
        <f t="shared" si="30"/>
        <v>1460556</v>
      </c>
      <c r="O993" s="7">
        <f t="shared" si="31"/>
        <v>12171.300000000001</v>
      </c>
    </row>
    <row r="994" spans="1:15" x14ac:dyDescent="0.35">
      <c r="A994" s="5">
        <v>993</v>
      </c>
      <c r="B994" t="s">
        <v>483</v>
      </c>
      <c r="C994" t="s">
        <v>1473</v>
      </c>
      <c r="D994" t="s">
        <v>1486</v>
      </c>
      <c r="E994" t="s">
        <v>122</v>
      </c>
      <c r="F994" s="1">
        <v>44627</v>
      </c>
      <c r="G994" s="28">
        <v>12</v>
      </c>
      <c r="H994" s="26">
        <v>139486</v>
      </c>
      <c r="I994" t="s">
        <v>223</v>
      </c>
      <c r="J994" t="s">
        <v>39</v>
      </c>
      <c r="K994" t="s">
        <v>40</v>
      </c>
      <c r="L994" t="s">
        <v>123</v>
      </c>
      <c r="M994" t="s">
        <v>1489</v>
      </c>
      <c r="N994" s="7">
        <f t="shared" si="30"/>
        <v>1673832</v>
      </c>
      <c r="O994" s="7">
        <f t="shared" si="31"/>
        <v>13948.6</v>
      </c>
    </row>
    <row r="995" spans="1:15" x14ac:dyDescent="0.35">
      <c r="A995" s="5">
        <v>994</v>
      </c>
      <c r="B995" t="s">
        <v>273</v>
      </c>
      <c r="C995" t="s">
        <v>1474</v>
      </c>
      <c r="D995" t="s">
        <v>1486</v>
      </c>
      <c r="E995" t="s">
        <v>203</v>
      </c>
      <c r="F995" s="1">
        <v>37558</v>
      </c>
      <c r="G995" s="28">
        <v>19</v>
      </c>
      <c r="H995" s="26">
        <v>141375</v>
      </c>
      <c r="I995" t="s">
        <v>33</v>
      </c>
      <c r="J995" t="s">
        <v>39</v>
      </c>
      <c r="K995" t="s">
        <v>40</v>
      </c>
      <c r="L995" t="s">
        <v>41</v>
      </c>
      <c r="M995" t="s">
        <v>1489</v>
      </c>
      <c r="N995" s="7">
        <f t="shared" si="30"/>
        <v>1696500</v>
      </c>
      <c r="O995" s="7">
        <f t="shared" si="31"/>
        <v>14137.5</v>
      </c>
    </row>
    <row r="996" spans="1:15" x14ac:dyDescent="0.35">
      <c r="A996" s="5">
        <v>995</v>
      </c>
      <c r="B996" t="s">
        <v>1437</v>
      </c>
      <c r="C996" t="s">
        <v>1475</v>
      </c>
      <c r="D996" t="s">
        <v>1486</v>
      </c>
      <c r="E996" t="s">
        <v>32</v>
      </c>
      <c r="F996" s="1">
        <v>45021</v>
      </c>
      <c r="G996" s="28">
        <v>11</v>
      </c>
      <c r="H996" s="26">
        <v>83404</v>
      </c>
      <c r="I996" t="s">
        <v>386</v>
      </c>
      <c r="J996" t="s">
        <v>16</v>
      </c>
      <c r="K996" t="s">
        <v>17</v>
      </c>
      <c r="L996" t="s">
        <v>34</v>
      </c>
      <c r="M996" t="s">
        <v>1489</v>
      </c>
      <c r="N996" s="7">
        <f t="shared" si="30"/>
        <v>1000848</v>
      </c>
      <c r="O996" s="7">
        <f t="shared" si="31"/>
        <v>8340.4</v>
      </c>
    </row>
    <row r="997" spans="1:15" x14ac:dyDescent="0.35">
      <c r="A997" s="5">
        <v>996</v>
      </c>
      <c r="B997" t="s">
        <v>56</v>
      </c>
      <c r="C997" t="s">
        <v>1476</v>
      </c>
      <c r="D997" t="s">
        <v>1486</v>
      </c>
      <c r="E997" t="s">
        <v>79</v>
      </c>
      <c r="F997" s="1">
        <v>46343</v>
      </c>
      <c r="G997" s="28">
        <v>8</v>
      </c>
      <c r="H997" s="26">
        <v>78433</v>
      </c>
      <c r="I997" t="s">
        <v>562</v>
      </c>
      <c r="J997" t="s">
        <v>39</v>
      </c>
      <c r="K997" t="s">
        <v>40</v>
      </c>
      <c r="L997" t="s">
        <v>41</v>
      </c>
      <c r="M997" t="s">
        <v>1489</v>
      </c>
      <c r="N997" s="7">
        <f t="shared" si="30"/>
        <v>941196</v>
      </c>
      <c r="O997" s="7">
        <f t="shared" si="31"/>
        <v>7843.3</v>
      </c>
    </row>
    <row r="998" spans="1:15" x14ac:dyDescent="0.35">
      <c r="A998" s="5">
        <v>997</v>
      </c>
      <c r="B998" t="s">
        <v>457</v>
      </c>
      <c r="C998" t="s">
        <v>1477</v>
      </c>
      <c r="D998" t="s">
        <v>1486</v>
      </c>
      <c r="E998" t="s">
        <v>14</v>
      </c>
      <c r="F998" s="1">
        <v>43937</v>
      </c>
      <c r="G998" s="28">
        <v>14</v>
      </c>
      <c r="H998" s="26">
        <v>120138</v>
      </c>
      <c r="I998" t="s">
        <v>306</v>
      </c>
      <c r="J998" t="s">
        <v>46</v>
      </c>
      <c r="K998" t="s">
        <v>17</v>
      </c>
      <c r="L998" t="s">
        <v>18</v>
      </c>
      <c r="M998" t="s">
        <v>1489</v>
      </c>
      <c r="N998" s="7">
        <f t="shared" si="30"/>
        <v>1441656</v>
      </c>
      <c r="O998" s="7">
        <f t="shared" si="31"/>
        <v>12013.800000000001</v>
      </c>
    </row>
    <row r="999" spans="1:15" x14ac:dyDescent="0.35">
      <c r="A999" s="5">
        <v>998</v>
      </c>
      <c r="B999" t="s">
        <v>560</v>
      </c>
      <c r="C999" t="s">
        <v>1478</v>
      </c>
      <c r="D999" t="s">
        <v>1486</v>
      </c>
      <c r="E999" t="s">
        <v>79</v>
      </c>
      <c r="F999" s="1">
        <v>44970</v>
      </c>
      <c r="G999" s="28">
        <v>11</v>
      </c>
      <c r="H999" s="26">
        <v>60363</v>
      </c>
      <c r="I999" t="s">
        <v>617</v>
      </c>
      <c r="J999" t="s">
        <v>46</v>
      </c>
      <c r="K999" t="s">
        <v>17</v>
      </c>
      <c r="L999" t="s">
        <v>41</v>
      </c>
      <c r="M999" t="s">
        <v>1489</v>
      </c>
      <c r="N999" s="7">
        <f t="shared" si="30"/>
        <v>724356</v>
      </c>
      <c r="O999" s="7">
        <f t="shared" si="31"/>
        <v>6036.3</v>
      </c>
    </row>
    <row r="1000" spans="1:15" x14ac:dyDescent="0.35">
      <c r="A1000" s="5">
        <v>999</v>
      </c>
      <c r="B1000" t="s">
        <v>154</v>
      </c>
      <c r="C1000" t="s">
        <v>1479</v>
      </c>
      <c r="D1000" t="s">
        <v>1485</v>
      </c>
      <c r="E1000" t="s">
        <v>100</v>
      </c>
      <c r="F1000" s="1">
        <v>38252</v>
      </c>
      <c r="G1000" s="28">
        <v>17</v>
      </c>
      <c r="H1000" s="26">
        <v>48050</v>
      </c>
      <c r="I1000" t="s">
        <v>336</v>
      </c>
      <c r="J1000" t="s">
        <v>16</v>
      </c>
      <c r="K1000" t="s">
        <v>17</v>
      </c>
      <c r="L1000" t="s">
        <v>29</v>
      </c>
      <c r="M1000" t="s">
        <v>1489</v>
      </c>
      <c r="N1000" s="7">
        <f t="shared" si="30"/>
        <v>576600</v>
      </c>
      <c r="O1000" s="7">
        <f t="shared" si="31"/>
        <v>4805</v>
      </c>
    </row>
    <row r="1001" spans="1:15" x14ac:dyDescent="0.35">
      <c r="A1001" s="5">
        <v>1000</v>
      </c>
      <c r="B1001" t="s">
        <v>532</v>
      </c>
      <c r="C1001" t="s">
        <v>1480</v>
      </c>
      <c r="D1001" t="s">
        <v>1485</v>
      </c>
      <c r="E1001" t="s">
        <v>73</v>
      </c>
      <c r="F1001" s="1">
        <v>37932</v>
      </c>
      <c r="G1001" s="28">
        <v>18</v>
      </c>
      <c r="H1001" s="26">
        <v>148687</v>
      </c>
      <c r="I1001" t="s">
        <v>321</v>
      </c>
      <c r="J1001" t="s">
        <v>28</v>
      </c>
      <c r="K1001" t="s">
        <v>17</v>
      </c>
      <c r="L1001" t="s">
        <v>41</v>
      </c>
      <c r="M1001" t="s">
        <v>1489</v>
      </c>
      <c r="N1001" s="7">
        <f t="shared" si="30"/>
        <v>1784244</v>
      </c>
      <c r="O1001" s="7">
        <f t="shared" si="31"/>
        <v>14868.7</v>
      </c>
    </row>
    <row r="1002" spans="1:15" x14ac:dyDescent="0.35">
      <c r="A1002" s="5" t="s">
        <v>1482</v>
      </c>
      <c r="D1002">
        <f>SUBTOTAL(103,datatable[Sex])</f>
        <v>1000</v>
      </c>
      <c r="G1002" s="28"/>
      <c r="H1002" s="26"/>
      <c r="L1002">
        <f>SUBTOTAL(103,datatable[Divisons])</f>
        <v>1000</v>
      </c>
      <c r="O1002" s="7">
        <f>SUBTOTAL(109,datatable[BONUS])</f>
        <v>9733122.2999999952</v>
      </c>
    </row>
  </sheetData>
  <phoneticPr fontId="6"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errorTitle="Wrong Entry" error="Please choose from options only." promptTitle="Given choice" prompt="Select only from status options" xr:uid="{729B9039-256C-4F20-B14D-ACA50DC3BB51}">
          <x14:formula1>
            <xm:f>'Reference sheet '!$A$14:$A$16</xm:f>
          </x14:formula1>
          <xm:sqref>M2:M1001</xm:sqref>
        </x14:dataValidation>
        <x14:dataValidation type="list" allowBlank="1" showInputMessage="1" showErrorMessage="1" errorTitle="Wrong entry" error="Select an option from given choices _x000a_" prompt="Select from given options" xr:uid="{BE159CC0-2B62-4F2F-BF51-FF174DADF0E9}">
          <x14:formula1>
            <xm:f>'Reference sheet '!$E$14:$E$15</xm:f>
          </x14:formula1>
          <xm:sqref>K2</xm:sqref>
        </x14:dataValidation>
        <x14:dataValidation type="list" allowBlank="1" showInputMessage="1" showErrorMessage="1" errorTitle="WRONG ENTRY" error="You can only select from given given options only.Please Try Again!" promptTitle="Select region " prompt="from given choices only" xr:uid="{39C2F8D4-CC57-4AF5-85ED-FCF6DDD2D7B1}">
          <x14:formula1>
            <xm:f>'Reference sheet '!$C$14:$C$20</xm:f>
          </x14:formula1>
          <xm:sqref>J1:J1001</xm:sqref>
        </x14:dataValidation>
        <x14:dataValidation type="list" allowBlank="1" showInputMessage="1" showErrorMessage="1" errorTitle="Wrong Entry" error="Something is wrong . Select from given choices. Please Try Again." promptTitle="SELECT COUNTRY " prompt="from given choices " xr:uid="{559A44F4-C2B2-4DDF-9D8C-2C2B80DA1265}">
          <x14:formula1>
            <xm:f>'Reference sheet '!$E$14:$E$15</xm:f>
          </x14:formula1>
          <xm:sqref>K975:K1001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71C-1A7C-4AC7-8DBB-A448A22979C9}">
  <dimension ref="A1:P1014"/>
  <sheetViews>
    <sheetView topLeftCell="A6" zoomScale="85" zoomScaleNormal="85" workbookViewId="0">
      <pane xSplit="1" ySplit="8" topLeftCell="E21" activePane="bottomRight" state="frozenSplit"/>
      <selection activeCell="A6" sqref="A6"/>
      <selection pane="topRight" activeCell="F6" sqref="F6"/>
      <selection pane="bottomLeft" activeCell="A21" sqref="A21"/>
      <selection pane="bottomRight" activeCell="N6" sqref="N1:N1048576"/>
    </sheetView>
  </sheetViews>
  <sheetFormatPr defaultRowHeight="18" x14ac:dyDescent="0.35"/>
  <cols>
    <col min="1" max="1" width="7.44140625" style="8" bestFit="1" customWidth="1"/>
    <col min="2" max="2" width="16.6640625" bestFit="1" customWidth="1"/>
    <col min="3" max="3" width="69.5546875" bestFit="1" customWidth="1"/>
    <col min="4" max="4" width="17.77734375" bestFit="1" customWidth="1"/>
    <col min="5" max="5" width="18.77734375" bestFit="1" customWidth="1"/>
    <col min="6" max="6" width="16.21875" bestFit="1" customWidth="1"/>
    <col min="7" max="7" width="16.44140625" style="7" bestFit="1" customWidth="1"/>
    <col min="8" max="8" width="50.77734375" bestFit="1" customWidth="1"/>
    <col min="9" max="9" width="21.6640625" bestFit="1" customWidth="1"/>
    <col min="10" max="10" width="13.5546875" bestFit="1" customWidth="1"/>
    <col min="11" max="11" width="28.21875" bestFit="1" customWidth="1"/>
    <col min="12" max="12" width="12.77734375" bestFit="1" customWidth="1"/>
    <col min="13" max="14" width="21" bestFit="1" customWidth="1"/>
    <col min="15" max="15" width="18.109375" bestFit="1" customWidth="1"/>
  </cols>
  <sheetData>
    <row r="1" spans="1:16" ht="22.2" x14ac:dyDescent="0.45">
      <c r="C1" s="12" t="s">
        <v>1502</v>
      </c>
      <c r="D1" s="20">
        <f>B1014</f>
        <v>1000</v>
      </c>
      <c r="E1" s="8"/>
    </row>
    <row r="2" spans="1:16" ht="22.2" x14ac:dyDescent="0.45">
      <c r="C2" s="12" t="s">
        <v>1503</v>
      </c>
      <c r="D2" s="8" t="str" cm="1">
        <f t="array" ref="D2">_xlfn.LET(
_xlpm.Department,_xlfn.UNIQUE(E14:E1013),
_xlpm.counts,COUNTIF(E14:E1013,_xlpm.Department),
INDEX(_xlpm.Department,MATCH(MAX(_xlpm.counts),_xlpm.counts,0))
)</f>
        <v>Clothing</v>
      </c>
      <c r="E2" s="8"/>
    </row>
    <row r="3" spans="1:16" ht="22.2" x14ac:dyDescent="0.45">
      <c r="C3" s="12" t="s">
        <v>1504</v>
      </c>
      <c r="D3" s="8" t="str" cm="1">
        <f t="array" ref="D3:E3">_xlfn.LET(_xlpm.department,_xlfn.UNIQUE(E14:E1013),_xlpm.Averages,AVERAGEIF(E14:E1013,_xlpm.department,H14:H1013),_xlfn._xlws.FILTER(_xlfn.HSTACK(_xlpm.department,_xlpm.Averages),_xlpm.Averages=MAX(_xlpm.Averages)))</f>
        <v>Outdoors</v>
      </c>
      <c r="E3" s="16">
        <v>112055.41666666667</v>
      </c>
    </row>
    <row r="4" spans="1:16" ht="22.2" x14ac:dyDescent="0.45">
      <c r="C4" s="12" t="s">
        <v>1505</v>
      </c>
      <c r="D4" s="8" t="str" cm="1">
        <f t="array" ref="D4">_xlfn.LET(
_xlpm.Region,_xlfn.UNIQUE(J14:J1013),
_xlpm.counts,COUNTIF(J14:J1013,_xlpm.Region),
INDEX(_xlpm.Region,MATCH(MAX(_xlpm.counts),_xlpm.counts,0))
)</f>
        <v>Southwest</v>
      </c>
      <c r="E4" s="8"/>
    </row>
    <row r="5" spans="1:16" ht="22.2" x14ac:dyDescent="0.45">
      <c r="C5" s="12" t="s">
        <v>1506</v>
      </c>
      <c r="D5" s="8" t="str" cm="1">
        <f t="array" ref="D5:E7">_xlfn.LET(_xlpm.status,_xlfn.UNIQUE(M14:M1013),_xlpm.counts,COUNTIF(M14:M1013,_xlpm.status),_xlfn.HSTACK(_xlpm.status,_xlpm.counts))</f>
        <v>Active</v>
      </c>
      <c r="E5" s="8">
        <v>853</v>
      </c>
    </row>
    <row r="6" spans="1:16" s="11" customFormat="1" x14ac:dyDescent="0.35">
      <c r="D6" s="21" t="str">
        <v>On Leave</v>
      </c>
      <c r="E6" s="8">
        <v>105</v>
      </c>
    </row>
    <row r="7" spans="1:16" x14ac:dyDescent="0.35">
      <c r="D7" s="21" t="str">
        <v>Resigned</v>
      </c>
      <c r="E7" s="8">
        <v>42</v>
      </c>
    </row>
    <row r="8" spans="1:16" ht="22.2" x14ac:dyDescent="0.45">
      <c r="C8" s="12" t="s">
        <v>1507</v>
      </c>
      <c r="D8" s="22">
        <f>AVERAGE(Analysistable[Experience])</f>
        <v>13.888</v>
      </c>
      <c r="E8" s="8"/>
    </row>
    <row r="9" spans="1:16" ht="22.2" x14ac:dyDescent="0.45">
      <c r="C9" s="12" t="s">
        <v>1508</v>
      </c>
      <c r="D9" s="45" t="str">
        <f>_xlfn.LET(
_xlpm.Jobtitle,_xlfn.UNIQUE(I14:I1013),_xlpm.maximum,MAX(H14:H1013),INDEX(I14:I1013,MATCH(_xlpm.maximum,H14:H1013,0))
)</f>
        <v>Director of Sales</v>
      </c>
      <c r="E9" s="45"/>
    </row>
    <row r="13" spans="1:16" x14ac:dyDescent="0.35">
      <c r="A13" s="8" t="s">
        <v>0</v>
      </c>
      <c r="B13" s="8" t="s">
        <v>1</v>
      </c>
      <c r="C13" s="8" t="s">
        <v>2</v>
      </c>
      <c r="D13" s="8" t="s">
        <v>1487</v>
      </c>
      <c r="E13" s="8" t="s">
        <v>3</v>
      </c>
      <c r="F13" s="15" t="s">
        <v>1496</v>
      </c>
      <c r="G13" s="8" t="s">
        <v>6</v>
      </c>
      <c r="H13" s="19" t="s">
        <v>7</v>
      </c>
      <c r="I13" s="8" t="s">
        <v>8</v>
      </c>
      <c r="J13" s="8" t="s">
        <v>9</v>
      </c>
      <c r="K13" s="8" t="s">
        <v>10</v>
      </c>
      <c r="L13" s="8" t="s">
        <v>11</v>
      </c>
      <c r="M13" s="8" t="s">
        <v>1488</v>
      </c>
      <c r="N13" s="8" t="s">
        <v>1492</v>
      </c>
      <c r="O13" s="8" t="s">
        <v>1493</v>
      </c>
      <c r="P13" s="8"/>
    </row>
    <row r="14" spans="1:16" x14ac:dyDescent="0.35">
      <c r="A14" s="8">
        <f>'Data cleaning and validation(3)'!A2</f>
        <v>1</v>
      </c>
      <c r="B14" s="8" t="str">
        <f>'Data cleaning and validation(3)'!B2</f>
        <v>Kelley</v>
      </c>
      <c r="C14" s="8" t="str">
        <f>'Data cleaning and validation(3)'!C2</f>
        <v>rkelley0@soundcloud.com</v>
      </c>
      <c r="D14" s="8" t="str">
        <f>'Data cleaning and validation(3)'!D2</f>
        <v>F</v>
      </c>
      <c r="E14" s="8" t="str">
        <f>'Data cleaning and validation(3)'!E2</f>
        <v>Computers</v>
      </c>
      <c r="F14" s="15">
        <f>'Data cleaning and validation(3)'!F2</f>
        <v>44836</v>
      </c>
      <c r="G14" s="8">
        <f>'Data cleaning and validation(3)'!G2</f>
        <v>12</v>
      </c>
      <c r="H14" s="19">
        <f>'Data cleaning and validation(3)'!H2</f>
        <v>67470</v>
      </c>
      <c r="I14" s="8" t="str">
        <f>'Data cleaning and validation(3)'!I2</f>
        <v>Structural Engineer</v>
      </c>
      <c r="J14" s="8" t="str">
        <f>'Data cleaning and validation(3)'!J2</f>
        <v>Southeast</v>
      </c>
      <c r="K14" s="8" t="str">
        <f>'Data cleaning and validation(3)'!K2</f>
        <v>USA</v>
      </c>
      <c r="L14" s="8" t="str">
        <f>'Data cleaning and validation(3)'!L2</f>
        <v>Electronic Equipment</v>
      </c>
      <c r="M14" s="8" t="str">
        <f>'Data cleaning and validation(3)'!M2</f>
        <v>Active</v>
      </c>
      <c r="N14" s="17">
        <f>'Data cleaning and validation(3)'!N2</f>
        <v>809640</v>
      </c>
      <c r="O14" s="18">
        <f>'Data cleaning and validation(3)'!O2</f>
        <v>6747</v>
      </c>
    </row>
    <row r="15" spans="1:16" x14ac:dyDescent="0.35">
      <c r="A15" s="8">
        <f>'Data cleaning and validation(3)'!A3</f>
        <v>2</v>
      </c>
      <c r="B15" s="8" t="str">
        <f>'Data cleaning and validation(3)'!B3</f>
        <v>Armstrong</v>
      </c>
      <c r="C15" s="8" t="str">
        <f>'Data cleaning and validation(3)'!C3</f>
        <v>sarmstrong1@infoseek.co.jp</v>
      </c>
      <c r="D15" s="8" t="str">
        <f>'Data cleaning and validation(3)'!D3</f>
        <v>M</v>
      </c>
      <c r="E15" s="8" t="str">
        <f>'Data cleaning and validation(3)'!E3</f>
        <v>Sports</v>
      </c>
      <c r="F15" s="15">
        <f>'Data cleaning and validation(3)'!F3</f>
        <v>39538</v>
      </c>
      <c r="G15" s="8">
        <f>'Data cleaning and validation(3)'!G3</f>
        <v>13</v>
      </c>
      <c r="H15" s="19">
        <f>'Data cleaning and validation(3)'!H3</f>
        <v>71869</v>
      </c>
      <c r="I15" s="8" t="str">
        <f>'Data cleaning and validation(3)'!I3</f>
        <v>Financial Advisor</v>
      </c>
      <c r="J15" s="8" t="str">
        <f>'Data cleaning and validation(3)'!J3</f>
        <v>Southeast</v>
      </c>
      <c r="K15" s="8" t="str">
        <f>'Data cleaning and validation(3)'!K3</f>
        <v>USA</v>
      </c>
      <c r="L15" s="8" t="str">
        <f>'Data cleaning and validation(3)'!L3</f>
        <v>Games &amp; Sports</v>
      </c>
      <c r="M15" s="8" t="str">
        <f>'Data cleaning and validation(3)'!M3</f>
        <v>On Leave</v>
      </c>
      <c r="N15" s="17">
        <f>'Data cleaning and validation(3)'!N3</f>
        <v>862428</v>
      </c>
      <c r="O15" s="18">
        <f>'Data cleaning and validation(3)'!O3</f>
        <v>7186.9000000000005</v>
      </c>
    </row>
    <row r="16" spans="1:16" x14ac:dyDescent="0.35">
      <c r="A16" s="8">
        <f>'Data cleaning and validation(3)'!A4</f>
        <v>3</v>
      </c>
      <c r="B16" s="8" t="str">
        <f>'Data cleaning and validation(3)'!B4</f>
        <v>Carr</v>
      </c>
      <c r="C16" s="8" t="str">
        <f>'Data cleaning and validation(3)'!C4</f>
        <v>fcarr2@woothemes.com</v>
      </c>
      <c r="D16" s="8" t="str">
        <f>'Data cleaning and validation(3)'!D4</f>
        <v>M</v>
      </c>
      <c r="E16" s="8" t="str">
        <f>'Data cleaning and validation(3)'!E4</f>
        <v>Automotive</v>
      </c>
      <c r="F16" s="15">
        <f>'Data cleaning and validation(3)'!F4</f>
        <v>40006</v>
      </c>
      <c r="G16" s="8">
        <f>'Data cleaning and validation(3)'!G4</f>
        <v>12</v>
      </c>
      <c r="H16" s="19">
        <f>'Data cleaning and validation(3)'!H4</f>
        <v>101768</v>
      </c>
      <c r="I16" s="8" t="str">
        <f>'Data cleaning and validation(3)'!I4</f>
        <v>Recruiting Manager</v>
      </c>
      <c r="J16" s="8" t="str">
        <f>'Data cleaning and validation(3)'!J4</f>
        <v>Northwest</v>
      </c>
      <c r="K16" s="8" t="str">
        <f>'Data cleaning and validation(3)'!K4</f>
        <v>USA</v>
      </c>
      <c r="L16" s="8" t="str">
        <f>'Data cleaning and validation(3)'!L4</f>
        <v>Auto &amp; Hardware</v>
      </c>
      <c r="M16" s="8" t="str">
        <f>'Data cleaning and validation(3)'!M4</f>
        <v>Resigned</v>
      </c>
      <c r="N16" s="17">
        <f>'Data cleaning and validation(3)'!N4</f>
        <v>1221216</v>
      </c>
      <c r="O16" s="18">
        <f>'Data cleaning and validation(3)'!O4</f>
        <v>10176.800000000001</v>
      </c>
    </row>
    <row r="17" spans="1:15" x14ac:dyDescent="0.35">
      <c r="A17" s="8">
        <f>'Data cleaning and validation(3)'!A5</f>
        <v>4</v>
      </c>
      <c r="B17" s="8" t="str">
        <f>'Data cleaning and validation(3)'!B5</f>
        <v>Murray</v>
      </c>
      <c r="C17" s="8" t="str">
        <f>'Data cleaning and validation(3)'!C5</f>
        <v>jmurray3@gov.uk</v>
      </c>
      <c r="D17" s="8" t="str">
        <f>'Data cleaning and validation(3)'!D5</f>
        <v>F</v>
      </c>
      <c r="E17" s="8" t="str">
        <f>'Data cleaning and validation(3)'!E5</f>
        <v>Jewelery</v>
      </c>
      <c r="F17" s="15">
        <f>'Data cleaning and validation(3)'!F5</f>
        <v>46746</v>
      </c>
      <c r="G17" s="8">
        <f>'Data cleaning and validation(3)'!G5</f>
        <v>7</v>
      </c>
      <c r="H17" s="19">
        <f>'Data cleaning and validation(3)'!H5</f>
        <v>96897</v>
      </c>
      <c r="I17" s="8" t="str">
        <f>'Data cleaning and validation(3)'!I5</f>
        <v>Desktop Support Technician</v>
      </c>
      <c r="J17" s="8" t="str">
        <f>'Data cleaning and validation(3)'!J5</f>
        <v>Northwest</v>
      </c>
      <c r="K17" s="8" t="str">
        <f>'Data cleaning and validation(3)'!K5</f>
        <v>USA</v>
      </c>
      <c r="L17" s="8" t="str">
        <f>'Data cleaning and validation(3)'!L5</f>
        <v>Fashion</v>
      </c>
      <c r="M17" s="8" t="str">
        <f>'Data cleaning and validation(3)'!M5</f>
        <v>On Leave</v>
      </c>
      <c r="N17" s="17">
        <f>'Data cleaning and validation(3)'!N5</f>
        <v>1162764</v>
      </c>
      <c r="O17" s="18">
        <f>'Data cleaning and validation(3)'!O5</f>
        <v>9689.7000000000007</v>
      </c>
    </row>
    <row r="18" spans="1:15" x14ac:dyDescent="0.35">
      <c r="A18" s="8">
        <f>'Data cleaning and validation(3)'!A6</f>
        <v>5</v>
      </c>
      <c r="B18" s="8" t="str">
        <f>'Data cleaning and validation(3)'!B6</f>
        <v>Ellis</v>
      </c>
      <c r="C18" s="8" t="str">
        <f>'Data cleaning and validation(3)'!C6</f>
        <v>jellis4@sciencedirect.com</v>
      </c>
      <c r="D18" s="8" t="str">
        <f>'Data cleaning and validation(3)'!D6</f>
        <v>F</v>
      </c>
      <c r="E18" s="8" t="str">
        <f>'Data cleaning and validation(3)'!E6</f>
        <v>Grocery</v>
      </c>
      <c r="F18" s="15">
        <f>'Data cleaning and validation(3)'!F6</f>
        <v>37518</v>
      </c>
      <c r="G18" s="8">
        <f>'Data cleaning and validation(3)'!G6</f>
        <v>19</v>
      </c>
      <c r="H18" s="19">
        <f>'Data cleaning and validation(3)'!H6</f>
        <v>63702</v>
      </c>
      <c r="I18" s="8" t="str">
        <f>'Data cleaning and validation(3)'!I6</f>
        <v>Software Engineer III</v>
      </c>
      <c r="J18" s="8" t="str">
        <f>'Data cleaning and validation(3)'!J6</f>
        <v>Nova Scotia</v>
      </c>
      <c r="K18" s="8" t="str">
        <f>'Data cleaning and validation(3)'!K6</f>
        <v>Canada</v>
      </c>
      <c r="L18" s="8" t="str">
        <f>'Data cleaning and validation(3)'!L6</f>
        <v>Domestic</v>
      </c>
      <c r="M18" s="8" t="str">
        <f>'Data cleaning and validation(3)'!M6</f>
        <v>Active</v>
      </c>
      <c r="N18" s="17">
        <f>'Data cleaning and validation(3)'!N6</f>
        <v>764424</v>
      </c>
      <c r="O18" s="18">
        <f>'Data cleaning and validation(3)'!O6</f>
        <v>6370.2000000000007</v>
      </c>
    </row>
    <row r="19" spans="1:15" x14ac:dyDescent="0.35">
      <c r="A19" s="8">
        <f>'Data cleaning and validation(3)'!A7</f>
        <v>6</v>
      </c>
      <c r="B19" s="8" t="str">
        <f>'Data cleaning and validation(3)'!B7</f>
        <v>Phillips</v>
      </c>
      <c r="C19" s="8" t="str">
        <f>'Data cleaning and validation(3)'!C7</f>
        <v>bphillips5@time.com</v>
      </c>
      <c r="D19" s="8" t="str">
        <f>'Data cleaning and validation(3)'!D7</f>
        <v>M</v>
      </c>
      <c r="E19" s="8" t="str">
        <f>'Data cleaning and validation(3)'!E7</f>
        <v>Tools</v>
      </c>
      <c r="F19" s="15">
        <f>'Data cleaning and validation(3)'!F7</f>
        <v>41507</v>
      </c>
      <c r="G19" s="8">
        <f>'Data cleaning and validation(3)'!G7</f>
        <v>8</v>
      </c>
      <c r="H19" s="19">
        <f>'Data cleaning and validation(3)'!H7</f>
        <v>118497</v>
      </c>
      <c r="I19" s="8" t="str">
        <f>'Data cleaning and validation(3)'!I7</f>
        <v>Executive Secretary</v>
      </c>
      <c r="J19" s="8" t="str">
        <f>'Data cleaning and validation(3)'!J7</f>
        <v>Northeast</v>
      </c>
      <c r="K19" s="8" t="str">
        <f>'Data cleaning and validation(3)'!K7</f>
        <v>USA</v>
      </c>
      <c r="L19" s="8" t="str">
        <f>'Data cleaning and validation(3)'!L7</f>
        <v>Auto &amp; Hardware</v>
      </c>
      <c r="M19" s="8" t="str">
        <f>'Data cleaning and validation(3)'!M7</f>
        <v>Active</v>
      </c>
      <c r="N19" s="17">
        <f>'Data cleaning and validation(3)'!N7</f>
        <v>1421964</v>
      </c>
      <c r="O19" s="18">
        <f>'Data cleaning and validation(3)'!O7</f>
        <v>11849.7</v>
      </c>
    </row>
    <row r="20" spans="1:15" x14ac:dyDescent="0.35">
      <c r="A20" s="8">
        <f>'Data cleaning and validation(3)'!A8</f>
        <v>7</v>
      </c>
      <c r="B20" s="8" t="str">
        <f>'Data cleaning and validation(3)'!B8</f>
        <v>Williamson</v>
      </c>
      <c r="C20" s="8" t="str">
        <f>'Data cleaning and validation(3)'!C8</f>
        <v>rwilliamson6@ted.com</v>
      </c>
      <c r="D20" s="8" t="str">
        <f>'Data cleaning and validation(3)'!D8</f>
        <v>M</v>
      </c>
      <c r="E20" s="8" t="str">
        <f>'Data cleaning and validation(3)'!E8</f>
        <v>Computers</v>
      </c>
      <c r="F20" s="15">
        <f>'Data cleaning and validation(3)'!F8</f>
        <v>38851</v>
      </c>
      <c r="G20" s="8">
        <f>'Data cleaning and validation(3)'!G8</f>
        <v>15</v>
      </c>
      <c r="H20" s="19">
        <f>'Data cleaning and validation(3)'!H8</f>
        <v>65889</v>
      </c>
      <c r="I20" s="8" t="str">
        <f>'Data cleaning and validation(3)'!I8</f>
        <v>Dental Hygienist</v>
      </c>
      <c r="J20" s="8" t="str">
        <f>'Data cleaning and validation(3)'!J8</f>
        <v>Quebec</v>
      </c>
      <c r="K20" s="8" t="str">
        <f>'Data cleaning and validation(3)'!K8</f>
        <v>Canada</v>
      </c>
      <c r="L20" s="8" t="str">
        <f>'Data cleaning and validation(3)'!L8</f>
        <v>Electronic Equipment</v>
      </c>
      <c r="M20" s="8" t="str">
        <f>'Data cleaning and validation(3)'!M8</f>
        <v>Active</v>
      </c>
      <c r="N20" s="17">
        <f>'Data cleaning and validation(3)'!N8</f>
        <v>790668</v>
      </c>
      <c r="O20" s="18">
        <f>'Data cleaning and validation(3)'!O8</f>
        <v>6588.9000000000005</v>
      </c>
    </row>
    <row r="21" spans="1:15" x14ac:dyDescent="0.35">
      <c r="A21" s="8">
        <f>'Data cleaning and validation(3)'!A9</f>
        <v>8</v>
      </c>
      <c r="B21" s="8" t="str">
        <f>'Data cleaning and validation(3)'!B9</f>
        <v>Harris</v>
      </c>
      <c r="C21" s="8" t="str">
        <f>'Data cleaning and validation(3)'!C9</f>
        <v>aharris7@ucoz.com</v>
      </c>
      <c r="D21" s="8" t="str">
        <f>'Data cleaning and validation(3)'!D9</f>
        <v>F</v>
      </c>
      <c r="E21" s="8" t="str">
        <f>'Data cleaning and validation(3)'!E9</f>
        <v>Toys</v>
      </c>
      <c r="F21" s="15">
        <f>'Data cleaning and validation(3)'!F9</f>
        <v>37845</v>
      </c>
      <c r="G21" s="8">
        <f>'Data cleaning and validation(3)'!G9</f>
        <v>18</v>
      </c>
      <c r="H21" s="19">
        <f>'Data cleaning and validation(3)'!H9</f>
        <v>84427</v>
      </c>
      <c r="I21" s="8" t="str">
        <f>'Data cleaning and validation(3)'!I9</f>
        <v>Safety Technician I</v>
      </c>
      <c r="J21" s="8" t="str">
        <f>'Data cleaning and validation(3)'!J9</f>
        <v>Southwest</v>
      </c>
      <c r="K21" s="8" t="str">
        <f>'Data cleaning and validation(3)'!K9</f>
        <v>USA</v>
      </c>
      <c r="L21" s="8" t="str">
        <f>'Data cleaning and validation(3)'!L9</f>
        <v>Games &amp; Sports</v>
      </c>
      <c r="M21" s="8" t="str">
        <f>'Data cleaning and validation(3)'!M9</f>
        <v>Active</v>
      </c>
      <c r="N21" s="17">
        <f>'Data cleaning and validation(3)'!N9</f>
        <v>1013124</v>
      </c>
      <c r="O21" s="18">
        <f>'Data cleaning and validation(3)'!O9</f>
        <v>8442.7000000000007</v>
      </c>
    </row>
    <row r="22" spans="1:15" x14ac:dyDescent="0.35">
      <c r="A22" s="8">
        <f>'Data cleaning and validation(3)'!A10</f>
        <v>9</v>
      </c>
      <c r="B22" s="8" t="str">
        <f>'Data cleaning and validation(3)'!B10</f>
        <v>James</v>
      </c>
      <c r="C22" s="8" t="str">
        <f>'Data cleaning and validation(3)'!C10</f>
        <v>rjames8@prnewswire.com</v>
      </c>
      <c r="D22" s="8" t="str">
        <f>'Data cleaning and validation(3)'!D10</f>
        <v>M</v>
      </c>
      <c r="E22" s="8" t="str">
        <f>'Data cleaning and validation(3)'!E10</f>
        <v>Jewelery</v>
      </c>
      <c r="F22" s="15">
        <f>'Data cleaning and validation(3)'!F10</f>
        <v>38602</v>
      </c>
      <c r="G22" s="8">
        <f>'Data cleaning and validation(3)'!G10</f>
        <v>16</v>
      </c>
      <c r="H22" s="19">
        <f>'Data cleaning and validation(3)'!H10</f>
        <v>108657</v>
      </c>
      <c r="I22" s="8" t="str">
        <f>'Data cleaning and validation(3)'!I10</f>
        <v>Sales Associate</v>
      </c>
      <c r="J22" s="8" t="str">
        <f>'Data cleaning and validation(3)'!J10</f>
        <v>Southeast</v>
      </c>
      <c r="K22" s="8" t="str">
        <f>'Data cleaning and validation(3)'!K10</f>
        <v>USA</v>
      </c>
      <c r="L22" s="8" t="str">
        <f>'Data cleaning and validation(3)'!L10</f>
        <v>Fashion</v>
      </c>
      <c r="M22" s="8" t="str">
        <f>'Data cleaning and validation(3)'!M10</f>
        <v>Active</v>
      </c>
      <c r="N22" s="17">
        <f>'Data cleaning and validation(3)'!N10</f>
        <v>1303884</v>
      </c>
      <c r="O22" s="18">
        <f>'Data cleaning and validation(3)'!O10</f>
        <v>10865.7</v>
      </c>
    </row>
    <row r="23" spans="1:15" x14ac:dyDescent="0.35">
      <c r="A23" s="8">
        <f>'Data cleaning and validation(3)'!A11</f>
        <v>10</v>
      </c>
      <c r="B23" s="8" t="str">
        <f>'Data cleaning and validation(3)'!B11</f>
        <v>Sanchez</v>
      </c>
      <c r="C23" s="8" t="str">
        <f>'Data cleaning and validation(3)'!C11</f>
        <v>rsanchez9@cloudflare.com</v>
      </c>
      <c r="D23" s="8" t="str">
        <f>'Data cleaning and validation(3)'!D11</f>
        <v>M</v>
      </c>
      <c r="E23" s="8" t="str">
        <f>'Data cleaning and validation(3)'!E11</f>
        <v>Movies</v>
      </c>
      <c r="F23" s="15">
        <f>'Data cleaning and validation(3)'!F11</f>
        <v>41346</v>
      </c>
      <c r="G23" s="8">
        <f>'Data cleaning and validation(3)'!G11</f>
        <v>8</v>
      </c>
      <c r="H23" s="19">
        <f>'Data cleaning and validation(3)'!H11</f>
        <v>108093</v>
      </c>
      <c r="I23" s="8" t="str">
        <f>'Data cleaning and validation(3)'!I11</f>
        <v>Sales Representative</v>
      </c>
      <c r="J23" s="8" t="str">
        <f>'Data cleaning and validation(3)'!J11</f>
        <v>Northeast</v>
      </c>
      <c r="K23" s="8" t="str">
        <f>'Data cleaning and validation(3)'!K11</f>
        <v>USA</v>
      </c>
      <c r="L23" s="8" t="str">
        <f>'Data cleaning and validation(3)'!L11</f>
        <v>Entertainment</v>
      </c>
      <c r="M23" s="8" t="str">
        <f>'Data cleaning and validation(3)'!M11</f>
        <v>On Leave</v>
      </c>
      <c r="N23" s="17">
        <f>'Data cleaning and validation(3)'!N11</f>
        <v>1297116</v>
      </c>
      <c r="O23" s="18">
        <f>'Data cleaning and validation(3)'!O11</f>
        <v>10809.300000000001</v>
      </c>
    </row>
    <row r="24" spans="1:15" x14ac:dyDescent="0.35">
      <c r="A24" s="8">
        <f>'Data cleaning and validation(3)'!A12</f>
        <v>11</v>
      </c>
      <c r="B24" s="8" t="str">
        <f>'Data cleaning and validation(3)'!B12</f>
        <v>Jacobs</v>
      </c>
      <c r="C24" s="8" t="str">
        <f>'Data cleaning and validation(3)'!C12</f>
        <v>jjacobsa@sbwire.com</v>
      </c>
      <c r="D24" s="8" t="str">
        <f>'Data cleaning and validation(3)'!D12</f>
        <v>F</v>
      </c>
      <c r="E24" s="8" t="str">
        <f>'Data cleaning and validation(3)'!E12</f>
        <v>Jewelery</v>
      </c>
      <c r="F24" s="15">
        <f>'Data cleaning and validation(3)'!F12</f>
        <v>37952</v>
      </c>
      <c r="G24" s="8">
        <f>'Data cleaning and validation(3)'!G12</f>
        <v>18</v>
      </c>
      <c r="H24" s="19">
        <f>'Data cleaning and validation(3)'!H12</f>
        <v>121966</v>
      </c>
      <c r="I24" s="8" t="str">
        <f>'Data cleaning and validation(3)'!I12</f>
        <v>Community Outreach Specialist</v>
      </c>
      <c r="J24" s="8" t="str">
        <f>'Data cleaning and validation(3)'!J12</f>
        <v>Nova Scotia</v>
      </c>
      <c r="K24" s="8" t="str">
        <f>'Data cleaning and validation(3)'!K12</f>
        <v>Canada</v>
      </c>
      <c r="L24" s="8" t="str">
        <f>'Data cleaning and validation(3)'!L12</f>
        <v>Fashion</v>
      </c>
      <c r="M24" s="8" t="str">
        <f>'Data cleaning and validation(3)'!M12</f>
        <v>On Leave</v>
      </c>
      <c r="N24" s="17">
        <f>'Data cleaning and validation(3)'!N12</f>
        <v>1463592</v>
      </c>
      <c r="O24" s="18">
        <f>'Data cleaning and validation(3)'!O12</f>
        <v>12196.6</v>
      </c>
    </row>
    <row r="25" spans="1:15" x14ac:dyDescent="0.35">
      <c r="A25" s="8">
        <f>'Data cleaning and validation(3)'!A13</f>
        <v>12</v>
      </c>
      <c r="B25" s="8" t="str">
        <f>'Data cleaning and validation(3)'!B13</f>
        <v>Black</v>
      </c>
      <c r="C25" s="8" t="str">
        <f>'Data cleaning and validation(3)'!C13</f>
        <v>mblackb@edublogs.org</v>
      </c>
      <c r="D25" s="8" t="str">
        <f>'Data cleaning and validation(3)'!D13</f>
        <v>M</v>
      </c>
      <c r="E25" s="8" t="str">
        <f>'Data cleaning and validation(3)'!E13</f>
        <v>Clothing</v>
      </c>
      <c r="F25" s="15">
        <f>'Data cleaning and validation(3)'!F13</f>
        <v>37656</v>
      </c>
      <c r="G25" s="8">
        <f>'Data cleaning and validation(3)'!G13</f>
        <v>18</v>
      </c>
      <c r="H25" s="19">
        <f>'Data cleaning and validation(3)'!H13</f>
        <v>44179</v>
      </c>
      <c r="I25" s="8" t="str">
        <f>'Data cleaning and validation(3)'!I13</f>
        <v>Data Coordiator</v>
      </c>
      <c r="J25" s="8" t="str">
        <f>'Data cleaning and validation(3)'!J13</f>
        <v>Nova Scotia</v>
      </c>
      <c r="K25" s="8" t="str">
        <f>'Data cleaning and validation(3)'!K13</f>
        <v>Canada</v>
      </c>
      <c r="L25" s="8" t="str">
        <f>'Data cleaning and validation(3)'!L13</f>
        <v>Domestic</v>
      </c>
      <c r="M25" s="8" t="str">
        <f>'Data cleaning and validation(3)'!M13</f>
        <v>Resigned</v>
      </c>
      <c r="N25" s="17">
        <f>'Data cleaning and validation(3)'!N13</f>
        <v>530148</v>
      </c>
      <c r="O25" s="18">
        <f>'Data cleaning and validation(3)'!O13</f>
        <v>4417.9000000000005</v>
      </c>
    </row>
    <row r="26" spans="1:15" x14ac:dyDescent="0.35">
      <c r="A26" s="8">
        <f>'Data cleaning and validation(3)'!A14</f>
        <v>13</v>
      </c>
      <c r="B26" s="8" t="str">
        <f>'Data cleaning and validation(3)'!B14</f>
        <v>Schmidt</v>
      </c>
      <c r="C26" s="8" t="str">
        <f>'Data cleaning and validation(3)'!C14</f>
        <v>sschmidtc@state.gov</v>
      </c>
      <c r="D26" s="8" t="str">
        <f>'Data cleaning and validation(3)'!D14</f>
        <v>M</v>
      </c>
      <c r="E26" s="8" t="str">
        <f>'Data cleaning and validation(3)'!E14</f>
        <v>Baby</v>
      </c>
      <c r="F26" s="15">
        <f>'Data cleaning and validation(3)'!F14</f>
        <v>37542</v>
      </c>
      <c r="G26" s="8">
        <f>'Data cleaning and validation(3)'!G14</f>
        <v>19</v>
      </c>
      <c r="H26" s="19">
        <f>'Data cleaning and validation(3)'!H14</f>
        <v>85227</v>
      </c>
      <c r="I26" s="8" t="str">
        <f>'Data cleaning and validation(3)'!I14</f>
        <v>Compensation Analyst</v>
      </c>
      <c r="J26" s="8" t="str">
        <f>'Data cleaning and validation(3)'!J14</f>
        <v>Northwest</v>
      </c>
      <c r="K26" s="8" t="str">
        <f>'Data cleaning and validation(3)'!K14</f>
        <v>USA</v>
      </c>
      <c r="L26" s="8" t="str">
        <f>'Data cleaning and validation(3)'!L14</f>
        <v>Domestic</v>
      </c>
      <c r="M26" s="8" t="str">
        <f>'Data cleaning and validation(3)'!M14</f>
        <v>On Leave</v>
      </c>
      <c r="N26" s="17">
        <f>'Data cleaning and validation(3)'!N14</f>
        <v>1022724</v>
      </c>
      <c r="O26" s="18">
        <f>'Data cleaning and validation(3)'!O14</f>
        <v>8522.7000000000007</v>
      </c>
    </row>
    <row r="27" spans="1:15" x14ac:dyDescent="0.35">
      <c r="A27" s="8">
        <f>'Data cleaning and validation(3)'!A15</f>
        <v>14</v>
      </c>
      <c r="B27" s="8" t="str">
        <f>'Data cleaning and validation(3)'!B15</f>
        <v>Webb</v>
      </c>
      <c r="C27" s="8" t="str">
        <f>'Data cleaning and validation(3)'!C15</f>
        <v>awebbd@baidu.com</v>
      </c>
      <c r="D27" s="8" t="str">
        <f>'Data cleaning and validation(3)'!D15</f>
        <v>F</v>
      </c>
      <c r="E27" s="8" t="str">
        <f>'Data cleaning and validation(3)'!E15</f>
        <v>Computers</v>
      </c>
      <c r="F27" s="15">
        <f>'Data cleaning and validation(3)'!F15</f>
        <v>39012</v>
      </c>
      <c r="G27" s="8">
        <f>'Data cleaning and validation(3)'!G15</f>
        <v>15</v>
      </c>
      <c r="H27" s="19">
        <f>'Data cleaning and validation(3)'!H15</f>
        <v>59763</v>
      </c>
      <c r="I27" s="8" t="str">
        <f>'Data cleaning and validation(3)'!I15</f>
        <v>Software Test Engineer III</v>
      </c>
      <c r="J27" s="8" t="str">
        <f>'Data cleaning and validation(3)'!J15</f>
        <v>Southwest</v>
      </c>
      <c r="K27" s="8" t="str">
        <f>'Data cleaning and validation(3)'!K15</f>
        <v>USA</v>
      </c>
      <c r="L27" s="8" t="str">
        <f>'Data cleaning and validation(3)'!L15</f>
        <v>Electronic Equipment</v>
      </c>
      <c r="M27" s="8" t="str">
        <f>'Data cleaning and validation(3)'!M15</f>
        <v>On Leave</v>
      </c>
      <c r="N27" s="17">
        <f>'Data cleaning and validation(3)'!N15</f>
        <v>717156</v>
      </c>
      <c r="O27" s="18">
        <f>'Data cleaning and validation(3)'!O15</f>
        <v>5976.3</v>
      </c>
    </row>
    <row r="28" spans="1:15" x14ac:dyDescent="0.35">
      <c r="A28" s="8">
        <f>'Data cleaning and validation(3)'!A16</f>
        <v>15</v>
      </c>
      <c r="B28" s="8" t="str">
        <f>'Data cleaning and validation(3)'!B16</f>
        <v>Jacobs</v>
      </c>
      <c r="C28" s="8" t="str">
        <f>'Data cleaning and validation(3)'!C16</f>
        <v>ajacobse@google.it</v>
      </c>
      <c r="D28" s="8" t="str">
        <f>'Data cleaning and validation(3)'!D16</f>
        <v>F</v>
      </c>
      <c r="E28" s="8" t="str">
        <f>'Data cleaning and validation(3)'!E16</f>
        <v>Games</v>
      </c>
      <c r="F28" s="15">
        <f>'Data cleaning and validation(3)'!F16</f>
        <v>43894</v>
      </c>
      <c r="G28" s="8">
        <f>'Data cleaning and validation(3)'!G16</f>
        <v>14</v>
      </c>
      <c r="H28" s="19">
        <f>'Data cleaning and validation(3)'!H16</f>
        <v>141139</v>
      </c>
      <c r="I28" s="8" t="str">
        <f>'Data cleaning and validation(3)'!I16</f>
        <v>Community Outreach Specialist</v>
      </c>
      <c r="J28" s="8" t="str">
        <f>'Data cleaning and validation(3)'!J16</f>
        <v>Nova Scotia</v>
      </c>
      <c r="K28" s="8" t="str">
        <f>'Data cleaning and validation(3)'!K16</f>
        <v>Canada</v>
      </c>
      <c r="L28" s="8" t="str">
        <f>'Data cleaning and validation(3)'!L16</f>
        <v>Domestic</v>
      </c>
      <c r="M28" s="8" t="str">
        <f>'Data cleaning and validation(3)'!M16</f>
        <v>Active</v>
      </c>
      <c r="N28" s="17">
        <f>'Data cleaning and validation(3)'!N16</f>
        <v>1693668</v>
      </c>
      <c r="O28" s="18">
        <f>'Data cleaning and validation(3)'!O16</f>
        <v>14113.900000000001</v>
      </c>
    </row>
    <row r="29" spans="1:15" x14ac:dyDescent="0.35">
      <c r="A29" s="8">
        <f>'Data cleaning and validation(3)'!A17</f>
        <v>16</v>
      </c>
      <c r="B29" s="8" t="str">
        <f>'Data cleaning and validation(3)'!B17</f>
        <v>Medina</v>
      </c>
      <c r="C29" s="8" t="str">
        <f>'Data cleaning and validation(3)'!C17</f>
        <v>smedinaf@amazonaws.com</v>
      </c>
      <c r="D29" s="8" t="str">
        <f>'Data cleaning and validation(3)'!D17</f>
        <v>F</v>
      </c>
      <c r="E29" s="8" t="str">
        <f>'Data cleaning and validation(3)'!E17</f>
        <v>Baby</v>
      </c>
      <c r="F29" s="15">
        <f>'Data cleaning and validation(3)'!F17</f>
        <v>44269</v>
      </c>
      <c r="G29" s="8">
        <f>'Data cleaning and validation(3)'!G17</f>
        <v>13</v>
      </c>
      <c r="H29" s="19">
        <f>'Data cleaning and validation(3)'!H17</f>
        <v>106659</v>
      </c>
      <c r="I29" s="8" t="str">
        <f>'Data cleaning and validation(3)'!I17</f>
        <v>Web Developer III</v>
      </c>
      <c r="J29" s="8" t="str">
        <f>'Data cleaning and validation(3)'!J17</f>
        <v>Northeast</v>
      </c>
      <c r="K29" s="8" t="str">
        <f>'Data cleaning and validation(3)'!K17</f>
        <v>USA</v>
      </c>
      <c r="L29" s="8" t="str">
        <f>'Data cleaning and validation(3)'!L17</f>
        <v>Domestic</v>
      </c>
      <c r="M29" s="8" t="str">
        <f>'Data cleaning and validation(3)'!M17</f>
        <v>Active</v>
      </c>
      <c r="N29" s="17">
        <f>'Data cleaning and validation(3)'!N17</f>
        <v>1279908</v>
      </c>
      <c r="O29" s="18">
        <f>'Data cleaning and validation(3)'!O17</f>
        <v>10665.900000000001</v>
      </c>
    </row>
    <row r="30" spans="1:15" x14ac:dyDescent="0.35">
      <c r="A30" s="8">
        <f>'Data cleaning and validation(3)'!A18</f>
        <v>17</v>
      </c>
      <c r="B30" s="8" t="str">
        <f>'Data cleaning and validation(3)'!B18</f>
        <v>Morgan</v>
      </c>
      <c r="C30" s="8" t="str">
        <f>'Data cleaning and validation(3)'!C18</f>
        <v>dmorgang@123-reg.co.uk</v>
      </c>
      <c r="D30" s="8" t="str">
        <f>'Data cleaning and validation(3)'!D18</f>
        <v>F</v>
      </c>
      <c r="E30" s="8" t="str">
        <f>'Data cleaning and validation(3)'!E18</f>
        <v>Kids</v>
      </c>
      <c r="F30" s="15">
        <f>'Data cleaning and validation(3)'!F18</f>
        <v>45416</v>
      </c>
      <c r="G30" s="8">
        <f>'Data cleaning and validation(3)'!G18</f>
        <v>10</v>
      </c>
      <c r="H30" s="19">
        <f>'Data cleaning and validation(3)'!H18</f>
        <v>148952</v>
      </c>
      <c r="I30" s="8" t="str">
        <f>'Data cleaning and validation(3)'!I18</f>
        <v>Programmer IV</v>
      </c>
      <c r="J30" s="8" t="str">
        <f>'Data cleaning and validation(3)'!J18</f>
        <v>Quebec</v>
      </c>
      <c r="K30" s="8" t="str">
        <f>'Data cleaning and validation(3)'!K18</f>
        <v>Canada</v>
      </c>
      <c r="L30" s="8" t="str">
        <f>'Data cleaning and validation(3)'!L18</f>
        <v>Domestic</v>
      </c>
      <c r="M30" s="8" t="str">
        <f>'Data cleaning and validation(3)'!M18</f>
        <v>Active</v>
      </c>
      <c r="N30" s="17">
        <f>'Data cleaning and validation(3)'!N18</f>
        <v>1787424</v>
      </c>
      <c r="O30" s="18">
        <f>'Data cleaning and validation(3)'!O18</f>
        <v>14895.2</v>
      </c>
    </row>
    <row r="31" spans="1:15" x14ac:dyDescent="0.35">
      <c r="A31" s="8">
        <f>'Data cleaning and validation(3)'!A19</f>
        <v>18</v>
      </c>
      <c r="B31" s="8" t="str">
        <f>'Data cleaning and validation(3)'!B19</f>
        <v>Nguyen</v>
      </c>
      <c r="C31" s="8" t="str">
        <f>'Data cleaning and validation(3)'!C19</f>
        <v>jnguyenh@google.com</v>
      </c>
      <c r="D31" s="8" t="str">
        <f>'Data cleaning and validation(3)'!D19</f>
        <v>M</v>
      </c>
      <c r="E31" s="8" t="str">
        <f>'Data cleaning and validation(3)'!E19</f>
        <v>Home</v>
      </c>
      <c r="F31" s="15">
        <f>'Data cleaning and validation(3)'!F19</f>
        <v>41946</v>
      </c>
      <c r="G31" s="8">
        <f>'Data cleaning and validation(3)'!G19</f>
        <v>7</v>
      </c>
      <c r="H31" s="19">
        <f>'Data cleaning and validation(3)'!H19</f>
        <v>93804</v>
      </c>
      <c r="I31" s="8" t="str">
        <f>'Data cleaning and validation(3)'!I19</f>
        <v>Geologist II</v>
      </c>
      <c r="J31" s="8" t="str">
        <f>'Data cleaning and validation(3)'!J19</f>
        <v>British Columbia</v>
      </c>
      <c r="K31" s="8" t="str">
        <f>'Data cleaning and validation(3)'!K19</f>
        <v>Canada</v>
      </c>
      <c r="L31" s="8" t="str">
        <f>'Data cleaning and validation(3)'!L19</f>
        <v>Domestic</v>
      </c>
      <c r="M31" s="8" t="str">
        <f>'Data cleaning and validation(3)'!M19</f>
        <v>Active</v>
      </c>
      <c r="N31" s="17">
        <f>'Data cleaning and validation(3)'!N19</f>
        <v>1125648</v>
      </c>
      <c r="O31" s="18">
        <f>'Data cleaning and validation(3)'!O19</f>
        <v>9380.4</v>
      </c>
    </row>
    <row r="32" spans="1:15" x14ac:dyDescent="0.35">
      <c r="A32" s="8">
        <f>'Data cleaning and validation(3)'!A20</f>
        <v>19</v>
      </c>
      <c r="B32" s="8" t="str">
        <f>'Data cleaning and validation(3)'!B20</f>
        <v>Day</v>
      </c>
      <c r="C32" s="8" t="str">
        <f>'Data cleaning and validation(3)'!C20</f>
        <v>rdayi@chronoengine.com</v>
      </c>
      <c r="D32" s="8" t="str">
        <f>'Data cleaning and validation(3)'!D20</f>
        <v>M</v>
      </c>
      <c r="E32" s="8" t="str">
        <f>'Data cleaning and validation(3)'!E20</f>
        <v>Electronics</v>
      </c>
      <c r="F32" s="15">
        <f>'Data cleaning and validation(3)'!F20</f>
        <v>38252</v>
      </c>
      <c r="G32" s="8">
        <f>'Data cleaning and validation(3)'!G20</f>
        <v>17</v>
      </c>
      <c r="H32" s="19">
        <f>'Data cleaning and validation(3)'!H20</f>
        <v>109890</v>
      </c>
      <c r="I32" s="8" t="str">
        <f>'Data cleaning and validation(3)'!I20</f>
        <v>VP Sales</v>
      </c>
      <c r="J32" s="8" t="str">
        <f>'Data cleaning and validation(3)'!J20</f>
        <v>Northwest</v>
      </c>
      <c r="K32" s="8" t="str">
        <f>'Data cleaning and validation(3)'!K20</f>
        <v>USA</v>
      </c>
      <c r="L32" s="8" t="str">
        <f>'Data cleaning and validation(3)'!L20</f>
        <v>Electronic Equipment</v>
      </c>
      <c r="M32" s="8" t="str">
        <f>'Data cleaning and validation(3)'!M20</f>
        <v>On Leave</v>
      </c>
      <c r="N32" s="17">
        <f>'Data cleaning and validation(3)'!N20</f>
        <v>1318680</v>
      </c>
      <c r="O32" s="18">
        <f>'Data cleaning and validation(3)'!O20</f>
        <v>10989</v>
      </c>
    </row>
    <row r="33" spans="1:15" x14ac:dyDescent="0.35">
      <c r="A33" s="8">
        <f>'Data cleaning and validation(3)'!A21</f>
        <v>20</v>
      </c>
      <c r="B33" s="8" t="str">
        <f>'Data cleaning and validation(3)'!B21</f>
        <v>Carr</v>
      </c>
      <c r="C33" s="8" t="str">
        <f>'Data cleaning and validation(3)'!C21</f>
        <v>dcarrj@ocn.ne.jp</v>
      </c>
      <c r="D33" s="8" t="str">
        <f>'Data cleaning and validation(3)'!D21</f>
        <v>F</v>
      </c>
      <c r="E33" s="8" t="str">
        <f>'Data cleaning and validation(3)'!E21</f>
        <v>Movies</v>
      </c>
      <c r="F33" s="15">
        <f>'Data cleaning and validation(3)'!F21</f>
        <v>44157</v>
      </c>
      <c r="G33" s="8">
        <f>'Data cleaning and validation(3)'!G21</f>
        <v>14</v>
      </c>
      <c r="H33" s="19">
        <f>'Data cleaning and validation(3)'!H21</f>
        <v>115274</v>
      </c>
      <c r="I33" s="8" t="str">
        <f>'Data cleaning and validation(3)'!I21</f>
        <v>VP Quality Control</v>
      </c>
      <c r="J33" s="8" t="str">
        <f>'Data cleaning and validation(3)'!J21</f>
        <v>British Columbia</v>
      </c>
      <c r="K33" s="8" t="str">
        <f>'Data cleaning and validation(3)'!K21</f>
        <v>Canada</v>
      </c>
      <c r="L33" s="8" t="str">
        <f>'Data cleaning and validation(3)'!L21</f>
        <v>Entertainment</v>
      </c>
      <c r="M33" s="8" t="str">
        <f>'Data cleaning and validation(3)'!M21</f>
        <v>Active</v>
      </c>
      <c r="N33" s="17">
        <f>'Data cleaning and validation(3)'!N21</f>
        <v>1383288</v>
      </c>
      <c r="O33" s="18">
        <f>'Data cleaning and validation(3)'!O21</f>
        <v>11527.400000000001</v>
      </c>
    </row>
    <row r="34" spans="1:15" x14ac:dyDescent="0.35">
      <c r="A34" s="8">
        <f>'Data cleaning and validation(3)'!A22</f>
        <v>21</v>
      </c>
      <c r="B34" s="8" t="str">
        <f>'Data cleaning and validation(3)'!B22</f>
        <v>Bryant</v>
      </c>
      <c r="C34" s="8" t="str">
        <f>'Data cleaning and validation(3)'!C22</f>
        <v>sbryantk@wunderground.com</v>
      </c>
      <c r="D34" s="8" t="str">
        <f>'Data cleaning and validation(3)'!D22</f>
        <v>F</v>
      </c>
      <c r="E34" s="8" t="str">
        <f>'Data cleaning and validation(3)'!E22</f>
        <v>Industrial</v>
      </c>
      <c r="F34" s="15">
        <f>'Data cleaning and validation(3)'!F22</f>
        <v>38576</v>
      </c>
      <c r="G34" s="8">
        <f>'Data cleaning and validation(3)'!G22</f>
        <v>16</v>
      </c>
      <c r="H34" s="19">
        <f>'Data cleaning and validation(3)'!H22</f>
        <v>78052</v>
      </c>
      <c r="I34" s="8" t="str">
        <f>'Data cleaning and validation(3)'!I22</f>
        <v>Software Consultant</v>
      </c>
      <c r="J34" s="8" t="str">
        <f>'Data cleaning and validation(3)'!J22</f>
        <v>Northwest</v>
      </c>
      <c r="K34" s="8" t="str">
        <f>'Data cleaning and validation(3)'!K22</f>
        <v>USA</v>
      </c>
      <c r="L34" s="8" t="str">
        <f>'Data cleaning and validation(3)'!L22</f>
        <v>Auto &amp; Hardware</v>
      </c>
      <c r="M34" s="8" t="str">
        <f>'Data cleaning and validation(3)'!M22</f>
        <v>Active</v>
      </c>
      <c r="N34" s="17">
        <f>'Data cleaning and validation(3)'!N22</f>
        <v>936624</v>
      </c>
      <c r="O34" s="18">
        <f>'Data cleaning and validation(3)'!O22</f>
        <v>7805.2000000000007</v>
      </c>
    </row>
    <row r="35" spans="1:15" x14ac:dyDescent="0.35">
      <c r="A35" s="8">
        <f>'Data cleaning and validation(3)'!A23</f>
        <v>22</v>
      </c>
      <c r="B35" s="8" t="str">
        <f>'Data cleaning and validation(3)'!B23</f>
        <v>Alexander</v>
      </c>
      <c r="C35" s="8" t="str">
        <f>'Data cleaning and validation(3)'!C23</f>
        <v>kalexanderl@marketwatch.com</v>
      </c>
      <c r="D35" s="8" t="str">
        <f>'Data cleaning and validation(3)'!D23</f>
        <v>M</v>
      </c>
      <c r="E35" s="8" t="str">
        <f>'Data cleaning and validation(3)'!E23</f>
        <v>Automotive</v>
      </c>
      <c r="F35" s="15">
        <f>'Data cleaning and validation(3)'!F23</f>
        <v>40903</v>
      </c>
      <c r="G35" s="8">
        <f>'Data cleaning and validation(3)'!G23</f>
        <v>10</v>
      </c>
      <c r="H35" s="19">
        <f>'Data cleaning and validation(3)'!H23</f>
        <v>144724</v>
      </c>
      <c r="I35" s="8" t="str">
        <f>'Data cleaning and validation(3)'!I23</f>
        <v>Marketing Assistant</v>
      </c>
      <c r="J35" s="8" t="str">
        <f>'Data cleaning and validation(3)'!J23</f>
        <v>Southeast</v>
      </c>
      <c r="K35" s="8" t="str">
        <f>'Data cleaning and validation(3)'!K23</f>
        <v>USA</v>
      </c>
      <c r="L35" s="8" t="str">
        <f>'Data cleaning and validation(3)'!L23</f>
        <v>Auto &amp; Hardware</v>
      </c>
      <c r="M35" s="8" t="str">
        <f>'Data cleaning and validation(3)'!M23</f>
        <v>Active</v>
      </c>
      <c r="N35" s="17">
        <f>'Data cleaning and validation(3)'!N23</f>
        <v>1736688</v>
      </c>
      <c r="O35" s="18">
        <f>'Data cleaning and validation(3)'!O23</f>
        <v>14472.400000000001</v>
      </c>
    </row>
    <row r="36" spans="1:15" x14ac:dyDescent="0.35">
      <c r="A36" s="8">
        <f>'Data cleaning and validation(3)'!A24</f>
        <v>23</v>
      </c>
      <c r="B36" s="8" t="str">
        <f>'Data cleaning and validation(3)'!B24</f>
        <v>Chapman</v>
      </c>
      <c r="C36" s="8" t="str">
        <f>'Data cleaning and validation(3)'!C24</f>
        <v>jchapmanm@archive.org</v>
      </c>
      <c r="D36" s="8" t="str">
        <f>'Data cleaning and validation(3)'!D24</f>
        <v>F</v>
      </c>
      <c r="E36" s="8" t="str">
        <f>'Data cleaning and validation(3)'!E24</f>
        <v>Jewelery</v>
      </c>
      <c r="F36" s="15">
        <f>'Data cleaning and validation(3)'!F24</f>
        <v>36993</v>
      </c>
      <c r="G36" s="8">
        <f>'Data cleaning and validation(3)'!G24</f>
        <v>20</v>
      </c>
      <c r="H36" s="19">
        <f>'Data cleaning and validation(3)'!H24</f>
        <v>126103</v>
      </c>
      <c r="I36" s="8" t="str">
        <f>'Data cleaning and validation(3)'!I24</f>
        <v>Senior Developer</v>
      </c>
      <c r="J36" s="8" t="str">
        <f>'Data cleaning and validation(3)'!J24</f>
        <v>Southwest</v>
      </c>
      <c r="K36" s="8" t="str">
        <f>'Data cleaning and validation(3)'!K24</f>
        <v>USA</v>
      </c>
      <c r="L36" s="8" t="str">
        <f>'Data cleaning and validation(3)'!L24</f>
        <v>Fashion</v>
      </c>
      <c r="M36" s="8" t="str">
        <f>'Data cleaning and validation(3)'!M24</f>
        <v>Active</v>
      </c>
      <c r="N36" s="17">
        <f>'Data cleaning and validation(3)'!N24</f>
        <v>1513236</v>
      </c>
      <c r="O36" s="18">
        <f>'Data cleaning and validation(3)'!O24</f>
        <v>12610.300000000001</v>
      </c>
    </row>
    <row r="37" spans="1:15" x14ac:dyDescent="0.35">
      <c r="A37" s="8">
        <f>'Data cleaning and validation(3)'!A25</f>
        <v>24</v>
      </c>
      <c r="B37" s="8" t="str">
        <f>'Data cleaning and validation(3)'!B25</f>
        <v>Kelly</v>
      </c>
      <c r="C37" s="8" t="str">
        <f>'Data cleaning and validation(3)'!C25</f>
        <v>ekellyn@weibo.com</v>
      </c>
      <c r="D37" s="8" t="str">
        <f>'Data cleaning and validation(3)'!D25</f>
        <v>M</v>
      </c>
      <c r="E37" s="8" t="str">
        <f>'Data cleaning and validation(3)'!E25</f>
        <v>Garden</v>
      </c>
      <c r="F37" s="15">
        <f>'Data cleaning and validation(3)'!F25</f>
        <v>38897</v>
      </c>
      <c r="G37" s="8">
        <f>'Data cleaning and validation(3)'!G25</f>
        <v>15</v>
      </c>
      <c r="H37" s="19">
        <f>'Data cleaning and validation(3)'!H25</f>
        <v>144965</v>
      </c>
      <c r="I37" s="8" t="str">
        <f>'Data cleaning and validation(3)'!I25</f>
        <v>Nurse Practicioner</v>
      </c>
      <c r="J37" s="8" t="str">
        <f>'Data cleaning and validation(3)'!J25</f>
        <v>Southeast</v>
      </c>
      <c r="K37" s="8" t="str">
        <f>'Data cleaning and validation(3)'!K25</f>
        <v>USA</v>
      </c>
      <c r="L37" s="8" t="str">
        <f>'Data cleaning and validation(3)'!L25</f>
        <v>Outdoors &amp; Garden</v>
      </c>
      <c r="M37" s="8" t="str">
        <f>'Data cleaning and validation(3)'!M25</f>
        <v>Active</v>
      </c>
      <c r="N37" s="17">
        <f>'Data cleaning and validation(3)'!N25</f>
        <v>1739580</v>
      </c>
      <c r="O37" s="18">
        <f>'Data cleaning and validation(3)'!O25</f>
        <v>14496.5</v>
      </c>
    </row>
    <row r="38" spans="1:15" x14ac:dyDescent="0.35">
      <c r="A38" s="8">
        <f>'Data cleaning and validation(3)'!A26</f>
        <v>25</v>
      </c>
      <c r="B38" s="8" t="str">
        <f>'Data cleaning and validation(3)'!B26</f>
        <v>Stephens</v>
      </c>
      <c r="C38" s="8" t="str">
        <f>'Data cleaning and validation(3)'!C26</f>
        <v>jstephenso@ow.ly</v>
      </c>
      <c r="D38" s="8" t="str">
        <f>'Data cleaning and validation(3)'!D26</f>
        <v>M</v>
      </c>
      <c r="E38" s="8" t="str">
        <f>'Data cleaning and validation(3)'!E26</f>
        <v>Toys</v>
      </c>
      <c r="F38" s="15">
        <f>'Data cleaning and validation(3)'!F26</f>
        <v>38142</v>
      </c>
      <c r="G38" s="8">
        <f>'Data cleaning and validation(3)'!G26</f>
        <v>17</v>
      </c>
      <c r="H38" s="19">
        <f>'Data cleaning and validation(3)'!H26</f>
        <v>70613</v>
      </c>
      <c r="I38" s="8" t="str">
        <f>'Data cleaning and validation(3)'!I26</f>
        <v>Business Systems Development Analyst</v>
      </c>
      <c r="J38" s="8" t="str">
        <f>'Data cleaning and validation(3)'!J26</f>
        <v>Northeast</v>
      </c>
      <c r="K38" s="8" t="str">
        <f>'Data cleaning and validation(3)'!K26</f>
        <v>USA</v>
      </c>
      <c r="L38" s="8" t="str">
        <f>'Data cleaning and validation(3)'!L26</f>
        <v>Games &amp; Sports</v>
      </c>
      <c r="M38" s="8" t="str">
        <f>'Data cleaning and validation(3)'!M26</f>
        <v>Active</v>
      </c>
      <c r="N38" s="17">
        <f>'Data cleaning and validation(3)'!N26</f>
        <v>847356</v>
      </c>
      <c r="O38" s="18">
        <f>'Data cleaning and validation(3)'!O26</f>
        <v>7061.3</v>
      </c>
    </row>
    <row r="39" spans="1:15" x14ac:dyDescent="0.35">
      <c r="A39" s="8">
        <f>'Data cleaning and validation(3)'!A27</f>
        <v>26</v>
      </c>
      <c r="B39" s="8" t="str">
        <f>'Data cleaning and validation(3)'!B27</f>
        <v>Porter</v>
      </c>
      <c r="C39" s="8" t="str">
        <f>'Data cleaning and validation(3)'!C27</f>
        <v>vporterp@yelp.com</v>
      </c>
      <c r="D39" s="8" t="str">
        <f>'Data cleaning and validation(3)'!D27</f>
        <v>F</v>
      </c>
      <c r="E39" s="8" t="str">
        <f>'Data cleaning and validation(3)'!E27</f>
        <v>Home</v>
      </c>
      <c r="F39" s="15">
        <f>'Data cleaning and validation(3)'!F27</f>
        <v>45442</v>
      </c>
      <c r="G39" s="8">
        <f>'Data cleaning and validation(3)'!G27</f>
        <v>10</v>
      </c>
      <c r="H39" s="19">
        <f>'Data cleaning and validation(3)'!H27</f>
        <v>90746</v>
      </c>
      <c r="I39" s="8" t="str">
        <f>'Data cleaning and validation(3)'!I27</f>
        <v>Dental Hygienist</v>
      </c>
      <c r="J39" s="8" t="str">
        <f>'Data cleaning and validation(3)'!J27</f>
        <v>Southeast</v>
      </c>
      <c r="K39" s="8" t="str">
        <f>'Data cleaning and validation(3)'!K27</f>
        <v>USA</v>
      </c>
      <c r="L39" s="8" t="str">
        <f>'Data cleaning and validation(3)'!L27</f>
        <v>Domestic</v>
      </c>
      <c r="M39" s="8" t="str">
        <f>'Data cleaning and validation(3)'!M27</f>
        <v>Active</v>
      </c>
      <c r="N39" s="17">
        <f>'Data cleaning and validation(3)'!N27</f>
        <v>1088952</v>
      </c>
      <c r="O39" s="18">
        <f>'Data cleaning and validation(3)'!O27</f>
        <v>9074.6</v>
      </c>
    </row>
    <row r="40" spans="1:15" x14ac:dyDescent="0.35">
      <c r="A40" s="8">
        <f>'Data cleaning and validation(3)'!A28</f>
        <v>27</v>
      </c>
      <c r="B40" s="8" t="str">
        <f>'Data cleaning and validation(3)'!B28</f>
        <v>Owens</v>
      </c>
      <c r="C40" s="8" t="str">
        <f>'Data cleaning and validation(3)'!C28</f>
        <v>cowensq@shareasale.com</v>
      </c>
      <c r="D40" s="8" t="str">
        <f>'Data cleaning and validation(3)'!D28</f>
        <v>F</v>
      </c>
      <c r="E40" s="8" t="str">
        <f>'Data cleaning and validation(3)'!E28</f>
        <v>Home</v>
      </c>
      <c r="F40" s="15">
        <f>'Data cleaning and validation(3)'!F28</f>
        <v>38498</v>
      </c>
      <c r="G40" s="8">
        <f>'Data cleaning and validation(3)'!G28</f>
        <v>16</v>
      </c>
      <c r="H40" s="19">
        <f>'Data cleaning and validation(3)'!H28</f>
        <v>78698</v>
      </c>
      <c r="I40" s="8" t="str">
        <f>'Data cleaning and validation(3)'!I28</f>
        <v>Executive Secretary</v>
      </c>
      <c r="J40" s="8" t="str">
        <f>'Data cleaning and validation(3)'!J28</f>
        <v>Southeast</v>
      </c>
      <c r="K40" s="8" t="str">
        <f>'Data cleaning and validation(3)'!K28</f>
        <v>USA</v>
      </c>
      <c r="L40" s="8" t="str">
        <f>'Data cleaning and validation(3)'!L28</f>
        <v>Domestic</v>
      </c>
      <c r="M40" s="8" t="str">
        <f>'Data cleaning and validation(3)'!M28</f>
        <v>Resigned</v>
      </c>
      <c r="N40" s="17">
        <f>'Data cleaning and validation(3)'!N28</f>
        <v>944376</v>
      </c>
      <c r="O40" s="18">
        <f>'Data cleaning and validation(3)'!O28</f>
        <v>7869.8</v>
      </c>
    </row>
    <row r="41" spans="1:15" x14ac:dyDescent="0.35">
      <c r="A41" s="8">
        <f>'Data cleaning and validation(3)'!A29</f>
        <v>28</v>
      </c>
      <c r="B41" s="8" t="str">
        <f>'Data cleaning and validation(3)'!B29</f>
        <v>Scott</v>
      </c>
      <c r="C41" s="8" t="str">
        <f>'Data cleaning and validation(3)'!C29</f>
        <v>cscottr@sphinn.com</v>
      </c>
      <c r="D41" s="8" t="str">
        <f>'Data cleaning and validation(3)'!D29</f>
        <v>F</v>
      </c>
      <c r="E41" s="8" t="str">
        <f>'Data cleaning and validation(3)'!E29</f>
        <v>Books</v>
      </c>
      <c r="F41" s="15">
        <f>'Data cleaning and validation(3)'!F29</f>
        <v>44257</v>
      </c>
      <c r="G41" s="8">
        <f>'Data cleaning and validation(3)'!G29</f>
        <v>13</v>
      </c>
      <c r="H41" s="19">
        <f>'Data cleaning and validation(3)'!H29</f>
        <v>63336</v>
      </c>
      <c r="I41" s="8" t="str">
        <f>'Data cleaning and validation(3)'!I29</f>
        <v>Sales Representative</v>
      </c>
      <c r="J41" s="8" t="str">
        <f>'Data cleaning and validation(3)'!J29</f>
        <v>Southwest</v>
      </c>
      <c r="K41" s="8" t="str">
        <f>'Data cleaning and validation(3)'!K29</f>
        <v>USA</v>
      </c>
      <c r="L41" s="8" t="str">
        <f>'Data cleaning and validation(3)'!L29</f>
        <v>Library</v>
      </c>
      <c r="M41" s="8" t="str">
        <f>'Data cleaning and validation(3)'!M29</f>
        <v>Active</v>
      </c>
      <c r="N41" s="17">
        <f>'Data cleaning and validation(3)'!N29</f>
        <v>760032</v>
      </c>
      <c r="O41" s="18">
        <f>'Data cleaning and validation(3)'!O29</f>
        <v>6333.6</v>
      </c>
    </row>
    <row r="42" spans="1:15" x14ac:dyDescent="0.35">
      <c r="A42" s="8">
        <f>'Data cleaning and validation(3)'!A30</f>
        <v>29</v>
      </c>
      <c r="B42" s="8" t="str">
        <f>'Data cleaning and validation(3)'!B30</f>
        <v>Price</v>
      </c>
      <c r="C42" s="8" t="str">
        <f>'Data cleaning and validation(3)'!C30</f>
        <v>cprices@usa.gov</v>
      </c>
      <c r="D42" s="8" t="str">
        <f>'Data cleaning and validation(3)'!D30</f>
        <v>F</v>
      </c>
      <c r="E42" s="8" t="str">
        <f>'Data cleaning and validation(3)'!E30</f>
        <v>Clothing</v>
      </c>
      <c r="F42" s="15">
        <f>'Data cleaning and validation(3)'!F30</f>
        <v>46208</v>
      </c>
      <c r="G42" s="8">
        <f>'Data cleaning and validation(3)'!G30</f>
        <v>8</v>
      </c>
      <c r="H42" s="19">
        <f>'Data cleaning and validation(3)'!H30</f>
        <v>95436</v>
      </c>
      <c r="I42" s="8" t="str">
        <f>'Data cleaning and validation(3)'!I30</f>
        <v>Quality Engineer</v>
      </c>
      <c r="J42" s="8" t="str">
        <f>'Data cleaning and validation(3)'!J30</f>
        <v>Northwest</v>
      </c>
      <c r="K42" s="8" t="str">
        <f>'Data cleaning and validation(3)'!K30</f>
        <v>USA</v>
      </c>
      <c r="L42" s="8" t="str">
        <f>'Data cleaning and validation(3)'!L30</f>
        <v>Domestic</v>
      </c>
      <c r="M42" s="8" t="str">
        <f>'Data cleaning and validation(3)'!M30</f>
        <v>Active</v>
      </c>
      <c r="N42" s="17">
        <f>'Data cleaning and validation(3)'!N30</f>
        <v>1145232</v>
      </c>
      <c r="O42" s="18">
        <f>'Data cleaning and validation(3)'!O30</f>
        <v>9543.6</v>
      </c>
    </row>
    <row r="43" spans="1:15" x14ac:dyDescent="0.35">
      <c r="A43" s="8">
        <f>'Data cleaning and validation(3)'!A31</f>
        <v>30</v>
      </c>
      <c r="B43" s="8" t="str">
        <f>'Data cleaning and validation(3)'!B31</f>
        <v>Weaver</v>
      </c>
      <c r="C43" s="8" t="str">
        <f>'Data cleaning and validation(3)'!C31</f>
        <v>dweavert@shinystat.com</v>
      </c>
      <c r="D43" s="8" t="str">
        <f>'Data cleaning and validation(3)'!D31</f>
        <v>M</v>
      </c>
      <c r="E43" s="8" t="str">
        <f>'Data cleaning and validation(3)'!E31</f>
        <v>Beauty</v>
      </c>
      <c r="F43" s="15">
        <f>'Data cleaning and validation(3)'!F31</f>
        <v>40956</v>
      </c>
      <c r="G43" s="8">
        <f>'Data cleaning and validation(3)'!G31</f>
        <v>9</v>
      </c>
      <c r="H43" s="19">
        <f>'Data cleaning and validation(3)'!H31</f>
        <v>83144</v>
      </c>
      <c r="I43" s="8" t="str">
        <f>'Data cleaning and validation(3)'!I31</f>
        <v>Account Representative III</v>
      </c>
      <c r="J43" s="8" t="str">
        <f>'Data cleaning and validation(3)'!J31</f>
        <v>Southeast</v>
      </c>
      <c r="K43" s="8" t="str">
        <f>'Data cleaning and validation(3)'!K31</f>
        <v>USA</v>
      </c>
      <c r="L43" s="8" t="str">
        <f>'Data cleaning and validation(3)'!L31</f>
        <v>Domestic</v>
      </c>
      <c r="M43" s="8" t="str">
        <f>'Data cleaning and validation(3)'!M31</f>
        <v>Active</v>
      </c>
      <c r="N43" s="17">
        <f>'Data cleaning and validation(3)'!N31</f>
        <v>997728</v>
      </c>
      <c r="O43" s="18">
        <f>'Data cleaning and validation(3)'!O31</f>
        <v>8314.4</v>
      </c>
    </row>
    <row r="44" spans="1:15" x14ac:dyDescent="0.35">
      <c r="A44" s="8">
        <f>'Data cleaning and validation(3)'!A32</f>
        <v>31</v>
      </c>
      <c r="B44" s="8" t="str">
        <f>'Data cleaning and validation(3)'!B32</f>
        <v>Willis</v>
      </c>
      <c r="C44" s="8" t="str">
        <f>'Data cleaning and validation(3)'!C32</f>
        <v>hwillisu@army.mil</v>
      </c>
      <c r="D44" s="8" t="str">
        <f>'Data cleaning and validation(3)'!D32</f>
        <v>F</v>
      </c>
      <c r="E44" s="8" t="str">
        <f>'Data cleaning and validation(3)'!E32</f>
        <v>Tools</v>
      </c>
      <c r="F44" s="15">
        <f>'Data cleaning and validation(3)'!F32</f>
        <v>45951</v>
      </c>
      <c r="G44" s="8">
        <f>'Data cleaning and validation(3)'!G32</f>
        <v>9</v>
      </c>
      <c r="H44" s="19">
        <f>'Data cleaning and validation(3)'!H32</f>
        <v>113507</v>
      </c>
      <c r="I44" s="8" t="str">
        <f>'Data cleaning and validation(3)'!I32</f>
        <v>Accountant I</v>
      </c>
      <c r="J44" s="8" t="str">
        <f>'Data cleaning and validation(3)'!J32</f>
        <v>Nova Scotia</v>
      </c>
      <c r="K44" s="8" t="str">
        <f>'Data cleaning and validation(3)'!K32</f>
        <v>Canada</v>
      </c>
      <c r="L44" s="8" t="str">
        <f>'Data cleaning and validation(3)'!L32</f>
        <v>Auto &amp; Hardware</v>
      </c>
      <c r="M44" s="8" t="str">
        <f>'Data cleaning and validation(3)'!M32</f>
        <v>Active</v>
      </c>
      <c r="N44" s="17">
        <f>'Data cleaning and validation(3)'!N32</f>
        <v>1362084</v>
      </c>
      <c r="O44" s="18">
        <f>'Data cleaning and validation(3)'!O32</f>
        <v>11350.7</v>
      </c>
    </row>
    <row r="45" spans="1:15" x14ac:dyDescent="0.35">
      <c r="A45" s="8">
        <f>'Data cleaning and validation(3)'!A33</f>
        <v>32</v>
      </c>
      <c r="B45" s="8" t="str">
        <f>'Data cleaning and validation(3)'!B33</f>
        <v>Torres</v>
      </c>
      <c r="C45" s="8" t="str">
        <f>'Data cleaning and validation(3)'!C33</f>
        <v>ltorresv@amazon.de</v>
      </c>
      <c r="D45" s="8" t="str">
        <f>'Data cleaning and validation(3)'!D33</f>
        <v>M</v>
      </c>
      <c r="E45" s="8" t="str">
        <f>'Data cleaning and validation(3)'!E33</f>
        <v>Games</v>
      </c>
      <c r="F45" s="15">
        <f>'Data cleaning and validation(3)'!F33</f>
        <v>41736</v>
      </c>
      <c r="G45" s="8">
        <f>'Data cleaning and validation(3)'!G33</f>
        <v>7</v>
      </c>
      <c r="H45" s="19">
        <f>'Data cleaning and validation(3)'!H33</f>
        <v>78245</v>
      </c>
      <c r="I45" s="8" t="str">
        <f>'Data cleaning and validation(3)'!I33</f>
        <v>Nuclear Power Engineer</v>
      </c>
      <c r="J45" s="8" t="str">
        <f>'Data cleaning and validation(3)'!J33</f>
        <v>Quebec</v>
      </c>
      <c r="K45" s="8" t="str">
        <f>'Data cleaning and validation(3)'!K33</f>
        <v>Canada</v>
      </c>
      <c r="L45" s="8" t="str">
        <f>'Data cleaning and validation(3)'!L33</f>
        <v>Domestic</v>
      </c>
      <c r="M45" s="8" t="str">
        <f>'Data cleaning and validation(3)'!M33</f>
        <v>Active</v>
      </c>
      <c r="N45" s="17">
        <f>'Data cleaning and validation(3)'!N33</f>
        <v>938940</v>
      </c>
      <c r="O45" s="18">
        <f>'Data cleaning and validation(3)'!O33</f>
        <v>7824.5</v>
      </c>
    </row>
    <row r="46" spans="1:15" x14ac:dyDescent="0.35">
      <c r="A46" s="8">
        <f>'Data cleaning and validation(3)'!A34</f>
        <v>33</v>
      </c>
      <c r="B46" s="8" t="str">
        <f>'Data cleaning and validation(3)'!B34</f>
        <v>Greene</v>
      </c>
      <c r="C46" s="8" t="str">
        <f>'Data cleaning and validation(3)'!C34</f>
        <v>wgreenew@blogspot.com</v>
      </c>
      <c r="D46" s="8" t="str">
        <f>'Data cleaning and validation(3)'!D34</f>
        <v>M</v>
      </c>
      <c r="E46" s="8" t="str">
        <f>'Data cleaning and validation(3)'!E34</f>
        <v>Movies</v>
      </c>
      <c r="F46" s="15">
        <f>'Data cleaning and validation(3)'!F34</f>
        <v>36606</v>
      </c>
      <c r="G46" s="8">
        <f>'Data cleaning and validation(3)'!G34</f>
        <v>21</v>
      </c>
      <c r="H46" s="19">
        <f>'Data cleaning and validation(3)'!H34</f>
        <v>87057</v>
      </c>
      <c r="I46" s="8" t="str">
        <f>'Data cleaning and validation(3)'!I34</f>
        <v>Assistant Manager</v>
      </c>
      <c r="J46" s="8" t="str">
        <f>'Data cleaning and validation(3)'!J34</f>
        <v>Northeast</v>
      </c>
      <c r="K46" s="8" t="str">
        <f>'Data cleaning and validation(3)'!K34</f>
        <v>USA</v>
      </c>
      <c r="L46" s="8" t="str">
        <f>'Data cleaning and validation(3)'!L34</f>
        <v>Entertainment</v>
      </c>
      <c r="M46" s="8" t="str">
        <f>'Data cleaning and validation(3)'!M34</f>
        <v>Active</v>
      </c>
      <c r="N46" s="17">
        <f>'Data cleaning and validation(3)'!N34</f>
        <v>1044684</v>
      </c>
      <c r="O46" s="18">
        <f>'Data cleaning and validation(3)'!O34</f>
        <v>8705.7000000000007</v>
      </c>
    </row>
    <row r="47" spans="1:15" x14ac:dyDescent="0.35">
      <c r="A47" s="8">
        <f>'Data cleaning and validation(3)'!A35</f>
        <v>34</v>
      </c>
      <c r="B47" s="8" t="str">
        <f>'Data cleaning and validation(3)'!B35</f>
        <v>Reed</v>
      </c>
      <c r="C47" s="8" t="str">
        <f>'Data cleaning and validation(3)'!C35</f>
        <v>areedx@cisco.com</v>
      </c>
      <c r="D47" s="8" t="str">
        <f>'Data cleaning and validation(3)'!D35</f>
        <v>M</v>
      </c>
      <c r="E47" s="8" t="str">
        <f>'Data cleaning and validation(3)'!E35</f>
        <v>Movies</v>
      </c>
      <c r="F47" s="15">
        <f>'Data cleaning and validation(3)'!F35</f>
        <v>37588</v>
      </c>
      <c r="G47" s="8">
        <f>'Data cleaning and validation(3)'!G35</f>
        <v>19</v>
      </c>
      <c r="H47" s="19">
        <f>'Data cleaning and validation(3)'!H35</f>
        <v>120579</v>
      </c>
      <c r="I47" s="8" t="str">
        <f>'Data cleaning and validation(3)'!I35</f>
        <v>Assistant Media Planner</v>
      </c>
      <c r="J47" s="8" t="str">
        <f>'Data cleaning and validation(3)'!J35</f>
        <v>Quebec</v>
      </c>
      <c r="K47" s="8" t="str">
        <f>'Data cleaning and validation(3)'!K35</f>
        <v>Canada</v>
      </c>
      <c r="L47" s="8" t="str">
        <f>'Data cleaning and validation(3)'!L35</f>
        <v>Entertainment</v>
      </c>
      <c r="M47" s="8" t="str">
        <f>'Data cleaning and validation(3)'!M35</f>
        <v>Active</v>
      </c>
      <c r="N47" s="17">
        <f>'Data cleaning and validation(3)'!N35</f>
        <v>1446948</v>
      </c>
      <c r="O47" s="18">
        <f>'Data cleaning and validation(3)'!O35</f>
        <v>12057.900000000001</v>
      </c>
    </row>
    <row r="48" spans="1:15" x14ac:dyDescent="0.35">
      <c r="A48" s="8">
        <f>'Data cleaning and validation(3)'!A36</f>
        <v>35</v>
      </c>
      <c r="B48" s="8" t="str">
        <f>'Data cleaning and validation(3)'!B36</f>
        <v>Smith</v>
      </c>
      <c r="C48" s="8" t="str">
        <f>'Data cleaning and validation(3)'!C36</f>
        <v>bsmithy@statcounter.com</v>
      </c>
      <c r="D48" s="8" t="str">
        <f>'Data cleaning and validation(3)'!D36</f>
        <v>F</v>
      </c>
      <c r="E48" s="8" t="str">
        <f>'Data cleaning and validation(3)'!E36</f>
        <v>Books</v>
      </c>
      <c r="F48" s="15">
        <f>'Data cleaning and validation(3)'!F36</f>
        <v>46186</v>
      </c>
      <c r="G48" s="8">
        <f>'Data cleaning and validation(3)'!G36</f>
        <v>8</v>
      </c>
      <c r="H48" s="19">
        <f>'Data cleaning and validation(3)'!H36</f>
        <v>94884</v>
      </c>
      <c r="I48" s="8" t="str">
        <f>'Data cleaning and validation(3)'!I36</f>
        <v>Librarian</v>
      </c>
      <c r="J48" s="8" t="str">
        <f>'Data cleaning and validation(3)'!J36</f>
        <v>Nova Scotia</v>
      </c>
      <c r="K48" s="8" t="str">
        <f>'Data cleaning and validation(3)'!K36</f>
        <v>Canada</v>
      </c>
      <c r="L48" s="8" t="str">
        <f>'Data cleaning and validation(3)'!L36</f>
        <v>Library</v>
      </c>
      <c r="M48" s="8" t="str">
        <f>'Data cleaning and validation(3)'!M36</f>
        <v>Active</v>
      </c>
      <c r="N48" s="17">
        <f>'Data cleaning and validation(3)'!N36</f>
        <v>1138608</v>
      </c>
      <c r="O48" s="18">
        <f>'Data cleaning and validation(3)'!O36</f>
        <v>9488.4</v>
      </c>
    </row>
    <row r="49" spans="1:15" x14ac:dyDescent="0.35">
      <c r="A49" s="8">
        <f>'Data cleaning and validation(3)'!A37</f>
        <v>36</v>
      </c>
      <c r="B49" s="8" t="str">
        <f>'Data cleaning and validation(3)'!B37</f>
        <v>Bradley</v>
      </c>
      <c r="C49" s="8" t="str">
        <f>'Data cleaning and validation(3)'!C37</f>
        <v>nbradleyz@goodreads.com</v>
      </c>
      <c r="D49" s="8" t="str">
        <f>'Data cleaning and validation(3)'!D37</f>
        <v>M</v>
      </c>
      <c r="E49" s="8" t="str">
        <f>'Data cleaning and validation(3)'!E37</f>
        <v>Outdoors</v>
      </c>
      <c r="F49" s="15">
        <f>'Data cleaning and validation(3)'!F37</f>
        <v>39810</v>
      </c>
      <c r="G49" s="8">
        <f>'Data cleaning and validation(3)'!G37</f>
        <v>13</v>
      </c>
      <c r="H49" s="19">
        <f>'Data cleaning and validation(3)'!H37</f>
        <v>107222</v>
      </c>
      <c r="I49" s="8" t="str">
        <f>'Data cleaning and validation(3)'!I37</f>
        <v>Payment Adjustment Coordinator</v>
      </c>
      <c r="J49" s="8" t="str">
        <f>'Data cleaning and validation(3)'!J37</f>
        <v>Northwest</v>
      </c>
      <c r="K49" s="8" t="str">
        <f>'Data cleaning and validation(3)'!K37</f>
        <v>USA</v>
      </c>
      <c r="L49" s="8" t="str">
        <f>'Data cleaning and validation(3)'!L37</f>
        <v>Outdoors &amp; Garden</v>
      </c>
      <c r="M49" s="8" t="str">
        <f>'Data cleaning and validation(3)'!M37</f>
        <v>Active</v>
      </c>
      <c r="N49" s="17">
        <f>'Data cleaning and validation(3)'!N37</f>
        <v>1286664</v>
      </c>
      <c r="O49" s="18">
        <f>'Data cleaning and validation(3)'!O37</f>
        <v>10722.2</v>
      </c>
    </row>
    <row r="50" spans="1:15" x14ac:dyDescent="0.35">
      <c r="A50" s="8">
        <f>'Data cleaning and validation(3)'!A38</f>
        <v>37</v>
      </c>
      <c r="B50" s="8" t="str">
        <f>'Data cleaning and validation(3)'!B38</f>
        <v>Cruz</v>
      </c>
      <c r="C50" s="8" t="str">
        <f>'Data cleaning and validation(3)'!C38</f>
        <v>rcruz10@blinklist.com</v>
      </c>
      <c r="D50" s="8" t="str">
        <f>'Data cleaning and validation(3)'!D38</f>
        <v>F</v>
      </c>
      <c r="E50" s="8" t="str">
        <f>'Data cleaning and validation(3)'!E38</f>
        <v>Home</v>
      </c>
      <c r="F50" s="15">
        <f>'Data cleaning and validation(3)'!F38</f>
        <v>36666</v>
      </c>
      <c r="G50" s="8">
        <f>'Data cleaning and validation(3)'!G38</f>
        <v>21</v>
      </c>
      <c r="H50" s="19">
        <f>'Data cleaning and validation(3)'!H38</f>
        <v>61739</v>
      </c>
      <c r="I50" s="8" t="str">
        <f>'Data cleaning and validation(3)'!I38</f>
        <v>Quality Engineer</v>
      </c>
      <c r="J50" s="8" t="str">
        <f>'Data cleaning and validation(3)'!J38</f>
        <v>Northeast</v>
      </c>
      <c r="K50" s="8" t="str">
        <f>'Data cleaning and validation(3)'!K38</f>
        <v>USA</v>
      </c>
      <c r="L50" s="8" t="str">
        <f>'Data cleaning and validation(3)'!L38</f>
        <v>Domestic</v>
      </c>
      <c r="M50" s="8" t="str">
        <f>'Data cleaning and validation(3)'!M38</f>
        <v>On Leave</v>
      </c>
      <c r="N50" s="17">
        <f>'Data cleaning and validation(3)'!N38</f>
        <v>740868</v>
      </c>
      <c r="O50" s="18">
        <f>'Data cleaning and validation(3)'!O38</f>
        <v>6173.9000000000005</v>
      </c>
    </row>
    <row r="51" spans="1:15" x14ac:dyDescent="0.35">
      <c r="A51" s="8">
        <f>'Data cleaning and validation(3)'!A39</f>
        <v>38</v>
      </c>
      <c r="B51" s="8" t="str">
        <f>'Data cleaning and validation(3)'!B39</f>
        <v>Williamson</v>
      </c>
      <c r="C51" s="8" t="str">
        <f>'Data cleaning and validation(3)'!C39</f>
        <v>dwilliamson11@rediff.com</v>
      </c>
      <c r="D51" s="8" t="str">
        <f>'Data cleaning and validation(3)'!D39</f>
        <v>F</v>
      </c>
      <c r="E51" s="8" t="str">
        <f>'Data cleaning and validation(3)'!E39</f>
        <v>Garden</v>
      </c>
      <c r="F51" s="15">
        <f>'Data cleaning and validation(3)'!F39</f>
        <v>45682</v>
      </c>
      <c r="G51" s="8">
        <f>'Data cleaning and validation(3)'!G39</f>
        <v>9</v>
      </c>
      <c r="H51" s="19">
        <f>'Data cleaning and validation(3)'!H39</f>
        <v>82026</v>
      </c>
      <c r="I51" s="8" t="str">
        <f>'Data cleaning and validation(3)'!I39</f>
        <v>Nurse</v>
      </c>
      <c r="J51" s="8" t="str">
        <f>'Data cleaning and validation(3)'!J39</f>
        <v>Southeast</v>
      </c>
      <c r="K51" s="8" t="str">
        <f>'Data cleaning and validation(3)'!K39</f>
        <v>USA</v>
      </c>
      <c r="L51" s="8" t="str">
        <f>'Data cleaning and validation(3)'!L39</f>
        <v>Outdoors &amp; Garden</v>
      </c>
      <c r="M51" s="8" t="str">
        <f>'Data cleaning and validation(3)'!M39</f>
        <v>Resigned</v>
      </c>
      <c r="N51" s="17">
        <f>'Data cleaning and validation(3)'!N39</f>
        <v>984312</v>
      </c>
      <c r="O51" s="18">
        <f>'Data cleaning and validation(3)'!O39</f>
        <v>8202.6</v>
      </c>
    </row>
    <row r="52" spans="1:15" x14ac:dyDescent="0.35">
      <c r="A52" s="8">
        <f>'Data cleaning and validation(3)'!A40</f>
        <v>39</v>
      </c>
      <c r="B52" s="8" t="str">
        <f>'Data cleaning and validation(3)'!B40</f>
        <v>Kennedy</v>
      </c>
      <c r="C52" s="8" t="str">
        <f>'Data cleaning and validation(3)'!C40</f>
        <v>skennedy12@rediff.com</v>
      </c>
      <c r="D52" s="8" t="str">
        <f>'Data cleaning and validation(3)'!D40</f>
        <v>M</v>
      </c>
      <c r="E52" s="8" t="str">
        <f>'Data cleaning and validation(3)'!E40</f>
        <v>Baby</v>
      </c>
      <c r="F52" s="15">
        <f>'Data cleaning and validation(3)'!F40</f>
        <v>40726</v>
      </c>
      <c r="G52" s="8">
        <f>'Data cleaning and validation(3)'!G40</f>
        <v>10</v>
      </c>
      <c r="H52" s="19">
        <f>'Data cleaning and validation(3)'!H40</f>
        <v>79339</v>
      </c>
      <c r="I52" s="8" t="str">
        <f>'Data cleaning and validation(3)'!I40</f>
        <v>Civil Engineer</v>
      </c>
      <c r="J52" s="8" t="str">
        <f>'Data cleaning and validation(3)'!J40</f>
        <v>Northeast</v>
      </c>
      <c r="K52" s="8" t="str">
        <f>'Data cleaning and validation(3)'!K40</f>
        <v>USA</v>
      </c>
      <c r="L52" s="8" t="str">
        <f>'Data cleaning and validation(3)'!L40</f>
        <v>Domestic</v>
      </c>
      <c r="M52" s="8" t="str">
        <f>'Data cleaning and validation(3)'!M40</f>
        <v>Active</v>
      </c>
      <c r="N52" s="17">
        <f>'Data cleaning and validation(3)'!N40</f>
        <v>952068</v>
      </c>
      <c r="O52" s="18">
        <f>'Data cleaning and validation(3)'!O40</f>
        <v>7933.9000000000005</v>
      </c>
    </row>
    <row r="53" spans="1:15" x14ac:dyDescent="0.35">
      <c r="A53" s="8">
        <f>'Data cleaning and validation(3)'!A41</f>
        <v>40</v>
      </c>
      <c r="B53" s="8" t="str">
        <f>'Data cleaning and validation(3)'!B41</f>
        <v>Hawkins</v>
      </c>
      <c r="C53" s="8" t="str">
        <f>'Data cleaning and validation(3)'!C41</f>
        <v>phawkins13@twitpic.com</v>
      </c>
      <c r="D53" s="8" t="str">
        <f>'Data cleaning and validation(3)'!D41</f>
        <v>F</v>
      </c>
      <c r="E53" s="8" t="str">
        <f>'Data cleaning and validation(3)'!E41</f>
        <v>Clothing</v>
      </c>
      <c r="F53" s="15">
        <f>'Data cleaning and validation(3)'!F41</f>
        <v>45524</v>
      </c>
      <c r="G53" s="8">
        <f>'Data cleaning and validation(3)'!G41</f>
        <v>10</v>
      </c>
      <c r="H53" s="19">
        <f>'Data cleaning and validation(3)'!H41</f>
        <v>76809</v>
      </c>
      <c r="I53" s="8" t="str">
        <f>'Data cleaning and validation(3)'!I41</f>
        <v>Quality Engineer</v>
      </c>
      <c r="J53" s="8" t="str">
        <f>'Data cleaning and validation(3)'!J41</f>
        <v>Quebec</v>
      </c>
      <c r="K53" s="8" t="str">
        <f>'Data cleaning and validation(3)'!K41</f>
        <v>Canada</v>
      </c>
      <c r="L53" s="8" t="str">
        <f>'Data cleaning and validation(3)'!L41</f>
        <v>Domestic</v>
      </c>
      <c r="M53" s="8" t="str">
        <f>'Data cleaning and validation(3)'!M41</f>
        <v>Active</v>
      </c>
      <c r="N53" s="17">
        <f>'Data cleaning and validation(3)'!N41</f>
        <v>921708</v>
      </c>
      <c r="O53" s="18">
        <f>'Data cleaning and validation(3)'!O41</f>
        <v>7680.9000000000005</v>
      </c>
    </row>
    <row r="54" spans="1:15" x14ac:dyDescent="0.35">
      <c r="A54" s="8">
        <f>'Data cleaning and validation(3)'!A42</f>
        <v>41</v>
      </c>
      <c r="B54" s="8" t="str">
        <f>'Data cleaning and validation(3)'!B42</f>
        <v>Allen</v>
      </c>
      <c r="C54" s="8" t="str">
        <f>'Data cleaning and validation(3)'!C42</f>
        <v>jallen14@ustream.tv</v>
      </c>
      <c r="D54" s="8" t="str">
        <f>'Data cleaning and validation(3)'!D42</f>
        <v>F</v>
      </c>
      <c r="E54" s="8" t="str">
        <f>'Data cleaning and validation(3)'!E42</f>
        <v>Baby</v>
      </c>
      <c r="F54" s="15">
        <f>'Data cleaning and validation(3)'!F42</f>
        <v>37021</v>
      </c>
      <c r="G54" s="8">
        <f>'Data cleaning and validation(3)'!G42</f>
        <v>20</v>
      </c>
      <c r="H54" s="19">
        <f>'Data cleaning and validation(3)'!H42</f>
        <v>89680</v>
      </c>
      <c r="I54" s="8" t="str">
        <f>'Data cleaning and validation(3)'!I42</f>
        <v>Web Developer III</v>
      </c>
      <c r="J54" s="8" t="str">
        <f>'Data cleaning and validation(3)'!J42</f>
        <v>Quebec</v>
      </c>
      <c r="K54" s="8" t="str">
        <f>'Data cleaning and validation(3)'!K42</f>
        <v>Canada</v>
      </c>
      <c r="L54" s="8" t="str">
        <f>'Data cleaning and validation(3)'!L42</f>
        <v>Domestic</v>
      </c>
      <c r="M54" s="8" t="str">
        <f>'Data cleaning and validation(3)'!M42</f>
        <v>Active</v>
      </c>
      <c r="N54" s="17">
        <f>'Data cleaning and validation(3)'!N42</f>
        <v>1076160</v>
      </c>
      <c r="O54" s="18">
        <f>'Data cleaning and validation(3)'!O42</f>
        <v>8968</v>
      </c>
    </row>
    <row r="55" spans="1:15" x14ac:dyDescent="0.35">
      <c r="A55" s="8">
        <f>'Data cleaning and validation(3)'!A43</f>
        <v>42</v>
      </c>
      <c r="B55" s="8" t="str">
        <f>'Data cleaning and validation(3)'!B43</f>
        <v>Watkins</v>
      </c>
      <c r="C55" s="8" t="str">
        <f>'Data cleaning and validation(3)'!C43</f>
        <v>mwatkins15@wiley.com</v>
      </c>
      <c r="D55" s="8" t="str">
        <f>'Data cleaning and validation(3)'!D43</f>
        <v>M</v>
      </c>
      <c r="E55" s="8" t="str">
        <f>'Data cleaning and validation(3)'!E43</f>
        <v>Computers</v>
      </c>
      <c r="F55" s="15">
        <f>'Data cleaning and validation(3)'!F43</f>
        <v>39539</v>
      </c>
      <c r="G55" s="8">
        <f>'Data cleaning and validation(3)'!G43</f>
        <v>13</v>
      </c>
      <c r="H55" s="19">
        <f>'Data cleaning and validation(3)'!H43</f>
        <v>125668</v>
      </c>
      <c r="I55" s="8" t="str">
        <f>'Data cleaning and validation(3)'!I43</f>
        <v>Executive Secretary</v>
      </c>
      <c r="J55" s="8" t="str">
        <f>'Data cleaning and validation(3)'!J43</f>
        <v>Nova Scotia</v>
      </c>
      <c r="K55" s="8" t="str">
        <f>'Data cleaning and validation(3)'!K43</f>
        <v>Canada</v>
      </c>
      <c r="L55" s="8" t="str">
        <f>'Data cleaning and validation(3)'!L43</f>
        <v>Electronic Equipment</v>
      </c>
      <c r="M55" s="8" t="str">
        <f>'Data cleaning and validation(3)'!M43</f>
        <v>Active</v>
      </c>
      <c r="N55" s="17">
        <f>'Data cleaning and validation(3)'!N43</f>
        <v>1508016</v>
      </c>
      <c r="O55" s="18">
        <f>'Data cleaning and validation(3)'!O43</f>
        <v>12566.800000000001</v>
      </c>
    </row>
    <row r="56" spans="1:15" x14ac:dyDescent="0.35">
      <c r="A56" s="8">
        <f>'Data cleaning and validation(3)'!A44</f>
        <v>43</v>
      </c>
      <c r="B56" s="8" t="str">
        <f>'Data cleaning and validation(3)'!B44</f>
        <v>Ferguson</v>
      </c>
      <c r="C56" s="8" t="str">
        <f>'Data cleaning and validation(3)'!C44</f>
        <v>mferguson16@qq.com</v>
      </c>
      <c r="D56" s="8" t="str">
        <f>'Data cleaning and validation(3)'!D44</f>
        <v>M</v>
      </c>
      <c r="E56" s="8" t="str">
        <f>'Data cleaning and validation(3)'!E44</f>
        <v>Sports</v>
      </c>
      <c r="F56" s="15">
        <f>'Data cleaning and validation(3)'!F44</f>
        <v>39962</v>
      </c>
      <c r="G56" s="8">
        <f>'Data cleaning and validation(3)'!G44</f>
        <v>12</v>
      </c>
      <c r="H56" s="19">
        <f>'Data cleaning and validation(3)'!H44</f>
        <v>82960</v>
      </c>
      <c r="I56" s="8" t="str">
        <f>'Data cleaning and validation(3)'!I44</f>
        <v>Account Representative III</v>
      </c>
      <c r="J56" s="8" t="str">
        <f>'Data cleaning and validation(3)'!J44</f>
        <v>Quebec</v>
      </c>
      <c r="K56" s="8" t="str">
        <f>'Data cleaning and validation(3)'!K44</f>
        <v>Canada</v>
      </c>
      <c r="L56" s="8" t="str">
        <f>'Data cleaning and validation(3)'!L44</f>
        <v>Games &amp; Sports</v>
      </c>
      <c r="M56" s="8" t="str">
        <f>'Data cleaning and validation(3)'!M44</f>
        <v>Active</v>
      </c>
      <c r="N56" s="17">
        <f>'Data cleaning and validation(3)'!N44</f>
        <v>995520</v>
      </c>
      <c r="O56" s="18">
        <f>'Data cleaning and validation(3)'!O44</f>
        <v>8296</v>
      </c>
    </row>
    <row r="57" spans="1:15" x14ac:dyDescent="0.35">
      <c r="A57" s="8">
        <f>'Data cleaning and validation(3)'!A45</f>
        <v>44</v>
      </c>
      <c r="B57" s="8" t="str">
        <f>'Data cleaning and validation(3)'!B45</f>
        <v>Simmons</v>
      </c>
      <c r="C57" s="8" t="str">
        <f>'Data cleaning and validation(3)'!C45</f>
        <v>asimmons17@csmonitor.com</v>
      </c>
      <c r="D57" s="8" t="str">
        <f>'Data cleaning and validation(3)'!D45</f>
        <v>M</v>
      </c>
      <c r="E57" s="8" t="str">
        <f>'Data cleaning and validation(3)'!E45</f>
        <v>Movies</v>
      </c>
      <c r="F57" s="15">
        <f>'Data cleaning and validation(3)'!F45</f>
        <v>41629</v>
      </c>
      <c r="G57" s="8">
        <f>'Data cleaning and validation(3)'!G45</f>
        <v>8</v>
      </c>
      <c r="H57" s="19">
        <f>'Data cleaning and validation(3)'!H45</f>
        <v>113857</v>
      </c>
      <c r="I57" s="8" t="str">
        <f>'Data cleaning and validation(3)'!I45</f>
        <v>Developer III</v>
      </c>
      <c r="J57" s="8" t="str">
        <f>'Data cleaning and validation(3)'!J45</f>
        <v>Southeast</v>
      </c>
      <c r="K57" s="8" t="str">
        <f>'Data cleaning and validation(3)'!K45</f>
        <v>USA</v>
      </c>
      <c r="L57" s="8" t="str">
        <f>'Data cleaning and validation(3)'!L45</f>
        <v>Entertainment</v>
      </c>
      <c r="M57" s="8" t="str">
        <f>'Data cleaning and validation(3)'!M45</f>
        <v>Active</v>
      </c>
      <c r="N57" s="17">
        <f>'Data cleaning and validation(3)'!N45</f>
        <v>1366284</v>
      </c>
      <c r="O57" s="18">
        <f>'Data cleaning and validation(3)'!O45</f>
        <v>11385.7</v>
      </c>
    </row>
    <row r="58" spans="1:15" x14ac:dyDescent="0.35">
      <c r="A58" s="8">
        <f>'Data cleaning and validation(3)'!A46</f>
        <v>45</v>
      </c>
      <c r="B58" s="8" t="str">
        <f>'Data cleaning and validation(3)'!B46</f>
        <v>Nguyen</v>
      </c>
      <c r="C58" s="8" t="str">
        <f>'Data cleaning and validation(3)'!C46</f>
        <v>mnguyen18@biblegateway.com</v>
      </c>
      <c r="D58" s="8" t="str">
        <f>'Data cleaning and validation(3)'!D46</f>
        <v>M</v>
      </c>
      <c r="E58" s="8" t="str">
        <f>'Data cleaning and validation(3)'!E46</f>
        <v>Automotive</v>
      </c>
      <c r="F58" s="15">
        <f>'Data cleaning and validation(3)'!F46</f>
        <v>37280</v>
      </c>
      <c r="G58" s="8">
        <f>'Data cleaning and validation(3)'!G46</f>
        <v>19</v>
      </c>
      <c r="H58" s="19">
        <f>'Data cleaning and validation(3)'!H46</f>
        <v>108378</v>
      </c>
      <c r="I58" s="8" t="str">
        <f>'Data cleaning and validation(3)'!I46</f>
        <v>Electrical Engineer</v>
      </c>
      <c r="J58" s="8" t="str">
        <f>'Data cleaning and validation(3)'!J46</f>
        <v>Nova Scotia</v>
      </c>
      <c r="K58" s="8" t="str">
        <f>'Data cleaning and validation(3)'!K46</f>
        <v>Canada</v>
      </c>
      <c r="L58" s="8" t="str">
        <f>'Data cleaning and validation(3)'!L46</f>
        <v>Auto &amp; Hardware</v>
      </c>
      <c r="M58" s="8" t="str">
        <f>'Data cleaning and validation(3)'!M46</f>
        <v>Active</v>
      </c>
      <c r="N58" s="17">
        <f>'Data cleaning and validation(3)'!N46</f>
        <v>1300536</v>
      </c>
      <c r="O58" s="18">
        <f>'Data cleaning and validation(3)'!O46</f>
        <v>10837.800000000001</v>
      </c>
    </row>
    <row r="59" spans="1:15" x14ac:dyDescent="0.35">
      <c r="A59" s="8">
        <f>'Data cleaning and validation(3)'!A47</f>
        <v>46</v>
      </c>
      <c r="B59" s="8" t="str">
        <f>'Data cleaning and validation(3)'!B47</f>
        <v>Lawrence</v>
      </c>
      <c r="C59" s="8" t="str">
        <f>'Data cleaning and validation(3)'!C47</f>
        <v>jlawrence19@linkedin.com</v>
      </c>
      <c r="D59" s="8" t="str">
        <f>'Data cleaning and validation(3)'!D47</f>
        <v>M</v>
      </c>
      <c r="E59" s="8" t="str">
        <f>'Data cleaning and validation(3)'!E47</f>
        <v>Outdoors</v>
      </c>
      <c r="F59" s="15">
        <f>'Data cleaning and validation(3)'!F47</f>
        <v>40888</v>
      </c>
      <c r="G59" s="8">
        <f>'Data cleaning and validation(3)'!G47</f>
        <v>10</v>
      </c>
      <c r="H59" s="19">
        <f>'Data cleaning and validation(3)'!H47</f>
        <v>133424</v>
      </c>
      <c r="I59" s="8" t="str">
        <f>'Data cleaning and validation(3)'!I47</f>
        <v>Junior Executive</v>
      </c>
      <c r="J59" s="8" t="str">
        <f>'Data cleaning and validation(3)'!J47</f>
        <v>Nova Scotia</v>
      </c>
      <c r="K59" s="8" t="str">
        <f>'Data cleaning and validation(3)'!K47</f>
        <v>Canada</v>
      </c>
      <c r="L59" s="8" t="str">
        <f>'Data cleaning and validation(3)'!L47</f>
        <v>Outdoors &amp; Garden</v>
      </c>
      <c r="M59" s="8" t="str">
        <f>'Data cleaning and validation(3)'!M47</f>
        <v>Active</v>
      </c>
      <c r="N59" s="17">
        <f>'Data cleaning and validation(3)'!N47</f>
        <v>1601088</v>
      </c>
      <c r="O59" s="18">
        <f>'Data cleaning and validation(3)'!O47</f>
        <v>13342.400000000001</v>
      </c>
    </row>
    <row r="60" spans="1:15" x14ac:dyDescent="0.35">
      <c r="A60" s="8">
        <f>'Data cleaning and validation(3)'!A48</f>
        <v>47</v>
      </c>
      <c r="B60" s="8" t="str">
        <f>'Data cleaning and validation(3)'!B48</f>
        <v>Oliver</v>
      </c>
      <c r="C60" s="8" t="str">
        <f>'Data cleaning and validation(3)'!C48</f>
        <v>joliver1a@cnbc.com</v>
      </c>
      <c r="D60" s="8" t="str">
        <f>'Data cleaning and validation(3)'!D48</f>
        <v>F</v>
      </c>
      <c r="E60" s="8" t="str">
        <f>'Data cleaning and validation(3)'!E48</f>
        <v>Clothing</v>
      </c>
      <c r="F60" s="15">
        <f>'Data cleaning and validation(3)'!F48</f>
        <v>46264</v>
      </c>
      <c r="G60" s="8">
        <f>'Data cleaning and validation(3)'!G48</f>
        <v>8</v>
      </c>
      <c r="H60" s="19">
        <f>'Data cleaning and validation(3)'!H48</f>
        <v>42797</v>
      </c>
      <c r="I60" s="8" t="str">
        <f>'Data cleaning and validation(3)'!I48</f>
        <v>Software Engineer III</v>
      </c>
      <c r="J60" s="8" t="str">
        <f>'Data cleaning and validation(3)'!J48</f>
        <v>British Columbia</v>
      </c>
      <c r="K60" s="8" t="str">
        <f>'Data cleaning and validation(3)'!K48</f>
        <v>Canada</v>
      </c>
      <c r="L60" s="8" t="str">
        <f>'Data cleaning and validation(3)'!L48</f>
        <v>Domestic</v>
      </c>
      <c r="M60" s="8" t="str">
        <f>'Data cleaning and validation(3)'!M48</f>
        <v>Active</v>
      </c>
      <c r="N60" s="17">
        <f>'Data cleaning and validation(3)'!N48</f>
        <v>513564</v>
      </c>
      <c r="O60" s="18">
        <f>'Data cleaning and validation(3)'!O48</f>
        <v>4279.7</v>
      </c>
    </row>
    <row r="61" spans="1:15" x14ac:dyDescent="0.35">
      <c r="A61" s="8">
        <f>'Data cleaning and validation(3)'!A49</f>
        <v>48</v>
      </c>
      <c r="B61" s="8" t="str">
        <f>'Data cleaning and validation(3)'!B49</f>
        <v>Johnson</v>
      </c>
      <c r="C61" s="8" t="str">
        <f>'Data cleaning and validation(3)'!C49</f>
        <v>jjohnson1b@usgs.gov</v>
      </c>
      <c r="D61" s="8" t="str">
        <f>'Data cleaning and validation(3)'!D49</f>
        <v>M</v>
      </c>
      <c r="E61" s="8" t="str">
        <f>'Data cleaning and validation(3)'!E49</f>
        <v>Computers</v>
      </c>
      <c r="F61" s="15">
        <f>'Data cleaning and validation(3)'!F49</f>
        <v>38103</v>
      </c>
      <c r="G61" s="8">
        <f>'Data cleaning and validation(3)'!G49</f>
        <v>17</v>
      </c>
      <c r="H61" s="19">
        <f>'Data cleaning and validation(3)'!H49</f>
        <v>134940</v>
      </c>
      <c r="I61" s="8" t="str">
        <f>'Data cleaning and validation(3)'!I49</f>
        <v>Financial Advisor</v>
      </c>
      <c r="J61" s="8" t="str">
        <f>'Data cleaning and validation(3)'!J49</f>
        <v>Southwest</v>
      </c>
      <c r="K61" s="8" t="str">
        <f>'Data cleaning and validation(3)'!K49</f>
        <v>USA</v>
      </c>
      <c r="L61" s="8" t="str">
        <f>'Data cleaning and validation(3)'!L49</f>
        <v>Electronic Equipment</v>
      </c>
      <c r="M61" s="8" t="str">
        <f>'Data cleaning and validation(3)'!M49</f>
        <v>On Leave</v>
      </c>
      <c r="N61" s="17">
        <f>'Data cleaning and validation(3)'!N49</f>
        <v>1619280</v>
      </c>
      <c r="O61" s="18">
        <f>'Data cleaning and validation(3)'!O49</f>
        <v>13494</v>
      </c>
    </row>
    <row r="62" spans="1:15" x14ac:dyDescent="0.35">
      <c r="A62" s="8">
        <f>'Data cleaning and validation(3)'!A50</f>
        <v>49</v>
      </c>
      <c r="B62" s="8" t="str">
        <f>'Data cleaning and validation(3)'!B50</f>
        <v>Crawford</v>
      </c>
      <c r="C62" s="8" t="str">
        <f>'Data cleaning and validation(3)'!C50</f>
        <v>hcrawford1c@dell.com</v>
      </c>
      <c r="D62" s="8" t="str">
        <f>'Data cleaning and validation(3)'!D50</f>
        <v>M</v>
      </c>
      <c r="E62" s="8" t="str">
        <f>'Data cleaning and validation(3)'!E50</f>
        <v>Home</v>
      </c>
      <c r="F62" s="15">
        <f>'Data cleaning and validation(3)'!F50</f>
        <v>39803</v>
      </c>
      <c r="G62" s="8">
        <f>'Data cleaning and validation(3)'!G50</f>
        <v>13</v>
      </c>
      <c r="H62" s="19">
        <f>'Data cleaning and validation(3)'!H50</f>
        <v>119471</v>
      </c>
      <c r="I62" s="8" t="str">
        <f>'Data cleaning and validation(3)'!I50</f>
        <v>Editor</v>
      </c>
      <c r="J62" s="8" t="str">
        <f>'Data cleaning and validation(3)'!J50</f>
        <v>Quebec</v>
      </c>
      <c r="K62" s="8" t="str">
        <f>'Data cleaning and validation(3)'!K50</f>
        <v>Canada</v>
      </c>
      <c r="L62" s="8" t="str">
        <f>'Data cleaning and validation(3)'!L50</f>
        <v>Domestic</v>
      </c>
      <c r="M62" s="8" t="str">
        <f>'Data cleaning and validation(3)'!M50</f>
        <v>On Leave</v>
      </c>
      <c r="N62" s="17">
        <f>'Data cleaning and validation(3)'!N50</f>
        <v>1433652</v>
      </c>
      <c r="O62" s="18">
        <f>'Data cleaning and validation(3)'!O50</f>
        <v>11947.1</v>
      </c>
    </row>
    <row r="63" spans="1:15" x14ac:dyDescent="0.35">
      <c r="A63" s="8">
        <f>'Data cleaning and validation(3)'!A51</f>
        <v>50</v>
      </c>
      <c r="B63" s="8" t="str">
        <f>'Data cleaning and validation(3)'!B51</f>
        <v>Armstrong</v>
      </c>
      <c r="C63" s="8" t="str">
        <f>'Data cleaning and validation(3)'!C51</f>
        <v>parmstrong1d@hc360.com</v>
      </c>
      <c r="D63" s="8" t="str">
        <f>'Data cleaning and validation(3)'!D51</f>
        <v>F</v>
      </c>
      <c r="E63" s="8" t="str">
        <f>'Data cleaning and validation(3)'!E51</f>
        <v>Automotive</v>
      </c>
      <c r="F63" s="15">
        <f>'Data cleaning and validation(3)'!F51</f>
        <v>45001</v>
      </c>
      <c r="G63" s="8">
        <f>'Data cleaning and validation(3)'!G51</f>
        <v>11</v>
      </c>
      <c r="H63" s="19">
        <f>'Data cleaning and validation(3)'!H51</f>
        <v>89969</v>
      </c>
      <c r="I63" s="8" t="str">
        <f>'Data cleaning and validation(3)'!I51</f>
        <v>Senior Editor</v>
      </c>
      <c r="J63" s="8" t="str">
        <f>'Data cleaning and validation(3)'!J51</f>
        <v>Southwest</v>
      </c>
      <c r="K63" s="8" t="str">
        <f>'Data cleaning and validation(3)'!K51</f>
        <v>USA</v>
      </c>
      <c r="L63" s="8" t="str">
        <f>'Data cleaning and validation(3)'!L51</f>
        <v>Auto &amp; Hardware</v>
      </c>
      <c r="M63" s="8" t="str">
        <f>'Data cleaning and validation(3)'!M51</f>
        <v>Active</v>
      </c>
      <c r="N63" s="17">
        <f>'Data cleaning and validation(3)'!N51</f>
        <v>1079628</v>
      </c>
      <c r="O63" s="18">
        <f>'Data cleaning and validation(3)'!O51</f>
        <v>8996.9</v>
      </c>
    </row>
    <row r="64" spans="1:15" x14ac:dyDescent="0.35">
      <c r="A64" s="8">
        <f>'Data cleaning and validation(3)'!A52</f>
        <v>51</v>
      </c>
      <c r="B64" s="8" t="str">
        <f>'Data cleaning and validation(3)'!B52</f>
        <v>Dixon</v>
      </c>
      <c r="C64" s="8" t="str">
        <f>'Data cleaning and validation(3)'!C52</f>
        <v>jdixon1e@dot.gov</v>
      </c>
      <c r="D64" s="8" t="str">
        <f>'Data cleaning and validation(3)'!D52</f>
        <v>M</v>
      </c>
      <c r="E64" s="8" t="str">
        <f>'Data cleaning and validation(3)'!E52</f>
        <v>Baby</v>
      </c>
      <c r="F64" s="15">
        <f>'Data cleaning and validation(3)'!F52</f>
        <v>38986</v>
      </c>
      <c r="G64" s="8">
        <f>'Data cleaning and validation(3)'!G52</f>
        <v>15</v>
      </c>
      <c r="H64" s="19">
        <f>'Data cleaning and validation(3)'!H52</f>
        <v>106281</v>
      </c>
      <c r="I64" s="8" t="str">
        <f>'Data cleaning and validation(3)'!I52</f>
        <v>Senior Developer</v>
      </c>
      <c r="J64" s="8" t="str">
        <f>'Data cleaning and validation(3)'!J52</f>
        <v>Northwest</v>
      </c>
      <c r="K64" s="8" t="str">
        <f>'Data cleaning and validation(3)'!K52</f>
        <v>USA</v>
      </c>
      <c r="L64" s="8" t="str">
        <f>'Data cleaning and validation(3)'!L52</f>
        <v>Domestic</v>
      </c>
      <c r="M64" s="8" t="str">
        <f>'Data cleaning and validation(3)'!M52</f>
        <v>Active</v>
      </c>
      <c r="N64" s="17">
        <f>'Data cleaning and validation(3)'!N52</f>
        <v>1275372</v>
      </c>
      <c r="O64" s="18">
        <f>'Data cleaning and validation(3)'!O52</f>
        <v>10628.1</v>
      </c>
    </row>
    <row r="65" spans="1:15" x14ac:dyDescent="0.35">
      <c r="A65" s="8">
        <f>'Data cleaning and validation(3)'!A53</f>
        <v>52</v>
      </c>
      <c r="B65" s="8" t="str">
        <f>'Data cleaning and validation(3)'!B53</f>
        <v>Snyder</v>
      </c>
      <c r="C65" s="8" t="str">
        <f>'Data cleaning and validation(3)'!C53</f>
        <v>ssnyder1f@ca.gov</v>
      </c>
      <c r="D65" s="8" t="str">
        <f>'Data cleaning and validation(3)'!D53</f>
        <v>F</v>
      </c>
      <c r="E65" s="8" t="str">
        <f>'Data cleaning and validation(3)'!E53</f>
        <v>Kids</v>
      </c>
      <c r="F65" s="15">
        <f>'Data cleaning and validation(3)'!F53</f>
        <v>37525</v>
      </c>
      <c r="G65" s="8">
        <f>'Data cleaning and validation(3)'!G53</f>
        <v>19</v>
      </c>
      <c r="H65" s="19">
        <f>'Data cleaning and validation(3)'!H53</f>
        <v>141678</v>
      </c>
      <c r="I65" s="8" t="str">
        <f>'Data cleaning and validation(3)'!I53</f>
        <v>Design Engineer</v>
      </c>
      <c r="J65" s="8" t="str">
        <f>'Data cleaning and validation(3)'!J53</f>
        <v>Northwest</v>
      </c>
      <c r="K65" s="8" t="str">
        <f>'Data cleaning and validation(3)'!K53</f>
        <v>USA</v>
      </c>
      <c r="L65" s="8" t="str">
        <f>'Data cleaning and validation(3)'!L53</f>
        <v>Domestic</v>
      </c>
      <c r="M65" s="8" t="str">
        <f>'Data cleaning and validation(3)'!M53</f>
        <v>Active</v>
      </c>
      <c r="N65" s="17">
        <f>'Data cleaning and validation(3)'!N53</f>
        <v>1700136</v>
      </c>
      <c r="O65" s="18">
        <f>'Data cleaning and validation(3)'!O53</f>
        <v>14167.800000000001</v>
      </c>
    </row>
    <row r="66" spans="1:15" x14ac:dyDescent="0.35">
      <c r="A66" s="8">
        <f>'Data cleaning and validation(3)'!A54</f>
        <v>53</v>
      </c>
      <c r="B66" s="8" t="str">
        <f>'Data cleaning and validation(3)'!B54</f>
        <v>Coleman</v>
      </c>
      <c r="C66" s="8" t="str">
        <f>'Data cleaning and validation(3)'!C54</f>
        <v>dcoleman1g@dedecms.com</v>
      </c>
      <c r="D66" s="8" t="str">
        <f>'Data cleaning and validation(3)'!D54</f>
        <v>M</v>
      </c>
      <c r="E66" s="8" t="str">
        <f>'Data cleaning and validation(3)'!E54</f>
        <v>Computers</v>
      </c>
      <c r="F66" s="15">
        <f>'Data cleaning and validation(3)'!F54</f>
        <v>39613</v>
      </c>
      <c r="G66" s="8">
        <f>'Data cleaning and validation(3)'!G54</f>
        <v>13</v>
      </c>
      <c r="H66" s="19">
        <f>'Data cleaning and validation(3)'!H54</f>
        <v>110839</v>
      </c>
      <c r="I66" s="8" t="str">
        <f>'Data cleaning and validation(3)'!I54</f>
        <v>Automation Specialist I</v>
      </c>
      <c r="J66" s="8" t="str">
        <f>'Data cleaning and validation(3)'!J54</f>
        <v>Northeast</v>
      </c>
      <c r="K66" s="8" t="str">
        <f>'Data cleaning and validation(3)'!K54</f>
        <v>USA</v>
      </c>
      <c r="L66" s="8" t="str">
        <f>'Data cleaning and validation(3)'!L54</f>
        <v>Electronic Equipment</v>
      </c>
      <c r="M66" s="8" t="str">
        <f>'Data cleaning and validation(3)'!M54</f>
        <v>Active</v>
      </c>
      <c r="N66" s="17">
        <f>'Data cleaning and validation(3)'!N54</f>
        <v>1330068</v>
      </c>
      <c r="O66" s="18">
        <f>'Data cleaning and validation(3)'!O54</f>
        <v>11083.900000000001</v>
      </c>
    </row>
    <row r="67" spans="1:15" x14ac:dyDescent="0.35">
      <c r="A67" s="8">
        <f>'Data cleaning and validation(3)'!A55</f>
        <v>54</v>
      </c>
      <c r="B67" s="8" t="str">
        <f>'Data cleaning and validation(3)'!B55</f>
        <v>Reed</v>
      </c>
      <c r="C67" s="8" t="str">
        <f>'Data cleaning and validation(3)'!C55</f>
        <v>sreed1h@intel.com</v>
      </c>
      <c r="D67" s="8" t="str">
        <f>'Data cleaning and validation(3)'!D55</f>
        <v>F</v>
      </c>
      <c r="E67" s="8" t="str">
        <f>'Data cleaning and validation(3)'!E55</f>
        <v>Toys</v>
      </c>
      <c r="F67" s="15">
        <f>'Data cleaning and validation(3)'!F55</f>
        <v>36996</v>
      </c>
      <c r="G67" s="8">
        <f>'Data cleaning and validation(3)'!G55</f>
        <v>20</v>
      </c>
      <c r="H67" s="19">
        <f>'Data cleaning and validation(3)'!H55</f>
        <v>84275</v>
      </c>
      <c r="I67" s="8" t="str">
        <f>'Data cleaning and validation(3)'!I55</f>
        <v>VP Marketing</v>
      </c>
      <c r="J67" s="8" t="str">
        <f>'Data cleaning and validation(3)'!J55</f>
        <v>British Columbia</v>
      </c>
      <c r="K67" s="8" t="str">
        <f>'Data cleaning and validation(3)'!K55</f>
        <v>Canada</v>
      </c>
      <c r="L67" s="8" t="str">
        <f>'Data cleaning and validation(3)'!L55</f>
        <v>Games &amp; Sports</v>
      </c>
      <c r="M67" s="8" t="str">
        <f>'Data cleaning and validation(3)'!M55</f>
        <v>Active</v>
      </c>
      <c r="N67" s="17">
        <f>'Data cleaning and validation(3)'!N55</f>
        <v>1011300</v>
      </c>
      <c r="O67" s="18">
        <f>'Data cleaning and validation(3)'!O55</f>
        <v>8427.5</v>
      </c>
    </row>
    <row r="68" spans="1:15" x14ac:dyDescent="0.35">
      <c r="A68" s="8">
        <f>'Data cleaning and validation(3)'!A56</f>
        <v>55</v>
      </c>
      <c r="B68" s="8" t="str">
        <f>'Data cleaning and validation(3)'!B56</f>
        <v>Ross</v>
      </c>
      <c r="C68" s="8" t="str">
        <f>'Data cleaning and validation(3)'!C56</f>
        <v>jross1i@infoseek.co.jp</v>
      </c>
      <c r="D68" s="8" t="str">
        <f>'Data cleaning and validation(3)'!D56</f>
        <v>M</v>
      </c>
      <c r="E68" s="8" t="str">
        <f>'Data cleaning and validation(3)'!E56</f>
        <v>Automotive</v>
      </c>
      <c r="F68" s="15">
        <f>'Data cleaning and validation(3)'!F56</f>
        <v>38098</v>
      </c>
      <c r="G68" s="8">
        <f>'Data cleaning and validation(3)'!G56</f>
        <v>17</v>
      </c>
      <c r="H68" s="19">
        <f>'Data cleaning and validation(3)'!H56</f>
        <v>71363</v>
      </c>
      <c r="I68" s="8" t="str">
        <f>'Data cleaning and validation(3)'!I56</f>
        <v>Environmental Tech</v>
      </c>
      <c r="J68" s="8" t="str">
        <f>'Data cleaning and validation(3)'!J56</f>
        <v>Northwest</v>
      </c>
      <c r="K68" s="8" t="str">
        <f>'Data cleaning and validation(3)'!K56</f>
        <v>USA</v>
      </c>
      <c r="L68" s="8" t="str">
        <f>'Data cleaning and validation(3)'!L56</f>
        <v>Auto &amp; Hardware</v>
      </c>
      <c r="M68" s="8" t="str">
        <f>'Data cleaning and validation(3)'!M56</f>
        <v>Active</v>
      </c>
      <c r="N68" s="17">
        <f>'Data cleaning and validation(3)'!N56</f>
        <v>856356</v>
      </c>
      <c r="O68" s="18">
        <f>'Data cleaning and validation(3)'!O56</f>
        <v>7136.3</v>
      </c>
    </row>
    <row r="69" spans="1:15" x14ac:dyDescent="0.35">
      <c r="A69" s="8">
        <f>'Data cleaning and validation(3)'!A57</f>
        <v>56</v>
      </c>
      <c r="B69" s="8" t="str">
        <f>'Data cleaning and validation(3)'!B57</f>
        <v>Watkins</v>
      </c>
      <c r="C69" s="8" t="str">
        <f>'Data cleaning and validation(3)'!C57</f>
        <v>kwatkins1j@youtu.be</v>
      </c>
      <c r="D69" s="8" t="str">
        <f>'Data cleaning and validation(3)'!D57</f>
        <v>M</v>
      </c>
      <c r="E69" s="8" t="str">
        <f>'Data cleaning and validation(3)'!E57</f>
        <v>Garden</v>
      </c>
      <c r="F69" s="15">
        <f>'Data cleaning and validation(3)'!F57</f>
        <v>37592</v>
      </c>
      <c r="G69" s="8">
        <f>'Data cleaning and validation(3)'!G57</f>
        <v>19</v>
      </c>
      <c r="H69" s="19">
        <f>'Data cleaning and validation(3)'!H57</f>
        <v>93680</v>
      </c>
      <c r="I69" s="8" t="str">
        <f>'Data cleaning and validation(3)'!I57</f>
        <v>VP Accounting</v>
      </c>
      <c r="J69" s="8" t="str">
        <f>'Data cleaning and validation(3)'!J57</f>
        <v>Northwest</v>
      </c>
      <c r="K69" s="8" t="str">
        <f>'Data cleaning and validation(3)'!K57</f>
        <v>USA</v>
      </c>
      <c r="L69" s="8" t="str">
        <f>'Data cleaning and validation(3)'!L57</f>
        <v>Outdoors &amp; Garden</v>
      </c>
      <c r="M69" s="8" t="str">
        <f>'Data cleaning and validation(3)'!M57</f>
        <v>On Leave</v>
      </c>
      <c r="N69" s="17">
        <f>'Data cleaning and validation(3)'!N57</f>
        <v>1124160</v>
      </c>
      <c r="O69" s="18">
        <f>'Data cleaning and validation(3)'!O57</f>
        <v>9368</v>
      </c>
    </row>
    <row r="70" spans="1:15" x14ac:dyDescent="0.35">
      <c r="A70" s="8">
        <f>'Data cleaning and validation(3)'!A58</f>
        <v>57</v>
      </c>
      <c r="B70" s="8" t="str">
        <f>'Data cleaning and validation(3)'!B58</f>
        <v>Allen</v>
      </c>
      <c r="C70" s="8" t="str">
        <f>'Data cleaning and validation(3)'!C58</f>
        <v>jallen1k@google.cn</v>
      </c>
      <c r="D70" s="8" t="str">
        <f>'Data cleaning and validation(3)'!D58</f>
        <v>F</v>
      </c>
      <c r="E70" s="8" t="str">
        <f>'Data cleaning and validation(3)'!E58</f>
        <v>Outdoors</v>
      </c>
      <c r="F70" s="15">
        <f>'Data cleaning and validation(3)'!F58</f>
        <v>36850</v>
      </c>
      <c r="G70" s="8">
        <f>'Data cleaning and validation(3)'!G58</f>
        <v>21</v>
      </c>
      <c r="H70" s="19">
        <f>'Data cleaning and validation(3)'!H58</f>
        <v>73755</v>
      </c>
      <c r="I70" s="8" t="str">
        <f>'Data cleaning and validation(3)'!I58</f>
        <v>Geologist II</v>
      </c>
      <c r="J70" s="8" t="str">
        <f>'Data cleaning and validation(3)'!J58</f>
        <v>Northwest</v>
      </c>
      <c r="K70" s="8" t="str">
        <f>'Data cleaning and validation(3)'!K58</f>
        <v>USA</v>
      </c>
      <c r="L70" s="8" t="str">
        <f>'Data cleaning and validation(3)'!L58</f>
        <v>Outdoors &amp; Garden</v>
      </c>
      <c r="M70" s="8" t="str">
        <f>'Data cleaning and validation(3)'!M58</f>
        <v>On Leave</v>
      </c>
      <c r="N70" s="17">
        <f>'Data cleaning and validation(3)'!N58</f>
        <v>885060</v>
      </c>
      <c r="O70" s="18">
        <f>'Data cleaning and validation(3)'!O58</f>
        <v>7375.5</v>
      </c>
    </row>
    <row r="71" spans="1:15" x14ac:dyDescent="0.35">
      <c r="A71" s="8">
        <f>'Data cleaning and validation(3)'!A59</f>
        <v>58</v>
      </c>
      <c r="B71" s="8" t="str">
        <f>'Data cleaning and validation(3)'!B59</f>
        <v>Baker</v>
      </c>
      <c r="C71" s="8" t="str">
        <f>'Data cleaning and validation(3)'!C59</f>
        <v>jbaker1l@usnews.com</v>
      </c>
      <c r="D71" s="8" t="str">
        <f>'Data cleaning and validation(3)'!D59</f>
        <v>M</v>
      </c>
      <c r="E71" s="8" t="str">
        <f>'Data cleaning and validation(3)'!E59</f>
        <v>Games</v>
      </c>
      <c r="F71" s="15">
        <f>'Data cleaning and validation(3)'!F59</f>
        <v>39143</v>
      </c>
      <c r="G71" s="8">
        <f>'Data cleaning and validation(3)'!G59</f>
        <v>14</v>
      </c>
      <c r="H71" s="19">
        <f>'Data cleaning and validation(3)'!H59</f>
        <v>68857</v>
      </c>
      <c r="I71" s="8" t="str">
        <f>'Data cleaning and validation(3)'!I59</f>
        <v>Information Systems Manager</v>
      </c>
      <c r="J71" s="8" t="str">
        <f>'Data cleaning and validation(3)'!J59</f>
        <v>Southeast</v>
      </c>
      <c r="K71" s="8" t="str">
        <f>'Data cleaning and validation(3)'!K59</f>
        <v>USA</v>
      </c>
      <c r="L71" s="8" t="str">
        <f>'Data cleaning and validation(3)'!L59</f>
        <v>Domestic</v>
      </c>
      <c r="M71" s="8" t="str">
        <f>'Data cleaning and validation(3)'!M59</f>
        <v>On Leave</v>
      </c>
      <c r="N71" s="17">
        <f>'Data cleaning and validation(3)'!N59</f>
        <v>826284</v>
      </c>
      <c r="O71" s="18">
        <f>'Data cleaning and validation(3)'!O59</f>
        <v>6885.7000000000007</v>
      </c>
    </row>
    <row r="72" spans="1:15" x14ac:dyDescent="0.35">
      <c r="A72" s="8">
        <f>'Data cleaning and validation(3)'!A60</f>
        <v>59</v>
      </c>
      <c r="B72" s="8" t="str">
        <f>'Data cleaning and validation(3)'!B60</f>
        <v>Garcia</v>
      </c>
      <c r="C72" s="8" t="str">
        <f>'Data cleaning and validation(3)'!C60</f>
        <v>vgarcia1m@deviantart.com</v>
      </c>
      <c r="D72" s="8" t="str">
        <f>'Data cleaning and validation(3)'!D60</f>
        <v>F</v>
      </c>
      <c r="E72" s="8" t="str">
        <f>'Data cleaning and validation(3)'!E60</f>
        <v>Health</v>
      </c>
      <c r="F72" s="15">
        <f>'Data cleaning and validation(3)'!F60</f>
        <v>37334</v>
      </c>
      <c r="G72" s="8">
        <f>'Data cleaning and validation(3)'!G60</f>
        <v>19</v>
      </c>
      <c r="H72" s="19">
        <f>'Data cleaning and validation(3)'!H60</f>
        <v>48360</v>
      </c>
      <c r="I72" s="8" t="str">
        <f>'Data cleaning and validation(3)'!I60</f>
        <v>Registered Nurse</v>
      </c>
      <c r="J72" s="8" t="str">
        <f>'Data cleaning and validation(3)'!J60</f>
        <v>Quebec</v>
      </c>
      <c r="K72" s="8" t="str">
        <f>'Data cleaning and validation(3)'!K60</f>
        <v>Canada</v>
      </c>
      <c r="L72" s="8" t="str">
        <f>'Data cleaning and validation(3)'!L60</f>
        <v>Domestic</v>
      </c>
      <c r="M72" s="8" t="str">
        <f>'Data cleaning and validation(3)'!M60</f>
        <v>On Leave</v>
      </c>
      <c r="N72" s="17">
        <f>'Data cleaning and validation(3)'!N60</f>
        <v>580320</v>
      </c>
      <c r="O72" s="18">
        <f>'Data cleaning and validation(3)'!O60</f>
        <v>4836</v>
      </c>
    </row>
    <row r="73" spans="1:15" x14ac:dyDescent="0.35">
      <c r="A73" s="8">
        <f>'Data cleaning and validation(3)'!A61</f>
        <v>60</v>
      </c>
      <c r="B73" s="8" t="str">
        <f>'Data cleaning and validation(3)'!B61</f>
        <v>Lane</v>
      </c>
      <c r="C73" s="8" t="str">
        <f>'Data cleaning and validation(3)'!C61</f>
        <v>elane1n@un.org</v>
      </c>
      <c r="D73" s="8" t="str">
        <f>'Data cleaning and validation(3)'!D61</f>
        <v>M</v>
      </c>
      <c r="E73" s="8" t="str">
        <f>'Data cleaning and validation(3)'!E61</f>
        <v>Outdoors</v>
      </c>
      <c r="F73" s="15">
        <f>'Data cleaning and validation(3)'!F61</f>
        <v>38183</v>
      </c>
      <c r="G73" s="8">
        <f>'Data cleaning and validation(3)'!G61</f>
        <v>17</v>
      </c>
      <c r="H73" s="19">
        <f>'Data cleaning and validation(3)'!H61</f>
        <v>104896</v>
      </c>
      <c r="I73" s="8" t="str">
        <f>'Data cleaning and validation(3)'!I61</f>
        <v>Financial Advisor</v>
      </c>
      <c r="J73" s="8" t="str">
        <f>'Data cleaning and validation(3)'!J61</f>
        <v>British Columbia</v>
      </c>
      <c r="K73" s="8" t="str">
        <f>'Data cleaning and validation(3)'!K61</f>
        <v>Canada</v>
      </c>
      <c r="L73" s="8" t="str">
        <f>'Data cleaning and validation(3)'!L61</f>
        <v>Outdoors &amp; Garden</v>
      </c>
      <c r="M73" s="8" t="str">
        <f>'Data cleaning and validation(3)'!M61</f>
        <v>On Leave</v>
      </c>
      <c r="N73" s="17">
        <f>'Data cleaning and validation(3)'!N61</f>
        <v>1258752</v>
      </c>
      <c r="O73" s="18">
        <f>'Data cleaning and validation(3)'!O61</f>
        <v>10489.6</v>
      </c>
    </row>
    <row r="74" spans="1:15" x14ac:dyDescent="0.35">
      <c r="A74" s="8">
        <f>'Data cleaning and validation(3)'!A62</f>
        <v>61</v>
      </c>
      <c r="B74" s="8" t="str">
        <f>'Data cleaning and validation(3)'!B62</f>
        <v>Watson</v>
      </c>
      <c r="C74" s="8" t="str">
        <f>'Data cleaning and validation(3)'!C62</f>
        <v>cwatson1o@paypal.com</v>
      </c>
      <c r="D74" s="8" t="str">
        <f>'Data cleaning and validation(3)'!D62</f>
        <v>F</v>
      </c>
      <c r="E74" s="8" t="str">
        <f>'Data cleaning and validation(3)'!E62</f>
        <v>Tools</v>
      </c>
      <c r="F74" s="15">
        <f>'Data cleaning and validation(3)'!F62</f>
        <v>44783</v>
      </c>
      <c r="G74" s="8">
        <f>'Data cleaning and validation(3)'!G62</f>
        <v>12</v>
      </c>
      <c r="H74" s="19">
        <f>'Data cleaning and validation(3)'!H62</f>
        <v>81870</v>
      </c>
      <c r="I74" s="8" t="str">
        <f>'Data cleaning and validation(3)'!I62</f>
        <v>Occupational Therapist</v>
      </c>
      <c r="J74" s="8" t="str">
        <f>'Data cleaning and validation(3)'!J62</f>
        <v>Nova Scotia</v>
      </c>
      <c r="K74" s="8" t="str">
        <f>'Data cleaning and validation(3)'!K62</f>
        <v>Canada</v>
      </c>
      <c r="L74" s="8" t="str">
        <f>'Data cleaning and validation(3)'!L62</f>
        <v>Auto &amp; Hardware</v>
      </c>
      <c r="M74" s="8" t="str">
        <f>'Data cleaning and validation(3)'!M62</f>
        <v>Active</v>
      </c>
      <c r="N74" s="17">
        <f>'Data cleaning and validation(3)'!N62</f>
        <v>982440</v>
      </c>
      <c r="O74" s="18">
        <f>'Data cleaning and validation(3)'!O62</f>
        <v>8187</v>
      </c>
    </row>
    <row r="75" spans="1:15" x14ac:dyDescent="0.35">
      <c r="A75" s="8">
        <f>'Data cleaning and validation(3)'!A63</f>
        <v>62</v>
      </c>
      <c r="B75" s="8" t="str">
        <f>'Data cleaning and validation(3)'!B63</f>
        <v>Boyd</v>
      </c>
      <c r="C75" s="8" t="str">
        <f>'Data cleaning and validation(3)'!C63</f>
        <v>aboyd1p@artisteer.com</v>
      </c>
      <c r="D75" s="8" t="str">
        <f>'Data cleaning and validation(3)'!D63</f>
        <v>M</v>
      </c>
      <c r="E75" s="8" t="str">
        <f>'Data cleaning and validation(3)'!E63</f>
        <v>Automotive</v>
      </c>
      <c r="F75" s="15">
        <f>'Data cleaning and validation(3)'!F63</f>
        <v>39231</v>
      </c>
      <c r="G75" s="8">
        <f>'Data cleaning and validation(3)'!G63</f>
        <v>14</v>
      </c>
      <c r="H75" s="19">
        <f>'Data cleaning and validation(3)'!H63</f>
        <v>69936</v>
      </c>
      <c r="I75" s="8" t="str">
        <f>'Data cleaning and validation(3)'!I63</f>
        <v>Senior Editor</v>
      </c>
      <c r="J75" s="8" t="str">
        <f>'Data cleaning and validation(3)'!J63</f>
        <v>Nova Scotia</v>
      </c>
      <c r="K75" s="8" t="str">
        <f>'Data cleaning and validation(3)'!K63</f>
        <v>Canada</v>
      </c>
      <c r="L75" s="8" t="str">
        <f>'Data cleaning and validation(3)'!L63</f>
        <v>Auto &amp; Hardware</v>
      </c>
      <c r="M75" s="8" t="str">
        <f>'Data cleaning and validation(3)'!M63</f>
        <v>Active</v>
      </c>
      <c r="N75" s="17">
        <f>'Data cleaning and validation(3)'!N63</f>
        <v>839232</v>
      </c>
      <c r="O75" s="18">
        <f>'Data cleaning and validation(3)'!O63</f>
        <v>6993.6</v>
      </c>
    </row>
    <row r="76" spans="1:15" x14ac:dyDescent="0.35">
      <c r="A76" s="8">
        <f>'Data cleaning and validation(3)'!A64</f>
        <v>63</v>
      </c>
      <c r="B76" s="8" t="str">
        <f>'Data cleaning and validation(3)'!B64</f>
        <v>Young</v>
      </c>
      <c r="C76" s="8" t="str">
        <f>'Data cleaning and validation(3)'!C64</f>
        <v>hyoung1q@cisco.com</v>
      </c>
      <c r="D76" s="8" t="str">
        <f>'Data cleaning and validation(3)'!D64</f>
        <v>F</v>
      </c>
      <c r="E76" s="8" t="str">
        <f>'Data cleaning and validation(3)'!E64</f>
        <v>Grocery</v>
      </c>
      <c r="F76" s="15">
        <f>'Data cleaning and validation(3)'!F64</f>
        <v>44176</v>
      </c>
      <c r="G76" s="8">
        <f>'Data cleaning and validation(3)'!G64</f>
        <v>14</v>
      </c>
      <c r="H76" s="19">
        <f>'Data cleaning and validation(3)'!H64</f>
        <v>138844</v>
      </c>
      <c r="I76" s="8" t="str">
        <f>'Data cleaning and validation(3)'!I64</f>
        <v>Mechanical Systems Engineer</v>
      </c>
      <c r="J76" s="8" t="str">
        <f>'Data cleaning and validation(3)'!J64</f>
        <v>Quebec</v>
      </c>
      <c r="K76" s="8" t="str">
        <f>'Data cleaning and validation(3)'!K64</f>
        <v>Canada</v>
      </c>
      <c r="L76" s="8" t="str">
        <f>'Data cleaning and validation(3)'!L64</f>
        <v>Domestic</v>
      </c>
      <c r="M76" s="8" t="str">
        <f>'Data cleaning and validation(3)'!M64</f>
        <v>Active</v>
      </c>
      <c r="N76" s="17">
        <f>'Data cleaning and validation(3)'!N64</f>
        <v>1666128</v>
      </c>
      <c r="O76" s="18">
        <f>'Data cleaning and validation(3)'!O64</f>
        <v>13884.400000000001</v>
      </c>
    </row>
    <row r="77" spans="1:15" x14ac:dyDescent="0.35">
      <c r="A77" s="8">
        <f>'Data cleaning and validation(3)'!A65</f>
        <v>64</v>
      </c>
      <c r="B77" s="8" t="str">
        <f>'Data cleaning and validation(3)'!B65</f>
        <v>Cooper</v>
      </c>
      <c r="C77" s="8" t="str">
        <f>'Data cleaning and validation(3)'!C65</f>
        <v>tcooper1r@umich.edu</v>
      </c>
      <c r="D77" s="8" t="str">
        <f>'Data cleaning and validation(3)'!D65</f>
        <v>M</v>
      </c>
      <c r="E77" s="8" t="str">
        <f>'Data cleaning and validation(3)'!E65</f>
        <v>Garden</v>
      </c>
      <c r="F77" s="15">
        <f>'Data cleaning and validation(3)'!F65</f>
        <v>40859</v>
      </c>
      <c r="G77" s="8">
        <f>'Data cleaning and validation(3)'!G65</f>
        <v>10</v>
      </c>
      <c r="H77" s="19">
        <f>'Data cleaning and validation(3)'!H65</f>
        <v>139796</v>
      </c>
      <c r="I77" s="8" t="str">
        <f>'Data cleaning and validation(3)'!I65</f>
        <v>Office Assistant IV</v>
      </c>
      <c r="J77" s="8" t="str">
        <f>'Data cleaning and validation(3)'!J65</f>
        <v>Northeast</v>
      </c>
      <c r="K77" s="8" t="str">
        <f>'Data cleaning and validation(3)'!K65</f>
        <v>USA</v>
      </c>
      <c r="L77" s="8" t="str">
        <f>'Data cleaning and validation(3)'!L65</f>
        <v>Outdoors &amp; Garden</v>
      </c>
      <c r="M77" s="8" t="str">
        <f>'Data cleaning and validation(3)'!M65</f>
        <v>Active</v>
      </c>
      <c r="N77" s="17">
        <f>'Data cleaning and validation(3)'!N65</f>
        <v>1677552</v>
      </c>
      <c r="O77" s="18">
        <f>'Data cleaning and validation(3)'!O65</f>
        <v>13979.6</v>
      </c>
    </row>
    <row r="78" spans="1:15" x14ac:dyDescent="0.35">
      <c r="A78" s="8">
        <f>'Data cleaning and validation(3)'!A66</f>
        <v>65</v>
      </c>
      <c r="B78" s="8" t="str">
        <f>'Data cleaning and validation(3)'!B66</f>
        <v>Jordan</v>
      </c>
      <c r="C78" s="8" t="str">
        <f>'Data cleaning and validation(3)'!C66</f>
        <v>jjordan1s@about.me</v>
      </c>
      <c r="D78" s="8" t="str">
        <f>'Data cleaning and validation(3)'!D66</f>
        <v>F</v>
      </c>
      <c r="E78" s="8" t="str">
        <f>'Data cleaning and validation(3)'!E66</f>
        <v>Automotive</v>
      </c>
      <c r="F78" s="15">
        <f>'Data cleaning and validation(3)'!F66</f>
        <v>36552</v>
      </c>
      <c r="G78" s="8">
        <f>'Data cleaning and validation(3)'!G66</f>
        <v>21</v>
      </c>
      <c r="H78" s="19">
        <f>'Data cleaning and validation(3)'!H66</f>
        <v>86939</v>
      </c>
      <c r="I78" s="8" t="str">
        <f>'Data cleaning and validation(3)'!I66</f>
        <v>Tax Accountant</v>
      </c>
      <c r="J78" s="8" t="str">
        <f>'Data cleaning and validation(3)'!J66</f>
        <v>Northwest</v>
      </c>
      <c r="K78" s="8" t="str">
        <f>'Data cleaning and validation(3)'!K66</f>
        <v>USA</v>
      </c>
      <c r="L78" s="8" t="str">
        <f>'Data cleaning and validation(3)'!L66</f>
        <v>Auto &amp; Hardware</v>
      </c>
      <c r="M78" s="8" t="str">
        <f>'Data cleaning and validation(3)'!M66</f>
        <v>Resigned</v>
      </c>
      <c r="N78" s="17">
        <f>'Data cleaning and validation(3)'!N66</f>
        <v>1043268</v>
      </c>
      <c r="O78" s="18">
        <f>'Data cleaning and validation(3)'!O66</f>
        <v>8693.9</v>
      </c>
    </row>
    <row r="79" spans="1:15" x14ac:dyDescent="0.35">
      <c r="A79" s="8">
        <f>'Data cleaning and validation(3)'!A67</f>
        <v>66</v>
      </c>
      <c r="B79" s="8" t="str">
        <f>'Data cleaning and validation(3)'!B67</f>
        <v>Rodriguez</v>
      </c>
      <c r="C79" s="8" t="str">
        <f>'Data cleaning and validation(3)'!C67</f>
        <v>lrodriguez1t@narod.ru</v>
      </c>
      <c r="D79" s="8" t="str">
        <f>'Data cleaning and validation(3)'!D67</f>
        <v>M</v>
      </c>
      <c r="E79" s="8" t="str">
        <f>'Data cleaning and validation(3)'!E67</f>
        <v>Beauty</v>
      </c>
      <c r="F79" s="15">
        <f>'Data cleaning and validation(3)'!F67</f>
        <v>37891</v>
      </c>
      <c r="G79" s="8">
        <f>'Data cleaning and validation(3)'!G67</f>
        <v>18</v>
      </c>
      <c r="H79" s="19">
        <f>'Data cleaning and validation(3)'!H67</f>
        <v>141949</v>
      </c>
      <c r="I79" s="8" t="str">
        <f>'Data cleaning and validation(3)'!I67</f>
        <v>Product Engineer</v>
      </c>
      <c r="J79" s="8" t="str">
        <f>'Data cleaning and validation(3)'!J67</f>
        <v>Southwest</v>
      </c>
      <c r="K79" s="8" t="str">
        <f>'Data cleaning and validation(3)'!K67</f>
        <v>USA</v>
      </c>
      <c r="L79" s="8" t="str">
        <f>'Data cleaning and validation(3)'!L67</f>
        <v>Domestic</v>
      </c>
      <c r="M79" s="8" t="str">
        <f>'Data cleaning and validation(3)'!M67</f>
        <v>Active</v>
      </c>
      <c r="N79" s="17">
        <f>'Data cleaning and validation(3)'!N67</f>
        <v>1703388</v>
      </c>
      <c r="O79" s="18">
        <f>'Data cleaning and validation(3)'!O67</f>
        <v>14194.900000000001</v>
      </c>
    </row>
    <row r="80" spans="1:15" x14ac:dyDescent="0.35">
      <c r="A80" s="8">
        <f>'Data cleaning and validation(3)'!A68</f>
        <v>67</v>
      </c>
      <c r="B80" s="8" t="str">
        <f>'Data cleaning and validation(3)'!B68</f>
        <v>Mills</v>
      </c>
      <c r="C80" s="8" t="str">
        <f>'Data cleaning and validation(3)'!C68</f>
        <v>jmills1u@printfriendly.com</v>
      </c>
      <c r="D80" s="8" t="str">
        <f>'Data cleaning and validation(3)'!D68</f>
        <v>F</v>
      </c>
      <c r="E80" s="8" t="str">
        <f>'Data cleaning and validation(3)'!E68</f>
        <v>Grocery</v>
      </c>
      <c r="F80" s="15">
        <f>'Data cleaning and validation(3)'!F68</f>
        <v>38207</v>
      </c>
      <c r="G80" s="8">
        <f>'Data cleaning and validation(3)'!G68</f>
        <v>17</v>
      </c>
      <c r="H80" s="19">
        <f>'Data cleaning and validation(3)'!H68</f>
        <v>114200</v>
      </c>
      <c r="I80" s="8" t="str">
        <f>'Data cleaning and validation(3)'!I68</f>
        <v>Senior Sales Associate</v>
      </c>
      <c r="J80" s="8" t="str">
        <f>'Data cleaning and validation(3)'!J68</f>
        <v>Nova Scotia</v>
      </c>
      <c r="K80" s="8" t="str">
        <f>'Data cleaning and validation(3)'!K68</f>
        <v>Canada</v>
      </c>
      <c r="L80" s="8" t="str">
        <f>'Data cleaning and validation(3)'!L68</f>
        <v>Domestic</v>
      </c>
      <c r="M80" s="8" t="str">
        <f>'Data cleaning and validation(3)'!M68</f>
        <v>Active</v>
      </c>
      <c r="N80" s="17">
        <f>'Data cleaning and validation(3)'!N68</f>
        <v>1370400</v>
      </c>
      <c r="O80" s="18">
        <f>'Data cleaning and validation(3)'!O68</f>
        <v>11420</v>
      </c>
    </row>
    <row r="81" spans="1:15" x14ac:dyDescent="0.35">
      <c r="A81" s="8">
        <f>'Data cleaning and validation(3)'!A69</f>
        <v>68</v>
      </c>
      <c r="B81" s="8" t="str">
        <f>'Data cleaning and validation(3)'!B69</f>
        <v>Coleman</v>
      </c>
      <c r="C81" s="8" t="str">
        <f>'Data cleaning and validation(3)'!C69</f>
        <v>kcoleman1v@360.cn</v>
      </c>
      <c r="D81" s="8" t="str">
        <f>'Data cleaning and validation(3)'!D69</f>
        <v>M</v>
      </c>
      <c r="E81" s="8" t="str">
        <f>'Data cleaning and validation(3)'!E69</f>
        <v>Beauty</v>
      </c>
      <c r="F81" s="15">
        <f>'Data cleaning and validation(3)'!F69</f>
        <v>41154</v>
      </c>
      <c r="G81" s="8">
        <f>'Data cleaning and validation(3)'!G69</f>
        <v>9</v>
      </c>
      <c r="H81" s="19">
        <f>'Data cleaning and validation(3)'!H69</f>
        <v>121378</v>
      </c>
      <c r="I81" s="8" t="str">
        <f>'Data cleaning and validation(3)'!I69</f>
        <v>Web Developer I</v>
      </c>
      <c r="J81" s="8" t="str">
        <f>'Data cleaning and validation(3)'!J69</f>
        <v>Nova Scotia</v>
      </c>
      <c r="K81" s="8" t="str">
        <f>'Data cleaning and validation(3)'!K69</f>
        <v>Canada</v>
      </c>
      <c r="L81" s="8" t="str">
        <f>'Data cleaning and validation(3)'!L69</f>
        <v>Domestic</v>
      </c>
      <c r="M81" s="8" t="str">
        <f>'Data cleaning and validation(3)'!M69</f>
        <v>Active</v>
      </c>
      <c r="N81" s="17">
        <f>'Data cleaning and validation(3)'!N69</f>
        <v>1456536</v>
      </c>
      <c r="O81" s="18">
        <f>'Data cleaning and validation(3)'!O69</f>
        <v>12137.800000000001</v>
      </c>
    </row>
    <row r="82" spans="1:15" x14ac:dyDescent="0.35">
      <c r="A82" s="8">
        <f>'Data cleaning and validation(3)'!A70</f>
        <v>69</v>
      </c>
      <c r="B82" s="8" t="str">
        <f>'Data cleaning and validation(3)'!B70</f>
        <v>Stewart</v>
      </c>
      <c r="C82" s="8" t="str">
        <f>'Data cleaning and validation(3)'!C70</f>
        <v>dstewart1w@usnews.com</v>
      </c>
      <c r="D82" s="8" t="str">
        <f>'Data cleaning and validation(3)'!D70</f>
        <v>M</v>
      </c>
      <c r="E82" s="8" t="str">
        <f>'Data cleaning and validation(3)'!E70</f>
        <v>Toys</v>
      </c>
      <c r="F82" s="15">
        <f>'Data cleaning and validation(3)'!F70</f>
        <v>36760</v>
      </c>
      <c r="G82" s="8">
        <f>'Data cleaning and validation(3)'!G70</f>
        <v>21</v>
      </c>
      <c r="H82" s="19">
        <f>'Data cleaning and validation(3)'!H70</f>
        <v>148144</v>
      </c>
      <c r="I82" s="8" t="str">
        <f>'Data cleaning and validation(3)'!I70</f>
        <v>Data Coordiator</v>
      </c>
      <c r="J82" s="8" t="str">
        <f>'Data cleaning and validation(3)'!J70</f>
        <v>Southwest</v>
      </c>
      <c r="K82" s="8" t="str">
        <f>'Data cleaning and validation(3)'!K70</f>
        <v>USA</v>
      </c>
      <c r="L82" s="8" t="str">
        <f>'Data cleaning and validation(3)'!L70</f>
        <v>Games &amp; Sports</v>
      </c>
      <c r="M82" s="8" t="str">
        <f>'Data cleaning and validation(3)'!M70</f>
        <v>On Leave</v>
      </c>
      <c r="N82" s="17">
        <f>'Data cleaning and validation(3)'!N70</f>
        <v>1777728</v>
      </c>
      <c r="O82" s="18">
        <f>'Data cleaning and validation(3)'!O70</f>
        <v>14814.400000000001</v>
      </c>
    </row>
    <row r="83" spans="1:15" x14ac:dyDescent="0.35">
      <c r="A83" s="8">
        <f>'Data cleaning and validation(3)'!A71</f>
        <v>70</v>
      </c>
      <c r="B83" s="8" t="str">
        <f>'Data cleaning and validation(3)'!B71</f>
        <v>Jordan</v>
      </c>
      <c r="C83" s="8" t="str">
        <f>'Data cleaning and validation(3)'!C71</f>
        <v>ajordan1x@moonfruit.com</v>
      </c>
      <c r="D83" s="8" t="str">
        <f>'Data cleaning and validation(3)'!D71</f>
        <v>F</v>
      </c>
      <c r="E83" s="8" t="str">
        <f>'Data cleaning and validation(3)'!E71</f>
        <v>Games</v>
      </c>
      <c r="F83" s="15">
        <f>'Data cleaning and validation(3)'!F71</f>
        <v>38304</v>
      </c>
      <c r="G83" s="8">
        <f>'Data cleaning and validation(3)'!G71</f>
        <v>17</v>
      </c>
      <c r="H83" s="19">
        <f>'Data cleaning and validation(3)'!H71</f>
        <v>93839</v>
      </c>
      <c r="I83" s="8" t="str">
        <f>'Data cleaning and validation(3)'!I71</f>
        <v>Database Administrator III</v>
      </c>
      <c r="J83" s="8" t="str">
        <f>'Data cleaning and validation(3)'!J71</f>
        <v>Southeast</v>
      </c>
      <c r="K83" s="8" t="str">
        <f>'Data cleaning and validation(3)'!K71</f>
        <v>USA</v>
      </c>
      <c r="L83" s="8" t="str">
        <f>'Data cleaning and validation(3)'!L71</f>
        <v>Domestic</v>
      </c>
      <c r="M83" s="8" t="str">
        <f>'Data cleaning and validation(3)'!M71</f>
        <v>On Leave</v>
      </c>
      <c r="N83" s="17">
        <f>'Data cleaning and validation(3)'!N71</f>
        <v>1126068</v>
      </c>
      <c r="O83" s="18">
        <f>'Data cleaning and validation(3)'!O71</f>
        <v>9383.9</v>
      </c>
    </row>
    <row r="84" spans="1:15" x14ac:dyDescent="0.35">
      <c r="A84" s="8">
        <f>'Data cleaning and validation(3)'!A72</f>
        <v>71</v>
      </c>
      <c r="B84" s="8" t="str">
        <f>'Data cleaning and validation(3)'!B72</f>
        <v>Vasquez</v>
      </c>
      <c r="C84" s="8" t="str">
        <f>'Data cleaning and validation(3)'!C72</f>
        <v>evasquez1y@behance.net</v>
      </c>
      <c r="D84" s="8" t="str">
        <f>'Data cleaning and validation(3)'!D72</f>
        <v>M</v>
      </c>
      <c r="E84" s="8" t="str">
        <f>'Data cleaning and validation(3)'!E72</f>
        <v>Baby</v>
      </c>
      <c r="F84" s="15">
        <f>'Data cleaning and validation(3)'!F72</f>
        <v>37549</v>
      </c>
      <c r="G84" s="8">
        <f>'Data cleaning and validation(3)'!G72</f>
        <v>19</v>
      </c>
      <c r="H84" s="19">
        <f>'Data cleaning and validation(3)'!H72</f>
        <v>77285</v>
      </c>
      <c r="I84" s="8" t="str">
        <f>'Data cleaning and validation(3)'!I72</f>
        <v>Operator</v>
      </c>
      <c r="J84" s="8" t="str">
        <f>'Data cleaning and validation(3)'!J72</f>
        <v>Quebec</v>
      </c>
      <c r="K84" s="8" t="str">
        <f>'Data cleaning and validation(3)'!K72</f>
        <v>Canada</v>
      </c>
      <c r="L84" s="8" t="str">
        <f>'Data cleaning and validation(3)'!L72</f>
        <v>Domestic</v>
      </c>
      <c r="M84" s="8" t="str">
        <f>'Data cleaning and validation(3)'!M72</f>
        <v>On Leave</v>
      </c>
      <c r="N84" s="17">
        <f>'Data cleaning and validation(3)'!N72</f>
        <v>927420</v>
      </c>
      <c r="O84" s="18">
        <f>'Data cleaning and validation(3)'!O72</f>
        <v>7728.5</v>
      </c>
    </row>
    <row r="85" spans="1:15" x14ac:dyDescent="0.35">
      <c r="A85" s="8">
        <f>'Data cleaning and validation(3)'!A73</f>
        <v>72</v>
      </c>
      <c r="B85" s="8" t="str">
        <f>'Data cleaning and validation(3)'!B73</f>
        <v>Knight</v>
      </c>
      <c r="C85" s="8" t="str">
        <f>'Data cleaning and validation(3)'!C73</f>
        <v>tknight1z@weibo.com</v>
      </c>
      <c r="D85" s="8" t="str">
        <f>'Data cleaning and validation(3)'!D73</f>
        <v>F</v>
      </c>
      <c r="E85" s="8" t="str">
        <f>'Data cleaning and validation(3)'!E73</f>
        <v>Music</v>
      </c>
      <c r="F85" s="15">
        <f>'Data cleaning and validation(3)'!F73</f>
        <v>37542</v>
      </c>
      <c r="G85" s="8">
        <f>'Data cleaning and validation(3)'!G73</f>
        <v>19</v>
      </c>
      <c r="H85" s="19">
        <f>'Data cleaning and validation(3)'!H73</f>
        <v>135688</v>
      </c>
      <c r="I85" s="8" t="str">
        <f>'Data cleaning and validation(3)'!I73</f>
        <v>Statistician I</v>
      </c>
      <c r="J85" s="8" t="str">
        <f>'Data cleaning and validation(3)'!J73</f>
        <v>Southwest</v>
      </c>
      <c r="K85" s="8" t="str">
        <f>'Data cleaning and validation(3)'!K73</f>
        <v>USA</v>
      </c>
      <c r="L85" s="8" t="str">
        <f>'Data cleaning and validation(3)'!L73</f>
        <v>Entertainment</v>
      </c>
      <c r="M85" s="8" t="str">
        <f>'Data cleaning and validation(3)'!M73</f>
        <v>On Leave</v>
      </c>
      <c r="N85" s="17">
        <f>'Data cleaning and validation(3)'!N73</f>
        <v>1628256</v>
      </c>
      <c r="O85" s="18">
        <f>'Data cleaning and validation(3)'!O73</f>
        <v>13568.800000000001</v>
      </c>
    </row>
    <row r="86" spans="1:15" x14ac:dyDescent="0.35">
      <c r="A86" s="8">
        <f>'Data cleaning and validation(3)'!A74</f>
        <v>73</v>
      </c>
      <c r="B86" s="8" t="str">
        <f>'Data cleaning and validation(3)'!B74</f>
        <v>Palmer</v>
      </c>
      <c r="C86" s="8" t="str">
        <f>'Data cleaning and validation(3)'!C74</f>
        <v>ipalmer20@newsvine.com</v>
      </c>
      <c r="D86" s="8" t="str">
        <f>'Data cleaning and validation(3)'!D74</f>
        <v>M</v>
      </c>
      <c r="E86" s="8" t="str">
        <f>'Data cleaning and validation(3)'!E74</f>
        <v>Sports</v>
      </c>
      <c r="F86" s="15">
        <f>'Data cleaning and validation(3)'!F74</f>
        <v>37349</v>
      </c>
      <c r="G86" s="8">
        <f>'Data cleaning and validation(3)'!G74</f>
        <v>19</v>
      </c>
      <c r="H86" s="19">
        <f>'Data cleaning and validation(3)'!H74</f>
        <v>78828</v>
      </c>
      <c r="I86" s="8" t="str">
        <f>'Data cleaning and validation(3)'!I74</f>
        <v>Director of Sales</v>
      </c>
      <c r="J86" s="8" t="str">
        <f>'Data cleaning and validation(3)'!J74</f>
        <v>Southeast</v>
      </c>
      <c r="K86" s="8" t="str">
        <f>'Data cleaning and validation(3)'!K74</f>
        <v>USA</v>
      </c>
      <c r="L86" s="8" t="str">
        <f>'Data cleaning and validation(3)'!L74</f>
        <v>Games &amp; Sports</v>
      </c>
      <c r="M86" s="8" t="str">
        <f>'Data cleaning and validation(3)'!M74</f>
        <v>On Leave</v>
      </c>
      <c r="N86" s="17">
        <f>'Data cleaning and validation(3)'!N74</f>
        <v>945936</v>
      </c>
      <c r="O86" s="18">
        <f>'Data cleaning and validation(3)'!O74</f>
        <v>7882.8</v>
      </c>
    </row>
    <row r="87" spans="1:15" x14ac:dyDescent="0.35">
      <c r="A87" s="8">
        <f>'Data cleaning and validation(3)'!A75</f>
        <v>74</v>
      </c>
      <c r="B87" s="8" t="str">
        <f>'Data cleaning and validation(3)'!B75</f>
        <v>Washington</v>
      </c>
      <c r="C87" s="8" t="str">
        <f>'Data cleaning and validation(3)'!C75</f>
        <v>jwashington21@squidoo.com</v>
      </c>
      <c r="D87" s="8" t="str">
        <f>'Data cleaning and validation(3)'!D75</f>
        <v>F</v>
      </c>
      <c r="E87" s="8" t="str">
        <f>'Data cleaning and validation(3)'!E75</f>
        <v>Home</v>
      </c>
      <c r="F87" s="15">
        <f>'Data cleaning and validation(3)'!F75</f>
        <v>36718</v>
      </c>
      <c r="G87" s="8">
        <f>'Data cleaning and validation(3)'!G75</f>
        <v>21</v>
      </c>
      <c r="H87" s="19">
        <f>'Data cleaning and validation(3)'!H75</f>
        <v>47206</v>
      </c>
      <c r="I87" s="8" t="str">
        <f>'Data cleaning and validation(3)'!I75</f>
        <v>Programmer III</v>
      </c>
      <c r="J87" s="8" t="str">
        <f>'Data cleaning and validation(3)'!J75</f>
        <v>Northwest</v>
      </c>
      <c r="K87" s="8" t="str">
        <f>'Data cleaning and validation(3)'!K75</f>
        <v>USA</v>
      </c>
      <c r="L87" s="8" t="str">
        <f>'Data cleaning and validation(3)'!L75</f>
        <v>Domestic</v>
      </c>
      <c r="M87" s="8" t="str">
        <f>'Data cleaning and validation(3)'!M75</f>
        <v>Active</v>
      </c>
      <c r="N87" s="17">
        <f>'Data cleaning and validation(3)'!N75</f>
        <v>566472</v>
      </c>
      <c r="O87" s="18">
        <f>'Data cleaning and validation(3)'!O75</f>
        <v>4720.6000000000004</v>
      </c>
    </row>
    <row r="88" spans="1:15" x14ac:dyDescent="0.35">
      <c r="A88" s="8">
        <f>'Data cleaning and validation(3)'!A76</f>
        <v>75</v>
      </c>
      <c r="B88" s="8" t="str">
        <f>'Data cleaning and validation(3)'!B76</f>
        <v>Sanchez</v>
      </c>
      <c r="C88" s="8" t="str">
        <f>'Data cleaning and validation(3)'!C76</f>
        <v>dsanchez22@blog.com</v>
      </c>
      <c r="D88" s="8" t="str">
        <f>'Data cleaning and validation(3)'!D76</f>
        <v>F</v>
      </c>
      <c r="E88" s="8" t="str">
        <f>'Data cleaning and validation(3)'!E76</f>
        <v>Outdoors</v>
      </c>
      <c r="F88" s="15">
        <f>'Data cleaning and validation(3)'!F76</f>
        <v>46301</v>
      </c>
      <c r="G88" s="8">
        <f>'Data cleaning and validation(3)'!G76</f>
        <v>8</v>
      </c>
      <c r="H88" s="19">
        <f>'Data cleaning and validation(3)'!H76</f>
        <v>78157</v>
      </c>
      <c r="I88" s="8" t="str">
        <f>'Data cleaning and validation(3)'!I76</f>
        <v>Senior Financial Analyst</v>
      </c>
      <c r="J88" s="8" t="str">
        <f>'Data cleaning and validation(3)'!J76</f>
        <v>Northeast</v>
      </c>
      <c r="K88" s="8" t="str">
        <f>'Data cleaning and validation(3)'!K76</f>
        <v>USA</v>
      </c>
      <c r="L88" s="8" t="str">
        <f>'Data cleaning and validation(3)'!L76</f>
        <v>Outdoors &amp; Garden</v>
      </c>
      <c r="M88" s="8" t="str">
        <f>'Data cleaning and validation(3)'!M76</f>
        <v>Active</v>
      </c>
      <c r="N88" s="17">
        <f>'Data cleaning and validation(3)'!N76</f>
        <v>937884</v>
      </c>
      <c r="O88" s="18">
        <f>'Data cleaning and validation(3)'!O76</f>
        <v>7815.7000000000007</v>
      </c>
    </row>
    <row r="89" spans="1:15" x14ac:dyDescent="0.35">
      <c r="A89" s="8">
        <f>'Data cleaning and validation(3)'!A77</f>
        <v>76</v>
      </c>
      <c r="B89" s="8" t="str">
        <f>'Data cleaning and validation(3)'!B77</f>
        <v>Grant</v>
      </c>
      <c r="C89" s="8" t="str">
        <f>'Data cleaning and validation(3)'!C77</f>
        <v>egrant23@prlog.org</v>
      </c>
      <c r="D89" s="8" t="str">
        <f>'Data cleaning and validation(3)'!D77</f>
        <v>F</v>
      </c>
      <c r="E89" s="8" t="str">
        <f>'Data cleaning and validation(3)'!E77</f>
        <v>Electronics</v>
      </c>
      <c r="F89" s="15">
        <f>'Data cleaning and validation(3)'!F77</f>
        <v>36730</v>
      </c>
      <c r="G89" s="8">
        <f>'Data cleaning and validation(3)'!G77</f>
        <v>21</v>
      </c>
      <c r="H89" s="19">
        <f>'Data cleaning and validation(3)'!H77</f>
        <v>49296</v>
      </c>
      <c r="I89" s="8" t="str">
        <f>'Data cleaning and validation(3)'!I77</f>
        <v>Software Test Engineer II</v>
      </c>
      <c r="J89" s="8" t="str">
        <f>'Data cleaning and validation(3)'!J77</f>
        <v>Quebec</v>
      </c>
      <c r="K89" s="8" t="str">
        <f>'Data cleaning and validation(3)'!K77</f>
        <v>Canada</v>
      </c>
      <c r="L89" s="8" t="str">
        <f>'Data cleaning and validation(3)'!L77</f>
        <v>Electronic Equipment</v>
      </c>
      <c r="M89" s="8" t="str">
        <f>'Data cleaning and validation(3)'!M77</f>
        <v>Active</v>
      </c>
      <c r="N89" s="17">
        <f>'Data cleaning and validation(3)'!N77</f>
        <v>591552</v>
      </c>
      <c r="O89" s="18">
        <f>'Data cleaning and validation(3)'!O77</f>
        <v>4929.6000000000004</v>
      </c>
    </row>
    <row r="90" spans="1:15" x14ac:dyDescent="0.35">
      <c r="A90" s="8">
        <f>'Data cleaning and validation(3)'!A78</f>
        <v>77</v>
      </c>
      <c r="B90" s="8" t="str">
        <f>'Data cleaning and validation(3)'!B78</f>
        <v>Daniels</v>
      </c>
      <c r="C90" s="8" t="str">
        <f>'Data cleaning and validation(3)'!C78</f>
        <v>ndaniels24@google.ca</v>
      </c>
      <c r="D90" s="8" t="str">
        <f>'Data cleaning and validation(3)'!D78</f>
        <v>M</v>
      </c>
      <c r="E90" s="8" t="str">
        <f>'Data cleaning and validation(3)'!E78</f>
        <v>Tools</v>
      </c>
      <c r="F90" s="15">
        <f>'Data cleaning and validation(3)'!F78</f>
        <v>41312</v>
      </c>
      <c r="G90" s="8">
        <f>'Data cleaning and validation(3)'!G78</f>
        <v>8</v>
      </c>
      <c r="H90" s="19">
        <f>'Data cleaning and validation(3)'!H78</f>
        <v>139061</v>
      </c>
      <c r="I90" s="8" t="str">
        <f>'Data cleaning and validation(3)'!I78</f>
        <v>Environmental Specialist</v>
      </c>
      <c r="J90" s="8" t="str">
        <f>'Data cleaning and validation(3)'!J78</f>
        <v>Northwest</v>
      </c>
      <c r="K90" s="8" t="str">
        <f>'Data cleaning and validation(3)'!K78</f>
        <v>USA</v>
      </c>
      <c r="L90" s="8" t="str">
        <f>'Data cleaning and validation(3)'!L78</f>
        <v>Auto &amp; Hardware</v>
      </c>
      <c r="M90" s="8" t="str">
        <f>'Data cleaning and validation(3)'!M78</f>
        <v>On Leave</v>
      </c>
      <c r="N90" s="17">
        <f>'Data cleaning and validation(3)'!N78</f>
        <v>1668732</v>
      </c>
      <c r="O90" s="18">
        <f>'Data cleaning and validation(3)'!O78</f>
        <v>13906.1</v>
      </c>
    </row>
    <row r="91" spans="1:15" x14ac:dyDescent="0.35">
      <c r="A91" s="8">
        <f>'Data cleaning and validation(3)'!A79</f>
        <v>78</v>
      </c>
      <c r="B91" s="8" t="str">
        <f>'Data cleaning and validation(3)'!B79</f>
        <v>Medina</v>
      </c>
      <c r="C91" s="8" t="str">
        <f>'Data cleaning and validation(3)'!C79</f>
        <v>jmedina25@dot.gov</v>
      </c>
      <c r="D91" s="8" t="str">
        <f>'Data cleaning and validation(3)'!D79</f>
        <v>F</v>
      </c>
      <c r="E91" s="8" t="str">
        <f>'Data cleaning and validation(3)'!E79</f>
        <v>Games</v>
      </c>
      <c r="F91" s="15">
        <f>'Data cleaning and validation(3)'!F79</f>
        <v>38611</v>
      </c>
      <c r="G91" s="8">
        <f>'Data cleaning and validation(3)'!G79</f>
        <v>16</v>
      </c>
      <c r="H91" s="19">
        <f>'Data cleaning and validation(3)'!H79</f>
        <v>114989</v>
      </c>
      <c r="I91" s="8" t="str">
        <f>'Data cleaning and validation(3)'!I79</f>
        <v>Marketing Assistant</v>
      </c>
      <c r="J91" s="8" t="str">
        <f>'Data cleaning and validation(3)'!J79</f>
        <v>Northwest</v>
      </c>
      <c r="K91" s="8" t="str">
        <f>'Data cleaning and validation(3)'!K79</f>
        <v>USA</v>
      </c>
      <c r="L91" s="8" t="str">
        <f>'Data cleaning and validation(3)'!L79</f>
        <v>Domestic</v>
      </c>
      <c r="M91" s="8" t="str">
        <f>'Data cleaning and validation(3)'!M79</f>
        <v>Active</v>
      </c>
      <c r="N91" s="17">
        <f>'Data cleaning and validation(3)'!N79</f>
        <v>1379868</v>
      </c>
      <c r="O91" s="18">
        <f>'Data cleaning and validation(3)'!O79</f>
        <v>11498.900000000001</v>
      </c>
    </row>
    <row r="92" spans="1:15" x14ac:dyDescent="0.35">
      <c r="A92" s="8">
        <f>'Data cleaning and validation(3)'!A80</f>
        <v>79</v>
      </c>
      <c r="B92" s="8" t="str">
        <f>'Data cleaning and validation(3)'!B80</f>
        <v>Cunningham</v>
      </c>
      <c r="C92" s="8" t="str">
        <f>'Data cleaning and validation(3)'!C80</f>
        <v>acunningham26@simplemachines.org</v>
      </c>
      <c r="D92" s="8" t="str">
        <f>'Data cleaning and validation(3)'!D80</f>
        <v>M</v>
      </c>
      <c r="E92" s="8" t="str">
        <f>'Data cleaning and validation(3)'!E80</f>
        <v>Clothing</v>
      </c>
      <c r="F92" s="15">
        <f>'Data cleaning and validation(3)'!F80</f>
        <v>37514</v>
      </c>
      <c r="G92" s="8">
        <f>'Data cleaning and validation(3)'!G80</f>
        <v>19</v>
      </c>
      <c r="H92" s="19">
        <f>'Data cleaning and validation(3)'!H80</f>
        <v>88345</v>
      </c>
      <c r="I92" s="8" t="str">
        <f>'Data cleaning and validation(3)'!I80</f>
        <v>Junior Executive</v>
      </c>
      <c r="J92" s="8" t="str">
        <f>'Data cleaning and validation(3)'!J80</f>
        <v>Quebec</v>
      </c>
      <c r="K92" s="8" t="str">
        <f>'Data cleaning and validation(3)'!K80</f>
        <v>Canada</v>
      </c>
      <c r="L92" s="8" t="str">
        <f>'Data cleaning and validation(3)'!L80</f>
        <v>Domestic</v>
      </c>
      <c r="M92" s="8" t="str">
        <f>'Data cleaning and validation(3)'!M80</f>
        <v>Active</v>
      </c>
      <c r="N92" s="17">
        <f>'Data cleaning and validation(3)'!N80</f>
        <v>1060140</v>
      </c>
      <c r="O92" s="18">
        <f>'Data cleaning and validation(3)'!O80</f>
        <v>8834.5</v>
      </c>
    </row>
    <row r="93" spans="1:15" x14ac:dyDescent="0.35">
      <c r="A93" s="8">
        <f>'Data cleaning and validation(3)'!A81</f>
        <v>80</v>
      </c>
      <c r="B93" s="8" t="str">
        <f>'Data cleaning and validation(3)'!B81</f>
        <v>Little</v>
      </c>
      <c r="C93" s="8" t="str">
        <f>'Data cleaning and validation(3)'!C81</f>
        <v>klittle27@un.org</v>
      </c>
      <c r="D93" s="8" t="str">
        <f>'Data cleaning and validation(3)'!D81</f>
        <v>M</v>
      </c>
      <c r="E93" s="8" t="str">
        <f>'Data cleaning and validation(3)'!E81</f>
        <v>Music</v>
      </c>
      <c r="F93" s="15">
        <f>'Data cleaning and validation(3)'!F81</f>
        <v>37146</v>
      </c>
      <c r="G93" s="8">
        <f>'Data cleaning and validation(3)'!G81</f>
        <v>20</v>
      </c>
      <c r="H93" s="19">
        <f>'Data cleaning and validation(3)'!H81</f>
        <v>114647</v>
      </c>
      <c r="I93" s="8" t="str">
        <f>'Data cleaning and validation(3)'!I81</f>
        <v>Editor</v>
      </c>
      <c r="J93" s="8" t="str">
        <f>'Data cleaning and validation(3)'!J81</f>
        <v>British Columbia</v>
      </c>
      <c r="K93" s="8" t="str">
        <f>'Data cleaning and validation(3)'!K81</f>
        <v>Canada</v>
      </c>
      <c r="L93" s="8" t="str">
        <f>'Data cleaning and validation(3)'!L81</f>
        <v>Entertainment</v>
      </c>
      <c r="M93" s="8" t="str">
        <f>'Data cleaning and validation(3)'!M81</f>
        <v>Active</v>
      </c>
      <c r="N93" s="17">
        <f>'Data cleaning and validation(3)'!N81</f>
        <v>1375764</v>
      </c>
      <c r="O93" s="18">
        <f>'Data cleaning and validation(3)'!O81</f>
        <v>11464.7</v>
      </c>
    </row>
    <row r="94" spans="1:15" x14ac:dyDescent="0.35">
      <c r="A94" s="8">
        <f>'Data cleaning and validation(3)'!A82</f>
        <v>81</v>
      </c>
      <c r="B94" s="8" t="str">
        <f>'Data cleaning and validation(3)'!B82</f>
        <v>Welch</v>
      </c>
      <c r="C94" s="8" t="str">
        <f>'Data cleaning and validation(3)'!C82</f>
        <v>jwelch28@1und1.de</v>
      </c>
      <c r="D94" s="8" t="str">
        <f>'Data cleaning and validation(3)'!D82</f>
        <v>M</v>
      </c>
      <c r="E94" s="8" t="str">
        <f>'Data cleaning and validation(3)'!E82</f>
        <v>Outdoors</v>
      </c>
      <c r="F94" s="15">
        <f>'Data cleaning and validation(3)'!F82</f>
        <v>38192</v>
      </c>
      <c r="G94" s="8">
        <f>'Data cleaning and validation(3)'!G82</f>
        <v>17</v>
      </c>
      <c r="H94" s="19">
        <f>'Data cleaning and validation(3)'!H82</f>
        <v>118514</v>
      </c>
      <c r="I94" s="8" t="str">
        <f>'Data cleaning and validation(3)'!I82</f>
        <v>Accounting Assistant III</v>
      </c>
      <c r="J94" s="8" t="str">
        <f>'Data cleaning and validation(3)'!J82</f>
        <v>British Columbia</v>
      </c>
      <c r="K94" s="8" t="str">
        <f>'Data cleaning and validation(3)'!K82</f>
        <v>Canada</v>
      </c>
      <c r="L94" s="8" t="str">
        <f>'Data cleaning and validation(3)'!L82</f>
        <v>Outdoors &amp; Garden</v>
      </c>
      <c r="M94" s="8" t="str">
        <f>'Data cleaning and validation(3)'!M82</f>
        <v>Active</v>
      </c>
      <c r="N94" s="17">
        <f>'Data cleaning and validation(3)'!N82</f>
        <v>1422168</v>
      </c>
      <c r="O94" s="18">
        <f>'Data cleaning and validation(3)'!O82</f>
        <v>11851.400000000001</v>
      </c>
    </row>
    <row r="95" spans="1:15" x14ac:dyDescent="0.35">
      <c r="A95" s="8">
        <f>'Data cleaning and validation(3)'!A83</f>
        <v>82</v>
      </c>
      <c r="B95" s="8" t="str">
        <f>'Data cleaning and validation(3)'!B83</f>
        <v>Gilbert</v>
      </c>
      <c r="C95" s="8" t="str">
        <f>'Data cleaning and validation(3)'!C83</f>
        <v>hgilbert29@xrea.com</v>
      </c>
      <c r="D95" s="8" t="str">
        <f>'Data cleaning and validation(3)'!D83</f>
        <v>F</v>
      </c>
      <c r="E95" s="8" t="str">
        <f>'Data cleaning and validation(3)'!E83</f>
        <v>Home</v>
      </c>
      <c r="F95" s="15">
        <f>'Data cleaning and validation(3)'!F83</f>
        <v>37752</v>
      </c>
      <c r="G95" s="8">
        <f>'Data cleaning and validation(3)'!G83</f>
        <v>18</v>
      </c>
      <c r="H95" s="19">
        <f>'Data cleaning and validation(3)'!H83</f>
        <v>93712</v>
      </c>
      <c r="I95" s="8" t="str">
        <f>'Data cleaning and validation(3)'!I83</f>
        <v>Junior Executive</v>
      </c>
      <c r="J95" s="8" t="str">
        <f>'Data cleaning and validation(3)'!J83</f>
        <v>Nova Scotia</v>
      </c>
      <c r="K95" s="8" t="str">
        <f>'Data cleaning and validation(3)'!K83</f>
        <v>Canada</v>
      </c>
      <c r="L95" s="8" t="str">
        <f>'Data cleaning and validation(3)'!L83</f>
        <v>Domestic</v>
      </c>
      <c r="M95" s="8" t="str">
        <f>'Data cleaning and validation(3)'!M83</f>
        <v>Active</v>
      </c>
      <c r="N95" s="17">
        <f>'Data cleaning and validation(3)'!N83</f>
        <v>1124544</v>
      </c>
      <c r="O95" s="18">
        <f>'Data cleaning and validation(3)'!O83</f>
        <v>9371.2000000000007</v>
      </c>
    </row>
    <row r="96" spans="1:15" x14ac:dyDescent="0.35">
      <c r="A96" s="8">
        <f>'Data cleaning and validation(3)'!A84</f>
        <v>83</v>
      </c>
      <c r="B96" s="8" t="str">
        <f>'Data cleaning and validation(3)'!B84</f>
        <v>George</v>
      </c>
      <c r="C96" s="8" t="str">
        <f>'Data cleaning and validation(3)'!C84</f>
        <v>ageorge2a@gmpg.org</v>
      </c>
      <c r="D96" s="8" t="str">
        <f>'Data cleaning and validation(3)'!D84</f>
        <v>M</v>
      </c>
      <c r="E96" s="8" t="str">
        <f>'Data cleaning and validation(3)'!E84</f>
        <v>Industrial</v>
      </c>
      <c r="F96" s="15">
        <f>'Data cleaning and validation(3)'!F84</f>
        <v>39935</v>
      </c>
      <c r="G96" s="8">
        <f>'Data cleaning and validation(3)'!G84</f>
        <v>12</v>
      </c>
      <c r="H96" s="19">
        <f>'Data cleaning and validation(3)'!H84</f>
        <v>86373</v>
      </c>
      <c r="I96" s="8" t="str">
        <f>'Data cleaning and validation(3)'!I84</f>
        <v>Compensation Analyst</v>
      </c>
      <c r="J96" s="8" t="str">
        <f>'Data cleaning and validation(3)'!J84</f>
        <v>Nova Scotia</v>
      </c>
      <c r="K96" s="8" t="str">
        <f>'Data cleaning and validation(3)'!K84</f>
        <v>Canada</v>
      </c>
      <c r="L96" s="8" t="str">
        <f>'Data cleaning and validation(3)'!L84</f>
        <v>Auto &amp; Hardware</v>
      </c>
      <c r="M96" s="8" t="str">
        <f>'Data cleaning and validation(3)'!M84</f>
        <v>Active</v>
      </c>
      <c r="N96" s="17">
        <f>'Data cleaning and validation(3)'!N84</f>
        <v>1036476</v>
      </c>
      <c r="O96" s="18">
        <f>'Data cleaning and validation(3)'!O84</f>
        <v>8637.3000000000011</v>
      </c>
    </row>
    <row r="97" spans="1:15" x14ac:dyDescent="0.35">
      <c r="A97" s="8">
        <f>'Data cleaning and validation(3)'!A85</f>
        <v>84</v>
      </c>
      <c r="B97" s="8" t="str">
        <f>'Data cleaning and validation(3)'!B85</f>
        <v>Hughes</v>
      </c>
      <c r="C97" s="8" t="str">
        <f>'Data cleaning and validation(3)'!C85</f>
        <v>mhughes2b@youtube.com</v>
      </c>
      <c r="D97" s="8" t="str">
        <f>'Data cleaning and validation(3)'!D85</f>
        <v>M</v>
      </c>
      <c r="E97" s="8" t="str">
        <f>'Data cleaning and validation(3)'!E85</f>
        <v>Kids</v>
      </c>
      <c r="F97" s="15">
        <f>'Data cleaning and validation(3)'!F85</f>
        <v>41302</v>
      </c>
      <c r="G97" s="8">
        <f>'Data cleaning and validation(3)'!G85</f>
        <v>8</v>
      </c>
      <c r="H97" s="19">
        <f>'Data cleaning and validation(3)'!H85</f>
        <v>122110</v>
      </c>
      <c r="I97" s="8" t="str">
        <f>'Data cleaning and validation(3)'!I85</f>
        <v>Structural Engineer</v>
      </c>
      <c r="J97" s="8" t="str">
        <f>'Data cleaning and validation(3)'!J85</f>
        <v>Quebec</v>
      </c>
      <c r="K97" s="8" t="str">
        <f>'Data cleaning and validation(3)'!K85</f>
        <v>Canada</v>
      </c>
      <c r="L97" s="8" t="str">
        <f>'Data cleaning and validation(3)'!L85</f>
        <v>Domestic</v>
      </c>
      <c r="M97" s="8" t="str">
        <f>'Data cleaning and validation(3)'!M85</f>
        <v>Resigned</v>
      </c>
      <c r="N97" s="17">
        <f>'Data cleaning and validation(3)'!N85</f>
        <v>1465320</v>
      </c>
      <c r="O97" s="18">
        <f>'Data cleaning and validation(3)'!O85</f>
        <v>12211</v>
      </c>
    </row>
    <row r="98" spans="1:15" x14ac:dyDescent="0.35">
      <c r="A98" s="8">
        <f>'Data cleaning and validation(3)'!A86</f>
        <v>85</v>
      </c>
      <c r="B98" s="8" t="str">
        <f>'Data cleaning and validation(3)'!B86</f>
        <v>Williams</v>
      </c>
      <c r="C98" s="8" t="str">
        <f>'Data cleaning and validation(3)'!C86</f>
        <v>jwilliams2c@businesswire.com</v>
      </c>
      <c r="D98" s="8" t="str">
        <f>'Data cleaning and validation(3)'!D86</f>
        <v>F</v>
      </c>
      <c r="E98" s="8" t="str">
        <f>'Data cleaning and validation(3)'!E86</f>
        <v>Games</v>
      </c>
      <c r="F98" s="15">
        <f>'Data cleaning and validation(3)'!F86</f>
        <v>38802</v>
      </c>
      <c r="G98" s="8">
        <f>'Data cleaning and validation(3)'!G86</f>
        <v>15</v>
      </c>
      <c r="H98" s="19">
        <f>'Data cleaning and validation(3)'!H86</f>
        <v>95542</v>
      </c>
      <c r="I98" s="8" t="str">
        <f>'Data cleaning and validation(3)'!I86</f>
        <v>Nurse</v>
      </c>
      <c r="J98" s="8" t="str">
        <f>'Data cleaning and validation(3)'!J86</f>
        <v>Southeast</v>
      </c>
      <c r="K98" s="8" t="str">
        <f>'Data cleaning and validation(3)'!K86</f>
        <v>USA</v>
      </c>
      <c r="L98" s="8" t="str">
        <f>'Data cleaning and validation(3)'!L86</f>
        <v>Domestic</v>
      </c>
      <c r="M98" s="8" t="str">
        <f>'Data cleaning and validation(3)'!M86</f>
        <v>Active</v>
      </c>
      <c r="N98" s="17">
        <f>'Data cleaning and validation(3)'!N86</f>
        <v>1146504</v>
      </c>
      <c r="O98" s="18">
        <f>'Data cleaning and validation(3)'!O86</f>
        <v>9554.2000000000007</v>
      </c>
    </row>
    <row r="99" spans="1:15" x14ac:dyDescent="0.35">
      <c r="A99" s="8">
        <f>'Data cleaning and validation(3)'!A87</f>
        <v>86</v>
      </c>
      <c r="B99" s="8" t="str">
        <f>'Data cleaning and validation(3)'!B87</f>
        <v>Martinez</v>
      </c>
      <c r="C99" s="8" t="str">
        <f>'Data cleaning and validation(3)'!C87</f>
        <v>wmartinez2d@barnesandnoble.com</v>
      </c>
      <c r="D99" s="8" t="str">
        <f>'Data cleaning and validation(3)'!D87</f>
        <v>F</v>
      </c>
      <c r="E99" s="8" t="str">
        <f>'Data cleaning and validation(3)'!E87</f>
        <v>Outdoors</v>
      </c>
      <c r="F99" s="15">
        <f>'Data cleaning and validation(3)'!F87</f>
        <v>46167</v>
      </c>
      <c r="G99" s="8">
        <f>'Data cleaning and validation(3)'!G87</f>
        <v>8</v>
      </c>
      <c r="H99" s="19">
        <f>'Data cleaning and validation(3)'!H87</f>
        <v>131392</v>
      </c>
      <c r="I99" s="8" t="str">
        <f>'Data cleaning and validation(3)'!I87</f>
        <v>Systems Administrator II</v>
      </c>
      <c r="J99" s="8" t="str">
        <f>'Data cleaning and validation(3)'!J87</f>
        <v>Southeast</v>
      </c>
      <c r="K99" s="8" t="str">
        <f>'Data cleaning and validation(3)'!K87</f>
        <v>USA</v>
      </c>
      <c r="L99" s="8" t="str">
        <f>'Data cleaning and validation(3)'!L87</f>
        <v>Outdoors &amp; Garden</v>
      </c>
      <c r="M99" s="8" t="str">
        <f>'Data cleaning and validation(3)'!M87</f>
        <v>Active</v>
      </c>
      <c r="N99" s="17">
        <f>'Data cleaning and validation(3)'!N87</f>
        <v>1576704</v>
      </c>
      <c r="O99" s="18">
        <f>'Data cleaning and validation(3)'!O87</f>
        <v>13139.2</v>
      </c>
    </row>
    <row r="100" spans="1:15" x14ac:dyDescent="0.35">
      <c r="A100" s="8">
        <f>'Data cleaning and validation(3)'!A88</f>
        <v>87</v>
      </c>
      <c r="B100" s="8" t="str">
        <f>'Data cleaning and validation(3)'!B88</f>
        <v>Hamilton</v>
      </c>
      <c r="C100" s="8" t="str">
        <f>'Data cleaning and validation(3)'!C88</f>
        <v>hhamilton2e@google.de</v>
      </c>
      <c r="D100" s="8" t="str">
        <f>'Data cleaning and validation(3)'!D88</f>
        <v>M</v>
      </c>
      <c r="E100" s="8" t="str">
        <f>'Data cleaning and validation(3)'!E88</f>
        <v>Music</v>
      </c>
      <c r="F100" s="15">
        <f>'Data cleaning and validation(3)'!F88</f>
        <v>40474</v>
      </c>
      <c r="G100" s="8">
        <f>'Data cleaning and validation(3)'!G88</f>
        <v>11</v>
      </c>
      <c r="H100" s="19">
        <f>'Data cleaning and validation(3)'!H88</f>
        <v>98401</v>
      </c>
      <c r="I100" s="8" t="str">
        <f>'Data cleaning and validation(3)'!I88</f>
        <v>VP Quality Control</v>
      </c>
      <c r="J100" s="8" t="str">
        <f>'Data cleaning and validation(3)'!J88</f>
        <v>Northeast</v>
      </c>
      <c r="K100" s="8" t="str">
        <f>'Data cleaning and validation(3)'!K88</f>
        <v>USA</v>
      </c>
      <c r="L100" s="8" t="str">
        <f>'Data cleaning and validation(3)'!L88</f>
        <v>Entertainment</v>
      </c>
      <c r="M100" s="8" t="str">
        <f>'Data cleaning and validation(3)'!M88</f>
        <v>Active</v>
      </c>
      <c r="N100" s="17">
        <f>'Data cleaning and validation(3)'!N88</f>
        <v>1180812</v>
      </c>
      <c r="O100" s="18">
        <f>'Data cleaning and validation(3)'!O88</f>
        <v>9840.1</v>
      </c>
    </row>
    <row r="101" spans="1:15" x14ac:dyDescent="0.35">
      <c r="A101" s="8">
        <f>'Data cleaning and validation(3)'!A89</f>
        <v>88</v>
      </c>
      <c r="B101" s="8" t="str">
        <f>'Data cleaning and validation(3)'!B89</f>
        <v>Gomez</v>
      </c>
      <c r="C101" s="8" t="str">
        <f>'Data cleaning and validation(3)'!C89</f>
        <v>jgomez2f@mtv.com</v>
      </c>
      <c r="D101" s="8" t="str">
        <f>'Data cleaning and validation(3)'!D89</f>
        <v>F</v>
      </c>
      <c r="E101" s="8" t="str">
        <f>'Data cleaning and validation(3)'!E89</f>
        <v>Tools</v>
      </c>
      <c r="F101" s="15">
        <f>'Data cleaning and validation(3)'!F89</f>
        <v>38249</v>
      </c>
      <c r="G101" s="8">
        <f>'Data cleaning and validation(3)'!G89</f>
        <v>17</v>
      </c>
      <c r="H101" s="19">
        <f>'Data cleaning and validation(3)'!H89</f>
        <v>103806</v>
      </c>
      <c r="I101" s="8" t="str">
        <f>'Data cleaning and validation(3)'!I89</f>
        <v>Accounting Assistant I</v>
      </c>
      <c r="J101" s="8" t="str">
        <f>'Data cleaning and validation(3)'!J89</f>
        <v>Northwest</v>
      </c>
      <c r="K101" s="8" t="str">
        <f>'Data cleaning and validation(3)'!K89</f>
        <v>USA</v>
      </c>
      <c r="L101" s="8" t="str">
        <f>'Data cleaning and validation(3)'!L89</f>
        <v>Auto &amp; Hardware</v>
      </c>
      <c r="M101" s="8" t="str">
        <f>'Data cleaning and validation(3)'!M89</f>
        <v>Active</v>
      </c>
      <c r="N101" s="17">
        <f>'Data cleaning and validation(3)'!N89</f>
        <v>1245672</v>
      </c>
      <c r="O101" s="18">
        <f>'Data cleaning and validation(3)'!O89</f>
        <v>10380.6</v>
      </c>
    </row>
    <row r="102" spans="1:15" x14ac:dyDescent="0.35">
      <c r="A102" s="8">
        <f>'Data cleaning and validation(3)'!A90</f>
        <v>89</v>
      </c>
      <c r="B102" s="8" t="str">
        <f>'Data cleaning and validation(3)'!B90</f>
        <v>Webb</v>
      </c>
      <c r="C102" s="8" t="str">
        <f>'Data cleaning and validation(3)'!C90</f>
        <v>awebb2g@springer.com</v>
      </c>
      <c r="D102" s="8" t="str">
        <f>'Data cleaning and validation(3)'!D90</f>
        <v>M</v>
      </c>
      <c r="E102" s="8" t="str">
        <f>'Data cleaning and validation(3)'!E90</f>
        <v>Health</v>
      </c>
      <c r="F102" s="15">
        <f>'Data cleaning and validation(3)'!F90</f>
        <v>41739</v>
      </c>
      <c r="G102" s="8">
        <f>'Data cleaning and validation(3)'!G90</f>
        <v>7</v>
      </c>
      <c r="H102" s="19">
        <f>'Data cleaning and validation(3)'!H90</f>
        <v>73686</v>
      </c>
      <c r="I102" s="8" t="str">
        <f>'Data cleaning and validation(3)'!I90</f>
        <v>Tax Accountant</v>
      </c>
      <c r="J102" s="8" t="str">
        <f>'Data cleaning and validation(3)'!J90</f>
        <v>Southeast</v>
      </c>
      <c r="K102" s="8" t="str">
        <f>'Data cleaning and validation(3)'!K90</f>
        <v>USA</v>
      </c>
      <c r="L102" s="8" t="str">
        <f>'Data cleaning and validation(3)'!L90</f>
        <v>Domestic</v>
      </c>
      <c r="M102" s="8" t="str">
        <f>'Data cleaning and validation(3)'!M90</f>
        <v>Resigned</v>
      </c>
      <c r="N102" s="17">
        <f>'Data cleaning and validation(3)'!N90</f>
        <v>884232</v>
      </c>
      <c r="O102" s="18">
        <f>'Data cleaning and validation(3)'!O90</f>
        <v>7368.6</v>
      </c>
    </row>
    <row r="103" spans="1:15" x14ac:dyDescent="0.35">
      <c r="A103" s="8">
        <f>'Data cleaning and validation(3)'!A91</f>
        <v>90</v>
      </c>
      <c r="B103" s="8" t="str">
        <f>'Data cleaning and validation(3)'!B91</f>
        <v>Thomas</v>
      </c>
      <c r="C103" s="8" t="str">
        <f>'Data cleaning and validation(3)'!C91</f>
        <v>tthomas2h@webnode.com</v>
      </c>
      <c r="D103" s="8" t="str">
        <f>'Data cleaning and validation(3)'!D91</f>
        <v>M</v>
      </c>
      <c r="E103" s="8" t="str">
        <f>'Data cleaning and validation(3)'!E91</f>
        <v>Games</v>
      </c>
      <c r="F103" s="15">
        <f>'Data cleaning and validation(3)'!F91</f>
        <v>40850</v>
      </c>
      <c r="G103" s="8">
        <f>'Data cleaning and validation(3)'!G91</f>
        <v>10</v>
      </c>
      <c r="H103" s="19">
        <f>'Data cleaning and validation(3)'!H91</f>
        <v>55002</v>
      </c>
      <c r="I103" s="8" t="str">
        <f>'Data cleaning and validation(3)'!I91</f>
        <v>Research Assistant IV</v>
      </c>
      <c r="J103" s="8" t="str">
        <f>'Data cleaning and validation(3)'!J91</f>
        <v>Quebec</v>
      </c>
      <c r="K103" s="8" t="str">
        <f>'Data cleaning and validation(3)'!K91</f>
        <v>Canada</v>
      </c>
      <c r="L103" s="8" t="str">
        <f>'Data cleaning and validation(3)'!L91</f>
        <v>Domestic</v>
      </c>
      <c r="M103" s="8" t="str">
        <f>'Data cleaning and validation(3)'!M91</f>
        <v>Active</v>
      </c>
      <c r="N103" s="17">
        <f>'Data cleaning and validation(3)'!N91</f>
        <v>660024</v>
      </c>
      <c r="O103" s="18">
        <f>'Data cleaning and validation(3)'!O91</f>
        <v>5500.2000000000007</v>
      </c>
    </row>
    <row r="104" spans="1:15" x14ac:dyDescent="0.35">
      <c r="A104" s="8">
        <f>'Data cleaning and validation(3)'!A92</f>
        <v>91</v>
      </c>
      <c r="B104" s="8" t="str">
        <f>'Data cleaning and validation(3)'!B92</f>
        <v>Wallace</v>
      </c>
      <c r="C104" s="8" t="str">
        <f>'Data cleaning and validation(3)'!C92</f>
        <v>swallace2i@state.tx.us</v>
      </c>
      <c r="D104" s="8" t="str">
        <f>'Data cleaning and validation(3)'!D92</f>
        <v>M</v>
      </c>
      <c r="E104" s="8" t="str">
        <f>'Data cleaning and validation(3)'!E92</f>
        <v>Baby</v>
      </c>
      <c r="F104" s="15">
        <f>'Data cleaning and validation(3)'!F92</f>
        <v>38418</v>
      </c>
      <c r="G104" s="8">
        <f>'Data cleaning and validation(3)'!G92</f>
        <v>16</v>
      </c>
      <c r="H104" s="19">
        <f>'Data cleaning and validation(3)'!H92</f>
        <v>65216</v>
      </c>
      <c r="I104" s="8" t="str">
        <f>'Data cleaning and validation(3)'!I92</f>
        <v>Registered Nurse</v>
      </c>
      <c r="J104" s="8" t="str">
        <f>'Data cleaning and validation(3)'!J92</f>
        <v>Southwest</v>
      </c>
      <c r="K104" s="8" t="str">
        <f>'Data cleaning and validation(3)'!K92</f>
        <v>USA</v>
      </c>
      <c r="L104" s="8" t="str">
        <f>'Data cleaning and validation(3)'!L92</f>
        <v>Domestic</v>
      </c>
      <c r="M104" s="8" t="str">
        <f>'Data cleaning and validation(3)'!M92</f>
        <v>Active</v>
      </c>
      <c r="N104" s="17">
        <f>'Data cleaning and validation(3)'!N92</f>
        <v>782592</v>
      </c>
      <c r="O104" s="18">
        <f>'Data cleaning and validation(3)'!O92</f>
        <v>6521.6</v>
      </c>
    </row>
    <row r="105" spans="1:15" x14ac:dyDescent="0.35">
      <c r="A105" s="8">
        <f>'Data cleaning and validation(3)'!A93</f>
        <v>92</v>
      </c>
      <c r="B105" s="8" t="str">
        <f>'Data cleaning and validation(3)'!B93</f>
        <v>Ortiz</v>
      </c>
      <c r="C105" s="8" t="str">
        <f>'Data cleaning and validation(3)'!C93</f>
        <v>aortiz2j@jigsy.com</v>
      </c>
      <c r="D105" s="8" t="str">
        <f>'Data cleaning and validation(3)'!D93</f>
        <v>F</v>
      </c>
      <c r="E105" s="8" t="str">
        <f>'Data cleaning and validation(3)'!E93</f>
        <v>Automotive</v>
      </c>
      <c r="F105" s="15">
        <f>'Data cleaning and validation(3)'!F93</f>
        <v>45099</v>
      </c>
      <c r="G105" s="8">
        <f>'Data cleaning and validation(3)'!G93</f>
        <v>11</v>
      </c>
      <c r="H105" s="19">
        <f>'Data cleaning and validation(3)'!H93</f>
        <v>113231</v>
      </c>
      <c r="I105" s="8" t="str">
        <f>'Data cleaning and validation(3)'!I93</f>
        <v>Senior Editor</v>
      </c>
      <c r="J105" s="8" t="str">
        <f>'Data cleaning and validation(3)'!J93</f>
        <v>Nova Scotia</v>
      </c>
      <c r="K105" s="8" t="str">
        <f>'Data cleaning and validation(3)'!K93</f>
        <v>Canada</v>
      </c>
      <c r="L105" s="8" t="str">
        <f>'Data cleaning and validation(3)'!L93</f>
        <v>Auto &amp; Hardware</v>
      </c>
      <c r="M105" s="8" t="str">
        <f>'Data cleaning and validation(3)'!M93</f>
        <v>Active</v>
      </c>
      <c r="N105" s="17">
        <f>'Data cleaning and validation(3)'!N93</f>
        <v>1358772</v>
      </c>
      <c r="O105" s="18">
        <f>'Data cleaning and validation(3)'!O93</f>
        <v>11323.1</v>
      </c>
    </row>
    <row r="106" spans="1:15" x14ac:dyDescent="0.35">
      <c r="A106" s="8">
        <f>'Data cleaning and validation(3)'!A94</f>
        <v>93</v>
      </c>
      <c r="B106" s="8" t="str">
        <f>'Data cleaning and validation(3)'!B94</f>
        <v>Knight</v>
      </c>
      <c r="C106" s="8" t="str">
        <f>'Data cleaning and validation(3)'!C94</f>
        <v>nknight2k@cafepress.com</v>
      </c>
      <c r="D106" s="8" t="str">
        <f>'Data cleaning and validation(3)'!D94</f>
        <v>F</v>
      </c>
      <c r="E106" s="8" t="str">
        <f>'Data cleaning and validation(3)'!E94</f>
        <v>Electronics</v>
      </c>
      <c r="F106" s="15">
        <f>'Data cleaning and validation(3)'!F94</f>
        <v>46480</v>
      </c>
      <c r="G106" s="8">
        <f>'Data cleaning and validation(3)'!G94</f>
        <v>7</v>
      </c>
      <c r="H106" s="19">
        <f>'Data cleaning and validation(3)'!H94</f>
        <v>125847</v>
      </c>
      <c r="I106" s="8" t="str">
        <f>'Data cleaning and validation(3)'!I94</f>
        <v>Chemical Engineer</v>
      </c>
      <c r="J106" s="8" t="str">
        <f>'Data cleaning and validation(3)'!J94</f>
        <v>British Columbia</v>
      </c>
      <c r="K106" s="8" t="str">
        <f>'Data cleaning and validation(3)'!K94</f>
        <v>Canada</v>
      </c>
      <c r="L106" s="8" t="str">
        <f>'Data cleaning and validation(3)'!L94</f>
        <v>Electronic Equipment</v>
      </c>
      <c r="M106" s="8" t="str">
        <f>'Data cleaning and validation(3)'!M94</f>
        <v>Active</v>
      </c>
      <c r="N106" s="17">
        <f>'Data cleaning and validation(3)'!N94</f>
        <v>1510164</v>
      </c>
      <c r="O106" s="18">
        <f>'Data cleaning and validation(3)'!O94</f>
        <v>12584.7</v>
      </c>
    </row>
    <row r="107" spans="1:15" x14ac:dyDescent="0.35">
      <c r="A107" s="8">
        <f>'Data cleaning and validation(3)'!A95</f>
        <v>94</v>
      </c>
      <c r="B107" s="8" t="str">
        <f>'Data cleaning and validation(3)'!B95</f>
        <v>Hunt</v>
      </c>
      <c r="C107" s="8" t="str">
        <f>'Data cleaning and validation(3)'!C95</f>
        <v>thunt2l@twitpic.com</v>
      </c>
      <c r="D107" s="8" t="str">
        <f>'Data cleaning and validation(3)'!D95</f>
        <v>F</v>
      </c>
      <c r="E107" s="8" t="str">
        <f>'Data cleaning and validation(3)'!E95</f>
        <v>Music</v>
      </c>
      <c r="F107" s="15">
        <f>'Data cleaning and validation(3)'!F95</f>
        <v>36677</v>
      </c>
      <c r="G107" s="8">
        <f>'Data cleaning and validation(3)'!G95</f>
        <v>21</v>
      </c>
      <c r="H107" s="19">
        <f>'Data cleaning and validation(3)'!H95</f>
        <v>140430</v>
      </c>
      <c r="I107" s="8" t="str">
        <f>'Data cleaning and validation(3)'!I95</f>
        <v>Senior Cost Accountant</v>
      </c>
      <c r="J107" s="8" t="str">
        <f>'Data cleaning and validation(3)'!J95</f>
        <v>Southeast</v>
      </c>
      <c r="K107" s="8" t="str">
        <f>'Data cleaning and validation(3)'!K95</f>
        <v>USA</v>
      </c>
      <c r="L107" s="8" t="str">
        <f>'Data cleaning and validation(3)'!L95</f>
        <v>Entertainment</v>
      </c>
      <c r="M107" s="8" t="str">
        <f>'Data cleaning and validation(3)'!M95</f>
        <v>Active</v>
      </c>
      <c r="N107" s="17">
        <f>'Data cleaning and validation(3)'!N95</f>
        <v>1685160</v>
      </c>
      <c r="O107" s="18">
        <f>'Data cleaning and validation(3)'!O95</f>
        <v>14043</v>
      </c>
    </row>
    <row r="108" spans="1:15" x14ac:dyDescent="0.35">
      <c r="A108" s="8">
        <f>'Data cleaning and validation(3)'!A96</f>
        <v>95</v>
      </c>
      <c r="B108" s="8" t="str">
        <f>'Data cleaning and validation(3)'!B96</f>
        <v>Franklin</v>
      </c>
      <c r="C108" s="8" t="str">
        <f>'Data cleaning and validation(3)'!C96</f>
        <v>sfranklin2m@wordpress.com</v>
      </c>
      <c r="D108" s="8" t="str">
        <f>'Data cleaning and validation(3)'!D96</f>
        <v>M</v>
      </c>
      <c r="E108" s="8" t="str">
        <f>'Data cleaning and validation(3)'!E96</f>
        <v>Movies</v>
      </c>
      <c r="F108" s="15">
        <f>'Data cleaning and validation(3)'!F96</f>
        <v>41584</v>
      </c>
      <c r="G108" s="8">
        <f>'Data cleaning and validation(3)'!G96</f>
        <v>8</v>
      </c>
      <c r="H108" s="19">
        <f>'Data cleaning and validation(3)'!H96</f>
        <v>117105</v>
      </c>
      <c r="I108" s="8" t="str">
        <f>'Data cleaning and validation(3)'!I96</f>
        <v>VP Quality Control</v>
      </c>
      <c r="J108" s="8" t="str">
        <f>'Data cleaning and validation(3)'!J96</f>
        <v>British Columbia</v>
      </c>
      <c r="K108" s="8" t="str">
        <f>'Data cleaning and validation(3)'!K96</f>
        <v>Canada</v>
      </c>
      <c r="L108" s="8" t="str">
        <f>'Data cleaning and validation(3)'!L96</f>
        <v>Entertainment</v>
      </c>
      <c r="M108" s="8" t="str">
        <f>'Data cleaning and validation(3)'!M96</f>
        <v>Active</v>
      </c>
      <c r="N108" s="17">
        <f>'Data cleaning and validation(3)'!N96</f>
        <v>1405260</v>
      </c>
      <c r="O108" s="18">
        <f>'Data cleaning and validation(3)'!O96</f>
        <v>11710.5</v>
      </c>
    </row>
    <row r="109" spans="1:15" x14ac:dyDescent="0.35">
      <c r="A109" s="8">
        <f>'Data cleaning and validation(3)'!A97</f>
        <v>96</v>
      </c>
      <c r="B109" s="8" t="str">
        <f>'Data cleaning and validation(3)'!B97</f>
        <v>Mason</v>
      </c>
      <c r="C109" s="8" t="str">
        <f>'Data cleaning and validation(3)'!C97</f>
        <v>wmason2n@xrea.com</v>
      </c>
      <c r="D109" s="8" t="str">
        <f>'Data cleaning and validation(3)'!D97</f>
        <v>M</v>
      </c>
      <c r="E109" s="8" t="str">
        <f>'Data cleaning and validation(3)'!E97</f>
        <v>Beauty</v>
      </c>
      <c r="F109" s="15">
        <f>'Data cleaning and validation(3)'!F97</f>
        <v>38038</v>
      </c>
      <c r="G109" s="8">
        <f>'Data cleaning and validation(3)'!G97</f>
        <v>17</v>
      </c>
      <c r="H109" s="19">
        <f>'Data cleaning and validation(3)'!H97</f>
        <v>96673</v>
      </c>
      <c r="I109" s="8" t="str">
        <f>'Data cleaning and validation(3)'!I97</f>
        <v>Accounting Assistant I</v>
      </c>
      <c r="J109" s="8" t="str">
        <f>'Data cleaning and validation(3)'!J97</f>
        <v>Northeast</v>
      </c>
      <c r="K109" s="8" t="str">
        <f>'Data cleaning and validation(3)'!K97</f>
        <v>USA</v>
      </c>
      <c r="L109" s="8" t="str">
        <f>'Data cleaning and validation(3)'!L97</f>
        <v>Domestic</v>
      </c>
      <c r="M109" s="8" t="str">
        <f>'Data cleaning and validation(3)'!M97</f>
        <v>Active</v>
      </c>
      <c r="N109" s="17">
        <f>'Data cleaning and validation(3)'!N97</f>
        <v>1160076</v>
      </c>
      <c r="O109" s="18">
        <f>'Data cleaning and validation(3)'!O97</f>
        <v>9667.3000000000011</v>
      </c>
    </row>
    <row r="110" spans="1:15" x14ac:dyDescent="0.35">
      <c r="A110" s="8">
        <f>'Data cleaning and validation(3)'!A98</f>
        <v>97</v>
      </c>
      <c r="B110" s="8" t="str">
        <f>'Data cleaning and validation(3)'!B98</f>
        <v>Williams</v>
      </c>
      <c r="C110" s="8" t="str">
        <f>'Data cleaning and validation(3)'!C98</f>
        <v>wwilliams2o@berkeley.edu</v>
      </c>
      <c r="D110" s="8" t="str">
        <f>'Data cleaning and validation(3)'!D98</f>
        <v>F</v>
      </c>
      <c r="E110" s="8" t="str">
        <f>'Data cleaning and validation(3)'!E98</f>
        <v>Games</v>
      </c>
      <c r="F110" s="15">
        <f>'Data cleaning and validation(3)'!F98</f>
        <v>46095</v>
      </c>
      <c r="G110" s="8">
        <f>'Data cleaning and validation(3)'!G98</f>
        <v>8</v>
      </c>
      <c r="H110" s="19">
        <f>'Data cleaning and validation(3)'!H98</f>
        <v>79267</v>
      </c>
      <c r="I110" s="8" t="str">
        <f>'Data cleaning and validation(3)'!I98</f>
        <v>VP Quality Control</v>
      </c>
      <c r="J110" s="8" t="str">
        <f>'Data cleaning and validation(3)'!J98</f>
        <v>Nova Scotia</v>
      </c>
      <c r="K110" s="8" t="str">
        <f>'Data cleaning and validation(3)'!K98</f>
        <v>Canada</v>
      </c>
      <c r="L110" s="8" t="str">
        <f>'Data cleaning and validation(3)'!L98</f>
        <v>Domestic</v>
      </c>
      <c r="M110" s="8" t="str">
        <f>'Data cleaning and validation(3)'!M98</f>
        <v>Active</v>
      </c>
      <c r="N110" s="17">
        <f>'Data cleaning and validation(3)'!N98</f>
        <v>951204</v>
      </c>
      <c r="O110" s="18">
        <f>'Data cleaning and validation(3)'!O98</f>
        <v>7926.7000000000007</v>
      </c>
    </row>
    <row r="111" spans="1:15" x14ac:dyDescent="0.35">
      <c r="A111" s="8">
        <f>'Data cleaning and validation(3)'!A99</f>
        <v>98</v>
      </c>
      <c r="B111" s="8" t="str">
        <f>'Data cleaning and validation(3)'!B99</f>
        <v>Freeman</v>
      </c>
      <c r="C111" s="8" t="str">
        <f>'Data cleaning and validation(3)'!C99</f>
        <v>lfreeman2p@tiny.cc</v>
      </c>
      <c r="D111" s="8" t="str">
        <f>'Data cleaning and validation(3)'!D99</f>
        <v>F</v>
      </c>
      <c r="E111" s="8" t="str">
        <f>'Data cleaning and validation(3)'!E99</f>
        <v>Kids</v>
      </c>
      <c r="F111" s="15">
        <f>'Data cleaning and validation(3)'!F99</f>
        <v>44115</v>
      </c>
      <c r="G111" s="8">
        <f>'Data cleaning and validation(3)'!G99</f>
        <v>14</v>
      </c>
      <c r="H111" s="19">
        <f>'Data cleaning and validation(3)'!H99</f>
        <v>109154</v>
      </c>
      <c r="I111" s="8" t="str">
        <f>'Data cleaning and validation(3)'!I99</f>
        <v>Accountant I</v>
      </c>
      <c r="J111" s="8" t="str">
        <f>'Data cleaning and validation(3)'!J99</f>
        <v>Southwest</v>
      </c>
      <c r="K111" s="8" t="str">
        <f>'Data cleaning and validation(3)'!K99</f>
        <v>USA</v>
      </c>
      <c r="L111" s="8" t="str">
        <f>'Data cleaning and validation(3)'!L99</f>
        <v>Domestic</v>
      </c>
      <c r="M111" s="8" t="str">
        <f>'Data cleaning and validation(3)'!M99</f>
        <v>Resigned</v>
      </c>
      <c r="N111" s="17">
        <f>'Data cleaning and validation(3)'!N99</f>
        <v>1309848</v>
      </c>
      <c r="O111" s="18">
        <f>'Data cleaning and validation(3)'!O99</f>
        <v>10915.400000000001</v>
      </c>
    </row>
    <row r="112" spans="1:15" x14ac:dyDescent="0.35">
      <c r="A112" s="8">
        <f>'Data cleaning and validation(3)'!A100</f>
        <v>99</v>
      </c>
      <c r="B112" s="8" t="str">
        <f>'Data cleaning and validation(3)'!B100</f>
        <v>Palmer</v>
      </c>
      <c r="C112" s="8" t="str">
        <f>'Data cleaning and validation(3)'!C100</f>
        <v>ipalmer2q@youku.com</v>
      </c>
      <c r="D112" s="8" t="str">
        <f>'Data cleaning and validation(3)'!D100</f>
        <v>F</v>
      </c>
      <c r="E112" s="8" t="str">
        <f>'Data cleaning and validation(3)'!E100</f>
        <v>Books</v>
      </c>
      <c r="F112" s="15">
        <f>'Data cleaning and validation(3)'!F100</f>
        <v>37370</v>
      </c>
      <c r="G112" s="8">
        <f>'Data cleaning and validation(3)'!G100</f>
        <v>19</v>
      </c>
      <c r="H112" s="19">
        <f>'Data cleaning and validation(3)'!H100</f>
        <v>138815</v>
      </c>
      <c r="I112" s="8" t="str">
        <f>'Data cleaning and validation(3)'!I100</f>
        <v>Physical Therapy Assistant</v>
      </c>
      <c r="J112" s="8" t="str">
        <f>'Data cleaning and validation(3)'!J100</f>
        <v>Northwest</v>
      </c>
      <c r="K112" s="8" t="str">
        <f>'Data cleaning and validation(3)'!K100</f>
        <v>USA</v>
      </c>
      <c r="L112" s="8" t="str">
        <f>'Data cleaning and validation(3)'!L100</f>
        <v>Library</v>
      </c>
      <c r="M112" s="8" t="str">
        <f>'Data cleaning and validation(3)'!M100</f>
        <v>Active</v>
      </c>
      <c r="N112" s="17">
        <f>'Data cleaning and validation(3)'!N100</f>
        <v>1665780</v>
      </c>
      <c r="O112" s="18">
        <f>'Data cleaning and validation(3)'!O100</f>
        <v>13881.5</v>
      </c>
    </row>
    <row r="113" spans="1:15" x14ac:dyDescent="0.35">
      <c r="A113" s="8">
        <f>'Data cleaning and validation(3)'!A101</f>
        <v>100</v>
      </c>
      <c r="B113" s="8" t="str">
        <f>'Data cleaning and validation(3)'!B101</f>
        <v>Bell</v>
      </c>
      <c r="C113" s="8" t="str">
        <f>'Data cleaning and validation(3)'!C101</f>
        <v>rbell2r@utexas.edu</v>
      </c>
      <c r="D113" s="8" t="str">
        <f>'Data cleaning and validation(3)'!D101</f>
        <v>M</v>
      </c>
      <c r="E113" s="8" t="str">
        <f>'Data cleaning and validation(3)'!E101</f>
        <v>Sports</v>
      </c>
      <c r="F113" s="15">
        <f>'Data cleaning and validation(3)'!F101</f>
        <v>39297</v>
      </c>
      <c r="G113" s="8">
        <f>'Data cleaning and validation(3)'!G101</f>
        <v>14</v>
      </c>
      <c r="H113" s="19">
        <f>'Data cleaning and validation(3)'!H101</f>
        <v>68210</v>
      </c>
      <c r="I113" s="8" t="str">
        <f>'Data cleaning and validation(3)'!I101</f>
        <v>Registered Nurse</v>
      </c>
      <c r="J113" s="8" t="str">
        <f>'Data cleaning and validation(3)'!J101</f>
        <v>Southwest</v>
      </c>
      <c r="K113" s="8" t="str">
        <f>'Data cleaning and validation(3)'!K101</f>
        <v>USA</v>
      </c>
      <c r="L113" s="8" t="str">
        <f>'Data cleaning and validation(3)'!L101</f>
        <v>Games &amp; Sports</v>
      </c>
      <c r="M113" s="8" t="str">
        <f>'Data cleaning and validation(3)'!M101</f>
        <v>Active</v>
      </c>
      <c r="N113" s="17">
        <f>'Data cleaning and validation(3)'!N101</f>
        <v>818520</v>
      </c>
      <c r="O113" s="18">
        <f>'Data cleaning and validation(3)'!O101</f>
        <v>6821</v>
      </c>
    </row>
    <row r="114" spans="1:15" x14ac:dyDescent="0.35">
      <c r="A114" s="8">
        <f>'Data cleaning and validation(3)'!A102</f>
        <v>101</v>
      </c>
      <c r="B114" s="8" t="str">
        <f>'Data cleaning and validation(3)'!B102</f>
        <v>Rivera</v>
      </c>
      <c r="C114" s="8" t="str">
        <f>'Data cleaning and validation(3)'!C102</f>
        <v>jrivera2s@oakley.com</v>
      </c>
      <c r="D114" s="8" t="str">
        <f>'Data cleaning and validation(3)'!D102</f>
        <v>M</v>
      </c>
      <c r="E114" s="8" t="str">
        <f>'Data cleaning and validation(3)'!E102</f>
        <v>Games</v>
      </c>
      <c r="F114" s="15">
        <f>'Data cleaning and validation(3)'!F102</f>
        <v>37576</v>
      </c>
      <c r="G114" s="8">
        <f>'Data cleaning and validation(3)'!G102</f>
        <v>19</v>
      </c>
      <c r="H114" s="19">
        <f>'Data cleaning and validation(3)'!H102</f>
        <v>137281</v>
      </c>
      <c r="I114" s="8" t="str">
        <f>'Data cleaning and validation(3)'!I102</f>
        <v>VP Sales</v>
      </c>
      <c r="J114" s="8" t="str">
        <f>'Data cleaning and validation(3)'!J102</f>
        <v>Northwest</v>
      </c>
      <c r="K114" s="8" t="str">
        <f>'Data cleaning and validation(3)'!K102</f>
        <v>USA</v>
      </c>
      <c r="L114" s="8" t="str">
        <f>'Data cleaning and validation(3)'!L102</f>
        <v>Domestic</v>
      </c>
      <c r="M114" s="8" t="str">
        <f>'Data cleaning and validation(3)'!M102</f>
        <v>Active</v>
      </c>
      <c r="N114" s="17">
        <f>'Data cleaning and validation(3)'!N102</f>
        <v>1647372</v>
      </c>
      <c r="O114" s="18">
        <f>'Data cleaning and validation(3)'!O102</f>
        <v>13728.1</v>
      </c>
    </row>
    <row r="115" spans="1:15" x14ac:dyDescent="0.35">
      <c r="A115" s="8">
        <f>'Data cleaning and validation(3)'!A103</f>
        <v>102</v>
      </c>
      <c r="B115" s="8" t="str">
        <f>'Data cleaning and validation(3)'!B103</f>
        <v>Matthews</v>
      </c>
      <c r="C115" s="8" t="str">
        <f>'Data cleaning and validation(3)'!C103</f>
        <v>kmatthews2t@oaic.gov.au</v>
      </c>
      <c r="D115" s="8" t="str">
        <f>'Data cleaning and validation(3)'!D103</f>
        <v>M</v>
      </c>
      <c r="E115" s="8" t="str">
        <f>'Data cleaning and validation(3)'!E103</f>
        <v>Health</v>
      </c>
      <c r="F115" s="15">
        <f>'Data cleaning and validation(3)'!F103</f>
        <v>39669</v>
      </c>
      <c r="G115" s="8">
        <f>'Data cleaning and validation(3)'!G103</f>
        <v>13</v>
      </c>
      <c r="H115" s="19">
        <f>'Data cleaning and validation(3)'!H103</f>
        <v>114970</v>
      </c>
      <c r="I115" s="8" t="str">
        <f>'Data cleaning and validation(3)'!I103</f>
        <v>Statistician IV</v>
      </c>
      <c r="J115" s="8" t="str">
        <f>'Data cleaning and validation(3)'!J103</f>
        <v>Southeast</v>
      </c>
      <c r="K115" s="8" t="str">
        <f>'Data cleaning and validation(3)'!K103</f>
        <v>USA</v>
      </c>
      <c r="L115" s="8" t="str">
        <f>'Data cleaning and validation(3)'!L103</f>
        <v>Domestic</v>
      </c>
      <c r="M115" s="8" t="str">
        <f>'Data cleaning and validation(3)'!M103</f>
        <v>Active</v>
      </c>
      <c r="N115" s="17">
        <f>'Data cleaning and validation(3)'!N103</f>
        <v>1379640</v>
      </c>
      <c r="O115" s="18">
        <f>'Data cleaning and validation(3)'!O103</f>
        <v>11497</v>
      </c>
    </row>
    <row r="116" spans="1:15" x14ac:dyDescent="0.35">
      <c r="A116" s="8">
        <f>'Data cleaning and validation(3)'!A104</f>
        <v>103</v>
      </c>
      <c r="B116" s="8" t="str">
        <f>'Data cleaning and validation(3)'!B104</f>
        <v>Reed</v>
      </c>
      <c r="C116" s="8" t="str">
        <f>'Data cleaning and validation(3)'!C104</f>
        <v>dreed2u@arstechnica.com</v>
      </c>
      <c r="D116" s="8" t="str">
        <f>'Data cleaning and validation(3)'!D104</f>
        <v>M</v>
      </c>
      <c r="E116" s="8" t="str">
        <f>'Data cleaning and validation(3)'!E104</f>
        <v>Automotive</v>
      </c>
      <c r="F116" s="15">
        <f>'Data cleaning and validation(3)'!F104</f>
        <v>37821</v>
      </c>
      <c r="G116" s="8">
        <f>'Data cleaning and validation(3)'!G104</f>
        <v>18</v>
      </c>
      <c r="H116" s="19">
        <f>'Data cleaning and validation(3)'!H104</f>
        <v>126001</v>
      </c>
      <c r="I116" s="8" t="str">
        <f>'Data cleaning and validation(3)'!I104</f>
        <v>Structural Engineer</v>
      </c>
      <c r="J116" s="8" t="str">
        <f>'Data cleaning and validation(3)'!J104</f>
        <v>Quebec</v>
      </c>
      <c r="K116" s="8" t="str">
        <f>'Data cleaning and validation(3)'!K104</f>
        <v>Canada</v>
      </c>
      <c r="L116" s="8" t="str">
        <f>'Data cleaning and validation(3)'!L104</f>
        <v>Auto &amp; Hardware</v>
      </c>
      <c r="M116" s="8" t="str">
        <f>'Data cleaning and validation(3)'!M104</f>
        <v>Resigned</v>
      </c>
      <c r="N116" s="17">
        <f>'Data cleaning and validation(3)'!N104</f>
        <v>1512012</v>
      </c>
      <c r="O116" s="18">
        <f>'Data cleaning and validation(3)'!O104</f>
        <v>12600.1</v>
      </c>
    </row>
    <row r="117" spans="1:15" x14ac:dyDescent="0.35">
      <c r="A117" s="8">
        <f>'Data cleaning and validation(3)'!A105</f>
        <v>104</v>
      </c>
      <c r="B117" s="8" t="str">
        <f>'Data cleaning and validation(3)'!B105</f>
        <v>Adams</v>
      </c>
      <c r="C117" s="8" t="str">
        <f>'Data cleaning and validation(3)'!C105</f>
        <v>eadams2v@yandex.ru</v>
      </c>
      <c r="D117" s="8" t="str">
        <f>'Data cleaning and validation(3)'!D105</f>
        <v>M</v>
      </c>
      <c r="E117" s="8" t="str">
        <f>'Data cleaning and validation(3)'!E105</f>
        <v>Grocery</v>
      </c>
      <c r="F117" s="15">
        <f>'Data cleaning and validation(3)'!F105</f>
        <v>37880</v>
      </c>
      <c r="G117" s="8">
        <f>'Data cleaning and validation(3)'!G105</f>
        <v>18</v>
      </c>
      <c r="H117" s="19">
        <f>'Data cleaning and validation(3)'!H105</f>
        <v>78736</v>
      </c>
      <c r="I117" s="8" t="str">
        <f>'Data cleaning and validation(3)'!I105</f>
        <v>Financial Analyst</v>
      </c>
      <c r="J117" s="8" t="str">
        <f>'Data cleaning and validation(3)'!J105</f>
        <v>Quebec</v>
      </c>
      <c r="K117" s="8" t="str">
        <f>'Data cleaning and validation(3)'!K105</f>
        <v>Canada</v>
      </c>
      <c r="L117" s="8" t="str">
        <f>'Data cleaning and validation(3)'!L105</f>
        <v>Domestic</v>
      </c>
      <c r="M117" s="8" t="str">
        <f>'Data cleaning and validation(3)'!M105</f>
        <v>Active</v>
      </c>
      <c r="N117" s="17">
        <f>'Data cleaning and validation(3)'!N105</f>
        <v>944832</v>
      </c>
      <c r="O117" s="18">
        <f>'Data cleaning and validation(3)'!O105</f>
        <v>7873.6</v>
      </c>
    </row>
    <row r="118" spans="1:15" x14ac:dyDescent="0.35">
      <c r="A118" s="8">
        <f>'Data cleaning and validation(3)'!A106</f>
        <v>105</v>
      </c>
      <c r="B118" s="8" t="str">
        <f>'Data cleaning and validation(3)'!B106</f>
        <v>Young</v>
      </c>
      <c r="C118" s="8" t="str">
        <f>'Data cleaning and validation(3)'!C106</f>
        <v>syoung2w@cmu.edu</v>
      </c>
      <c r="D118" s="8" t="str">
        <f>'Data cleaning and validation(3)'!D106</f>
        <v>M</v>
      </c>
      <c r="E118" s="8" t="str">
        <f>'Data cleaning and validation(3)'!E106</f>
        <v>Shoes</v>
      </c>
      <c r="F118" s="15">
        <f>'Data cleaning and validation(3)'!F106</f>
        <v>40072</v>
      </c>
      <c r="G118" s="8">
        <f>'Data cleaning and validation(3)'!G106</f>
        <v>12</v>
      </c>
      <c r="H118" s="19">
        <f>'Data cleaning and validation(3)'!H106</f>
        <v>80830</v>
      </c>
      <c r="I118" s="8" t="str">
        <f>'Data cleaning and validation(3)'!I106</f>
        <v>Quality Control Specialist</v>
      </c>
      <c r="J118" s="8" t="str">
        <f>'Data cleaning and validation(3)'!J106</f>
        <v>Southwest</v>
      </c>
      <c r="K118" s="8" t="str">
        <f>'Data cleaning and validation(3)'!K106</f>
        <v>USA</v>
      </c>
      <c r="L118" s="8" t="str">
        <f>'Data cleaning and validation(3)'!L106</f>
        <v>Domestic</v>
      </c>
      <c r="M118" s="8" t="str">
        <f>'Data cleaning and validation(3)'!M106</f>
        <v>Active</v>
      </c>
      <c r="N118" s="17">
        <f>'Data cleaning and validation(3)'!N106</f>
        <v>969960</v>
      </c>
      <c r="O118" s="18">
        <f>'Data cleaning and validation(3)'!O106</f>
        <v>8083</v>
      </c>
    </row>
    <row r="119" spans="1:15" x14ac:dyDescent="0.35">
      <c r="A119" s="8">
        <f>'Data cleaning and validation(3)'!A107</f>
        <v>106</v>
      </c>
      <c r="B119" s="8" t="str">
        <f>'Data cleaning and validation(3)'!B107</f>
        <v>Gardner</v>
      </c>
      <c r="C119" s="8" t="str">
        <f>'Data cleaning and validation(3)'!C107</f>
        <v>rgardner2x@theguardian.com</v>
      </c>
      <c r="D119" s="8" t="str">
        <f>'Data cleaning and validation(3)'!D107</f>
        <v>M</v>
      </c>
      <c r="E119" s="8" t="str">
        <f>'Data cleaning and validation(3)'!E107</f>
        <v>Kids</v>
      </c>
      <c r="F119" s="15">
        <f>'Data cleaning and validation(3)'!F107</f>
        <v>40031</v>
      </c>
      <c r="G119" s="8">
        <f>'Data cleaning and validation(3)'!G107</f>
        <v>12</v>
      </c>
      <c r="H119" s="19">
        <f>'Data cleaning and validation(3)'!H107</f>
        <v>47879</v>
      </c>
      <c r="I119" s="8" t="str">
        <f>'Data cleaning and validation(3)'!I107</f>
        <v>Product Engineer</v>
      </c>
      <c r="J119" s="8" t="str">
        <f>'Data cleaning and validation(3)'!J107</f>
        <v>British Columbia</v>
      </c>
      <c r="K119" s="8" t="str">
        <f>'Data cleaning and validation(3)'!K107</f>
        <v>Canada</v>
      </c>
      <c r="L119" s="8" t="str">
        <f>'Data cleaning and validation(3)'!L107</f>
        <v>Domestic</v>
      </c>
      <c r="M119" s="8" t="str">
        <f>'Data cleaning and validation(3)'!M107</f>
        <v>Active</v>
      </c>
      <c r="N119" s="17">
        <f>'Data cleaning and validation(3)'!N107</f>
        <v>574548</v>
      </c>
      <c r="O119" s="18">
        <f>'Data cleaning and validation(3)'!O107</f>
        <v>4787.9000000000005</v>
      </c>
    </row>
    <row r="120" spans="1:15" x14ac:dyDescent="0.35">
      <c r="A120" s="8">
        <f>'Data cleaning and validation(3)'!A108</f>
        <v>107</v>
      </c>
      <c r="B120" s="8" t="str">
        <f>'Data cleaning and validation(3)'!B108</f>
        <v>Castillo</v>
      </c>
      <c r="C120" s="8" t="str">
        <f>'Data cleaning and validation(3)'!C108</f>
        <v>bcastillo2y@cornell.edu</v>
      </c>
      <c r="D120" s="8" t="str">
        <f>'Data cleaning and validation(3)'!D108</f>
        <v>F</v>
      </c>
      <c r="E120" s="8" t="str">
        <f>'Data cleaning and validation(3)'!E108</f>
        <v>Computers</v>
      </c>
      <c r="F120" s="15">
        <f>'Data cleaning and validation(3)'!F108</f>
        <v>38077</v>
      </c>
      <c r="G120" s="8">
        <f>'Data cleaning and validation(3)'!G108</f>
        <v>17</v>
      </c>
      <c r="H120" s="19">
        <f>'Data cleaning and validation(3)'!H108</f>
        <v>132634</v>
      </c>
      <c r="I120" s="8" t="str">
        <f>'Data cleaning and validation(3)'!I108</f>
        <v>Civil Engineer</v>
      </c>
      <c r="J120" s="8" t="str">
        <f>'Data cleaning and validation(3)'!J108</f>
        <v>Southeast</v>
      </c>
      <c r="K120" s="8" t="str">
        <f>'Data cleaning and validation(3)'!K108</f>
        <v>USA</v>
      </c>
      <c r="L120" s="8" t="str">
        <f>'Data cleaning and validation(3)'!L108</f>
        <v>Electronic Equipment</v>
      </c>
      <c r="M120" s="8" t="str">
        <f>'Data cleaning and validation(3)'!M108</f>
        <v>Active</v>
      </c>
      <c r="N120" s="17">
        <f>'Data cleaning and validation(3)'!N108</f>
        <v>1591608</v>
      </c>
      <c r="O120" s="18">
        <f>'Data cleaning and validation(3)'!O108</f>
        <v>13263.400000000001</v>
      </c>
    </row>
    <row r="121" spans="1:15" x14ac:dyDescent="0.35">
      <c r="A121" s="8">
        <f>'Data cleaning and validation(3)'!A109</f>
        <v>108</v>
      </c>
      <c r="B121" s="8" t="str">
        <f>'Data cleaning and validation(3)'!B109</f>
        <v>Perkins</v>
      </c>
      <c r="C121" s="8" t="str">
        <f>'Data cleaning and validation(3)'!C109</f>
        <v>jperkins2z@prlog.org</v>
      </c>
      <c r="D121" s="8" t="str">
        <f>'Data cleaning and validation(3)'!D109</f>
        <v>M</v>
      </c>
      <c r="E121" s="8" t="str">
        <f>'Data cleaning and validation(3)'!E109</f>
        <v>Clothing</v>
      </c>
      <c r="F121" s="15">
        <f>'Data cleaning and validation(3)'!F109</f>
        <v>38547</v>
      </c>
      <c r="G121" s="8">
        <f>'Data cleaning and validation(3)'!G109</f>
        <v>16</v>
      </c>
      <c r="H121" s="19">
        <f>'Data cleaning and validation(3)'!H109</f>
        <v>68344</v>
      </c>
      <c r="I121" s="8" t="str">
        <f>'Data cleaning and validation(3)'!I109</f>
        <v>Senior Cost Accountant</v>
      </c>
      <c r="J121" s="8" t="str">
        <f>'Data cleaning and validation(3)'!J109</f>
        <v>Nova Scotia</v>
      </c>
      <c r="K121" s="8" t="str">
        <f>'Data cleaning and validation(3)'!K109</f>
        <v>Canada</v>
      </c>
      <c r="L121" s="8" t="str">
        <f>'Data cleaning and validation(3)'!L109</f>
        <v>Domestic</v>
      </c>
      <c r="M121" s="8" t="str">
        <f>'Data cleaning and validation(3)'!M109</f>
        <v>Resigned</v>
      </c>
      <c r="N121" s="17">
        <f>'Data cleaning and validation(3)'!N109</f>
        <v>820128</v>
      </c>
      <c r="O121" s="18">
        <f>'Data cleaning and validation(3)'!O109</f>
        <v>6834.4000000000005</v>
      </c>
    </row>
    <row r="122" spans="1:15" x14ac:dyDescent="0.35">
      <c r="A122" s="8">
        <f>'Data cleaning and validation(3)'!A110</f>
        <v>109</v>
      </c>
      <c r="B122" s="8" t="str">
        <f>'Data cleaning and validation(3)'!B110</f>
        <v>Freeman</v>
      </c>
      <c r="C122" s="8" t="str">
        <f>'Data cleaning and validation(3)'!C110</f>
        <v>bfreeman30@fda.gov</v>
      </c>
      <c r="D122" s="8" t="str">
        <f>'Data cleaning and validation(3)'!D110</f>
        <v>F</v>
      </c>
      <c r="E122" s="8" t="str">
        <f>'Data cleaning and validation(3)'!E110</f>
        <v>Clothing</v>
      </c>
      <c r="F122" s="15">
        <f>'Data cleaning and validation(3)'!F110</f>
        <v>44118</v>
      </c>
      <c r="G122" s="8">
        <f>'Data cleaning and validation(3)'!G110</f>
        <v>14</v>
      </c>
      <c r="H122" s="19">
        <f>'Data cleaning and validation(3)'!H110</f>
        <v>147868</v>
      </c>
      <c r="I122" s="8" t="str">
        <f>'Data cleaning and validation(3)'!I110</f>
        <v>General Manager</v>
      </c>
      <c r="J122" s="8" t="str">
        <f>'Data cleaning and validation(3)'!J110</f>
        <v>Quebec</v>
      </c>
      <c r="K122" s="8" t="str">
        <f>'Data cleaning and validation(3)'!K110</f>
        <v>Canada</v>
      </c>
      <c r="L122" s="8" t="str">
        <f>'Data cleaning and validation(3)'!L110</f>
        <v>Domestic</v>
      </c>
      <c r="M122" s="8" t="str">
        <f>'Data cleaning and validation(3)'!M110</f>
        <v>Active</v>
      </c>
      <c r="N122" s="17">
        <f>'Data cleaning and validation(3)'!N110</f>
        <v>1774416</v>
      </c>
      <c r="O122" s="18">
        <f>'Data cleaning and validation(3)'!O110</f>
        <v>14786.800000000001</v>
      </c>
    </row>
    <row r="123" spans="1:15" x14ac:dyDescent="0.35">
      <c r="A123" s="8">
        <f>'Data cleaning and validation(3)'!A111</f>
        <v>110</v>
      </c>
      <c r="B123" s="8" t="str">
        <f>'Data cleaning and validation(3)'!B111</f>
        <v>Howell</v>
      </c>
      <c r="C123" s="8" t="str">
        <f>'Data cleaning and validation(3)'!C111</f>
        <v>whowell31@free.fr</v>
      </c>
      <c r="D123" s="8" t="str">
        <f>'Data cleaning and validation(3)'!D111</f>
        <v>M</v>
      </c>
      <c r="E123" s="8" t="str">
        <f>'Data cleaning and validation(3)'!E111</f>
        <v>Books</v>
      </c>
      <c r="F123" s="15">
        <f>'Data cleaning and validation(3)'!F111</f>
        <v>40648</v>
      </c>
      <c r="G123" s="8">
        <f>'Data cleaning and validation(3)'!G111</f>
        <v>10</v>
      </c>
      <c r="H123" s="19">
        <f>'Data cleaning and validation(3)'!H111</f>
        <v>67255</v>
      </c>
      <c r="I123" s="8" t="str">
        <f>'Data cleaning and validation(3)'!I111</f>
        <v>Geologist III</v>
      </c>
      <c r="J123" s="8" t="str">
        <f>'Data cleaning and validation(3)'!J111</f>
        <v>Southwest</v>
      </c>
      <c r="K123" s="8" t="str">
        <f>'Data cleaning and validation(3)'!K111</f>
        <v>USA</v>
      </c>
      <c r="L123" s="8" t="str">
        <f>'Data cleaning and validation(3)'!L111</f>
        <v>Library</v>
      </c>
      <c r="M123" s="8" t="str">
        <f>'Data cleaning and validation(3)'!M111</f>
        <v>Active</v>
      </c>
      <c r="N123" s="17">
        <f>'Data cleaning and validation(3)'!N111</f>
        <v>807060</v>
      </c>
      <c r="O123" s="18">
        <f>'Data cleaning and validation(3)'!O111</f>
        <v>6725.5</v>
      </c>
    </row>
    <row r="124" spans="1:15" x14ac:dyDescent="0.35">
      <c r="A124" s="8">
        <f>'Data cleaning and validation(3)'!A112</f>
        <v>111</v>
      </c>
      <c r="B124" s="8" t="str">
        <f>'Data cleaning and validation(3)'!B112</f>
        <v>Austin</v>
      </c>
      <c r="C124" s="8" t="str">
        <f>'Data cleaning and validation(3)'!C112</f>
        <v>naustin32@discuz.net</v>
      </c>
      <c r="D124" s="8" t="str">
        <f>'Data cleaning and validation(3)'!D112</f>
        <v>F</v>
      </c>
      <c r="E124" s="8" t="str">
        <f>'Data cleaning and validation(3)'!E112</f>
        <v>Computers</v>
      </c>
      <c r="F124" s="15">
        <f>'Data cleaning and validation(3)'!F112</f>
        <v>45821</v>
      </c>
      <c r="G124" s="8">
        <f>'Data cleaning and validation(3)'!G112</f>
        <v>9</v>
      </c>
      <c r="H124" s="19">
        <f>'Data cleaning and validation(3)'!H112</f>
        <v>47494</v>
      </c>
      <c r="I124" s="8" t="str">
        <f>'Data cleaning and validation(3)'!I112</f>
        <v>Help Desk Operator</v>
      </c>
      <c r="J124" s="8" t="str">
        <f>'Data cleaning and validation(3)'!J112</f>
        <v>Quebec</v>
      </c>
      <c r="K124" s="8" t="str">
        <f>'Data cleaning and validation(3)'!K112</f>
        <v>Canada</v>
      </c>
      <c r="L124" s="8" t="str">
        <f>'Data cleaning and validation(3)'!L112</f>
        <v>Electronic Equipment</v>
      </c>
      <c r="M124" s="8" t="str">
        <f>'Data cleaning and validation(3)'!M112</f>
        <v>Active</v>
      </c>
      <c r="N124" s="17">
        <f>'Data cleaning and validation(3)'!N112</f>
        <v>569928</v>
      </c>
      <c r="O124" s="18">
        <f>'Data cleaning and validation(3)'!O112</f>
        <v>4749.4000000000005</v>
      </c>
    </row>
    <row r="125" spans="1:15" x14ac:dyDescent="0.35">
      <c r="A125" s="8">
        <f>'Data cleaning and validation(3)'!A113</f>
        <v>112</v>
      </c>
      <c r="B125" s="8" t="str">
        <f>'Data cleaning and validation(3)'!B113</f>
        <v>Morris</v>
      </c>
      <c r="C125" s="8" t="str">
        <f>'Data cleaning and validation(3)'!C113</f>
        <v>amorris33@irs.gov</v>
      </c>
      <c r="D125" s="8" t="str">
        <f>'Data cleaning and validation(3)'!D113</f>
        <v>F</v>
      </c>
      <c r="E125" s="8" t="str">
        <f>'Data cleaning and validation(3)'!E113</f>
        <v>Movies</v>
      </c>
      <c r="F125" s="15">
        <f>'Data cleaning and validation(3)'!F113</f>
        <v>46222</v>
      </c>
      <c r="G125" s="8">
        <f>'Data cleaning and validation(3)'!G113</f>
        <v>8</v>
      </c>
      <c r="H125" s="19">
        <f>'Data cleaning and validation(3)'!H113</f>
        <v>127645</v>
      </c>
      <c r="I125" s="8" t="str">
        <f>'Data cleaning and validation(3)'!I113</f>
        <v>Legal Assistant</v>
      </c>
      <c r="J125" s="8" t="str">
        <f>'Data cleaning and validation(3)'!J113</f>
        <v>Northeast</v>
      </c>
      <c r="K125" s="8" t="str">
        <f>'Data cleaning and validation(3)'!K113</f>
        <v>USA</v>
      </c>
      <c r="L125" s="8" t="str">
        <f>'Data cleaning and validation(3)'!L113</f>
        <v>Entertainment</v>
      </c>
      <c r="M125" s="8" t="str">
        <f>'Data cleaning and validation(3)'!M113</f>
        <v>Active</v>
      </c>
      <c r="N125" s="17">
        <f>'Data cleaning and validation(3)'!N113</f>
        <v>1531740</v>
      </c>
      <c r="O125" s="18">
        <f>'Data cleaning and validation(3)'!O113</f>
        <v>12764.5</v>
      </c>
    </row>
    <row r="126" spans="1:15" x14ac:dyDescent="0.35">
      <c r="A126" s="8">
        <f>'Data cleaning and validation(3)'!A114</f>
        <v>113</v>
      </c>
      <c r="B126" s="8" t="str">
        <f>'Data cleaning and validation(3)'!B114</f>
        <v>Moore</v>
      </c>
      <c r="C126" s="8" t="str">
        <f>'Data cleaning and validation(3)'!C114</f>
        <v>kmoore34@shareasale.com</v>
      </c>
      <c r="D126" s="8" t="str">
        <f>'Data cleaning and validation(3)'!D114</f>
        <v>M</v>
      </c>
      <c r="E126" s="8" t="str">
        <f>'Data cleaning and validation(3)'!E114</f>
        <v>Baby</v>
      </c>
      <c r="F126" s="15">
        <f>'Data cleaning and validation(3)'!F114</f>
        <v>36586</v>
      </c>
      <c r="G126" s="8">
        <f>'Data cleaning and validation(3)'!G114</f>
        <v>21</v>
      </c>
      <c r="H126" s="19">
        <f>'Data cleaning and validation(3)'!H114</f>
        <v>54413</v>
      </c>
      <c r="I126" s="8" t="str">
        <f>'Data cleaning and validation(3)'!I114</f>
        <v>Operator</v>
      </c>
      <c r="J126" s="8" t="str">
        <f>'Data cleaning and validation(3)'!J114</f>
        <v>British Columbia</v>
      </c>
      <c r="K126" s="8" t="str">
        <f>'Data cleaning and validation(3)'!K114</f>
        <v>Canada</v>
      </c>
      <c r="L126" s="8" t="str">
        <f>'Data cleaning and validation(3)'!L114</f>
        <v>Domestic</v>
      </c>
      <c r="M126" s="8" t="str">
        <f>'Data cleaning and validation(3)'!M114</f>
        <v>Active</v>
      </c>
      <c r="N126" s="17">
        <f>'Data cleaning and validation(3)'!N114</f>
        <v>652956</v>
      </c>
      <c r="O126" s="18">
        <f>'Data cleaning and validation(3)'!O114</f>
        <v>5441.3</v>
      </c>
    </row>
    <row r="127" spans="1:15" x14ac:dyDescent="0.35">
      <c r="A127" s="8">
        <f>'Data cleaning and validation(3)'!A115</f>
        <v>114</v>
      </c>
      <c r="B127" s="8" t="str">
        <f>'Data cleaning and validation(3)'!B115</f>
        <v>Sims</v>
      </c>
      <c r="C127" s="8" t="str">
        <f>'Data cleaning and validation(3)'!C115</f>
        <v>msims35@i2i.jp</v>
      </c>
      <c r="D127" s="8" t="str">
        <f>'Data cleaning and validation(3)'!D115</f>
        <v>M</v>
      </c>
      <c r="E127" s="8" t="str">
        <f>'Data cleaning and validation(3)'!E115</f>
        <v>Grocery</v>
      </c>
      <c r="F127" s="15">
        <f>'Data cleaning and validation(3)'!F115</f>
        <v>41249</v>
      </c>
      <c r="G127" s="8">
        <f>'Data cleaning and validation(3)'!G115</f>
        <v>9</v>
      </c>
      <c r="H127" s="19">
        <f>'Data cleaning and validation(3)'!H115</f>
        <v>136790</v>
      </c>
      <c r="I127" s="8" t="str">
        <f>'Data cleaning and validation(3)'!I115</f>
        <v>Nuclear Power Engineer</v>
      </c>
      <c r="J127" s="8" t="str">
        <f>'Data cleaning and validation(3)'!J115</f>
        <v>Southeast</v>
      </c>
      <c r="K127" s="8" t="str">
        <f>'Data cleaning and validation(3)'!K115</f>
        <v>USA</v>
      </c>
      <c r="L127" s="8" t="str">
        <f>'Data cleaning and validation(3)'!L115</f>
        <v>Domestic</v>
      </c>
      <c r="M127" s="8" t="str">
        <f>'Data cleaning and validation(3)'!M115</f>
        <v>Resigned</v>
      </c>
      <c r="N127" s="17">
        <f>'Data cleaning and validation(3)'!N115</f>
        <v>1641480</v>
      </c>
      <c r="O127" s="18">
        <f>'Data cleaning and validation(3)'!O115</f>
        <v>13679</v>
      </c>
    </row>
    <row r="128" spans="1:15" x14ac:dyDescent="0.35">
      <c r="A128" s="8">
        <f>'Data cleaning and validation(3)'!A116</f>
        <v>115</v>
      </c>
      <c r="B128" s="8" t="str">
        <f>'Data cleaning and validation(3)'!B116</f>
        <v>Nguyen</v>
      </c>
      <c r="C128" s="8" t="str">
        <f>'Data cleaning and validation(3)'!C116</f>
        <v>rnguyen36@bandcamp.com</v>
      </c>
      <c r="D128" s="8" t="str">
        <f>'Data cleaning and validation(3)'!D116</f>
        <v>F</v>
      </c>
      <c r="E128" s="8" t="str">
        <f>'Data cleaning and validation(3)'!E116</f>
        <v>Clothing</v>
      </c>
      <c r="F128" s="15">
        <f>'Data cleaning and validation(3)'!F116</f>
        <v>44012</v>
      </c>
      <c r="G128" s="8">
        <f>'Data cleaning and validation(3)'!G116</f>
        <v>14</v>
      </c>
      <c r="H128" s="19">
        <f>'Data cleaning and validation(3)'!H116</f>
        <v>58420</v>
      </c>
      <c r="I128" s="8" t="str">
        <f>'Data cleaning and validation(3)'!I116</f>
        <v>Graphic Designer</v>
      </c>
      <c r="J128" s="8" t="str">
        <f>'Data cleaning and validation(3)'!J116</f>
        <v>Northeast</v>
      </c>
      <c r="K128" s="8" t="str">
        <f>'Data cleaning and validation(3)'!K116</f>
        <v>USA</v>
      </c>
      <c r="L128" s="8" t="str">
        <f>'Data cleaning and validation(3)'!L116</f>
        <v>Domestic</v>
      </c>
      <c r="M128" s="8" t="str">
        <f>'Data cleaning and validation(3)'!M116</f>
        <v>Active</v>
      </c>
      <c r="N128" s="17">
        <f>'Data cleaning and validation(3)'!N116</f>
        <v>701040</v>
      </c>
      <c r="O128" s="18">
        <f>'Data cleaning and validation(3)'!O116</f>
        <v>5842</v>
      </c>
    </row>
    <row r="129" spans="1:15" x14ac:dyDescent="0.35">
      <c r="A129" s="8">
        <f>'Data cleaning and validation(3)'!A117</f>
        <v>116</v>
      </c>
      <c r="B129" s="8" t="str">
        <f>'Data cleaning and validation(3)'!B117</f>
        <v>Wells</v>
      </c>
      <c r="C129" s="8" t="str">
        <f>'Data cleaning and validation(3)'!C117</f>
        <v>awells37@theatlantic.com</v>
      </c>
      <c r="D129" s="8" t="str">
        <f>'Data cleaning and validation(3)'!D117</f>
        <v>M</v>
      </c>
      <c r="E129" s="8" t="str">
        <f>'Data cleaning and validation(3)'!E117</f>
        <v>Industrial</v>
      </c>
      <c r="F129" s="15">
        <f>'Data cleaning and validation(3)'!F117</f>
        <v>37273</v>
      </c>
      <c r="G129" s="8">
        <f>'Data cleaning and validation(3)'!G117</f>
        <v>19</v>
      </c>
      <c r="H129" s="19">
        <f>'Data cleaning and validation(3)'!H117</f>
        <v>73813</v>
      </c>
      <c r="I129" s="8" t="str">
        <f>'Data cleaning and validation(3)'!I117</f>
        <v>Occupational Therapist</v>
      </c>
      <c r="J129" s="8" t="str">
        <f>'Data cleaning and validation(3)'!J117</f>
        <v>Northwest</v>
      </c>
      <c r="K129" s="8" t="str">
        <f>'Data cleaning and validation(3)'!K117</f>
        <v>USA</v>
      </c>
      <c r="L129" s="8" t="str">
        <f>'Data cleaning and validation(3)'!L117</f>
        <v>Auto &amp; Hardware</v>
      </c>
      <c r="M129" s="8" t="str">
        <f>'Data cleaning and validation(3)'!M117</f>
        <v>Active</v>
      </c>
      <c r="N129" s="17">
        <f>'Data cleaning and validation(3)'!N117</f>
        <v>885756</v>
      </c>
      <c r="O129" s="18">
        <f>'Data cleaning and validation(3)'!O117</f>
        <v>7381.3</v>
      </c>
    </row>
    <row r="130" spans="1:15" x14ac:dyDescent="0.35">
      <c r="A130" s="8">
        <f>'Data cleaning and validation(3)'!A118</f>
        <v>117</v>
      </c>
      <c r="B130" s="8" t="str">
        <f>'Data cleaning and validation(3)'!B118</f>
        <v>Martin</v>
      </c>
      <c r="C130" s="8" t="str">
        <f>'Data cleaning and validation(3)'!C118</f>
        <v>jmartin38@chron.com</v>
      </c>
      <c r="D130" s="8" t="str">
        <f>'Data cleaning and validation(3)'!D118</f>
        <v>M</v>
      </c>
      <c r="E130" s="8" t="str">
        <f>'Data cleaning and validation(3)'!E118</f>
        <v>Movies</v>
      </c>
      <c r="F130" s="15">
        <f>'Data cleaning and validation(3)'!F118</f>
        <v>41184</v>
      </c>
      <c r="G130" s="8">
        <f>'Data cleaning and validation(3)'!G118</f>
        <v>9</v>
      </c>
      <c r="H130" s="19">
        <f>'Data cleaning and validation(3)'!H118</f>
        <v>49644</v>
      </c>
      <c r="I130" s="8" t="str">
        <f>'Data cleaning and validation(3)'!I118</f>
        <v>Senior Developer</v>
      </c>
      <c r="J130" s="8" t="str">
        <f>'Data cleaning and validation(3)'!J118</f>
        <v>Southwest</v>
      </c>
      <c r="K130" s="8" t="str">
        <f>'Data cleaning and validation(3)'!K118</f>
        <v>USA</v>
      </c>
      <c r="L130" s="8" t="str">
        <f>'Data cleaning and validation(3)'!L118</f>
        <v>Entertainment</v>
      </c>
      <c r="M130" s="8" t="str">
        <f>'Data cleaning and validation(3)'!M118</f>
        <v>Active</v>
      </c>
      <c r="N130" s="17">
        <f>'Data cleaning and validation(3)'!N118</f>
        <v>595728</v>
      </c>
      <c r="O130" s="18">
        <f>'Data cleaning and validation(3)'!O118</f>
        <v>4964.4000000000005</v>
      </c>
    </row>
    <row r="131" spans="1:15" x14ac:dyDescent="0.35">
      <c r="A131" s="8">
        <f>'Data cleaning and validation(3)'!A119</f>
        <v>118</v>
      </c>
      <c r="B131" s="8" t="str">
        <f>'Data cleaning and validation(3)'!B119</f>
        <v>Fox</v>
      </c>
      <c r="C131" s="8" t="str">
        <f>'Data cleaning and validation(3)'!C119</f>
        <v>pfox39@discovery.com</v>
      </c>
      <c r="D131" s="8" t="str">
        <f>'Data cleaning and validation(3)'!D119</f>
        <v>M</v>
      </c>
      <c r="E131" s="8" t="str">
        <f>'Data cleaning and validation(3)'!E119</f>
        <v>Automotive</v>
      </c>
      <c r="F131" s="15">
        <f>'Data cleaning and validation(3)'!F119</f>
        <v>40059</v>
      </c>
      <c r="G131" s="8">
        <f>'Data cleaning and validation(3)'!G119</f>
        <v>12</v>
      </c>
      <c r="H131" s="19">
        <f>'Data cleaning and validation(3)'!H119</f>
        <v>87134</v>
      </c>
      <c r="I131" s="8" t="str">
        <f>'Data cleaning and validation(3)'!I119</f>
        <v>Assistant Manager</v>
      </c>
      <c r="J131" s="8" t="str">
        <f>'Data cleaning and validation(3)'!J119</f>
        <v>Northwest</v>
      </c>
      <c r="K131" s="8" t="str">
        <f>'Data cleaning and validation(3)'!K119</f>
        <v>USA</v>
      </c>
      <c r="L131" s="8" t="str">
        <f>'Data cleaning and validation(3)'!L119</f>
        <v>Auto &amp; Hardware</v>
      </c>
      <c r="M131" s="8" t="str">
        <f>'Data cleaning and validation(3)'!M119</f>
        <v>Active</v>
      </c>
      <c r="N131" s="17">
        <f>'Data cleaning and validation(3)'!N119</f>
        <v>1045608</v>
      </c>
      <c r="O131" s="18">
        <f>'Data cleaning and validation(3)'!O119</f>
        <v>8713.4</v>
      </c>
    </row>
    <row r="132" spans="1:15" x14ac:dyDescent="0.35">
      <c r="A132" s="8">
        <f>'Data cleaning and validation(3)'!A120</f>
        <v>119</v>
      </c>
      <c r="B132" s="8" t="str">
        <f>'Data cleaning and validation(3)'!B120</f>
        <v>Washington</v>
      </c>
      <c r="C132" s="8" t="str">
        <f>'Data cleaning and validation(3)'!C120</f>
        <v>wwashington3a@dot.gov</v>
      </c>
      <c r="D132" s="8" t="str">
        <f>'Data cleaning and validation(3)'!D120</f>
        <v>F</v>
      </c>
      <c r="E132" s="8" t="str">
        <f>'Data cleaning and validation(3)'!E120</f>
        <v>Clothing</v>
      </c>
      <c r="F132" s="15">
        <f>'Data cleaning and validation(3)'!F120</f>
        <v>44475</v>
      </c>
      <c r="G132" s="8">
        <f>'Data cleaning and validation(3)'!G120</f>
        <v>13</v>
      </c>
      <c r="H132" s="19">
        <f>'Data cleaning and validation(3)'!H120</f>
        <v>148408</v>
      </c>
      <c r="I132" s="8" t="str">
        <f>'Data cleaning and validation(3)'!I120</f>
        <v>Speech Pathologist</v>
      </c>
      <c r="J132" s="8" t="str">
        <f>'Data cleaning and validation(3)'!J120</f>
        <v>Northwest</v>
      </c>
      <c r="K132" s="8" t="str">
        <f>'Data cleaning and validation(3)'!K120</f>
        <v>USA</v>
      </c>
      <c r="L132" s="8" t="str">
        <f>'Data cleaning and validation(3)'!L120</f>
        <v>Domestic</v>
      </c>
      <c r="M132" s="8" t="str">
        <f>'Data cleaning and validation(3)'!M120</f>
        <v>Active</v>
      </c>
      <c r="N132" s="17">
        <f>'Data cleaning and validation(3)'!N120</f>
        <v>1780896</v>
      </c>
      <c r="O132" s="18">
        <f>'Data cleaning and validation(3)'!O120</f>
        <v>14840.800000000001</v>
      </c>
    </row>
    <row r="133" spans="1:15" x14ac:dyDescent="0.35">
      <c r="A133" s="8">
        <f>'Data cleaning and validation(3)'!A121</f>
        <v>120</v>
      </c>
      <c r="B133" s="8" t="str">
        <f>'Data cleaning and validation(3)'!B121</f>
        <v>Evans</v>
      </c>
      <c r="C133" s="8" t="str">
        <f>'Data cleaning and validation(3)'!C121</f>
        <v>wevans3b@scientificamerican.com</v>
      </c>
      <c r="D133" s="8" t="str">
        <f>'Data cleaning and validation(3)'!D121</f>
        <v>F</v>
      </c>
      <c r="E133" s="8" t="str">
        <f>'Data cleaning and validation(3)'!E121</f>
        <v>Toys</v>
      </c>
      <c r="F133" s="15">
        <f>'Data cleaning and validation(3)'!F121</f>
        <v>44219</v>
      </c>
      <c r="G133" s="8">
        <f>'Data cleaning and validation(3)'!G121</f>
        <v>13</v>
      </c>
      <c r="H133" s="19">
        <f>'Data cleaning and validation(3)'!H121</f>
        <v>77335</v>
      </c>
      <c r="I133" s="8" t="str">
        <f>'Data cleaning and validation(3)'!I121</f>
        <v>Chemical Engineer</v>
      </c>
      <c r="J133" s="8" t="str">
        <f>'Data cleaning and validation(3)'!J121</f>
        <v>Southwest</v>
      </c>
      <c r="K133" s="8" t="str">
        <f>'Data cleaning and validation(3)'!K121</f>
        <v>USA</v>
      </c>
      <c r="L133" s="8" t="str">
        <f>'Data cleaning and validation(3)'!L121</f>
        <v>Games &amp; Sports</v>
      </c>
      <c r="M133" s="8" t="str">
        <f>'Data cleaning and validation(3)'!M121</f>
        <v>Resigned</v>
      </c>
      <c r="N133" s="17">
        <f>'Data cleaning and validation(3)'!N121</f>
        <v>928020</v>
      </c>
      <c r="O133" s="18">
        <f>'Data cleaning and validation(3)'!O121</f>
        <v>7733.5</v>
      </c>
    </row>
    <row r="134" spans="1:15" x14ac:dyDescent="0.35">
      <c r="A134" s="8">
        <f>'Data cleaning and validation(3)'!A122</f>
        <v>121</v>
      </c>
      <c r="B134" s="8" t="str">
        <f>'Data cleaning and validation(3)'!B122</f>
        <v>Elliott</v>
      </c>
      <c r="C134" s="8" t="str">
        <f>'Data cleaning and validation(3)'!C122</f>
        <v>belliott3c@jiathis.com</v>
      </c>
      <c r="D134" s="8" t="str">
        <f>'Data cleaning and validation(3)'!D122</f>
        <v>F</v>
      </c>
      <c r="E134" s="8" t="str">
        <f>'Data cleaning and validation(3)'!E122</f>
        <v>Sports</v>
      </c>
      <c r="F134" s="15">
        <f>'Data cleaning and validation(3)'!F122</f>
        <v>44048</v>
      </c>
      <c r="G134" s="8">
        <f>'Data cleaning and validation(3)'!G122</f>
        <v>14</v>
      </c>
      <c r="H134" s="19">
        <f>'Data cleaning and validation(3)'!H122</f>
        <v>131409</v>
      </c>
      <c r="I134" s="8" t="str">
        <f>'Data cleaning and validation(3)'!I122</f>
        <v>Technical Writer</v>
      </c>
      <c r="J134" s="8" t="str">
        <f>'Data cleaning and validation(3)'!J122</f>
        <v>Nova Scotia</v>
      </c>
      <c r="K134" s="8" t="str">
        <f>'Data cleaning and validation(3)'!K122</f>
        <v>Canada</v>
      </c>
      <c r="L134" s="8" t="str">
        <f>'Data cleaning and validation(3)'!L122</f>
        <v>Games &amp; Sports</v>
      </c>
      <c r="M134" s="8" t="str">
        <f>'Data cleaning and validation(3)'!M122</f>
        <v>Active</v>
      </c>
      <c r="N134" s="17">
        <f>'Data cleaning and validation(3)'!N122</f>
        <v>1576908</v>
      </c>
      <c r="O134" s="18">
        <f>'Data cleaning and validation(3)'!O122</f>
        <v>13140.900000000001</v>
      </c>
    </row>
    <row r="135" spans="1:15" x14ac:dyDescent="0.35">
      <c r="A135" s="8">
        <f>'Data cleaning and validation(3)'!A123</f>
        <v>122</v>
      </c>
      <c r="B135" s="8" t="str">
        <f>'Data cleaning and validation(3)'!B123</f>
        <v>Wagner</v>
      </c>
      <c r="C135" s="8" t="str">
        <f>'Data cleaning and validation(3)'!C123</f>
        <v>jwagner3d@fotki.com</v>
      </c>
      <c r="D135" s="8" t="str">
        <f>'Data cleaning and validation(3)'!D123</f>
        <v>M</v>
      </c>
      <c r="E135" s="8" t="str">
        <f>'Data cleaning and validation(3)'!E123</f>
        <v>Baby</v>
      </c>
      <c r="F135" s="15">
        <f>'Data cleaning and validation(3)'!F123</f>
        <v>36948</v>
      </c>
      <c r="G135" s="8">
        <f>'Data cleaning and validation(3)'!G123</f>
        <v>20</v>
      </c>
      <c r="H135" s="19">
        <f>'Data cleaning and validation(3)'!H123</f>
        <v>77530</v>
      </c>
      <c r="I135" s="8" t="str">
        <f>'Data cleaning and validation(3)'!I123</f>
        <v>Librarian</v>
      </c>
      <c r="J135" s="8" t="str">
        <f>'Data cleaning and validation(3)'!J123</f>
        <v>Northeast</v>
      </c>
      <c r="K135" s="8" t="str">
        <f>'Data cleaning and validation(3)'!K123</f>
        <v>USA</v>
      </c>
      <c r="L135" s="8" t="str">
        <f>'Data cleaning and validation(3)'!L123</f>
        <v>Domestic</v>
      </c>
      <c r="M135" s="8" t="str">
        <f>'Data cleaning and validation(3)'!M123</f>
        <v>Active</v>
      </c>
      <c r="N135" s="17">
        <f>'Data cleaning and validation(3)'!N123</f>
        <v>930360</v>
      </c>
      <c r="O135" s="18">
        <f>'Data cleaning and validation(3)'!O123</f>
        <v>7753</v>
      </c>
    </row>
    <row r="136" spans="1:15" x14ac:dyDescent="0.35">
      <c r="A136" s="8">
        <f>'Data cleaning and validation(3)'!A124</f>
        <v>123</v>
      </c>
      <c r="B136" s="8" t="str">
        <f>'Data cleaning and validation(3)'!B124</f>
        <v>Griffin</v>
      </c>
      <c r="C136" s="8" t="str">
        <f>'Data cleaning and validation(3)'!C124</f>
        <v>agriffin3e@mtv.com</v>
      </c>
      <c r="D136" s="8" t="str">
        <f>'Data cleaning and validation(3)'!D124</f>
        <v>F</v>
      </c>
      <c r="E136" s="8" t="str">
        <f>'Data cleaning and validation(3)'!E124</f>
        <v>Garden</v>
      </c>
      <c r="F136" s="15">
        <f>'Data cleaning and validation(3)'!F124</f>
        <v>37372</v>
      </c>
      <c r="G136" s="8">
        <f>'Data cleaning and validation(3)'!G124</f>
        <v>19</v>
      </c>
      <c r="H136" s="19">
        <f>'Data cleaning and validation(3)'!H124</f>
        <v>101875</v>
      </c>
      <c r="I136" s="8" t="str">
        <f>'Data cleaning and validation(3)'!I124</f>
        <v>Business Systems Development Analyst</v>
      </c>
      <c r="J136" s="8" t="str">
        <f>'Data cleaning and validation(3)'!J124</f>
        <v>Southwest</v>
      </c>
      <c r="K136" s="8" t="str">
        <f>'Data cleaning and validation(3)'!K124</f>
        <v>USA</v>
      </c>
      <c r="L136" s="8" t="str">
        <f>'Data cleaning and validation(3)'!L124</f>
        <v>Outdoors &amp; Garden</v>
      </c>
      <c r="M136" s="8" t="str">
        <f>'Data cleaning and validation(3)'!M124</f>
        <v>Active</v>
      </c>
      <c r="N136" s="17">
        <f>'Data cleaning and validation(3)'!N124</f>
        <v>1222500</v>
      </c>
      <c r="O136" s="18">
        <f>'Data cleaning and validation(3)'!O124</f>
        <v>10187.5</v>
      </c>
    </row>
    <row r="137" spans="1:15" x14ac:dyDescent="0.35">
      <c r="A137" s="8">
        <f>'Data cleaning and validation(3)'!A125</f>
        <v>124</v>
      </c>
      <c r="B137" s="8" t="str">
        <f>'Data cleaning and validation(3)'!B125</f>
        <v>Chavez</v>
      </c>
      <c r="C137" s="8" t="str">
        <f>'Data cleaning and validation(3)'!C125</f>
        <v>mchavez3f@sohu.com</v>
      </c>
      <c r="D137" s="8" t="str">
        <f>'Data cleaning and validation(3)'!D125</f>
        <v>F</v>
      </c>
      <c r="E137" s="8" t="str">
        <f>'Data cleaning and validation(3)'!E125</f>
        <v>Grocery</v>
      </c>
      <c r="F137" s="15">
        <f>'Data cleaning and validation(3)'!F125</f>
        <v>38693</v>
      </c>
      <c r="G137" s="8">
        <f>'Data cleaning and validation(3)'!G125</f>
        <v>16</v>
      </c>
      <c r="H137" s="19">
        <f>'Data cleaning and validation(3)'!H125</f>
        <v>144028</v>
      </c>
      <c r="I137" s="8" t="str">
        <f>'Data cleaning and validation(3)'!I125</f>
        <v>Executive Secretary</v>
      </c>
      <c r="J137" s="8" t="str">
        <f>'Data cleaning and validation(3)'!J125</f>
        <v>Quebec</v>
      </c>
      <c r="K137" s="8" t="str">
        <f>'Data cleaning and validation(3)'!K125</f>
        <v>Canada</v>
      </c>
      <c r="L137" s="8" t="str">
        <f>'Data cleaning and validation(3)'!L125</f>
        <v>Domestic</v>
      </c>
      <c r="M137" s="8" t="str">
        <f>'Data cleaning and validation(3)'!M125</f>
        <v>Active</v>
      </c>
      <c r="N137" s="17">
        <f>'Data cleaning and validation(3)'!N125</f>
        <v>1728336</v>
      </c>
      <c r="O137" s="18">
        <f>'Data cleaning and validation(3)'!O125</f>
        <v>14402.800000000001</v>
      </c>
    </row>
    <row r="138" spans="1:15" x14ac:dyDescent="0.35">
      <c r="A138" s="8">
        <f>'Data cleaning and validation(3)'!A126</f>
        <v>125</v>
      </c>
      <c r="B138" s="8" t="str">
        <f>'Data cleaning and validation(3)'!B126</f>
        <v>Dean</v>
      </c>
      <c r="C138" s="8" t="str">
        <f>'Data cleaning and validation(3)'!C126</f>
        <v>ldean3g@blogspot.com</v>
      </c>
      <c r="D138" s="8" t="str">
        <f>'Data cleaning and validation(3)'!D126</f>
        <v>F</v>
      </c>
      <c r="E138" s="8" t="str">
        <f>'Data cleaning and validation(3)'!E126</f>
        <v>Movies</v>
      </c>
      <c r="F138" s="15">
        <f>'Data cleaning and validation(3)'!F126</f>
        <v>45782</v>
      </c>
      <c r="G138" s="8">
        <f>'Data cleaning and validation(3)'!G126</f>
        <v>9</v>
      </c>
      <c r="H138" s="19">
        <f>'Data cleaning and validation(3)'!H126</f>
        <v>140708</v>
      </c>
      <c r="I138" s="8" t="str">
        <f>'Data cleaning and validation(3)'!I126</f>
        <v>Nurse</v>
      </c>
      <c r="J138" s="8" t="str">
        <f>'Data cleaning and validation(3)'!J126</f>
        <v>Northeast</v>
      </c>
      <c r="K138" s="8" t="str">
        <f>'Data cleaning and validation(3)'!K126</f>
        <v>USA</v>
      </c>
      <c r="L138" s="8" t="str">
        <f>'Data cleaning and validation(3)'!L126</f>
        <v>Entertainment</v>
      </c>
      <c r="M138" s="8" t="str">
        <f>'Data cleaning and validation(3)'!M126</f>
        <v>Resigned</v>
      </c>
      <c r="N138" s="17">
        <f>'Data cleaning and validation(3)'!N126</f>
        <v>1688496</v>
      </c>
      <c r="O138" s="18">
        <f>'Data cleaning and validation(3)'!O126</f>
        <v>14070.800000000001</v>
      </c>
    </row>
    <row r="139" spans="1:15" x14ac:dyDescent="0.35">
      <c r="A139" s="8">
        <f>'Data cleaning and validation(3)'!A127</f>
        <v>126</v>
      </c>
      <c r="B139" s="8" t="str">
        <f>'Data cleaning and validation(3)'!B127</f>
        <v>Burton</v>
      </c>
      <c r="C139" s="8" t="str">
        <f>'Data cleaning and validation(3)'!C127</f>
        <v>bburton3h@360.cn</v>
      </c>
      <c r="D139" s="8" t="str">
        <f>'Data cleaning and validation(3)'!D127</f>
        <v>M</v>
      </c>
      <c r="E139" s="8" t="str">
        <f>'Data cleaning and validation(3)'!E127</f>
        <v>Shoes</v>
      </c>
      <c r="F139" s="15">
        <f>'Data cleaning and validation(3)'!F127</f>
        <v>41466</v>
      </c>
      <c r="G139" s="8">
        <f>'Data cleaning and validation(3)'!G127</f>
        <v>8</v>
      </c>
      <c r="H139" s="19">
        <f>'Data cleaning and validation(3)'!H127</f>
        <v>79172</v>
      </c>
      <c r="I139" s="8" t="str">
        <f>'Data cleaning and validation(3)'!I127</f>
        <v>Associate Professor</v>
      </c>
      <c r="J139" s="8" t="str">
        <f>'Data cleaning and validation(3)'!J127</f>
        <v>Nova Scotia</v>
      </c>
      <c r="K139" s="8" t="str">
        <f>'Data cleaning and validation(3)'!K127</f>
        <v>Canada</v>
      </c>
      <c r="L139" s="8" t="str">
        <f>'Data cleaning and validation(3)'!L127</f>
        <v>Domestic</v>
      </c>
      <c r="M139" s="8" t="str">
        <f>'Data cleaning and validation(3)'!M127</f>
        <v>Active</v>
      </c>
      <c r="N139" s="17">
        <f>'Data cleaning and validation(3)'!N127</f>
        <v>950064</v>
      </c>
      <c r="O139" s="18">
        <f>'Data cleaning and validation(3)'!O127</f>
        <v>7917.2000000000007</v>
      </c>
    </row>
    <row r="140" spans="1:15" x14ac:dyDescent="0.35">
      <c r="A140" s="8">
        <f>'Data cleaning and validation(3)'!A128</f>
        <v>127</v>
      </c>
      <c r="B140" s="8" t="str">
        <f>'Data cleaning and validation(3)'!B128</f>
        <v>Harper</v>
      </c>
      <c r="C140" s="8" t="str">
        <f>'Data cleaning and validation(3)'!C128</f>
        <v>sharper3i@slideshare.net</v>
      </c>
      <c r="D140" s="8" t="str">
        <f>'Data cleaning and validation(3)'!D128</f>
        <v>F</v>
      </c>
      <c r="E140" s="8" t="str">
        <f>'Data cleaning and validation(3)'!E128</f>
        <v>Outdoors</v>
      </c>
      <c r="F140" s="15">
        <f>'Data cleaning and validation(3)'!F128</f>
        <v>36664</v>
      </c>
      <c r="G140" s="8">
        <f>'Data cleaning and validation(3)'!G128</f>
        <v>21</v>
      </c>
      <c r="H140" s="19">
        <f>'Data cleaning and validation(3)'!H128</f>
        <v>144639</v>
      </c>
      <c r="I140" s="8" t="str">
        <f>'Data cleaning and validation(3)'!I128</f>
        <v>VP Quality Control</v>
      </c>
      <c r="J140" s="8" t="str">
        <f>'Data cleaning and validation(3)'!J128</f>
        <v>Nova Scotia</v>
      </c>
      <c r="K140" s="8" t="str">
        <f>'Data cleaning and validation(3)'!K128</f>
        <v>Canada</v>
      </c>
      <c r="L140" s="8" t="str">
        <f>'Data cleaning and validation(3)'!L128</f>
        <v>Outdoors &amp; Garden</v>
      </c>
      <c r="M140" s="8" t="str">
        <f>'Data cleaning and validation(3)'!M128</f>
        <v>Active</v>
      </c>
      <c r="N140" s="17">
        <f>'Data cleaning and validation(3)'!N128</f>
        <v>1735668</v>
      </c>
      <c r="O140" s="18">
        <f>'Data cleaning and validation(3)'!O128</f>
        <v>14463.900000000001</v>
      </c>
    </row>
    <row r="141" spans="1:15" x14ac:dyDescent="0.35">
      <c r="A141" s="8">
        <f>'Data cleaning and validation(3)'!A129</f>
        <v>128</v>
      </c>
      <c r="B141" s="8" t="str">
        <f>'Data cleaning and validation(3)'!B129</f>
        <v>Gibson</v>
      </c>
      <c r="C141" s="8" t="str">
        <f>'Data cleaning and validation(3)'!C129</f>
        <v>tgibson3j@ucoz.com</v>
      </c>
      <c r="D141" s="8" t="str">
        <f>'Data cleaning and validation(3)'!D129</f>
        <v>M</v>
      </c>
      <c r="E141" s="8" t="str">
        <f>'Data cleaning and validation(3)'!E129</f>
        <v>Computers</v>
      </c>
      <c r="F141" s="15">
        <f>'Data cleaning and validation(3)'!F129</f>
        <v>37704</v>
      </c>
      <c r="G141" s="8">
        <f>'Data cleaning and validation(3)'!G129</f>
        <v>18</v>
      </c>
      <c r="H141" s="19">
        <f>'Data cleaning and validation(3)'!H129</f>
        <v>109449</v>
      </c>
      <c r="I141" s="8" t="str">
        <f>'Data cleaning and validation(3)'!I129</f>
        <v>Engineer II</v>
      </c>
      <c r="J141" s="8" t="str">
        <f>'Data cleaning and validation(3)'!J129</f>
        <v>Nova Scotia</v>
      </c>
      <c r="K141" s="8" t="str">
        <f>'Data cleaning and validation(3)'!K129</f>
        <v>Canada</v>
      </c>
      <c r="L141" s="8" t="str">
        <f>'Data cleaning and validation(3)'!L129</f>
        <v>Electronic Equipment</v>
      </c>
      <c r="M141" s="8" t="str">
        <f>'Data cleaning and validation(3)'!M129</f>
        <v>Active</v>
      </c>
      <c r="N141" s="17">
        <f>'Data cleaning and validation(3)'!N129</f>
        <v>1313388</v>
      </c>
      <c r="O141" s="18">
        <f>'Data cleaning and validation(3)'!O129</f>
        <v>10944.900000000001</v>
      </c>
    </row>
    <row r="142" spans="1:15" x14ac:dyDescent="0.35">
      <c r="A142" s="8">
        <f>'Data cleaning and validation(3)'!A130</f>
        <v>129</v>
      </c>
      <c r="B142" s="8" t="str">
        <f>'Data cleaning and validation(3)'!B130</f>
        <v>Grant</v>
      </c>
      <c r="C142" s="8" t="str">
        <f>'Data cleaning and validation(3)'!C130</f>
        <v>lgrant3k@live.com</v>
      </c>
      <c r="D142" s="8" t="str">
        <f>'Data cleaning and validation(3)'!D130</f>
        <v>F</v>
      </c>
      <c r="E142" s="8" t="str">
        <f>'Data cleaning and validation(3)'!E130</f>
        <v>Computers</v>
      </c>
      <c r="F142" s="15">
        <f>'Data cleaning and validation(3)'!F130</f>
        <v>39005</v>
      </c>
      <c r="G142" s="8">
        <f>'Data cleaning and validation(3)'!G130</f>
        <v>15</v>
      </c>
      <c r="H142" s="19">
        <f>'Data cleaning and validation(3)'!H130</f>
        <v>108441</v>
      </c>
      <c r="I142" s="8" t="str">
        <f>'Data cleaning and validation(3)'!I130</f>
        <v>Nurse</v>
      </c>
      <c r="J142" s="8" t="str">
        <f>'Data cleaning and validation(3)'!J130</f>
        <v>Quebec</v>
      </c>
      <c r="K142" s="8" t="str">
        <f>'Data cleaning and validation(3)'!K130</f>
        <v>Canada</v>
      </c>
      <c r="L142" s="8" t="str">
        <f>'Data cleaning and validation(3)'!L130</f>
        <v>Electronic Equipment</v>
      </c>
      <c r="M142" s="8" t="str">
        <f>'Data cleaning and validation(3)'!M130</f>
        <v>Active</v>
      </c>
      <c r="N142" s="17">
        <f>'Data cleaning and validation(3)'!N130</f>
        <v>1301292</v>
      </c>
      <c r="O142" s="18">
        <f>'Data cleaning and validation(3)'!O130</f>
        <v>10844.1</v>
      </c>
    </row>
    <row r="143" spans="1:15" x14ac:dyDescent="0.35">
      <c r="A143" s="8">
        <f>'Data cleaning and validation(3)'!A131</f>
        <v>130</v>
      </c>
      <c r="B143" s="8" t="str">
        <f>'Data cleaning and validation(3)'!B131</f>
        <v>Nichols</v>
      </c>
      <c r="C143" s="8" t="str">
        <f>'Data cleaning and validation(3)'!C131</f>
        <v>bnichols3l@dropbox.com</v>
      </c>
      <c r="D143" s="8" t="str">
        <f>'Data cleaning and validation(3)'!D131</f>
        <v>F</v>
      </c>
      <c r="E143" s="8" t="str">
        <f>'Data cleaning and validation(3)'!E131</f>
        <v>Games</v>
      </c>
      <c r="F143" s="15">
        <f>'Data cleaning and validation(3)'!F131</f>
        <v>44380</v>
      </c>
      <c r="G143" s="8">
        <f>'Data cleaning and validation(3)'!G131</f>
        <v>13</v>
      </c>
      <c r="H143" s="19">
        <f>'Data cleaning and validation(3)'!H131</f>
        <v>145692</v>
      </c>
      <c r="I143" s="8" t="str">
        <f>'Data cleaning and validation(3)'!I131</f>
        <v>Recruiting Manager</v>
      </c>
      <c r="J143" s="8" t="str">
        <f>'Data cleaning and validation(3)'!J131</f>
        <v>British Columbia</v>
      </c>
      <c r="K143" s="8" t="str">
        <f>'Data cleaning and validation(3)'!K131</f>
        <v>Canada</v>
      </c>
      <c r="L143" s="8" t="str">
        <f>'Data cleaning and validation(3)'!L131</f>
        <v>Domestic</v>
      </c>
      <c r="M143" s="8" t="str">
        <f>'Data cleaning and validation(3)'!M131</f>
        <v>Active</v>
      </c>
      <c r="N143" s="17">
        <f>'Data cleaning and validation(3)'!N131</f>
        <v>1748304</v>
      </c>
      <c r="O143" s="18">
        <f>'Data cleaning and validation(3)'!O131</f>
        <v>14569.2</v>
      </c>
    </row>
    <row r="144" spans="1:15" x14ac:dyDescent="0.35">
      <c r="A144" s="8">
        <f>'Data cleaning and validation(3)'!A132</f>
        <v>131</v>
      </c>
      <c r="B144" s="8" t="str">
        <f>'Data cleaning and validation(3)'!B132</f>
        <v>Kelley</v>
      </c>
      <c r="C144" s="8" t="str">
        <f>'Data cleaning and validation(3)'!C132</f>
        <v>wkelley3m@domainmarket.com</v>
      </c>
      <c r="D144" s="8" t="str">
        <f>'Data cleaning and validation(3)'!D132</f>
        <v>M</v>
      </c>
      <c r="E144" s="8" t="str">
        <f>'Data cleaning and validation(3)'!E132</f>
        <v>Shoes</v>
      </c>
      <c r="F144" s="15">
        <f>'Data cleaning and validation(3)'!F132</f>
        <v>36580</v>
      </c>
      <c r="G144" s="8">
        <f>'Data cleaning and validation(3)'!G132</f>
        <v>21</v>
      </c>
      <c r="H144" s="19">
        <f>'Data cleaning and validation(3)'!H132</f>
        <v>120377</v>
      </c>
      <c r="I144" s="8" t="str">
        <f>'Data cleaning and validation(3)'!I132</f>
        <v>Research Nurse</v>
      </c>
      <c r="J144" s="8" t="str">
        <f>'Data cleaning and validation(3)'!J132</f>
        <v>Southwest</v>
      </c>
      <c r="K144" s="8" t="str">
        <f>'Data cleaning and validation(3)'!K132</f>
        <v>USA</v>
      </c>
      <c r="L144" s="8" t="str">
        <f>'Data cleaning and validation(3)'!L132</f>
        <v>Domestic</v>
      </c>
      <c r="M144" s="8" t="str">
        <f>'Data cleaning and validation(3)'!M132</f>
        <v>Active</v>
      </c>
      <c r="N144" s="17">
        <f>'Data cleaning and validation(3)'!N132</f>
        <v>1444524</v>
      </c>
      <c r="O144" s="18">
        <f>'Data cleaning and validation(3)'!O132</f>
        <v>12037.7</v>
      </c>
    </row>
    <row r="145" spans="1:15" x14ac:dyDescent="0.35">
      <c r="A145" s="8">
        <f>'Data cleaning and validation(3)'!A133</f>
        <v>132</v>
      </c>
      <c r="B145" s="8" t="str">
        <f>'Data cleaning and validation(3)'!B133</f>
        <v>Montgomery</v>
      </c>
      <c r="C145" s="8" t="str">
        <f>'Data cleaning and validation(3)'!C133</f>
        <v>rmontgomery3n@chicagotribune.com</v>
      </c>
      <c r="D145" s="8" t="str">
        <f>'Data cleaning and validation(3)'!D133</f>
        <v>F</v>
      </c>
      <c r="E145" s="8" t="str">
        <f>'Data cleaning and validation(3)'!E133</f>
        <v>Home</v>
      </c>
      <c r="F145" s="15">
        <f>'Data cleaning and validation(3)'!F133</f>
        <v>37755</v>
      </c>
      <c r="G145" s="8">
        <f>'Data cleaning and validation(3)'!G133</f>
        <v>18</v>
      </c>
      <c r="H145" s="19">
        <f>'Data cleaning and validation(3)'!H133</f>
        <v>63929</v>
      </c>
      <c r="I145" s="8" t="str">
        <f>'Data cleaning and validation(3)'!I133</f>
        <v>Research Assistant IV</v>
      </c>
      <c r="J145" s="8" t="str">
        <f>'Data cleaning and validation(3)'!J133</f>
        <v>British Columbia</v>
      </c>
      <c r="K145" s="8" t="str">
        <f>'Data cleaning and validation(3)'!K133</f>
        <v>Canada</v>
      </c>
      <c r="L145" s="8" t="str">
        <f>'Data cleaning and validation(3)'!L133</f>
        <v>Domestic</v>
      </c>
      <c r="M145" s="8" t="str">
        <f>'Data cleaning and validation(3)'!M133</f>
        <v>Active</v>
      </c>
      <c r="N145" s="17">
        <f>'Data cleaning and validation(3)'!N133</f>
        <v>767148</v>
      </c>
      <c r="O145" s="18">
        <f>'Data cleaning and validation(3)'!O133</f>
        <v>6392.9000000000005</v>
      </c>
    </row>
    <row r="146" spans="1:15" x14ac:dyDescent="0.35">
      <c r="A146" s="8">
        <f>'Data cleaning and validation(3)'!A134</f>
        <v>133</v>
      </c>
      <c r="B146" s="8" t="str">
        <f>'Data cleaning and validation(3)'!B134</f>
        <v>Martinez</v>
      </c>
      <c r="C146" s="8" t="str">
        <f>'Data cleaning and validation(3)'!C134</f>
        <v>dmartinez3o@deviantart.com</v>
      </c>
      <c r="D146" s="8" t="str">
        <f>'Data cleaning and validation(3)'!D134</f>
        <v>M</v>
      </c>
      <c r="E146" s="8" t="str">
        <f>'Data cleaning and validation(3)'!E134</f>
        <v>Games</v>
      </c>
      <c r="F146" s="15">
        <f>'Data cleaning and validation(3)'!F134</f>
        <v>36923</v>
      </c>
      <c r="G146" s="8">
        <f>'Data cleaning and validation(3)'!G134</f>
        <v>20</v>
      </c>
      <c r="H146" s="19">
        <f>'Data cleaning and validation(3)'!H134</f>
        <v>124853</v>
      </c>
      <c r="I146" s="8" t="str">
        <f>'Data cleaning and validation(3)'!I134</f>
        <v>Systems Administrator III</v>
      </c>
      <c r="J146" s="8" t="str">
        <f>'Data cleaning and validation(3)'!J134</f>
        <v>Southeast</v>
      </c>
      <c r="K146" s="8" t="str">
        <f>'Data cleaning and validation(3)'!K134</f>
        <v>USA</v>
      </c>
      <c r="L146" s="8" t="str">
        <f>'Data cleaning and validation(3)'!L134</f>
        <v>Domestic</v>
      </c>
      <c r="M146" s="8" t="str">
        <f>'Data cleaning and validation(3)'!M134</f>
        <v>Active</v>
      </c>
      <c r="N146" s="17">
        <f>'Data cleaning and validation(3)'!N134</f>
        <v>1498236</v>
      </c>
      <c r="O146" s="18">
        <f>'Data cleaning and validation(3)'!O134</f>
        <v>12485.300000000001</v>
      </c>
    </row>
    <row r="147" spans="1:15" x14ac:dyDescent="0.35">
      <c r="A147" s="8">
        <f>'Data cleaning and validation(3)'!A135</f>
        <v>134</v>
      </c>
      <c r="B147" s="8" t="str">
        <f>'Data cleaning and validation(3)'!B135</f>
        <v>Harvey</v>
      </c>
      <c r="C147" s="8" t="str">
        <f>'Data cleaning and validation(3)'!C135</f>
        <v>jharvey3p@angelfire.com</v>
      </c>
      <c r="D147" s="8" t="str">
        <f>'Data cleaning and validation(3)'!D135</f>
        <v>F</v>
      </c>
      <c r="E147" s="8" t="str">
        <f>'Data cleaning and validation(3)'!E135</f>
        <v>Outdoors</v>
      </c>
      <c r="F147" s="15">
        <f>'Data cleaning and validation(3)'!F135</f>
        <v>45080</v>
      </c>
      <c r="G147" s="8">
        <f>'Data cleaning and validation(3)'!G135</f>
        <v>11</v>
      </c>
      <c r="H147" s="19">
        <f>'Data cleaning and validation(3)'!H135</f>
        <v>99854</v>
      </c>
      <c r="I147" s="8" t="str">
        <f>'Data cleaning and validation(3)'!I135</f>
        <v>VP Marketing</v>
      </c>
      <c r="J147" s="8" t="str">
        <f>'Data cleaning and validation(3)'!J135</f>
        <v>Quebec</v>
      </c>
      <c r="K147" s="8" t="str">
        <f>'Data cleaning and validation(3)'!K135</f>
        <v>Canada</v>
      </c>
      <c r="L147" s="8" t="str">
        <f>'Data cleaning and validation(3)'!L135</f>
        <v>Outdoors &amp; Garden</v>
      </c>
      <c r="M147" s="8" t="str">
        <f>'Data cleaning and validation(3)'!M135</f>
        <v>Active</v>
      </c>
      <c r="N147" s="17">
        <f>'Data cleaning and validation(3)'!N135</f>
        <v>1198248</v>
      </c>
      <c r="O147" s="18">
        <f>'Data cleaning and validation(3)'!O135</f>
        <v>9985.4000000000015</v>
      </c>
    </row>
    <row r="148" spans="1:15" x14ac:dyDescent="0.35">
      <c r="A148" s="8">
        <f>'Data cleaning and validation(3)'!A136</f>
        <v>135</v>
      </c>
      <c r="B148" s="8" t="str">
        <f>'Data cleaning and validation(3)'!B136</f>
        <v>Hicks</v>
      </c>
      <c r="C148" s="8" t="str">
        <f>'Data cleaning and validation(3)'!C136</f>
        <v>ahicks3q@pcworld.com</v>
      </c>
      <c r="D148" s="8" t="str">
        <f>'Data cleaning and validation(3)'!D136</f>
        <v>F</v>
      </c>
      <c r="E148" s="8" t="str">
        <f>'Data cleaning and validation(3)'!E136</f>
        <v>Kids</v>
      </c>
      <c r="F148" s="15">
        <f>'Data cleaning and validation(3)'!F136</f>
        <v>46245</v>
      </c>
      <c r="G148" s="8">
        <f>'Data cleaning and validation(3)'!G136</f>
        <v>8</v>
      </c>
      <c r="H148" s="19">
        <f>'Data cleaning and validation(3)'!H136</f>
        <v>58675</v>
      </c>
      <c r="I148" s="8" t="str">
        <f>'Data cleaning and validation(3)'!I136</f>
        <v>Technical Writer</v>
      </c>
      <c r="J148" s="8" t="str">
        <f>'Data cleaning and validation(3)'!J136</f>
        <v>Northwest</v>
      </c>
      <c r="K148" s="8" t="str">
        <f>'Data cleaning and validation(3)'!K136</f>
        <v>USA</v>
      </c>
      <c r="L148" s="8" t="str">
        <f>'Data cleaning and validation(3)'!L136</f>
        <v>Domestic</v>
      </c>
      <c r="M148" s="8" t="str">
        <f>'Data cleaning and validation(3)'!M136</f>
        <v>On Leave</v>
      </c>
      <c r="N148" s="17">
        <f>'Data cleaning and validation(3)'!N136</f>
        <v>704100</v>
      </c>
      <c r="O148" s="18">
        <f>'Data cleaning and validation(3)'!O136</f>
        <v>5867.5</v>
      </c>
    </row>
    <row r="149" spans="1:15" x14ac:dyDescent="0.35">
      <c r="A149" s="8">
        <f>'Data cleaning and validation(3)'!A137</f>
        <v>136</v>
      </c>
      <c r="B149" s="8" t="str">
        <f>'Data cleaning and validation(3)'!B137</f>
        <v>Rose</v>
      </c>
      <c r="C149" s="8" t="str">
        <f>'Data cleaning and validation(3)'!C137</f>
        <v>lrose3r@slideshare.net</v>
      </c>
      <c r="D149" s="8" t="str">
        <f>'Data cleaning and validation(3)'!D137</f>
        <v>F</v>
      </c>
      <c r="E149" s="8" t="str">
        <f>'Data cleaning and validation(3)'!E137</f>
        <v>Beauty</v>
      </c>
      <c r="F149" s="15">
        <f>'Data cleaning and validation(3)'!F137</f>
        <v>43967</v>
      </c>
      <c r="G149" s="8">
        <f>'Data cleaning and validation(3)'!G137</f>
        <v>14</v>
      </c>
      <c r="H149" s="19">
        <f>'Data cleaning and validation(3)'!H137</f>
        <v>50060</v>
      </c>
      <c r="I149" s="8" t="str">
        <f>'Data cleaning and validation(3)'!I137</f>
        <v>Accountant IV</v>
      </c>
      <c r="J149" s="8" t="str">
        <f>'Data cleaning and validation(3)'!J137</f>
        <v>Northeast</v>
      </c>
      <c r="K149" s="8" t="str">
        <f>'Data cleaning and validation(3)'!K137</f>
        <v>USA</v>
      </c>
      <c r="L149" s="8" t="str">
        <f>'Data cleaning and validation(3)'!L137</f>
        <v>Domestic</v>
      </c>
      <c r="M149" s="8" t="str">
        <f>'Data cleaning and validation(3)'!M137</f>
        <v>Active</v>
      </c>
      <c r="N149" s="17">
        <f>'Data cleaning and validation(3)'!N137</f>
        <v>600720</v>
      </c>
      <c r="O149" s="18">
        <f>'Data cleaning and validation(3)'!O137</f>
        <v>5006</v>
      </c>
    </row>
    <row r="150" spans="1:15" x14ac:dyDescent="0.35">
      <c r="A150" s="8">
        <f>'Data cleaning and validation(3)'!A138</f>
        <v>137</v>
      </c>
      <c r="B150" s="8" t="str">
        <f>'Data cleaning and validation(3)'!B138</f>
        <v>Simmons</v>
      </c>
      <c r="C150" s="8" t="str">
        <f>'Data cleaning and validation(3)'!C138</f>
        <v>jsimmons3s@imageshack.us</v>
      </c>
      <c r="D150" s="8" t="str">
        <f>'Data cleaning and validation(3)'!D138</f>
        <v>F</v>
      </c>
      <c r="E150" s="8" t="str">
        <f>'Data cleaning and validation(3)'!E138</f>
        <v>Sports</v>
      </c>
      <c r="F150" s="15">
        <f>'Data cleaning and validation(3)'!F138</f>
        <v>46608</v>
      </c>
      <c r="G150" s="8">
        <f>'Data cleaning and validation(3)'!G138</f>
        <v>7</v>
      </c>
      <c r="H150" s="19">
        <f>'Data cleaning and validation(3)'!H138</f>
        <v>72748</v>
      </c>
      <c r="I150" s="8" t="str">
        <f>'Data cleaning and validation(3)'!I138</f>
        <v>Quality Control Specialist</v>
      </c>
      <c r="J150" s="8" t="str">
        <f>'Data cleaning and validation(3)'!J138</f>
        <v>Northwest</v>
      </c>
      <c r="K150" s="8" t="str">
        <f>'Data cleaning and validation(3)'!K138</f>
        <v>USA</v>
      </c>
      <c r="L150" s="8" t="str">
        <f>'Data cleaning and validation(3)'!L138</f>
        <v>Games &amp; Sports</v>
      </c>
      <c r="M150" s="8" t="str">
        <f>'Data cleaning and validation(3)'!M138</f>
        <v>Resigned</v>
      </c>
      <c r="N150" s="17">
        <f>'Data cleaning and validation(3)'!N138</f>
        <v>872976</v>
      </c>
      <c r="O150" s="18">
        <f>'Data cleaning and validation(3)'!O138</f>
        <v>7274.8</v>
      </c>
    </row>
    <row r="151" spans="1:15" x14ac:dyDescent="0.35">
      <c r="A151" s="8">
        <f>'Data cleaning and validation(3)'!A139</f>
        <v>138</v>
      </c>
      <c r="B151" s="8" t="str">
        <f>'Data cleaning and validation(3)'!B139</f>
        <v>Montgomery</v>
      </c>
      <c r="C151" s="8" t="str">
        <f>'Data cleaning and validation(3)'!C139</f>
        <v>wmontgomery3t@taobao.com</v>
      </c>
      <c r="D151" s="8" t="str">
        <f>'Data cleaning and validation(3)'!D139</f>
        <v>M</v>
      </c>
      <c r="E151" s="8" t="str">
        <f>'Data cleaning and validation(3)'!E139</f>
        <v>Electronics</v>
      </c>
      <c r="F151" s="15">
        <f>'Data cleaning and validation(3)'!F139</f>
        <v>38596</v>
      </c>
      <c r="G151" s="8">
        <f>'Data cleaning and validation(3)'!G139</f>
        <v>16</v>
      </c>
      <c r="H151" s="19">
        <f>'Data cleaning and validation(3)'!H139</f>
        <v>71082</v>
      </c>
      <c r="I151" s="8" t="str">
        <f>'Data cleaning and validation(3)'!I139</f>
        <v>Geologist III</v>
      </c>
      <c r="J151" s="8" t="str">
        <f>'Data cleaning and validation(3)'!J139</f>
        <v>Nova Scotia</v>
      </c>
      <c r="K151" s="8" t="str">
        <f>'Data cleaning and validation(3)'!K139</f>
        <v>Canada</v>
      </c>
      <c r="L151" s="8" t="str">
        <f>'Data cleaning and validation(3)'!L139</f>
        <v>Electronic Equipment</v>
      </c>
      <c r="M151" s="8" t="str">
        <f>'Data cleaning and validation(3)'!M139</f>
        <v>On Leave</v>
      </c>
      <c r="N151" s="17">
        <f>'Data cleaning and validation(3)'!N139</f>
        <v>852984</v>
      </c>
      <c r="O151" s="18">
        <f>'Data cleaning and validation(3)'!O139</f>
        <v>7108.2000000000007</v>
      </c>
    </row>
    <row r="152" spans="1:15" x14ac:dyDescent="0.35">
      <c r="A152" s="8">
        <f>'Data cleaning and validation(3)'!A140</f>
        <v>139</v>
      </c>
      <c r="B152" s="8" t="str">
        <f>'Data cleaning and validation(3)'!B140</f>
        <v>Hart</v>
      </c>
      <c r="C152" s="8" t="str">
        <f>'Data cleaning and validation(3)'!C140</f>
        <v>rhart3u@wsj.com</v>
      </c>
      <c r="D152" s="8" t="str">
        <f>'Data cleaning and validation(3)'!D140</f>
        <v>M</v>
      </c>
      <c r="E152" s="8" t="str">
        <f>'Data cleaning and validation(3)'!E140</f>
        <v>Jewelery</v>
      </c>
      <c r="F152" s="15">
        <f>'Data cleaning and validation(3)'!F140</f>
        <v>40916</v>
      </c>
      <c r="G152" s="8">
        <f>'Data cleaning and validation(3)'!G140</f>
        <v>9</v>
      </c>
      <c r="H152" s="19">
        <f>'Data cleaning and validation(3)'!H140</f>
        <v>119773</v>
      </c>
      <c r="I152" s="8" t="str">
        <f>'Data cleaning and validation(3)'!I140</f>
        <v>Pharmacist</v>
      </c>
      <c r="J152" s="8" t="str">
        <f>'Data cleaning and validation(3)'!J140</f>
        <v>Northwest</v>
      </c>
      <c r="K152" s="8" t="str">
        <f>'Data cleaning and validation(3)'!K140</f>
        <v>USA</v>
      </c>
      <c r="L152" s="8" t="str">
        <f>'Data cleaning and validation(3)'!L140</f>
        <v>Fashion</v>
      </c>
      <c r="M152" s="8" t="str">
        <f>'Data cleaning and validation(3)'!M140</f>
        <v>Active</v>
      </c>
      <c r="N152" s="17">
        <f>'Data cleaning and validation(3)'!N140</f>
        <v>1437276</v>
      </c>
      <c r="O152" s="18">
        <f>'Data cleaning and validation(3)'!O140</f>
        <v>11977.300000000001</v>
      </c>
    </row>
    <row r="153" spans="1:15" x14ac:dyDescent="0.35">
      <c r="A153" s="8">
        <f>'Data cleaning and validation(3)'!A141</f>
        <v>140</v>
      </c>
      <c r="B153" s="8" t="str">
        <f>'Data cleaning and validation(3)'!B141</f>
        <v>Wheeler</v>
      </c>
      <c r="C153" s="8" t="str">
        <f>'Data cleaning and validation(3)'!C141</f>
        <v>bwheeler3v@google.co.uk</v>
      </c>
      <c r="D153" s="8" t="str">
        <f>'Data cleaning and validation(3)'!D141</f>
        <v>M</v>
      </c>
      <c r="E153" s="8" t="str">
        <f>'Data cleaning and validation(3)'!E141</f>
        <v>Computers</v>
      </c>
      <c r="F153" s="15">
        <f>'Data cleaning and validation(3)'!F141</f>
        <v>36913</v>
      </c>
      <c r="G153" s="8">
        <f>'Data cleaning and validation(3)'!G141</f>
        <v>20</v>
      </c>
      <c r="H153" s="19">
        <f>'Data cleaning and validation(3)'!H141</f>
        <v>82358</v>
      </c>
      <c r="I153" s="8" t="str">
        <f>'Data cleaning and validation(3)'!I141</f>
        <v>Information Systems Manager</v>
      </c>
      <c r="J153" s="8" t="str">
        <f>'Data cleaning and validation(3)'!J141</f>
        <v>Southwest</v>
      </c>
      <c r="K153" s="8" t="str">
        <f>'Data cleaning and validation(3)'!K141</f>
        <v>USA</v>
      </c>
      <c r="L153" s="8" t="str">
        <f>'Data cleaning and validation(3)'!L141</f>
        <v>Electronic Equipment</v>
      </c>
      <c r="M153" s="8" t="str">
        <f>'Data cleaning and validation(3)'!M141</f>
        <v>Active</v>
      </c>
      <c r="N153" s="17">
        <f>'Data cleaning and validation(3)'!N141</f>
        <v>988296</v>
      </c>
      <c r="O153" s="18">
        <f>'Data cleaning and validation(3)'!O141</f>
        <v>8235.8000000000011</v>
      </c>
    </row>
    <row r="154" spans="1:15" x14ac:dyDescent="0.35">
      <c r="A154" s="8">
        <f>'Data cleaning and validation(3)'!A142</f>
        <v>141</v>
      </c>
      <c r="B154" s="8" t="str">
        <f>'Data cleaning and validation(3)'!B142</f>
        <v>Williamson</v>
      </c>
      <c r="C154" s="8" t="str">
        <f>'Data cleaning and validation(3)'!C142</f>
        <v>rwilliamson3w@amazon.co.jp</v>
      </c>
      <c r="D154" s="8" t="str">
        <f>'Data cleaning and validation(3)'!D142</f>
        <v>M</v>
      </c>
      <c r="E154" s="8" t="str">
        <f>'Data cleaning and validation(3)'!E142</f>
        <v>Games</v>
      </c>
      <c r="F154" s="15">
        <f>'Data cleaning and validation(3)'!F142</f>
        <v>38698</v>
      </c>
      <c r="G154" s="8">
        <f>'Data cleaning and validation(3)'!G142</f>
        <v>16</v>
      </c>
      <c r="H154" s="19">
        <f>'Data cleaning and validation(3)'!H142</f>
        <v>145575</v>
      </c>
      <c r="I154" s="8" t="str">
        <f>'Data cleaning and validation(3)'!I142</f>
        <v>VP Accounting</v>
      </c>
      <c r="J154" s="8" t="str">
        <f>'Data cleaning and validation(3)'!J142</f>
        <v>Northeast</v>
      </c>
      <c r="K154" s="8" t="str">
        <f>'Data cleaning and validation(3)'!K142</f>
        <v>USA</v>
      </c>
      <c r="L154" s="8" t="str">
        <f>'Data cleaning and validation(3)'!L142</f>
        <v>Domestic</v>
      </c>
      <c r="M154" s="8" t="str">
        <f>'Data cleaning and validation(3)'!M142</f>
        <v>Active</v>
      </c>
      <c r="N154" s="17">
        <f>'Data cleaning and validation(3)'!N142</f>
        <v>1746900</v>
      </c>
      <c r="O154" s="18">
        <f>'Data cleaning and validation(3)'!O142</f>
        <v>14557.5</v>
      </c>
    </row>
    <row r="155" spans="1:15" x14ac:dyDescent="0.35">
      <c r="A155" s="8">
        <f>'Data cleaning and validation(3)'!A143</f>
        <v>142</v>
      </c>
      <c r="B155" s="8" t="str">
        <f>'Data cleaning and validation(3)'!B143</f>
        <v>Burton</v>
      </c>
      <c r="C155" s="8" t="str">
        <f>'Data cleaning and validation(3)'!C143</f>
        <v>gburton3x@umich.edu</v>
      </c>
      <c r="D155" s="8" t="str">
        <f>'Data cleaning and validation(3)'!D143</f>
        <v>M</v>
      </c>
      <c r="E155" s="8" t="str">
        <f>'Data cleaning and validation(3)'!E143</f>
        <v>Industrial</v>
      </c>
      <c r="F155" s="15">
        <f>'Data cleaning and validation(3)'!F143</f>
        <v>40153</v>
      </c>
      <c r="G155" s="8">
        <f>'Data cleaning and validation(3)'!G143</f>
        <v>12</v>
      </c>
      <c r="H155" s="19">
        <f>'Data cleaning and validation(3)'!H143</f>
        <v>105810</v>
      </c>
      <c r="I155" s="8" t="str">
        <f>'Data cleaning and validation(3)'!I143</f>
        <v>Recruiter</v>
      </c>
      <c r="J155" s="8" t="str">
        <f>'Data cleaning and validation(3)'!J143</f>
        <v>British Columbia</v>
      </c>
      <c r="K155" s="8" t="str">
        <f>'Data cleaning and validation(3)'!K143</f>
        <v>Canada</v>
      </c>
      <c r="L155" s="8" t="str">
        <f>'Data cleaning and validation(3)'!L143</f>
        <v>Auto &amp; Hardware</v>
      </c>
      <c r="M155" s="8" t="str">
        <f>'Data cleaning and validation(3)'!M143</f>
        <v>On Leave</v>
      </c>
      <c r="N155" s="17">
        <f>'Data cleaning and validation(3)'!N143</f>
        <v>1269720</v>
      </c>
      <c r="O155" s="18">
        <f>'Data cleaning and validation(3)'!O143</f>
        <v>10581</v>
      </c>
    </row>
    <row r="156" spans="1:15" x14ac:dyDescent="0.35">
      <c r="A156" s="8">
        <f>'Data cleaning and validation(3)'!A144</f>
        <v>143</v>
      </c>
      <c r="B156" s="8" t="str">
        <f>'Data cleaning and validation(3)'!B144</f>
        <v>Gutierrez</v>
      </c>
      <c r="C156" s="8" t="str">
        <f>'Data cleaning and validation(3)'!C144</f>
        <v>jgutierrez3y@tuttocitta.it</v>
      </c>
      <c r="D156" s="8" t="str">
        <f>'Data cleaning and validation(3)'!D144</f>
        <v>M</v>
      </c>
      <c r="E156" s="8" t="str">
        <f>'Data cleaning and validation(3)'!E144</f>
        <v>Tools</v>
      </c>
      <c r="F156" s="15">
        <f>'Data cleaning and validation(3)'!F144</f>
        <v>41765</v>
      </c>
      <c r="G156" s="8">
        <f>'Data cleaning and validation(3)'!G144</f>
        <v>7</v>
      </c>
      <c r="H156" s="19">
        <f>'Data cleaning and validation(3)'!H144</f>
        <v>58805</v>
      </c>
      <c r="I156" s="8" t="str">
        <f>'Data cleaning and validation(3)'!I144</f>
        <v>Database Administrator I</v>
      </c>
      <c r="J156" s="8" t="str">
        <f>'Data cleaning and validation(3)'!J144</f>
        <v>Northeast</v>
      </c>
      <c r="K156" s="8" t="str">
        <f>'Data cleaning and validation(3)'!K144</f>
        <v>USA</v>
      </c>
      <c r="L156" s="8" t="str">
        <f>'Data cleaning and validation(3)'!L144</f>
        <v>Auto &amp; Hardware</v>
      </c>
      <c r="M156" s="8" t="str">
        <f>'Data cleaning and validation(3)'!M144</f>
        <v>On Leave</v>
      </c>
      <c r="N156" s="17">
        <f>'Data cleaning and validation(3)'!N144</f>
        <v>705660</v>
      </c>
      <c r="O156" s="18">
        <f>'Data cleaning and validation(3)'!O144</f>
        <v>5880.5</v>
      </c>
    </row>
    <row r="157" spans="1:15" x14ac:dyDescent="0.35">
      <c r="A157" s="8">
        <f>'Data cleaning and validation(3)'!A145</f>
        <v>144</v>
      </c>
      <c r="B157" s="8" t="str">
        <f>'Data cleaning and validation(3)'!B145</f>
        <v>Barnes</v>
      </c>
      <c r="C157" s="8" t="str">
        <f>'Data cleaning and validation(3)'!C145</f>
        <v>lbarnes3z@indiegogo.com</v>
      </c>
      <c r="D157" s="8" t="str">
        <f>'Data cleaning and validation(3)'!D145</f>
        <v>F</v>
      </c>
      <c r="E157" s="8" t="str">
        <f>'Data cleaning and validation(3)'!E145</f>
        <v>Baby</v>
      </c>
      <c r="F157" s="15">
        <f>'Data cleaning and validation(3)'!F145</f>
        <v>44538</v>
      </c>
      <c r="G157" s="8">
        <f>'Data cleaning and validation(3)'!G145</f>
        <v>13</v>
      </c>
      <c r="H157" s="19">
        <f>'Data cleaning and validation(3)'!H145</f>
        <v>112837</v>
      </c>
      <c r="I157" s="8" t="str">
        <f>'Data cleaning and validation(3)'!I145</f>
        <v>Clinical Specialist</v>
      </c>
      <c r="J157" s="8" t="str">
        <f>'Data cleaning and validation(3)'!J145</f>
        <v>British Columbia</v>
      </c>
      <c r="K157" s="8" t="str">
        <f>'Data cleaning and validation(3)'!K145</f>
        <v>Canada</v>
      </c>
      <c r="L157" s="8" t="str">
        <f>'Data cleaning and validation(3)'!L145</f>
        <v>Domestic</v>
      </c>
      <c r="M157" s="8" t="str">
        <f>'Data cleaning and validation(3)'!M145</f>
        <v>Active</v>
      </c>
      <c r="N157" s="17">
        <f>'Data cleaning and validation(3)'!N145</f>
        <v>1354044</v>
      </c>
      <c r="O157" s="18">
        <f>'Data cleaning and validation(3)'!O145</f>
        <v>11283.7</v>
      </c>
    </row>
    <row r="158" spans="1:15" x14ac:dyDescent="0.35">
      <c r="A158" s="8">
        <f>'Data cleaning and validation(3)'!A146</f>
        <v>145</v>
      </c>
      <c r="B158" s="8" t="str">
        <f>'Data cleaning and validation(3)'!B146</f>
        <v>Day</v>
      </c>
      <c r="C158" s="8" t="str">
        <f>'Data cleaning and validation(3)'!C146</f>
        <v>lday40@upenn.edu</v>
      </c>
      <c r="D158" s="8" t="str">
        <f>'Data cleaning and validation(3)'!D146</f>
        <v>F</v>
      </c>
      <c r="E158" s="8" t="str">
        <f>'Data cleaning and validation(3)'!E146</f>
        <v>Baby</v>
      </c>
      <c r="F158" s="15">
        <f>'Data cleaning and validation(3)'!F146</f>
        <v>46126</v>
      </c>
      <c r="G158" s="8">
        <f>'Data cleaning and validation(3)'!G146</f>
        <v>8</v>
      </c>
      <c r="H158" s="19">
        <f>'Data cleaning and validation(3)'!H146</f>
        <v>125914</v>
      </c>
      <c r="I158" s="8" t="str">
        <f>'Data cleaning and validation(3)'!I146</f>
        <v>Junior Executive</v>
      </c>
      <c r="J158" s="8" t="str">
        <f>'Data cleaning and validation(3)'!J146</f>
        <v>Quebec</v>
      </c>
      <c r="K158" s="8" t="str">
        <f>'Data cleaning and validation(3)'!K146</f>
        <v>Canada</v>
      </c>
      <c r="L158" s="8" t="str">
        <f>'Data cleaning and validation(3)'!L146</f>
        <v>Domestic</v>
      </c>
      <c r="M158" s="8" t="str">
        <f>'Data cleaning and validation(3)'!M146</f>
        <v>Active</v>
      </c>
      <c r="N158" s="17">
        <f>'Data cleaning and validation(3)'!N146</f>
        <v>1510968</v>
      </c>
      <c r="O158" s="18">
        <f>'Data cleaning and validation(3)'!O146</f>
        <v>12591.400000000001</v>
      </c>
    </row>
    <row r="159" spans="1:15" x14ac:dyDescent="0.35">
      <c r="A159" s="8">
        <f>'Data cleaning and validation(3)'!A147</f>
        <v>146</v>
      </c>
      <c r="B159" s="8" t="str">
        <f>'Data cleaning and validation(3)'!B147</f>
        <v>Thompson</v>
      </c>
      <c r="C159" s="8" t="str">
        <f>'Data cleaning and validation(3)'!C147</f>
        <v>athompson41@booking.com</v>
      </c>
      <c r="D159" s="8" t="str">
        <f>'Data cleaning and validation(3)'!D147</f>
        <v>M</v>
      </c>
      <c r="E159" s="8" t="str">
        <f>'Data cleaning and validation(3)'!E147</f>
        <v>Movies</v>
      </c>
      <c r="F159" s="15">
        <f>'Data cleaning and validation(3)'!F147</f>
        <v>39848</v>
      </c>
      <c r="G159" s="8">
        <f>'Data cleaning and validation(3)'!G147</f>
        <v>12</v>
      </c>
      <c r="H159" s="19">
        <f>'Data cleaning and validation(3)'!H147</f>
        <v>133281</v>
      </c>
      <c r="I159" s="8" t="str">
        <f>'Data cleaning and validation(3)'!I147</f>
        <v>Account Executive</v>
      </c>
      <c r="J159" s="8" t="str">
        <f>'Data cleaning and validation(3)'!J147</f>
        <v>Quebec</v>
      </c>
      <c r="K159" s="8" t="str">
        <f>'Data cleaning and validation(3)'!K147</f>
        <v>Canada</v>
      </c>
      <c r="L159" s="8" t="str">
        <f>'Data cleaning and validation(3)'!L147</f>
        <v>Entertainment</v>
      </c>
      <c r="M159" s="8" t="str">
        <f>'Data cleaning and validation(3)'!M147</f>
        <v>On Leave</v>
      </c>
      <c r="N159" s="17">
        <f>'Data cleaning and validation(3)'!N147</f>
        <v>1599372</v>
      </c>
      <c r="O159" s="18">
        <f>'Data cleaning and validation(3)'!O147</f>
        <v>13328.1</v>
      </c>
    </row>
    <row r="160" spans="1:15" x14ac:dyDescent="0.35">
      <c r="A160" s="8">
        <f>'Data cleaning and validation(3)'!A148</f>
        <v>147</v>
      </c>
      <c r="B160" s="8" t="str">
        <f>'Data cleaning and validation(3)'!B148</f>
        <v>Hernandez</v>
      </c>
      <c r="C160" s="8" t="str">
        <f>'Data cleaning and validation(3)'!C148</f>
        <v>ahernandez42@pagesperso-orange.fr</v>
      </c>
      <c r="D160" s="8" t="str">
        <f>'Data cleaning and validation(3)'!D148</f>
        <v>F</v>
      </c>
      <c r="E160" s="8" t="str">
        <f>'Data cleaning and validation(3)'!E148</f>
        <v>Music</v>
      </c>
      <c r="F160" s="15">
        <f>'Data cleaning and validation(3)'!F148</f>
        <v>45936</v>
      </c>
      <c r="G160" s="8">
        <f>'Data cleaning and validation(3)'!G148</f>
        <v>9</v>
      </c>
      <c r="H160" s="19">
        <f>'Data cleaning and validation(3)'!H148</f>
        <v>96169</v>
      </c>
      <c r="I160" s="8" t="str">
        <f>'Data cleaning and validation(3)'!I148</f>
        <v>Civil Engineer</v>
      </c>
      <c r="J160" s="8" t="str">
        <f>'Data cleaning and validation(3)'!J148</f>
        <v>Northeast</v>
      </c>
      <c r="K160" s="8" t="str">
        <f>'Data cleaning and validation(3)'!K148</f>
        <v>USA</v>
      </c>
      <c r="L160" s="8" t="str">
        <f>'Data cleaning and validation(3)'!L148</f>
        <v>Entertainment</v>
      </c>
      <c r="M160" s="8" t="str">
        <f>'Data cleaning and validation(3)'!M148</f>
        <v>On Leave</v>
      </c>
      <c r="N160" s="17">
        <f>'Data cleaning and validation(3)'!N148</f>
        <v>1154028</v>
      </c>
      <c r="O160" s="18">
        <f>'Data cleaning and validation(3)'!O148</f>
        <v>9616.9</v>
      </c>
    </row>
    <row r="161" spans="1:15" x14ac:dyDescent="0.35">
      <c r="A161" s="8">
        <f>'Data cleaning and validation(3)'!A149</f>
        <v>148</v>
      </c>
      <c r="B161" s="8" t="str">
        <f>'Data cleaning and validation(3)'!B149</f>
        <v>Sanders</v>
      </c>
      <c r="C161" s="8" t="str">
        <f>'Data cleaning and validation(3)'!C149</f>
        <v>lsanders43@linkedin.com</v>
      </c>
      <c r="D161" s="8" t="str">
        <f>'Data cleaning and validation(3)'!D149</f>
        <v>M</v>
      </c>
      <c r="E161" s="8" t="str">
        <f>'Data cleaning and validation(3)'!E149</f>
        <v>Movies</v>
      </c>
      <c r="F161" s="15">
        <f>'Data cleaning and validation(3)'!F149</f>
        <v>41403</v>
      </c>
      <c r="G161" s="8">
        <f>'Data cleaning and validation(3)'!G149</f>
        <v>8</v>
      </c>
      <c r="H161" s="19">
        <f>'Data cleaning and validation(3)'!H149</f>
        <v>146970</v>
      </c>
      <c r="I161" s="8" t="str">
        <f>'Data cleaning and validation(3)'!I149</f>
        <v>Staff Accountant III</v>
      </c>
      <c r="J161" s="8" t="str">
        <f>'Data cleaning and validation(3)'!J149</f>
        <v>Northwest</v>
      </c>
      <c r="K161" s="8" t="str">
        <f>'Data cleaning and validation(3)'!K149</f>
        <v>USA</v>
      </c>
      <c r="L161" s="8" t="str">
        <f>'Data cleaning and validation(3)'!L149</f>
        <v>Entertainment</v>
      </c>
      <c r="M161" s="8" t="str">
        <f>'Data cleaning and validation(3)'!M149</f>
        <v>On Leave</v>
      </c>
      <c r="N161" s="17">
        <f>'Data cleaning and validation(3)'!N149</f>
        <v>1763640</v>
      </c>
      <c r="O161" s="18">
        <f>'Data cleaning and validation(3)'!O149</f>
        <v>14697</v>
      </c>
    </row>
    <row r="162" spans="1:15" x14ac:dyDescent="0.35">
      <c r="A162" s="8">
        <f>'Data cleaning and validation(3)'!A150</f>
        <v>149</v>
      </c>
      <c r="B162" s="8" t="str">
        <f>'Data cleaning and validation(3)'!B150</f>
        <v>Meyer</v>
      </c>
      <c r="C162" s="8" t="str">
        <f>'Data cleaning and validation(3)'!C150</f>
        <v>jmeyer44@facebook.com</v>
      </c>
      <c r="D162" s="8" t="str">
        <f>'Data cleaning and validation(3)'!D150</f>
        <v>F</v>
      </c>
      <c r="E162" s="8" t="str">
        <f>'Data cleaning and validation(3)'!E150</f>
        <v>Toys</v>
      </c>
      <c r="F162" s="15">
        <f>'Data cleaning and validation(3)'!F150</f>
        <v>44319</v>
      </c>
      <c r="G162" s="8">
        <f>'Data cleaning and validation(3)'!G150</f>
        <v>13</v>
      </c>
      <c r="H162" s="19">
        <f>'Data cleaning and validation(3)'!H150</f>
        <v>76352</v>
      </c>
      <c r="I162" s="8" t="str">
        <f>'Data cleaning and validation(3)'!I150</f>
        <v>Human Resources Assistant IV</v>
      </c>
      <c r="J162" s="8" t="str">
        <f>'Data cleaning and validation(3)'!J150</f>
        <v>Southwest</v>
      </c>
      <c r="K162" s="8" t="str">
        <f>'Data cleaning and validation(3)'!K150</f>
        <v>USA</v>
      </c>
      <c r="L162" s="8" t="str">
        <f>'Data cleaning and validation(3)'!L150</f>
        <v>Games &amp; Sports</v>
      </c>
      <c r="M162" s="8" t="str">
        <f>'Data cleaning and validation(3)'!M150</f>
        <v>On Leave</v>
      </c>
      <c r="N162" s="17">
        <f>'Data cleaning and validation(3)'!N150</f>
        <v>916224</v>
      </c>
      <c r="O162" s="18">
        <f>'Data cleaning and validation(3)'!O150</f>
        <v>7635.2000000000007</v>
      </c>
    </row>
    <row r="163" spans="1:15" x14ac:dyDescent="0.35">
      <c r="A163" s="8">
        <f>'Data cleaning and validation(3)'!A151</f>
        <v>150</v>
      </c>
      <c r="B163" s="8" t="str">
        <f>'Data cleaning and validation(3)'!B151</f>
        <v>Diaz</v>
      </c>
      <c r="C163" s="8" t="str">
        <f>'Data cleaning and validation(3)'!C151</f>
        <v>pdiaz45@who.int</v>
      </c>
      <c r="D163" s="8" t="str">
        <f>'Data cleaning and validation(3)'!D151</f>
        <v>M</v>
      </c>
      <c r="E163" s="8" t="str">
        <f>'Data cleaning and validation(3)'!E151</f>
        <v>Health</v>
      </c>
      <c r="F163" s="15">
        <f>'Data cleaning and validation(3)'!F151</f>
        <v>39005</v>
      </c>
      <c r="G163" s="8">
        <f>'Data cleaning and validation(3)'!G151</f>
        <v>15</v>
      </c>
      <c r="H163" s="19">
        <f>'Data cleaning and validation(3)'!H151</f>
        <v>128748</v>
      </c>
      <c r="I163" s="8" t="str">
        <f>'Data cleaning and validation(3)'!I151</f>
        <v>Web Developer III</v>
      </c>
      <c r="J163" s="8" t="str">
        <f>'Data cleaning and validation(3)'!J151</f>
        <v>Northeast</v>
      </c>
      <c r="K163" s="8" t="str">
        <f>'Data cleaning and validation(3)'!K151</f>
        <v>USA</v>
      </c>
      <c r="L163" s="8" t="str">
        <f>'Data cleaning and validation(3)'!L151</f>
        <v>Domestic</v>
      </c>
      <c r="M163" s="8" t="str">
        <f>'Data cleaning and validation(3)'!M151</f>
        <v>On Leave</v>
      </c>
      <c r="N163" s="17">
        <f>'Data cleaning and validation(3)'!N151</f>
        <v>1544976</v>
      </c>
      <c r="O163" s="18">
        <f>'Data cleaning and validation(3)'!O151</f>
        <v>12874.800000000001</v>
      </c>
    </row>
    <row r="164" spans="1:15" x14ac:dyDescent="0.35">
      <c r="A164" s="8">
        <f>'Data cleaning and validation(3)'!A152</f>
        <v>151</v>
      </c>
      <c r="B164" s="8" t="str">
        <f>'Data cleaning and validation(3)'!B152</f>
        <v>Larson</v>
      </c>
      <c r="C164" s="8" t="str">
        <f>'Data cleaning and validation(3)'!C152</f>
        <v>blarson46@newsvine.com</v>
      </c>
      <c r="D164" s="8" t="str">
        <f>'Data cleaning and validation(3)'!D152</f>
        <v>M</v>
      </c>
      <c r="E164" s="8" t="str">
        <f>'Data cleaning and validation(3)'!E152</f>
        <v>Books</v>
      </c>
      <c r="F164" s="15">
        <f>'Data cleaning and validation(3)'!F152</f>
        <v>40764</v>
      </c>
      <c r="G164" s="8">
        <f>'Data cleaning and validation(3)'!G152</f>
        <v>10</v>
      </c>
      <c r="H164" s="19">
        <f>'Data cleaning and validation(3)'!H152</f>
        <v>50066</v>
      </c>
      <c r="I164" s="8" t="str">
        <f>'Data cleaning and validation(3)'!I152</f>
        <v>Operator</v>
      </c>
      <c r="J164" s="8" t="str">
        <f>'Data cleaning and validation(3)'!J152</f>
        <v>Northeast</v>
      </c>
      <c r="K164" s="8" t="str">
        <f>'Data cleaning and validation(3)'!K152</f>
        <v>USA</v>
      </c>
      <c r="L164" s="8" t="str">
        <f>'Data cleaning and validation(3)'!L152</f>
        <v>Library</v>
      </c>
      <c r="M164" s="8" t="str">
        <f>'Data cleaning and validation(3)'!M152</f>
        <v>On Leave</v>
      </c>
      <c r="N164" s="17">
        <f>'Data cleaning and validation(3)'!N152</f>
        <v>600792</v>
      </c>
      <c r="O164" s="18">
        <f>'Data cleaning and validation(3)'!O152</f>
        <v>5006.6000000000004</v>
      </c>
    </row>
    <row r="165" spans="1:15" x14ac:dyDescent="0.35">
      <c r="A165" s="8">
        <f>'Data cleaning and validation(3)'!A153</f>
        <v>152</v>
      </c>
      <c r="B165" s="8" t="str">
        <f>'Data cleaning and validation(3)'!B153</f>
        <v>Roberts</v>
      </c>
      <c r="C165" s="8" t="str">
        <f>'Data cleaning and validation(3)'!C153</f>
        <v>droberts47@jimdo.com</v>
      </c>
      <c r="D165" s="8" t="str">
        <f>'Data cleaning and validation(3)'!D153</f>
        <v>M</v>
      </c>
      <c r="E165" s="8" t="str">
        <f>'Data cleaning and validation(3)'!E153</f>
        <v>Music</v>
      </c>
      <c r="F165" s="15">
        <f>'Data cleaning and validation(3)'!F153</f>
        <v>40746</v>
      </c>
      <c r="G165" s="8">
        <f>'Data cleaning and validation(3)'!G153</f>
        <v>10</v>
      </c>
      <c r="H165" s="19">
        <f>'Data cleaning and validation(3)'!H153</f>
        <v>105319</v>
      </c>
      <c r="I165" s="8" t="str">
        <f>'Data cleaning and validation(3)'!I153</f>
        <v>Compensation Analyst</v>
      </c>
      <c r="J165" s="8" t="str">
        <f>'Data cleaning and validation(3)'!J153</f>
        <v>Southwest</v>
      </c>
      <c r="K165" s="8" t="str">
        <f>'Data cleaning and validation(3)'!K153</f>
        <v>USA</v>
      </c>
      <c r="L165" s="8" t="str">
        <f>'Data cleaning and validation(3)'!L153</f>
        <v>Entertainment</v>
      </c>
      <c r="M165" s="8" t="str">
        <f>'Data cleaning and validation(3)'!M153</f>
        <v>On Leave</v>
      </c>
      <c r="N165" s="17">
        <f>'Data cleaning and validation(3)'!N153</f>
        <v>1263828</v>
      </c>
      <c r="O165" s="18">
        <f>'Data cleaning and validation(3)'!O153</f>
        <v>10531.900000000001</v>
      </c>
    </row>
    <row r="166" spans="1:15" x14ac:dyDescent="0.35">
      <c r="A166" s="8">
        <f>'Data cleaning and validation(3)'!A154</f>
        <v>153</v>
      </c>
      <c r="B166" s="8" t="str">
        <f>'Data cleaning and validation(3)'!B154</f>
        <v>Carroll</v>
      </c>
      <c r="C166" s="8" t="str">
        <f>'Data cleaning and validation(3)'!C154</f>
        <v>jcarroll48@cisco.com</v>
      </c>
      <c r="D166" s="8" t="str">
        <f>'Data cleaning and validation(3)'!D154</f>
        <v>M</v>
      </c>
      <c r="E166" s="8" t="str">
        <f>'Data cleaning and validation(3)'!E154</f>
        <v>Home</v>
      </c>
      <c r="F166" s="15">
        <f>'Data cleaning and validation(3)'!F154</f>
        <v>37924</v>
      </c>
      <c r="G166" s="8">
        <f>'Data cleaning and validation(3)'!G154</f>
        <v>18</v>
      </c>
      <c r="H166" s="19">
        <f>'Data cleaning and validation(3)'!H154</f>
        <v>110622</v>
      </c>
      <c r="I166" s="8" t="str">
        <f>'Data cleaning and validation(3)'!I154</f>
        <v>Safety Technician IV</v>
      </c>
      <c r="J166" s="8" t="str">
        <f>'Data cleaning and validation(3)'!J154</f>
        <v>Southwest</v>
      </c>
      <c r="K166" s="8" t="str">
        <f>'Data cleaning and validation(3)'!K154</f>
        <v>USA</v>
      </c>
      <c r="L166" s="8" t="str">
        <f>'Data cleaning and validation(3)'!L154</f>
        <v>Domestic</v>
      </c>
      <c r="M166" s="8" t="str">
        <f>'Data cleaning and validation(3)'!M154</f>
        <v>On Leave</v>
      </c>
      <c r="N166" s="17">
        <f>'Data cleaning and validation(3)'!N154</f>
        <v>1327464</v>
      </c>
      <c r="O166" s="18">
        <f>'Data cleaning and validation(3)'!O154</f>
        <v>11062.2</v>
      </c>
    </row>
    <row r="167" spans="1:15" x14ac:dyDescent="0.35">
      <c r="A167" s="8">
        <f>'Data cleaning and validation(3)'!A155</f>
        <v>154</v>
      </c>
      <c r="B167" s="8" t="str">
        <f>'Data cleaning and validation(3)'!B155</f>
        <v>Russell</v>
      </c>
      <c r="C167" s="8" t="str">
        <f>'Data cleaning and validation(3)'!C155</f>
        <v>mrussell49@exblog.jp</v>
      </c>
      <c r="D167" s="8" t="str">
        <f>'Data cleaning and validation(3)'!D155</f>
        <v>F</v>
      </c>
      <c r="E167" s="8" t="str">
        <f>'Data cleaning and validation(3)'!E155</f>
        <v>Electronics</v>
      </c>
      <c r="F167" s="15">
        <f>'Data cleaning and validation(3)'!F155</f>
        <v>44850</v>
      </c>
      <c r="G167" s="8">
        <f>'Data cleaning and validation(3)'!G155</f>
        <v>12</v>
      </c>
      <c r="H167" s="19">
        <f>'Data cleaning and validation(3)'!H155</f>
        <v>87422</v>
      </c>
      <c r="I167" s="8" t="str">
        <f>'Data cleaning and validation(3)'!I155</f>
        <v>Help Desk Operator</v>
      </c>
      <c r="J167" s="8" t="str">
        <f>'Data cleaning and validation(3)'!J155</f>
        <v>Nova Scotia</v>
      </c>
      <c r="K167" s="8" t="str">
        <f>'Data cleaning and validation(3)'!K155</f>
        <v>Canada</v>
      </c>
      <c r="L167" s="8" t="str">
        <f>'Data cleaning and validation(3)'!L155</f>
        <v>Electronic Equipment</v>
      </c>
      <c r="M167" s="8" t="str">
        <f>'Data cleaning and validation(3)'!M155</f>
        <v>On Leave</v>
      </c>
      <c r="N167" s="17">
        <f>'Data cleaning and validation(3)'!N155</f>
        <v>1049064</v>
      </c>
      <c r="O167" s="18">
        <f>'Data cleaning and validation(3)'!O155</f>
        <v>8742.2000000000007</v>
      </c>
    </row>
    <row r="168" spans="1:15" x14ac:dyDescent="0.35">
      <c r="A168" s="8">
        <f>'Data cleaning and validation(3)'!A156</f>
        <v>155</v>
      </c>
      <c r="B168" s="8" t="str">
        <f>'Data cleaning and validation(3)'!B156</f>
        <v>Robinson</v>
      </c>
      <c r="C168" s="8" t="str">
        <f>'Data cleaning and validation(3)'!C156</f>
        <v>trobinson4a@amazon.com</v>
      </c>
      <c r="D168" s="8" t="str">
        <f>'Data cleaning and validation(3)'!D156</f>
        <v>M</v>
      </c>
      <c r="E168" s="8" t="str">
        <f>'Data cleaning and validation(3)'!E156</f>
        <v>Books</v>
      </c>
      <c r="F168" s="15">
        <f>'Data cleaning and validation(3)'!F156</f>
        <v>39331</v>
      </c>
      <c r="G168" s="8">
        <f>'Data cleaning and validation(3)'!G156</f>
        <v>14</v>
      </c>
      <c r="H168" s="19">
        <f>'Data cleaning and validation(3)'!H156</f>
        <v>45456</v>
      </c>
      <c r="I168" s="8" t="str">
        <f>'Data cleaning and validation(3)'!I156</f>
        <v>Chemical Engineer</v>
      </c>
      <c r="J168" s="8" t="str">
        <f>'Data cleaning and validation(3)'!J156</f>
        <v>Northeast</v>
      </c>
      <c r="K168" s="8" t="str">
        <f>'Data cleaning and validation(3)'!K156</f>
        <v>USA</v>
      </c>
      <c r="L168" s="8" t="str">
        <f>'Data cleaning and validation(3)'!L156</f>
        <v>Library</v>
      </c>
      <c r="M168" s="8" t="str">
        <f>'Data cleaning and validation(3)'!M156</f>
        <v>On Leave</v>
      </c>
      <c r="N168" s="17">
        <f>'Data cleaning and validation(3)'!N156</f>
        <v>545472</v>
      </c>
      <c r="O168" s="18">
        <f>'Data cleaning and validation(3)'!O156</f>
        <v>4545.6000000000004</v>
      </c>
    </row>
    <row r="169" spans="1:15" x14ac:dyDescent="0.35">
      <c r="A169" s="8">
        <f>'Data cleaning and validation(3)'!A157</f>
        <v>156</v>
      </c>
      <c r="B169" s="8" t="str">
        <f>'Data cleaning and validation(3)'!B157</f>
        <v>Hayes</v>
      </c>
      <c r="C169" s="8" t="str">
        <f>'Data cleaning and validation(3)'!C157</f>
        <v>ahayes4b@guardian.co.uk</v>
      </c>
      <c r="D169" s="8" t="str">
        <f>'Data cleaning and validation(3)'!D157</f>
        <v>M</v>
      </c>
      <c r="E169" s="8" t="str">
        <f>'Data cleaning and validation(3)'!E157</f>
        <v>Industrial</v>
      </c>
      <c r="F169" s="15">
        <f>'Data cleaning and validation(3)'!F157</f>
        <v>38128</v>
      </c>
      <c r="G169" s="8">
        <f>'Data cleaning and validation(3)'!G157</f>
        <v>17</v>
      </c>
      <c r="H169" s="19">
        <f>'Data cleaning and validation(3)'!H157</f>
        <v>52298</v>
      </c>
      <c r="I169" s="8" t="str">
        <f>'Data cleaning and validation(3)'!I157</f>
        <v>Analyst Programmer</v>
      </c>
      <c r="J169" s="8" t="str">
        <f>'Data cleaning and validation(3)'!J157</f>
        <v>Nova Scotia</v>
      </c>
      <c r="K169" s="8" t="str">
        <f>'Data cleaning and validation(3)'!K157</f>
        <v>Canada</v>
      </c>
      <c r="L169" s="8" t="str">
        <f>'Data cleaning and validation(3)'!L157</f>
        <v>Auto &amp; Hardware</v>
      </c>
      <c r="M169" s="8" t="str">
        <f>'Data cleaning and validation(3)'!M157</f>
        <v>On Leave</v>
      </c>
      <c r="N169" s="17">
        <f>'Data cleaning and validation(3)'!N157</f>
        <v>627576</v>
      </c>
      <c r="O169" s="18">
        <f>'Data cleaning and validation(3)'!O157</f>
        <v>5229.8</v>
      </c>
    </row>
    <row r="170" spans="1:15" x14ac:dyDescent="0.35">
      <c r="A170" s="8">
        <f>'Data cleaning and validation(3)'!A158</f>
        <v>157</v>
      </c>
      <c r="B170" s="8" t="str">
        <f>'Data cleaning and validation(3)'!B158</f>
        <v>Henry</v>
      </c>
      <c r="C170" s="8" t="str">
        <f>'Data cleaning and validation(3)'!C158</f>
        <v>dhenry4c@yelp.com</v>
      </c>
      <c r="D170" s="8" t="str">
        <f>'Data cleaning and validation(3)'!D158</f>
        <v>M</v>
      </c>
      <c r="E170" s="8" t="str">
        <f>'Data cleaning and validation(3)'!E158</f>
        <v>Shoes</v>
      </c>
      <c r="F170" s="15">
        <f>'Data cleaning and validation(3)'!F158</f>
        <v>39216</v>
      </c>
      <c r="G170" s="8">
        <f>'Data cleaning and validation(3)'!G158</f>
        <v>14</v>
      </c>
      <c r="H170" s="19">
        <f>'Data cleaning and validation(3)'!H158</f>
        <v>131252</v>
      </c>
      <c r="I170" s="8" t="str">
        <f>'Data cleaning and validation(3)'!I158</f>
        <v>Account Representative III</v>
      </c>
      <c r="J170" s="8" t="str">
        <f>'Data cleaning and validation(3)'!J158</f>
        <v>Northeast</v>
      </c>
      <c r="K170" s="8" t="str">
        <f>'Data cleaning and validation(3)'!K158</f>
        <v>USA</v>
      </c>
      <c r="L170" s="8" t="str">
        <f>'Data cleaning and validation(3)'!L158</f>
        <v>Domestic</v>
      </c>
      <c r="M170" s="8" t="str">
        <f>'Data cleaning and validation(3)'!M158</f>
        <v>On Leave</v>
      </c>
      <c r="N170" s="17">
        <f>'Data cleaning and validation(3)'!N158</f>
        <v>1575024</v>
      </c>
      <c r="O170" s="18">
        <f>'Data cleaning and validation(3)'!O158</f>
        <v>13125.2</v>
      </c>
    </row>
    <row r="171" spans="1:15" x14ac:dyDescent="0.35">
      <c r="A171" s="8">
        <f>'Data cleaning and validation(3)'!A159</f>
        <v>158</v>
      </c>
      <c r="B171" s="8" t="str">
        <f>'Data cleaning and validation(3)'!B159</f>
        <v>Chavez</v>
      </c>
      <c r="C171" s="8" t="str">
        <f>'Data cleaning and validation(3)'!C159</f>
        <v>mchavez4d@baidu.com</v>
      </c>
      <c r="D171" s="8" t="str">
        <f>'Data cleaning and validation(3)'!D159</f>
        <v>M</v>
      </c>
      <c r="E171" s="8" t="str">
        <f>'Data cleaning and validation(3)'!E159</f>
        <v>Garden</v>
      </c>
      <c r="F171" s="15">
        <f>'Data cleaning and validation(3)'!F159</f>
        <v>36945</v>
      </c>
      <c r="G171" s="8">
        <f>'Data cleaning and validation(3)'!G159</f>
        <v>20</v>
      </c>
      <c r="H171" s="19">
        <f>'Data cleaning and validation(3)'!H159</f>
        <v>128766</v>
      </c>
      <c r="I171" s="8" t="str">
        <f>'Data cleaning and validation(3)'!I159</f>
        <v>Desktop Support Technician</v>
      </c>
      <c r="J171" s="8" t="str">
        <f>'Data cleaning and validation(3)'!J159</f>
        <v>Southeast</v>
      </c>
      <c r="K171" s="8" t="str">
        <f>'Data cleaning and validation(3)'!K159</f>
        <v>USA</v>
      </c>
      <c r="L171" s="8" t="str">
        <f>'Data cleaning and validation(3)'!L159</f>
        <v>Outdoors &amp; Garden</v>
      </c>
      <c r="M171" s="8" t="str">
        <f>'Data cleaning and validation(3)'!M159</f>
        <v>On Leave</v>
      </c>
      <c r="N171" s="17">
        <f>'Data cleaning and validation(3)'!N159</f>
        <v>1545192</v>
      </c>
      <c r="O171" s="18">
        <f>'Data cleaning and validation(3)'!O159</f>
        <v>12876.6</v>
      </c>
    </row>
    <row r="172" spans="1:15" x14ac:dyDescent="0.35">
      <c r="A172" s="8">
        <f>'Data cleaning and validation(3)'!A160</f>
        <v>159</v>
      </c>
      <c r="B172" s="8" t="str">
        <f>'Data cleaning and validation(3)'!B160</f>
        <v>Harvey</v>
      </c>
      <c r="C172" s="8" t="str">
        <f>'Data cleaning and validation(3)'!C160</f>
        <v>eharvey4e@opera.com</v>
      </c>
      <c r="D172" s="8" t="str">
        <f>'Data cleaning and validation(3)'!D160</f>
        <v>M</v>
      </c>
      <c r="E172" s="8" t="str">
        <f>'Data cleaning and validation(3)'!E160</f>
        <v>Tools</v>
      </c>
      <c r="F172" s="15">
        <f>'Data cleaning and validation(3)'!F160</f>
        <v>40068</v>
      </c>
      <c r="G172" s="8">
        <f>'Data cleaning and validation(3)'!G160</f>
        <v>12</v>
      </c>
      <c r="H172" s="19">
        <f>'Data cleaning and validation(3)'!H160</f>
        <v>138179</v>
      </c>
      <c r="I172" s="8" t="str">
        <f>'Data cleaning and validation(3)'!I160</f>
        <v>Analog Circuit Design manager</v>
      </c>
      <c r="J172" s="8" t="str">
        <f>'Data cleaning and validation(3)'!J160</f>
        <v>Northwest</v>
      </c>
      <c r="K172" s="8" t="str">
        <f>'Data cleaning and validation(3)'!K160</f>
        <v>USA</v>
      </c>
      <c r="L172" s="8" t="str">
        <f>'Data cleaning and validation(3)'!L160</f>
        <v>Auto &amp; Hardware</v>
      </c>
      <c r="M172" s="8" t="str">
        <f>'Data cleaning and validation(3)'!M160</f>
        <v>On Leave</v>
      </c>
      <c r="N172" s="17">
        <f>'Data cleaning and validation(3)'!N160</f>
        <v>1658148</v>
      </c>
      <c r="O172" s="18">
        <f>'Data cleaning and validation(3)'!O160</f>
        <v>13817.900000000001</v>
      </c>
    </row>
    <row r="173" spans="1:15" x14ac:dyDescent="0.35">
      <c r="A173" s="8">
        <f>'Data cleaning and validation(3)'!A161</f>
        <v>160</v>
      </c>
      <c r="B173" s="8" t="str">
        <f>'Data cleaning and validation(3)'!B161</f>
        <v>Gutierrez</v>
      </c>
      <c r="C173" s="8" t="str">
        <f>'Data cleaning and validation(3)'!C161</f>
        <v>cgutierrez4f@usnews.com</v>
      </c>
      <c r="D173" s="8" t="str">
        <f>'Data cleaning and validation(3)'!D161</f>
        <v>F</v>
      </c>
      <c r="E173" s="8" t="str">
        <f>'Data cleaning and validation(3)'!E161</f>
        <v>Industrial</v>
      </c>
      <c r="F173" s="15">
        <f>'Data cleaning and validation(3)'!F161</f>
        <v>37794</v>
      </c>
      <c r="G173" s="8">
        <f>'Data cleaning and validation(3)'!G161</f>
        <v>18</v>
      </c>
      <c r="H173" s="19">
        <f>'Data cleaning and validation(3)'!H161</f>
        <v>85012</v>
      </c>
      <c r="I173" s="8" t="str">
        <f>'Data cleaning and validation(3)'!I161</f>
        <v>Financial Analyst</v>
      </c>
      <c r="J173" s="8" t="str">
        <f>'Data cleaning and validation(3)'!J161</f>
        <v>Northeast</v>
      </c>
      <c r="K173" s="8" t="str">
        <f>'Data cleaning and validation(3)'!K161</f>
        <v>USA</v>
      </c>
      <c r="L173" s="8" t="str">
        <f>'Data cleaning and validation(3)'!L161</f>
        <v>Auto &amp; Hardware</v>
      </c>
      <c r="M173" s="8" t="str">
        <f>'Data cleaning and validation(3)'!M161</f>
        <v>On Leave</v>
      </c>
      <c r="N173" s="17">
        <f>'Data cleaning and validation(3)'!N161</f>
        <v>1020144</v>
      </c>
      <c r="O173" s="18">
        <f>'Data cleaning and validation(3)'!O161</f>
        <v>8501.2000000000007</v>
      </c>
    </row>
    <row r="174" spans="1:15" x14ac:dyDescent="0.35">
      <c r="A174" s="8">
        <f>'Data cleaning and validation(3)'!A162</f>
        <v>161</v>
      </c>
      <c r="B174" s="8" t="str">
        <f>'Data cleaning and validation(3)'!B162</f>
        <v>Cruz</v>
      </c>
      <c r="C174" s="8" t="str">
        <f>'Data cleaning and validation(3)'!C162</f>
        <v>mcruz4g@dedecms.com</v>
      </c>
      <c r="D174" s="8" t="str">
        <f>'Data cleaning and validation(3)'!D162</f>
        <v>M</v>
      </c>
      <c r="E174" s="8" t="str">
        <f>'Data cleaning and validation(3)'!E162</f>
        <v>Health</v>
      </c>
      <c r="F174" s="15">
        <f>'Data cleaning and validation(3)'!F162</f>
        <v>37127</v>
      </c>
      <c r="G174" s="8">
        <f>'Data cleaning and validation(3)'!G162</f>
        <v>20</v>
      </c>
      <c r="H174" s="19">
        <f>'Data cleaning and validation(3)'!H162</f>
        <v>131479</v>
      </c>
      <c r="I174" s="8" t="str">
        <f>'Data cleaning and validation(3)'!I162</f>
        <v>Senior Cost Accountant</v>
      </c>
      <c r="J174" s="8" t="str">
        <f>'Data cleaning and validation(3)'!J162</f>
        <v>Nova Scotia</v>
      </c>
      <c r="K174" s="8" t="str">
        <f>'Data cleaning and validation(3)'!K162</f>
        <v>Canada</v>
      </c>
      <c r="L174" s="8" t="str">
        <f>'Data cleaning and validation(3)'!L162</f>
        <v>Domestic</v>
      </c>
      <c r="M174" s="8" t="str">
        <f>'Data cleaning and validation(3)'!M162</f>
        <v>On Leave</v>
      </c>
      <c r="N174" s="17">
        <f>'Data cleaning and validation(3)'!N162</f>
        <v>1577748</v>
      </c>
      <c r="O174" s="18">
        <f>'Data cleaning and validation(3)'!O162</f>
        <v>13147.900000000001</v>
      </c>
    </row>
    <row r="175" spans="1:15" x14ac:dyDescent="0.35">
      <c r="A175" s="8">
        <f>'Data cleaning and validation(3)'!A163</f>
        <v>162</v>
      </c>
      <c r="B175" s="8" t="str">
        <f>'Data cleaning and validation(3)'!B163</f>
        <v>Sullivan</v>
      </c>
      <c r="C175" s="8" t="str">
        <f>'Data cleaning and validation(3)'!C163</f>
        <v>jsullivan4h@cloudflare.com</v>
      </c>
      <c r="D175" s="8" t="str">
        <f>'Data cleaning and validation(3)'!D163</f>
        <v>F</v>
      </c>
      <c r="E175" s="8" t="str">
        <f>'Data cleaning and validation(3)'!E163</f>
        <v>Health</v>
      </c>
      <c r="F175" s="15">
        <f>'Data cleaning and validation(3)'!F163</f>
        <v>38714</v>
      </c>
      <c r="G175" s="8">
        <f>'Data cleaning and validation(3)'!G163</f>
        <v>16</v>
      </c>
      <c r="H175" s="19">
        <f>'Data cleaning and validation(3)'!H163</f>
        <v>103182</v>
      </c>
      <c r="I175" s="8" t="str">
        <f>'Data cleaning and validation(3)'!I163</f>
        <v>Accounting Assistant I</v>
      </c>
      <c r="J175" s="8" t="str">
        <f>'Data cleaning and validation(3)'!J163</f>
        <v>Southeast</v>
      </c>
      <c r="K175" s="8" t="str">
        <f>'Data cleaning and validation(3)'!K163</f>
        <v>USA</v>
      </c>
      <c r="L175" s="8" t="str">
        <f>'Data cleaning and validation(3)'!L163</f>
        <v>Domestic</v>
      </c>
      <c r="M175" s="8" t="str">
        <f>'Data cleaning and validation(3)'!M163</f>
        <v>On Leave</v>
      </c>
      <c r="N175" s="17">
        <f>'Data cleaning and validation(3)'!N163</f>
        <v>1238184</v>
      </c>
      <c r="O175" s="18">
        <f>'Data cleaning and validation(3)'!O163</f>
        <v>10318.200000000001</v>
      </c>
    </row>
    <row r="176" spans="1:15" x14ac:dyDescent="0.35">
      <c r="A176" s="8">
        <f>'Data cleaning and validation(3)'!A164</f>
        <v>163</v>
      </c>
      <c r="B176" s="8" t="str">
        <f>'Data cleaning and validation(3)'!B164</f>
        <v>Robertson</v>
      </c>
      <c r="C176" s="8" t="str">
        <f>'Data cleaning and validation(3)'!C164</f>
        <v>jrobertson4i@live.com</v>
      </c>
      <c r="D176" s="8" t="str">
        <f>'Data cleaning and validation(3)'!D164</f>
        <v>M</v>
      </c>
      <c r="E176" s="8" t="str">
        <f>'Data cleaning and validation(3)'!E164</f>
        <v>Garden</v>
      </c>
      <c r="F176" s="15">
        <f>'Data cleaning and validation(3)'!F164</f>
        <v>36684</v>
      </c>
      <c r="G176" s="8">
        <f>'Data cleaning and validation(3)'!G164</f>
        <v>21</v>
      </c>
      <c r="H176" s="19">
        <f>'Data cleaning and validation(3)'!H164</f>
        <v>96996</v>
      </c>
      <c r="I176" s="8" t="str">
        <f>'Data cleaning and validation(3)'!I164</f>
        <v>Software Test Engineer I</v>
      </c>
      <c r="J176" s="8" t="str">
        <f>'Data cleaning and validation(3)'!J164</f>
        <v>Southwest</v>
      </c>
      <c r="K176" s="8" t="str">
        <f>'Data cleaning and validation(3)'!K164</f>
        <v>USA</v>
      </c>
      <c r="L176" s="8" t="str">
        <f>'Data cleaning and validation(3)'!L164</f>
        <v>Outdoors &amp; Garden</v>
      </c>
      <c r="M176" s="8" t="str">
        <f>'Data cleaning and validation(3)'!M164</f>
        <v>On Leave</v>
      </c>
      <c r="N176" s="17">
        <f>'Data cleaning and validation(3)'!N164</f>
        <v>1163952</v>
      </c>
      <c r="O176" s="18">
        <f>'Data cleaning and validation(3)'!O164</f>
        <v>9699.6</v>
      </c>
    </row>
    <row r="177" spans="1:15" x14ac:dyDescent="0.35">
      <c r="A177" s="8">
        <f>'Data cleaning and validation(3)'!A165</f>
        <v>164</v>
      </c>
      <c r="B177" s="8" t="str">
        <f>'Data cleaning and validation(3)'!B165</f>
        <v>Robertson</v>
      </c>
      <c r="C177" s="8" t="str">
        <f>'Data cleaning and validation(3)'!C165</f>
        <v>trobertson4j@youtu.be</v>
      </c>
      <c r="D177" s="8" t="str">
        <f>'Data cleaning and validation(3)'!D165</f>
        <v>F</v>
      </c>
      <c r="E177" s="8" t="str">
        <f>'Data cleaning and validation(3)'!E165</f>
        <v>Computers</v>
      </c>
      <c r="F177" s="15">
        <f>'Data cleaning and validation(3)'!F165</f>
        <v>44438</v>
      </c>
      <c r="G177" s="8">
        <f>'Data cleaning and validation(3)'!G165</f>
        <v>13</v>
      </c>
      <c r="H177" s="19">
        <f>'Data cleaning and validation(3)'!H165</f>
        <v>106607</v>
      </c>
      <c r="I177" s="8" t="str">
        <f>'Data cleaning and validation(3)'!I165</f>
        <v>Automation Specialist I</v>
      </c>
      <c r="J177" s="8" t="str">
        <f>'Data cleaning and validation(3)'!J165</f>
        <v>Southeast</v>
      </c>
      <c r="K177" s="8" t="str">
        <f>'Data cleaning and validation(3)'!K165</f>
        <v>USA</v>
      </c>
      <c r="L177" s="8" t="str">
        <f>'Data cleaning and validation(3)'!L165</f>
        <v>Electronic Equipment</v>
      </c>
      <c r="M177" s="8" t="str">
        <f>'Data cleaning and validation(3)'!M165</f>
        <v>On Leave</v>
      </c>
      <c r="N177" s="17">
        <f>'Data cleaning and validation(3)'!N165</f>
        <v>1279284</v>
      </c>
      <c r="O177" s="18">
        <f>'Data cleaning and validation(3)'!O165</f>
        <v>10660.7</v>
      </c>
    </row>
    <row r="178" spans="1:15" x14ac:dyDescent="0.35">
      <c r="A178" s="8">
        <f>'Data cleaning and validation(3)'!A166</f>
        <v>165</v>
      </c>
      <c r="B178" s="8" t="str">
        <f>'Data cleaning and validation(3)'!B166</f>
        <v>Lawson</v>
      </c>
      <c r="C178" s="8" t="str">
        <f>'Data cleaning and validation(3)'!C166</f>
        <v>jlawson4k@prnewswire.com</v>
      </c>
      <c r="D178" s="8" t="str">
        <f>'Data cleaning and validation(3)'!D166</f>
        <v>M</v>
      </c>
      <c r="E178" s="8" t="str">
        <f>'Data cleaning and validation(3)'!E166</f>
        <v>Automotive</v>
      </c>
      <c r="F178" s="15">
        <f>'Data cleaning and validation(3)'!F166</f>
        <v>41248</v>
      </c>
      <c r="G178" s="8">
        <f>'Data cleaning and validation(3)'!G166</f>
        <v>9</v>
      </c>
      <c r="H178" s="19">
        <f>'Data cleaning and validation(3)'!H166</f>
        <v>130993</v>
      </c>
      <c r="I178" s="8" t="str">
        <f>'Data cleaning and validation(3)'!I166</f>
        <v>Administrative Officer</v>
      </c>
      <c r="J178" s="8" t="str">
        <f>'Data cleaning and validation(3)'!J166</f>
        <v>Southeast</v>
      </c>
      <c r="K178" s="8" t="str">
        <f>'Data cleaning and validation(3)'!K166</f>
        <v>USA</v>
      </c>
      <c r="L178" s="8" t="str">
        <f>'Data cleaning and validation(3)'!L166</f>
        <v>Auto &amp; Hardware</v>
      </c>
      <c r="M178" s="8" t="str">
        <f>'Data cleaning and validation(3)'!M166</f>
        <v>On Leave</v>
      </c>
      <c r="N178" s="17">
        <f>'Data cleaning and validation(3)'!N166</f>
        <v>1571916</v>
      </c>
      <c r="O178" s="18">
        <f>'Data cleaning and validation(3)'!O166</f>
        <v>13099.300000000001</v>
      </c>
    </row>
    <row r="179" spans="1:15" x14ac:dyDescent="0.35">
      <c r="A179" s="8">
        <f>'Data cleaning and validation(3)'!A167</f>
        <v>166</v>
      </c>
      <c r="B179" s="8" t="str">
        <f>'Data cleaning and validation(3)'!B167</f>
        <v>Meyer</v>
      </c>
      <c r="C179" s="8" t="str">
        <f>'Data cleaning and validation(3)'!C167</f>
        <v>kmeyer4l@bloglovin.com</v>
      </c>
      <c r="D179" s="8" t="str">
        <f>'Data cleaning and validation(3)'!D167</f>
        <v>M</v>
      </c>
      <c r="E179" s="8" t="str">
        <f>'Data cleaning and validation(3)'!E167</f>
        <v>Industrial</v>
      </c>
      <c r="F179" s="15">
        <f>'Data cleaning and validation(3)'!F167</f>
        <v>38781</v>
      </c>
      <c r="G179" s="8">
        <f>'Data cleaning and validation(3)'!G167</f>
        <v>15</v>
      </c>
      <c r="H179" s="19">
        <f>'Data cleaning and validation(3)'!H167</f>
        <v>87097</v>
      </c>
      <c r="I179" s="8" t="str">
        <f>'Data cleaning and validation(3)'!I167</f>
        <v>Safety Technician IV</v>
      </c>
      <c r="J179" s="8" t="str">
        <f>'Data cleaning and validation(3)'!J167</f>
        <v>Nova Scotia</v>
      </c>
      <c r="K179" s="8" t="str">
        <f>'Data cleaning and validation(3)'!K167</f>
        <v>Canada</v>
      </c>
      <c r="L179" s="8" t="str">
        <f>'Data cleaning and validation(3)'!L167</f>
        <v>Auto &amp; Hardware</v>
      </c>
      <c r="M179" s="8" t="str">
        <f>'Data cleaning and validation(3)'!M167</f>
        <v>On Leave</v>
      </c>
      <c r="N179" s="17">
        <f>'Data cleaning and validation(3)'!N167</f>
        <v>1045164</v>
      </c>
      <c r="O179" s="18">
        <f>'Data cleaning and validation(3)'!O167</f>
        <v>8709.7000000000007</v>
      </c>
    </row>
    <row r="180" spans="1:15" x14ac:dyDescent="0.35">
      <c r="A180" s="8">
        <f>'Data cleaning and validation(3)'!A168</f>
        <v>167</v>
      </c>
      <c r="B180" s="8" t="str">
        <f>'Data cleaning and validation(3)'!B168</f>
        <v>Lopez</v>
      </c>
      <c r="C180" s="8" t="str">
        <f>'Data cleaning and validation(3)'!C168</f>
        <v>rlopez4m@foxnews.com</v>
      </c>
      <c r="D180" s="8" t="str">
        <f>'Data cleaning and validation(3)'!D168</f>
        <v>M</v>
      </c>
      <c r="E180" s="8" t="str">
        <f>'Data cleaning and validation(3)'!E168</f>
        <v>Outdoors</v>
      </c>
      <c r="F180" s="15">
        <f>'Data cleaning and validation(3)'!F168</f>
        <v>41299</v>
      </c>
      <c r="G180" s="8">
        <f>'Data cleaning and validation(3)'!G168</f>
        <v>8</v>
      </c>
      <c r="H180" s="19">
        <f>'Data cleaning and validation(3)'!H168</f>
        <v>131961</v>
      </c>
      <c r="I180" s="8" t="str">
        <f>'Data cleaning and validation(3)'!I168</f>
        <v>Legal Assistant</v>
      </c>
      <c r="J180" s="8" t="str">
        <f>'Data cleaning and validation(3)'!J168</f>
        <v>Southwest</v>
      </c>
      <c r="K180" s="8" t="str">
        <f>'Data cleaning and validation(3)'!K168</f>
        <v>USA</v>
      </c>
      <c r="L180" s="8" t="str">
        <f>'Data cleaning and validation(3)'!L168</f>
        <v>Outdoors &amp; Garden</v>
      </c>
      <c r="M180" s="8" t="str">
        <f>'Data cleaning and validation(3)'!M168</f>
        <v>On Leave</v>
      </c>
      <c r="N180" s="17">
        <f>'Data cleaning and validation(3)'!N168</f>
        <v>1583532</v>
      </c>
      <c r="O180" s="18">
        <f>'Data cleaning and validation(3)'!O168</f>
        <v>13196.1</v>
      </c>
    </row>
    <row r="181" spans="1:15" x14ac:dyDescent="0.35">
      <c r="A181" s="8">
        <f>'Data cleaning and validation(3)'!A169</f>
        <v>168</v>
      </c>
      <c r="B181" s="8" t="str">
        <f>'Data cleaning and validation(3)'!B169</f>
        <v>Burns</v>
      </c>
      <c r="C181" s="8" t="str">
        <f>'Data cleaning and validation(3)'!C169</f>
        <v>pburns4n@networksolutions.com</v>
      </c>
      <c r="D181" s="8" t="str">
        <f>'Data cleaning and validation(3)'!D169</f>
        <v>F</v>
      </c>
      <c r="E181" s="8" t="str">
        <f>'Data cleaning and validation(3)'!E169</f>
        <v>Jewelery</v>
      </c>
      <c r="F181" s="15">
        <f>'Data cleaning and validation(3)'!F169</f>
        <v>46547</v>
      </c>
      <c r="G181" s="8">
        <f>'Data cleaning and validation(3)'!G169</f>
        <v>7</v>
      </c>
      <c r="H181" s="19">
        <f>'Data cleaning and validation(3)'!H169</f>
        <v>88093</v>
      </c>
      <c r="I181" s="8" t="str">
        <f>'Data cleaning and validation(3)'!I169</f>
        <v>Editor</v>
      </c>
      <c r="J181" s="8" t="str">
        <f>'Data cleaning and validation(3)'!J169</f>
        <v>Nova Scotia</v>
      </c>
      <c r="K181" s="8" t="str">
        <f>'Data cleaning and validation(3)'!K169</f>
        <v>Canada</v>
      </c>
      <c r="L181" s="8" t="str">
        <f>'Data cleaning and validation(3)'!L169</f>
        <v>Fashion</v>
      </c>
      <c r="M181" s="8" t="str">
        <f>'Data cleaning and validation(3)'!M169</f>
        <v>On Leave</v>
      </c>
      <c r="N181" s="17">
        <f>'Data cleaning and validation(3)'!N169</f>
        <v>1057116</v>
      </c>
      <c r="O181" s="18">
        <f>'Data cleaning and validation(3)'!O169</f>
        <v>8809.3000000000011</v>
      </c>
    </row>
    <row r="182" spans="1:15" x14ac:dyDescent="0.35">
      <c r="A182" s="8">
        <f>'Data cleaning and validation(3)'!A170</f>
        <v>169</v>
      </c>
      <c r="B182" s="8" t="str">
        <f>'Data cleaning and validation(3)'!B170</f>
        <v>Sanders</v>
      </c>
      <c r="C182" s="8" t="str">
        <f>'Data cleaning and validation(3)'!C170</f>
        <v>rsanders4o@salon.com</v>
      </c>
      <c r="D182" s="8" t="str">
        <f>'Data cleaning and validation(3)'!D170</f>
        <v>M</v>
      </c>
      <c r="E182" s="8" t="str">
        <f>'Data cleaning and validation(3)'!E170</f>
        <v>Movies</v>
      </c>
      <c r="F182" s="15">
        <f>'Data cleaning and validation(3)'!F170</f>
        <v>40536</v>
      </c>
      <c r="G182" s="8">
        <f>'Data cleaning and validation(3)'!G170</f>
        <v>11</v>
      </c>
      <c r="H182" s="19">
        <f>'Data cleaning and validation(3)'!H170</f>
        <v>41898</v>
      </c>
      <c r="I182" s="8" t="str">
        <f>'Data cleaning and validation(3)'!I170</f>
        <v>Tax Accountant</v>
      </c>
      <c r="J182" s="8" t="str">
        <f>'Data cleaning and validation(3)'!J170</f>
        <v>Quebec</v>
      </c>
      <c r="K182" s="8" t="str">
        <f>'Data cleaning and validation(3)'!K170</f>
        <v>Canada</v>
      </c>
      <c r="L182" s="8" t="str">
        <f>'Data cleaning and validation(3)'!L170</f>
        <v>Entertainment</v>
      </c>
      <c r="M182" s="8" t="str">
        <f>'Data cleaning and validation(3)'!M170</f>
        <v>On Leave</v>
      </c>
      <c r="N182" s="17">
        <f>'Data cleaning and validation(3)'!N170</f>
        <v>502776</v>
      </c>
      <c r="O182" s="18">
        <f>'Data cleaning and validation(3)'!O170</f>
        <v>4189.8</v>
      </c>
    </row>
    <row r="183" spans="1:15" x14ac:dyDescent="0.35">
      <c r="A183" s="8">
        <f>'Data cleaning and validation(3)'!A171</f>
        <v>170</v>
      </c>
      <c r="B183" s="8" t="str">
        <f>'Data cleaning and validation(3)'!B171</f>
        <v>Martinez</v>
      </c>
      <c r="C183" s="8" t="str">
        <f>'Data cleaning and validation(3)'!C171</f>
        <v>cmartinez4p@facebook.com</v>
      </c>
      <c r="D183" s="8" t="str">
        <f>'Data cleaning and validation(3)'!D171</f>
        <v>M</v>
      </c>
      <c r="E183" s="8" t="str">
        <f>'Data cleaning and validation(3)'!E171</f>
        <v>Electronics</v>
      </c>
      <c r="F183" s="15">
        <f>'Data cleaning and validation(3)'!F171</f>
        <v>38166</v>
      </c>
      <c r="G183" s="8">
        <f>'Data cleaning and validation(3)'!G171</f>
        <v>17</v>
      </c>
      <c r="H183" s="19">
        <f>'Data cleaning and validation(3)'!H171</f>
        <v>52808</v>
      </c>
      <c r="I183" s="8" t="str">
        <f>'Data cleaning and validation(3)'!I171</f>
        <v>Human Resources Assistant I</v>
      </c>
      <c r="J183" s="8" t="str">
        <f>'Data cleaning and validation(3)'!J171</f>
        <v>Southeast</v>
      </c>
      <c r="K183" s="8" t="str">
        <f>'Data cleaning and validation(3)'!K171</f>
        <v>USA</v>
      </c>
      <c r="L183" s="8" t="str">
        <f>'Data cleaning and validation(3)'!L171</f>
        <v>Electronic Equipment</v>
      </c>
      <c r="M183" s="8" t="str">
        <f>'Data cleaning and validation(3)'!M171</f>
        <v>On Leave</v>
      </c>
      <c r="N183" s="17">
        <f>'Data cleaning and validation(3)'!N171</f>
        <v>633696</v>
      </c>
      <c r="O183" s="18">
        <f>'Data cleaning and validation(3)'!O171</f>
        <v>5280.8</v>
      </c>
    </row>
    <row r="184" spans="1:15" x14ac:dyDescent="0.35">
      <c r="A184" s="8">
        <f>'Data cleaning and validation(3)'!A172</f>
        <v>171</v>
      </c>
      <c r="B184" s="8" t="str">
        <f>'Data cleaning and validation(3)'!B172</f>
        <v>Harris</v>
      </c>
      <c r="C184" s="8" t="str">
        <f>'Data cleaning and validation(3)'!C172</f>
        <v>mharris4q@squarespace.com</v>
      </c>
      <c r="D184" s="8" t="str">
        <f>'Data cleaning and validation(3)'!D172</f>
        <v>F</v>
      </c>
      <c r="E184" s="8" t="str">
        <f>'Data cleaning and validation(3)'!E172</f>
        <v>Movies</v>
      </c>
      <c r="F184" s="15">
        <f>'Data cleaning and validation(3)'!F172</f>
        <v>38257</v>
      </c>
      <c r="G184" s="8">
        <f>'Data cleaning and validation(3)'!G172</f>
        <v>17</v>
      </c>
      <c r="H184" s="19">
        <f>'Data cleaning and validation(3)'!H172</f>
        <v>110912</v>
      </c>
      <c r="I184" s="8" t="str">
        <f>'Data cleaning and validation(3)'!I172</f>
        <v>Geologist I</v>
      </c>
      <c r="J184" s="8" t="str">
        <f>'Data cleaning and validation(3)'!J172</f>
        <v>British Columbia</v>
      </c>
      <c r="K184" s="8" t="str">
        <f>'Data cleaning and validation(3)'!K172</f>
        <v>Canada</v>
      </c>
      <c r="L184" s="8" t="str">
        <f>'Data cleaning and validation(3)'!L172</f>
        <v>Entertainment</v>
      </c>
      <c r="M184" s="8" t="str">
        <f>'Data cleaning and validation(3)'!M172</f>
        <v>On Leave</v>
      </c>
      <c r="N184" s="17">
        <f>'Data cleaning and validation(3)'!N172</f>
        <v>1330944</v>
      </c>
      <c r="O184" s="18">
        <f>'Data cleaning and validation(3)'!O172</f>
        <v>11091.2</v>
      </c>
    </row>
    <row r="185" spans="1:15" x14ac:dyDescent="0.35">
      <c r="A185" s="8">
        <f>'Data cleaning and validation(3)'!A173</f>
        <v>172</v>
      </c>
      <c r="B185" s="8" t="str">
        <f>'Data cleaning and validation(3)'!B173</f>
        <v>Fields</v>
      </c>
      <c r="C185" s="8" t="str">
        <f>'Data cleaning and validation(3)'!C173</f>
        <v>rfields4r@amazon.co.uk</v>
      </c>
      <c r="D185" s="8" t="str">
        <f>'Data cleaning and validation(3)'!D173</f>
        <v>M</v>
      </c>
      <c r="E185" s="8" t="str">
        <f>'Data cleaning and validation(3)'!E173</f>
        <v>Books</v>
      </c>
      <c r="F185" s="15">
        <f>'Data cleaning and validation(3)'!F173</f>
        <v>40061</v>
      </c>
      <c r="G185" s="8">
        <f>'Data cleaning and validation(3)'!G173</f>
        <v>12</v>
      </c>
      <c r="H185" s="19">
        <f>'Data cleaning and validation(3)'!H173</f>
        <v>101520</v>
      </c>
      <c r="I185" s="8" t="str">
        <f>'Data cleaning and validation(3)'!I173</f>
        <v>Project Manager</v>
      </c>
      <c r="J185" s="8" t="str">
        <f>'Data cleaning and validation(3)'!J173</f>
        <v>Northeast</v>
      </c>
      <c r="K185" s="8" t="str">
        <f>'Data cleaning and validation(3)'!K173</f>
        <v>USA</v>
      </c>
      <c r="L185" s="8" t="str">
        <f>'Data cleaning and validation(3)'!L173</f>
        <v>Library</v>
      </c>
      <c r="M185" s="8" t="str">
        <f>'Data cleaning and validation(3)'!M173</f>
        <v>On Leave</v>
      </c>
      <c r="N185" s="17">
        <f>'Data cleaning and validation(3)'!N173</f>
        <v>1218240</v>
      </c>
      <c r="O185" s="18">
        <f>'Data cleaning and validation(3)'!O173</f>
        <v>10152</v>
      </c>
    </row>
    <row r="186" spans="1:15" x14ac:dyDescent="0.35">
      <c r="A186" s="8">
        <f>'Data cleaning and validation(3)'!A174</f>
        <v>173</v>
      </c>
      <c r="B186" s="8" t="str">
        <f>'Data cleaning and validation(3)'!B174</f>
        <v>Fox</v>
      </c>
      <c r="C186" s="8" t="str">
        <f>'Data cleaning and validation(3)'!C174</f>
        <v>ffox4s@geocities.com</v>
      </c>
      <c r="D186" s="8" t="str">
        <f>'Data cleaning and validation(3)'!D174</f>
        <v>F</v>
      </c>
      <c r="E186" s="8" t="str">
        <f>'Data cleaning and validation(3)'!E174</f>
        <v>Books</v>
      </c>
      <c r="F186" s="15">
        <f>'Data cleaning and validation(3)'!F174</f>
        <v>38677</v>
      </c>
      <c r="G186" s="8">
        <f>'Data cleaning and validation(3)'!G174</f>
        <v>16</v>
      </c>
      <c r="H186" s="19">
        <f>'Data cleaning and validation(3)'!H174</f>
        <v>55633</v>
      </c>
      <c r="I186" s="8" t="str">
        <f>'Data cleaning and validation(3)'!I174</f>
        <v>Systems Administrator IV</v>
      </c>
      <c r="J186" s="8" t="str">
        <f>'Data cleaning and validation(3)'!J174</f>
        <v>Northeast</v>
      </c>
      <c r="K186" s="8" t="str">
        <f>'Data cleaning and validation(3)'!K174</f>
        <v>USA</v>
      </c>
      <c r="L186" s="8" t="str">
        <f>'Data cleaning and validation(3)'!L174</f>
        <v>Library</v>
      </c>
      <c r="M186" s="8" t="str">
        <f>'Data cleaning and validation(3)'!M174</f>
        <v>On Leave</v>
      </c>
      <c r="N186" s="17">
        <f>'Data cleaning and validation(3)'!N174</f>
        <v>667596</v>
      </c>
      <c r="O186" s="18">
        <f>'Data cleaning and validation(3)'!O174</f>
        <v>5563.3</v>
      </c>
    </row>
    <row r="187" spans="1:15" x14ac:dyDescent="0.35">
      <c r="A187" s="8">
        <f>'Data cleaning and validation(3)'!A175</f>
        <v>174</v>
      </c>
      <c r="B187" s="8" t="str">
        <f>'Data cleaning and validation(3)'!B175</f>
        <v>Reynolds</v>
      </c>
      <c r="C187" s="8" t="str">
        <f>'Data cleaning and validation(3)'!C175</f>
        <v>dreynolds4t@biglobe.ne.jp</v>
      </c>
      <c r="D187" s="8" t="str">
        <f>'Data cleaning and validation(3)'!D175</f>
        <v>F</v>
      </c>
      <c r="E187" s="8" t="str">
        <f>'Data cleaning and validation(3)'!E175</f>
        <v>Books</v>
      </c>
      <c r="F187" s="15">
        <f>'Data cleaning and validation(3)'!F175</f>
        <v>45207</v>
      </c>
      <c r="G187" s="8">
        <f>'Data cleaning and validation(3)'!G175</f>
        <v>11</v>
      </c>
      <c r="H187" s="19">
        <f>'Data cleaning and validation(3)'!H175</f>
        <v>91561</v>
      </c>
      <c r="I187" s="8" t="str">
        <f>'Data cleaning and validation(3)'!I175</f>
        <v>VP Product Management</v>
      </c>
      <c r="J187" s="8" t="str">
        <f>'Data cleaning and validation(3)'!J175</f>
        <v>Nova Scotia</v>
      </c>
      <c r="K187" s="8" t="str">
        <f>'Data cleaning and validation(3)'!K175</f>
        <v>Canada</v>
      </c>
      <c r="L187" s="8" t="str">
        <f>'Data cleaning and validation(3)'!L175</f>
        <v>Library</v>
      </c>
      <c r="M187" s="8" t="str">
        <f>'Data cleaning and validation(3)'!M175</f>
        <v>On Leave</v>
      </c>
      <c r="N187" s="17">
        <f>'Data cleaning and validation(3)'!N175</f>
        <v>1098732</v>
      </c>
      <c r="O187" s="18">
        <f>'Data cleaning and validation(3)'!O175</f>
        <v>9156.1</v>
      </c>
    </row>
    <row r="188" spans="1:15" x14ac:dyDescent="0.35">
      <c r="A188" s="8">
        <f>'Data cleaning and validation(3)'!A176</f>
        <v>175</v>
      </c>
      <c r="B188" s="8" t="str">
        <f>'Data cleaning and validation(3)'!B176</f>
        <v>Daniels</v>
      </c>
      <c r="C188" s="8" t="str">
        <f>'Data cleaning and validation(3)'!C176</f>
        <v>cdaniels4u@rambler.ru</v>
      </c>
      <c r="D188" s="8" t="str">
        <f>'Data cleaning and validation(3)'!D176</f>
        <v>M</v>
      </c>
      <c r="E188" s="8" t="str">
        <f>'Data cleaning and validation(3)'!E176</f>
        <v>Grocery</v>
      </c>
      <c r="F188" s="15">
        <f>'Data cleaning and validation(3)'!F176</f>
        <v>41585</v>
      </c>
      <c r="G188" s="8">
        <f>'Data cleaning and validation(3)'!G176</f>
        <v>8</v>
      </c>
      <c r="H188" s="19">
        <f>'Data cleaning and validation(3)'!H176</f>
        <v>77307</v>
      </c>
      <c r="I188" s="8" t="str">
        <f>'Data cleaning and validation(3)'!I176</f>
        <v>Biostatistician IV</v>
      </c>
      <c r="J188" s="8" t="str">
        <f>'Data cleaning and validation(3)'!J176</f>
        <v>Nova Scotia</v>
      </c>
      <c r="K188" s="8" t="str">
        <f>'Data cleaning and validation(3)'!K176</f>
        <v>Canada</v>
      </c>
      <c r="L188" s="8" t="str">
        <f>'Data cleaning and validation(3)'!L176</f>
        <v>Domestic</v>
      </c>
      <c r="M188" s="8" t="str">
        <f>'Data cleaning and validation(3)'!M176</f>
        <v>On Leave</v>
      </c>
      <c r="N188" s="17">
        <f>'Data cleaning and validation(3)'!N176</f>
        <v>927684</v>
      </c>
      <c r="O188" s="18">
        <f>'Data cleaning and validation(3)'!O176</f>
        <v>7730.7000000000007</v>
      </c>
    </row>
    <row r="189" spans="1:15" x14ac:dyDescent="0.35">
      <c r="A189" s="8">
        <f>'Data cleaning and validation(3)'!A177</f>
        <v>176</v>
      </c>
      <c r="B189" s="8" t="str">
        <f>'Data cleaning and validation(3)'!B177</f>
        <v>Fisher</v>
      </c>
      <c r="C189" s="8" t="str">
        <f>'Data cleaning and validation(3)'!C177</f>
        <v>rfisher4v@jigsy.com</v>
      </c>
      <c r="D189" s="8" t="str">
        <f>'Data cleaning and validation(3)'!D177</f>
        <v>M</v>
      </c>
      <c r="E189" s="8" t="str">
        <f>'Data cleaning and validation(3)'!E177</f>
        <v>Clothing</v>
      </c>
      <c r="F189" s="15">
        <f>'Data cleaning and validation(3)'!F177</f>
        <v>41196</v>
      </c>
      <c r="G189" s="8">
        <f>'Data cleaning and validation(3)'!G177</f>
        <v>9</v>
      </c>
      <c r="H189" s="19">
        <f>'Data cleaning and validation(3)'!H177</f>
        <v>67942</v>
      </c>
      <c r="I189" s="8" t="str">
        <f>'Data cleaning and validation(3)'!I177</f>
        <v>Financial Advisor</v>
      </c>
      <c r="J189" s="8" t="str">
        <f>'Data cleaning and validation(3)'!J177</f>
        <v>Quebec</v>
      </c>
      <c r="K189" s="8" t="str">
        <f>'Data cleaning and validation(3)'!K177</f>
        <v>Canada</v>
      </c>
      <c r="L189" s="8" t="str">
        <f>'Data cleaning and validation(3)'!L177</f>
        <v>Domestic</v>
      </c>
      <c r="M189" s="8" t="str">
        <f>'Data cleaning and validation(3)'!M177</f>
        <v>On Leave</v>
      </c>
      <c r="N189" s="17">
        <f>'Data cleaning and validation(3)'!N177</f>
        <v>815304</v>
      </c>
      <c r="O189" s="18">
        <f>'Data cleaning and validation(3)'!O177</f>
        <v>6794.2000000000007</v>
      </c>
    </row>
    <row r="190" spans="1:15" x14ac:dyDescent="0.35">
      <c r="A190" s="8">
        <f>'Data cleaning and validation(3)'!A178</f>
        <v>177</v>
      </c>
      <c r="B190" s="8" t="str">
        <f>'Data cleaning and validation(3)'!B178</f>
        <v>Ferguson</v>
      </c>
      <c r="C190" s="8" t="str">
        <f>'Data cleaning and validation(3)'!C178</f>
        <v>nferguson4w@networksolutions.com</v>
      </c>
      <c r="D190" s="8" t="str">
        <f>'Data cleaning and validation(3)'!D178</f>
        <v>F</v>
      </c>
      <c r="E190" s="8" t="str">
        <f>'Data cleaning and validation(3)'!E178</f>
        <v>Clothing</v>
      </c>
      <c r="F190" s="15">
        <f>'Data cleaning and validation(3)'!F178</f>
        <v>44457</v>
      </c>
      <c r="G190" s="8">
        <f>'Data cleaning and validation(3)'!G178</f>
        <v>13</v>
      </c>
      <c r="H190" s="19">
        <f>'Data cleaning and validation(3)'!H178</f>
        <v>80397</v>
      </c>
      <c r="I190" s="8" t="str">
        <f>'Data cleaning and validation(3)'!I178</f>
        <v>Compensation Analyst</v>
      </c>
      <c r="J190" s="8" t="str">
        <f>'Data cleaning and validation(3)'!J178</f>
        <v>Northeast</v>
      </c>
      <c r="K190" s="8" t="str">
        <f>'Data cleaning and validation(3)'!K178</f>
        <v>USA</v>
      </c>
      <c r="L190" s="8" t="str">
        <f>'Data cleaning and validation(3)'!L178</f>
        <v>Domestic</v>
      </c>
      <c r="M190" s="8" t="str">
        <f>'Data cleaning and validation(3)'!M178</f>
        <v>On Leave</v>
      </c>
      <c r="N190" s="17">
        <f>'Data cleaning and validation(3)'!N178</f>
        <v>964764</v>
      </c>
      <c r="O190" s="18">
        <f>'Data cleaning and validation(3)'!O178</f>
        <v>8039.7000000000007</v>
      </c>
    </row>
    <row r="191" spans="1:15" x14ac:dyDescent="0.35">
      <c r="A191" s="8">
        <f>'Data cleaning and validation(3)'!A179</f>
        <v>178</v>
      </c>
      <c r="B191" s="8" t="str">
        <f>'Data cleaning and validation(3)'!B179</f>
        <v>Butler</v>
      </c>
      <c r="C191" s="8" t="str">
        <f>'Data cleaning and validation(3)'!C179</f>
        <v>cbutler4x@amazon.de</v>
      </c>
      <c r="D191" s="8" t="str">
        <f>'Data cleaning and validation(3)'!D179</f>
        <v>F</v>
      </c>
      <c r="E191" s="8" t="str">
        <f>'Data cleaning and validation(3)'!E179</f>
        <v>Sports</v>
      </c>
      <c r="F191" s="15">
        <f>'Data cleaning and validation(3)'!F179</f>
        <v>37669</v>
      </c>
      <c r="G191" s="8">
        <f>'Data cleaning and validation(3)'!G179</f>
        <v>18</v>
      </c>
      <c r="H191" s="19">
        <f>'Data cleaning and validation(3)'!H179</f>
        <v>78157</v>
      </c>
      <c r="I191" s="8" t="str">
        <f>'Data cleaning and validation(3)'!I179</f>
        <v>Librarian</v>
      </c>
      <c r="J191" s="8" t="str">
        <f>'Data cleaning and validation(3)'!J179</f>
        <v>Northeast</v>
      </c>
      <c r="K191" s="8" t="str">
        <f>'Data cleaning and validation(3)'!K179</f>
        <v>USA</v>
      </c>
      <c r="L191" s="8" t="str">
        <f>'Data cleaning and validation(3)'!L179</f>
        <v>Games &amp; Sports</v>
      </c>
      <c r="M191" s="8" t="str">
        <f>'Data cleaning and validation(3)'!M179</f>
        <v>On Leave</v>
      </c>
      <c r="N191" s="17">
        <f>'Data cleaning and validation(3)'!N179</f>
        <v>937884</v>
      </c>
      <c r="O191" s="18">
        <f>'Data cleaning and validation(3)'!O179</f>
        <v>7815.7000000000007</v>
      </c>
    </row>
    <row r="192" spans="1:15" x14ac:dyDescent="0.35">
      <c r="A192" s="8">
        <f>'Data cleaning and validation(3)'!A180</f>
        <v>179</v>
      </c>
      <c r="B192" s="8" t="str">
        <f>'Data cleaning and validation(3)'!B180</f>
        <v>Reynolds</v>
      </c>
      <c r="C192" s="8" t="str">
        <f>'Data cleaning and validation(3)'!C180</f>
        <v>rreynolds4y@miitbeian.gov.cn</v>
      </c>
      <c r="D192" s="8" t="str">
        <f>'Data cleaning and validation(3)'!D180</f>
        <v>F</v>
      </c>
      <c r="E192" s="8" t="str">
        <f>'Data cleaning and validation(3)'!E180</f>
        <v>Garden</v>
      </c>
      <c r="F192" s="15">
        <f>'Data cleaning and validation(3)'!F180</f>
        <v>38015</v>
      </c>
      <c r="G192" s="8">
        <f>'Data cleaning and validation(3)'!G180</f>
        <v>17</v>
      </c>
      <c r="H192" s="19">
        <f>'Data cleaning and validation(3)'!H180</f>
        <v>121836</v>
      </c>
      <c r="I192" s="8" t="str">
        <f>'Data cleaning and validation(3)'!I180</f>
        <v>VP Accounting</v>
      </c>
      <c r="J192" s="8" t="str">
        <f>'Data cleaning and validation(3)'!J180</f>
        <v>Nova Scotia</v>
      </c>
      <c r="K192" s="8" t="str">
        <f>'Data cleaning and validation(3)'!K180</f>
        <v>Canada</v>
      </c>
      <c r="L192" s="8" t="str">
        <f>'Data cleaning and validation(3)'!L180</f>
        <v>Outdoors &amp; Garden</v>
      </c>
      <c r="M192" s="8" t="str">
        <f>'Data cleaning and validation(3)'!M180</f>
        <v>On Leave</v>
      </c>
      <c r="N192" s="17">
        <f>'Data cleaning and validation(3)'!N180</f>
        <v>1462032</v>
      </c>
      <c r="O192" s="18">
        <f>'Data cleaning and validation(3)'!O180</f>
        <v>12183.6</v>
      </c>
    </row>
    <row r="193" spans="1:15" x14ac:dyDescent="0.35">
      <c r="A193" s="8">
        <f>'Data cleaning and validation(3)'!A181</f>
        <v>180</v>
      </c>
      <c r="B193" s="8" t="str">
        <f>'Data cleaning and validation(3)'!B181</f>
        <v>Williamson</v>
      </c>
      <c r="C193" s="8" t="str">
        <f>'Data cleaning and validation(3)'!C181</f>
        <v>nwilliamson4z@dropbox.com</v>
      </c>
      <c r="D193" s="8" t="str">
        <f>'Data cleaning and validation(3)'!D181</f>
        <v>M</v>
      </c>
      <c r="E193" s="8" t="str">
        <f>'Data cleaning and validation(3)'!E181</f>
        <v>Outdoors</v>
      </c>
      <c r="F193" s="15">
        <f>'Data cleaning and validation(3)'!F181</f>
        <v>39760</v>
      </c>
      <c r="G193" s="8">
        <f>'Data cleaning and validation(3)'!G181</f>
        <v>13</v>
      </c>
      <c r="H193" s="19">
        <f>'Data cleaning and validation(3)'!H181</f>
        <v>76063</v>
      </c>
      <c r="I193" s="8" t="str">
        <f>'Data cleaning and validation(3)'!I181</f>
        <v>Administrative Assistant II</v>
      </c>
      <c r="J193" s="8" t="str">
        <f>'Data cleaning and validation(3)'!J181</f>
        <v>Quebec</v>
      </c>
      <c r="K193" s="8" t="str">
        <f>'Data cleaning and validation(3)'!K181</f>
        <v>Canada</v>
      </c>
      <c r="L193" s="8" t="str">
        <f>'Data cleaning and validation(3)'!L181</f>
        <v>Outdoors &amp; Garden</v>
      </c>
      <c r="M193" s="8" t="str">
        <f>'Data cleaning and validation(3)'!M181</f>
        <v>On Leave</v>
      </c>
      <c r="N193" s="17">
        <f>'Data cleaning and validation(3)'!N181</f>
        <v>912756</v>
      </c>
      <c r="O193" s="18">
        <f>'Data cleaning and validation(3)'!O181</f>
        <v>7606.3</v>
      </c>
    </row>
    <row r="194" spans="1:15" x14ac:dyDescent="0.35">
      <c r="A194" s="8">
        <f>'Data cleaning and validation(3)'!A182</f>
        <v>181</v>
      </c>
      <c r="B194" s="8" t="str">
        <f>'Data cleaning and validation(3)'!B182</f>
        <v>Shaw</v>
      </c>
      <c r="C194" s="8" t="str">
        <f>'Data cleaning and validation(3)'!C182</f>
        <v>sshaw50@instagram.com</v>
      </c>
      <c r="D194" s="8" t="str">
        <f>'Data cleaning and validation(3)'!D182</f>
        <v>F</v>
      </c>
      <c r="E194" s="8" t="str">
        <f>'Data cleaning and validation(3)'!E182</f>
        <v>Garden</v>
      </c>
      <c r="F194" s="15">
        <f>'Data cleaning and validation(3)'!F182</f>
        <v>37013</v>
      </c>
      <c r="G194" s="8">
        <f>'Data cleaning and validation(3)'!G182</f>
        <v>20</v>
      </c>
      <c r="H194" s="19">
        <f>'Data cleaning and validation(3)'!H182</f>
        <v>56923</v>
      </c>
      <c r="I194" s="8" t="str">
        <f>'Data cleaning and validation(3)'!I182</f>
        <v>Social Worker</v>
      </c>
      <c r="J194" s="8" t="str">
        <f>'Data cleaning and validation(3)'!J182</f>
        <v>Southeast</v>
      </c>
      <c r="K194" s="8" t="str">
        <f>'Data cleaning and validation(3)'!K182</f>
        <v>USA</v>
      </c>
      <c r="L194" s="8" t="str">
        <f>'Data cleaning and validation(3)'!L182</f>
        <v>Outdoors &amp; Garden</v>
      </c>
      <c r="M194" s="8" t="str">
        <f>'Data cleaning and validation(3)'!M182</f>
        <v>On Leave</v>
      </c>
      <c r="N194" s="17">
        <f>'Data cleaning and validation(3)'!N182</f>
        <v>683076</v>
      </c>
      <c r="O194" s="18">
        <f>'Data cleaning and validation(3)'!O182</f>
        <v>5692.3</v>
      </c>
    </row>
    <row r="195" spans="1:15" x14ac:dyDescent="0.35">
      <c r="A195" s="8">
        <f>'Data cleaning and validation(3)'!A183</f>
        <v>182</v>
      </c>
      <c r="B195" s="8" t="str">
        <f>'Data cleaning and validation(3)'!B183</f>
        <v>Gomez</v>
      </c>
      <c r="C195" s="8" t="str">
        <f>'Data cleaning and validation(3)'!C183</f>
        <v>rgomez51@baidu.com</v>
      </c>
      <c r="D195" s="8" t="str">
        <f>'Data cleaning and validation(3)'!D183</f>
        <v>F</v>
      </c>
      <c r="E195" s="8" t="str">
        <f>'Data cleaning and validation(3)'!E183</f>
        <v>Industrial</v>
      </c>
      <c r="F195" s="15">
        <f>'Data cleaning and validation(3)'!F183</f>
        <v>44655</v>
      </c>
      <c r="G195" s="8">
        <f>'Data cleaning and validation(3)'!G183</f>
        <v>12</v>
      </c>
      <c r="H195" s="19">
        <f>'Data cleaning and validation(3)'!H183</f>
        <v>76932</v>
      </c>
      <c r="I195" s="8" t="str">
        <f>'Data cleaning and validation(3)'!I183</f>
        <v>Legal Assistant</v>
      </c>
      <c r="J195" s="8" t="str">
        <f>'Data cleaning and validation(3)'!J183</f>
        <v>British Columbia</v>
      </c>
      <c r="K195" s="8" t="str">
        <f>'Data cleaning and validation(3)'!K183</f>
        <v>Canada</v>
      </c>
      <c r="L195" s="8" t="str">
        <f>'Data cleaning and validation(3)'!L183</f>
        <v>Auto &amp; Hardware</v>
      </c>
      <c r="M195" s="8" t="str">
        <f>'Data cleaning and validation(3)'!M183</f>
        <v>On Leave</v>
      </c>
      <c r="N195" s="17">
        <f>'Data cleaning and validation(3)'!N183</f>
        <v>923184</v>
      </c>
      <c r="O195" s="18">
        <f>'Data cleaning and validation(3)'!O183</f>
        <v>7693.2000000000007</v>
      </c>
    </row>
    <row r="196" spans="1:15" x14ac:dyDescent="0.35">
      <c r="A196" s="8">
        <f>'Data cleaning and validation(3)'!A184</f>
        <v>183</v>
      </c>
      <c r="B196" s="8" t="str">
        <f>'Data cleaning and validation(3)'!B184</f>
        <v>Harrison</v>
      </c>
      <c r="C196" s="8" t="str">
        <f>'Data cleaning and validation(3)'!C184</f>
        <v>jharrison52@scientificamerican.com</v>
      </c>
      <c r="D196" s="8" t="str">
        <f>'Data cleaning and validation(3)'!D184</f>
        <v>F</v>
      </c>
      <c r="E196" s="8" t="str">
        <f>'Data cleaning and validation(3)'!E184</f>
        <v>Games</v>
      </c>
      <c r="F196" s="15">
        <f>'Data cleaning and validation(3)'!F184</f>
        <v>37471</v>
      </c>
      <c r="G196" s="8">
        <f>'Data cleaning and validation(3)'!G184</f>
        <v>19</v>
      </c>
      <c r="H196" s="19">
        <f>'Data cleaning and validation(3)'!H184</f>
        <v>64410</v>
      </c>
      <c r="I196" s="8" t="str">
        <f>'Data cleaning and validation(3)'!I184</f>
        <v>Senior Developer</v>
      </c>
      <c r="J196" s="8" t="str">
        <f>'Data cleaning and validation(3)'!J184</f>
        <v>Southeast</v>
      </c>
      <c r="K196" s="8" t="str">
        <f>'Data cleaning and validation(3)'!K184</f>
        <v>USA</v>
      </c>
      <c r="L196" s="8" t="str">
        <f>'Data cleaning and validation(3)'!L184</f>
        <v>Domestic</v>
      </c>
      <c r="M196" s="8" t="str">
        <f>'Data cleaning and validation(3)'!M184</f>
        <v>On Leave</v>
      </c>
      <c r="N196" s="17">
        <f>'Data cleaning and validation(3)'!N184</f>
        <v>772920</v>
      </c>
      <c r="O196" s="18">
        <f>'Data cleaning and validation(3)'!O184</f>
        <v>6441</v>
      </c>
    </row>
    <row r="197" spans="1:15" x14ac:dyDescent="0.35">
      <c r="A197" s="8">
        <f>'Data cleaning and validation(3)'!A185</f>
        <v>184</v>
      </c>
      <c r="B197" s="8" t="str">
        <f>'Data cleaning and validation(3)'!B185</f>
        <v>Watson</v>
      </c>
      <c r="C197" s="8" t="str">
        <f>'Data cleaning and validation(3)'!C185</f>
        <v>ewatson53@latimes.com</v>
      </c>
      <c r="D197" s="8" t="str">
        <f>'Data cleaning and validation(3)'!D185</f>
        <v>F</v>
      </c>
      <c r="E197" s="8" t="str">
        <f>'Data cleaning and validation(3)'!E185</f>
        <v>Books</v>
      </c>
      <c r="F197" s="15">
        <f>'Data cleaning and validation(3)'!F185</f>
        <v>44229</v>
      </c>
      <c r="G197" s="8">
        <f>'Data cleaning and validation(3)'!G185</f>
        <v>13</v>
      </c>
      <c r="H197" s="19">
        <f>'Data cleaning and validation(3)'!H185</f>
        <v>111873</v>
      </c>
      <c r="I197" s="8" t="str">
        <f>'Data cleaning and validation(3)'!I185</f>
        <v>Payment Adjustment Coordinator</v>
      </c>
      <c r="J197" s="8" t="str">
        <f>'Data cleaning and validation(3)'!J185</f>
        <v>Southeast</v>
      </c>
      <c r="K197" s="8" t="str">
        <f>'Data cleaning and validation(3)'!K185</f>
        <v>USA</v>
      </c>
      <c r="L197" s="8" t="str">
        <f>'Data cleaning and validation(3)'!L185</f>
        <v>Library</v>
      </c>
      <c r="M197" s="8" t="str">
        <f>'Data cleaning and validation(3)'!M185</f>
        <v>On Leave</v>
      </c>
      <c r="N197" s="17">
        <f>'Data cleaning and validation(3)'!N185</f>
        <v>1342476</v>
      </c>
      <c r="O197" s="18">
        <f>'Data cleaning and validation(3)'!O185</f>
        <v>11187.300000000001</v>
      </c>
    </row>
    <row r="198" spans="1:15" x14ac:dyDescent="0.35">
      <c r="A198" s="8">
        <f>'Data cleaning and validation(3)'!A186</f>
        <v>185</v>
      </c>
      <c r="B198" s="8" t="str">
        <f>'Data cleaning and validation(3)'!B186</f>
        <v>Watson</v>
      </c>
      <c r="C198" s="8" t="str">
        <f>'Data cleaning and validation(3)'!C186</f>
        <v>rwatson54@webeden.co.uk</v>
      </c>
      <c r="D198" s="8" t="str">
        <f>'Data cleaning and validation(3)'!D186</f>
        <v>F</v>
      </c>
      <c r="E198" s="8" t="str">
        <f>'Data cleaning and validation(3)'!E186</f>
        <v>Clothing</v>
      </c>
      <c r="F198" s="15">
        <f>'Data cleaning and validation(3)'!F186</f>
        <v>37156</v>
      </c>
      <c r="G198" s="8">
        <f>'Data cleaning and validation(3)'!G186</f>
        <v>20</v>
      </c>
      <c r="H198" s="19">
        <f>'Data cleaning and validation(3)'!H186</f>
        <v>74648</v>
      </c>
      <c r="I198" s="8" t="str">
        <f>'Data cleaning and validation(3)'!I186</f>
        <v>Health Coach III</v>
      </c>
      <c r="J198" s="8" t="str">
        <f>'Data cleaning and validation(3)'!J186</f>
        <v>Southeast</v>
      </c>
      <c r="K198" s="8" t="str">
        <f>'Data cleaning and validation(3)'!K186</f>
        <v>USA</v>
      </c>
      <c r="L198" s="8" t="str">
        <f>'Data cleaning and validation(3)'!L186</f>
        <v>Domestic</v>
      </c>
      <c r="M198" s="8" t="str">
        <f>'Data cleaning and validation(3)'!M186</f>
        <v>On Leave</v>
      </c>
      <c r="N198" s="17">
        <f>'Data cleaning and validation(3)'!N186</f>
        <v>895776</v>
      </c>
      <c r="O198" s="18">
        <f>'Data cleaning and validation(3)'!O186</f>
        <v>7464.8</v>
      </c>
    </row>
    <row r="199" spans="1:15" x14ac:dyDescent="0.35">
      <c r="A199" s="8">
        <f>'Data cleaning and validation(3)'!A187</f>
        <v>186</v>
      </c>
      <c r="B199" s="8" t="str">
        <f>'Data cleaning and validation(3)'!B187</f>
        <v>Larson</v>
      </c>
      <c r="C199" s="8" t="str">
        <f>'Data cleaning and validation(3)'!C187</f>
        <v>dlarson55@technorati.com</v>
      </c>
      <c r="D199" s="8" t="str">
        <f>'Data cleaning and validation(3)'!D187</f>
        <v>F</v>
      </c>
      <c r="E199" s="8" t="str">
        <f>'Data cleaning and validation(3)'!E187</f>
        <v>Toys</v>
      </c>
      <c r="F199" s="15">
        <f>'Data cleaning and validation(3)'!F187</f>
        <v>45552</v>
      </c>
      <c r="G199" s="8">
        <f>'Data cleaning and validation(3)'!G187</f>
        <v>10</v>
      </c>
      <c r="H199" s="19">
        <f>'Data cleaning and validation(3)'!H187</f>
        <v>144991</v>
      </c>
      <c r="I199" s="8" t="str">
        <f>'Data cleaning and validation(3)'!I187</f>
        <v>Technical Writer</v>
      </c>
      <c r="J199" s="8" t="str">
        <f>'Data cleaning and validation(3)'!J187</f>
        <v>Nova Scotia</v>
      </c>
      <c r="K199" s="8" t="str">
        <f>'Data cleaning and validation(3)'!K187</f>
        <v>Canada</v>
      </c>
      <c r="L199" s="8" t="str">
        <f>'Data cleaning and validation(3)'!L187</f>
        <v>Games &amp; Sports</v>
      </c>
      <c r="M199" s="8" t="str">
        <f>'Data cleaning and validation(3)'!M187</f>
        <v>On Leave</v>
      </c>
      <c r="N199" s="17">
        <f>'Data cleaning and validation(3)'!N187</f>
        <v>1739892</v>
      </c>
      <c r="O199" s="18">
        <f>'Data cleaning and validation(3)'!O187</f>
        <v>14499.1</v>
      </c>
    </row>
    <row r="200" spans="1:15" x14ac:dyDescent="0.35">
      <c r="A200" s="8">
        <f>'Data cleaning and validation(3)'!A188</f>
        <v>187</v>
      </c>
      <c r="B200" s="8" t="str">
        <f>'Data cleaning and validation(3)'!B188</f>
        <v>Gordon</v>
      </c>
      <c r="C200" s="8" t="str">
        <f>'Data cleaning and validation(3)'!C188</f>
        <v>kgordon56@techcrunch.com</v>
      </c>
      <c r="D200" s="8" t="str">
        <f>'Data cleaning and validation(3)'!D188</f>
        <v>F</v>
      </c>
      <c r="E200" s="8" t="str">
        <f>'Data cleaning and validation(3)'!E188</f>
        <v>Outdoors</v>
      </c>
      <c r="F200" s="15">
        <f>'Data cleaning and validation(3)'!F188</f>
        <v>38660</v>
      </c>
      <c r="G200" s="8">
        <f>'Data cleaning and validation(3)'!G188</f>
        <v>16</v>
      </c>
      <c r="H200" s="19">
        <f>'Data cleaning and validation(3)'!H188</f>
        <v>107407</v>
      </c>
      <c r="I200" s="8" t="str">
        <f>'Data cleaning and validation(3)'!I188</f>
        <v>Systems Administrator II</v>
      </c>
      <c r="J200" s="8" t="str">
        <f>'Data cleaning and validation(3)'!J188</f>
        <v>Northwest</v>
      </c>
      <c r="K200" s="8" t="str">
        <f>'Data cleaning and validation(3)'!K188</f>
        <v>USA</v>
      </c>
      <c r="L200" s="8" t="str">
        <f>'Data cleaning and validation(3)'!L188</f>
        <v>Outdoors &amp; Garden</v>
      </c>
      <c r="M200" s="8" t="str">
        <f>'Data cleaning and validation(3)'!M188</f>
        <v>On Leave</v>
      </c>
      <c r="N200" s="17">
        <f>'Data cleaning and validation(3)'!N188</f>
        <v>1288884</v>
      </c>
      <c r="O200" s="18">
        <f>'Data cleaning and validation(3)'!O188</f>
        <v>10740.7</v>
      </c>
    </row>
    <row r="201" spans="1:15" x14ac:dyDescent="0.35">
      <c r="A201" s="8">
        <f>'Data cleaning and validation(3)'!A189</f>
        <v>188</v>
      </c>
      <c r="B201" s="8" t="str">
        <f>'Data cleaning and validation(3)'!B189</f>
        <v>Rose</v>
      </c>
      <c r="C201" s="8" t="str">
        <f>'Data cleaning and validation(3)'!C189</f>
        <v>erose57@guardian.co.uk</v>
      </c>
      <c r="D201" s="8" t="str">
        <f>'Data cleaning and validation(3)'!D189</f>
        <v>M</v>
      </c>
      <c r="E201" s="8" t="str">
        <f>'Data cleaning and validation(3)'!E189</f>
        <v>Grocery</v>
      </c>
      <c r="F201" s="15">
        <f>'Data cleaning and validation(3)'!F189</f>
        <v>40985</v>
      </c>
      <c r="G201" s="8">
        <f>'Data cleaning and validation(3)'!G189</f>
        <v>9</v>
      </c>
      <c r="H201" s="19">
        <f>'Data cleaning and validation(3)'!H189</f>
        <v>120225</v>
      </c>
      <c r="I201" s="8" t="str">
        <f>'Data cleaning and validation(3)'!I189</f>
        <v>Editor</v>
      </c>
      <c r="J201" s="8" t="str">
        <f>'Data cleaning and validation(3)'!J189</f>
        <v>Nova Scotia</v>
      </c>
      <c r="K201" s="8" t="str">
        <f>'Data cleaning and validation(3)'!K189</f>
        <v>Canada</v>
      </c>
      <c r="L201" s="8" t="str">
        <f>'Data cleaning and validation(3)'!L189</f>
        <v>Domestic</v>
      </c>
      <c r="M201" s="8" t="str">
        <f>'Data cleaning and validation(3)'!M189</f>
        <v>On Leave</v>
      </c>
      <c r="N201" s="17">
        <f>'Data cleaning and validation(3)'!N189</f>
        <v>1442700</v>
      </c>
      <c r="O201" s="18">
        <f>'Data cleaning and validation(3)'!O189</f>
        <v>12022.5</v>
      </c>
    </row>
    <row r="202" spans="1:15" x14ac:dyDescent="0.35">
      <c r="A202" s="8">
        <f>'Data cleaning and validation(3)'!A190</f>
        <v>189</v>
      </c>
      <c r="B202" s="8" t="str">
        <f>'Data cleaning and validation(3)'!B190</f>
        <v>Anderson</v>
      </c>
      <c r="C202" s="8" t="str">
        <f>'Data cleaning and validation(3)'!C190</f>
        <v>banderson58@wsj.com</v>
      </c>
      <c r="D202" s="8" t="str">
        <f>'Data cleaning and validation(3)'!D190</f>
        <v>M</v>
      </c>
      <c r="E202" s="8" t="str">
        <f>'Data cleaning and validation(3)'!E190</f>
        <v>Home</v>
      </c>
      <c r="F202" s="15">
        <f>'Data cleaning and validation(3)'!F190</f>
        <v>41975</v>
      </c>
      <c r="G202" s="8">
        <f>'Data cleaning and validation(3)'!G190</f>
        <v>7</v>
      </c>
      <c r="H202" s="19">
        <f>'Data cleaning and validation(3)'!H190</f>
        <v>122272</v>
      </c>
      <c r="I202" s="8" t="str">
        <f>'Data cleaning and validation(3)'!I190</f>
        <v>Environmental Specialist</v>
      </c>
      <c r="J202" s="8" t="str">
        <f>'Data cleaning and validation(3)'!J190</f>
        <v>Southeast</v>
      </c>
      <c r="K202" s="8" t="str">
        <f>'Data cleaning and validation(3)'!K190</f>
        <v>USA</v>
      </c>
      <c r="L202" s="8" t="str">
        <f>'Data cleaning and validation(3)'!L190</f>
        <v>Domestic</v>
      </c>
      <c r="M202" s="8" t="str">
        <f>'Data cleaning and validation(3)'!M190</f>
        <v>On Leave</v>
      </c>
      <c r="N202" s="17">
        <f>'Data cleaning and validation(3)'!N190</f>
        <v>1467264</v>
      </c>
      <c r="O202" s="18">
        <f>'Data cleaning and validation(3)'!O190</f>
        <v>12227.2</v>
      </c>
    </row>
    <row r="203" spans="1:15" x14ac:dyDescent="0.35">
      <c r="A203" s="8">
        <f>'Data cleaning and validation(3)'!A191</f>
        <v>190</v>
      </c>
      <c r="B203" s="8" t="str">
        <f>'Data cleaning and validation(3)'!B191</f>
        <v>Powell</v>
      </c>
      <c r="C203" s="8" t="str">
        <f>'Data cleaning and validation(3)'!C191</f>
        <v>hpowell59@geocities.com</v>
      </c>
      <c r="D203" s="8" t="str">
        <f>'Data cleaning and validation(3)'!D191</f>
        <v>F</v>
      </c>
      <c r="E203" s="8" t="str">
        <f>'Data cleaning and validation(3)'!E191</f>
        <v>Health</v>
      </c>
      <c r="F203" s="15">
        <f>'Data cleaning and validation(3)'!F191</f>
        <v>37573</v>
      </c>
      <c r="G203" s="8">
        <f>'Data cleaning and validation(3)'!G191</f>
        <v>19</v>
      </c>
      <c r="H203" s="19">
        <f>'Data cleaning and validation(3)'!H191</f>
        <v>120577</v>
      </c>
      <c r="I203" s="8" t="str">
        <f>'Data cleaning and validation(3)'!I191</f>
        <v>Web Designer III</v>
      </c>
      <c r="J203" s="8" t="str">
        <f>'Data cleaning and validation(3)'!J191</f>
        <v>Northeast</v>
      </c>
      <c r="K203" s="8" t="str">
        <f>'Data cleaning and validation(3)'!K191</f>
        <v>USA</v>
      </c>
      <c r="L203" s="8" t="str">
        <f>'Data cleaning and validation(3)'!L191</f>
        <v>Domestic</v>
      </c>
      <c r="M203" s="8" t="str">
        <f>'Data cleaning and validation(3)'!M191</f>
        <v>On Leave</v>
      </c>
      <c r="N203" s="17">
        <f>'Data cleaning and validation(3)'!N191</f>
        <v>1446924</v>
      </c>
      <c r="O203" s="18">
        <f>'Data cleaning and validation(3)'!O191</f>
        <v>12057.7</v>
      </c>
    </row>
    <row r="204" spans="1:15" x14ac:dyDescent="0.35">
      <c r="A204" s="8">
        <f>'Data cleaning and validation(3)'!A192</f>
        <v>191</v>
      </c>
      <c r="B204" s="8" t="str">
        <f>'Data cleaning and validation(3)'!B192</f>
        <v>Woods</v>
      </c>
      <c r="C204" s="8" t="str">
        <f>'Data cleaning and validation(3)'!C192</f>
        <v>dwoods5a@businesswire.com</v>
      </c>
      <c r="D204" s="8" t="str">
        <f>'Data cleaning and validation(3)'!D192</f>
        <v>F</v>
      </c>
      <c r="E204" s="8" t="str">
        <f>'Data cleaning and validation(3)'!E192</f>
        <v>Electronics</v>
      </c>
      <c r="F204" s="15">
        <f>'Data cleaning and validation(3)'!F192</f>
        <v>44315</v>
      </c>
      <c r="G204" s="8">
        <f>'Data cleaning and validation(3)'!G192</f>
        <v>13</v>
      </c>
      <c r="H204" s="19">
        <f>'Data cleaning and validation(3)'!H192</f>
        <v>148986</v>
      </c>
      <c r="I204" s="8" t="str">
        <f>'Data cleaning and validation(3)'!I192</f>
        <v>Structural Analysis Engineer</v>
      </c>
      <c r="J204" s="8" t="str">
        <f>'Data cleaning and validation(3)'!J192</f>
        <v>Northeast</v>
      </c>
      <c r="K204" s="8" t="str">
        <f>'Data cleaning and validation(3)'!K192</f>
        <v>USA</v>
      </c>
      <c r="L204" s="8" t="str">
        <f>'Data cleaning and validation(3)'!L192</f>
        <v>Electronic Equipment</v>
      </c>
      <c r="M204" s="8" t="str">
        <f>'Data cleaning and validation(3)'!M192</f>
        <v>On Leave</v>
      </c>
      <c r="N204" s="17">
        <f>'Data cleaning and validation(3)'!N192</f>
        <v>1787832</v>
      </c>
      <c r="O204" s="18">
        <f>'Data cleaning and validation(3)'!O192</f>
        <v>14898.6</v>
      </c>
    </row>
    <row r="205" spans="1:15" x14ac:dyDescent="0.35">
      <c r="A205" s="8">
        <f>'Data cleaning and validation(3)'!A193</f>
        <v>192</v>
      </c>
      <c r="B205" s="8" t="str">
        <f>'Data cleaning and validation(3)'!B193</f>
        <v>Morales</v>
      </c>
      <c r="C205" s="8" t="str">
        <f>'Data cleaning and validation(3)'!C193</f>
        <v>jmorales5b@joomla.org</v>
      </c>
      <c r="D205" s="8" t="str">
        <f>'Data cleaning and validation(3)'!D193</f>
        <v>M</v>
      </c>
      <c r="E205" s="8" t="str">
        <f>'Data cleaning and validation(3)'!E193</f>
        <v>Games</v>
      </c>
      <c r="F205" s="15">
        <f>'Data cleaning and validation(3)'!F193</f>
        <v>36566</v>
      </c>
      <c r="G205" s="8">
        <f>'Data cleaning and validation(3)'!G193</f>
        <v>21</v>
      </c>
      <c r="H205" s="19">
        <f>'Data cleaning and validation(3)'!H193</f>
        <v>101855</v>
      </c>
      <c r="I205" s="8" t="str">
        <f>'Data cleaning and validation(3)'!I193</f>
        <v>Engineer IV</v>
      </c>
      <c r="J205" s="8" t="str">
        <f>'Data cleaning and validation(3)'!J193</f>
        <v>Southwest</v>
      </c>
      <c r="K205" s="8" t="str">
        <f>'Data cleaning and validation(3)'!K193</f>
        <v>USA</v>
      </c>
      <c r="L205" s="8" t="str">
        <f>'Data cleaning and validation(3)'!L193</f>
        <v>Domestic</v>
      </c>
      <c r="M205" s="8" t="str">
        <f>'Data cleaning and validation(3)'!M193</f>
        <v>On Leave</v>
      </c>
      <c r="N205" s="17">
        <f>'Data cleaning and validation(3)'!N193</f>
        <v>1222260</v>
      </c>
      <c r="O205" s="18">
        <f>'Data cleaning and validation(3)'!O193</f>
        <v>10185.5</v>
      </c>
    </row>
    <row r="206" spans="1:15" x14ac:dyDescent="0.35">
      <c r="A206" s="8">
        <f>'Data cleaning and validation(3)'!A194</f>
        <v>193</v>
      </c>
      <c r="B206" s="8" t="str">
        <f>'Data cleaning and validation(3)'!B194</f>
        <v>Stanley</v>
      </c>
      <c r="C206" s="8" t="str">
        <f>'Data cleaning and validation(3)'!C194</f>
        <v>dstanley5c@is.gd</v>
      </c>
      <c r="D206" s="8" t="str">
        <f>'Data cleaning and validation(3)'!D194</f>
        <v>F</v>
      </c>
      <c r="E206" s="8" t="str">
        <f>'Data cleaning and validation(3)'!E194</f>
        <v>Industrial</v>
      </c>
      <c r="F206" s="15">
        <f>'Data cleaning and validation(3)'!F194</f>
        <v>38765</v>
      </c>
      <c r="G206" s="8">
        <f>'Data cleaning and validation(3)'!G194</f>
        <v>15</v>
      </c>
      <c r="H206" s="19">
        <f>'Data cleaning and validation(3)'!H194</f>
        <v>140850</v>
      </c>
      <c r="I206" s="8" t="str">
        <f>'Data cleaning and validation(3)'!I194</f>
        <v>Financial Analyst</v>
      </c>
      <c r="J206" s="8" t="str">
        <f>'Data cleaning and validation(3)'!J194</f>
        <v>Southwest</v>
      </c>
      <c r="K206" s="8" t="str">
        <f>'Data cleaning and validation(3)'!K194</f>
        <v>USA</v>
      </c>
      <c r="L206" s="8" t="str">
        <f>'Data cleaning and validation(3)'!L194</f>
        <v>Auto &amp; Hardware</v>
      </c>
      <c r="M206" s="8" t="str">
        <f>'Data cleaning and validation(3)'!M194</f>
        <v>On Leave</v>
      </c>
      <c r="N206" s="17">
        <f>'Data cleaning and validation(3)'!N194</f>
        <v>1690200</v>
      </c>
      <c r="O206" s="18">
        <f>'Data cleaning and validation(3)'!O194</f>
        <v>14085</v>
      </c>
    </row>
    <row r="207" spans="1:15" x14ac:dyDescent="0.35">
      <c r="A207" s="8">
        <f>'Data cleaning and validation(3)'!A195</f>
        <v>194</v>
      </c>
      <c r="B207" s="8" t="str">
        <f>'Data cleaning and validation(3)'!B195</f>
        <v>Wagner</v>
      </c>
      <c r="C207" s="8" t="str">
        <f>'Data cleaning and validation(3)'!C195</f>
        <v>ewagner5d@cornell.edu</v>
      </c>
      <c r="D207" s="8" t="str">
        <f>'Data cleaning and validation(3)'!D195</f>
        <v>M</v>
      </c>
      <c r="E207" s="8" t="str">
        <f>'Data cleaning and validation(3)'!E195</f>
        <v>Toys</v>
      </c>
      <c r="F207" s="15">
        <f>'Data cleaning and validation(3)'!F195</f>
        <v>38749</v>
      </c>
      <c r="G207" s="8">
        <f>'Data cleaning and validation(3)'!G195</f>
        <v>15</v>
      </c>
      <c r="H207" s="19">
        <f>'Data cleaning and validation(3)'!H195</f>
        <v>142516</v>
      </c>
      <c r="I207" s="8" t="str">
        <f>'Data cleaning and validation(3)'!I195</f>
        <v>Professor</v>
      </c>
      <c r="J207" s="8" t="str">
        <f>'Data cleaning and validation(3)'!J195</f>
        <v>Northeast</v>
      </c>
      <c r="K207" s="8" t="str">
        <f>'Data cleaning and validation(3)'!K195</f>
        <v>USA</v>
      </c>
      <c r="L207" s="8" t="str">
        <f>'Data cleaning and validation(3)'!L195</f>
        <v>Games &amp; Sports</v>
      </c>
      <c r="M207" s="8" t="str">
        <f>'Data cleaning and validation(3)'!M195</f>
        <v>On Leave</v>
      </c>
      <c r="N207" s="17">
        <f>'Data cleaning and validation(3)'!N195</f>
        <v>1710192</v>
      </c>
      <c r="O207" s="18">
        <f>'Data cleaning and validation(3)'!O195</f>
        <v>14251.6</v>
      </c>
    </row>
    <row r="208" spans="1:15" x14ac:dyDescent="0.35">
      <c r="A208" s="8">
        <f>'Data cleaning and validation(3)'!A196</f>
        <v>195</v>
      </c>
      <c r="B208" s="8" t="str">
        <f>'Data cleaning and validation(3)'!B196</f>
        <v>Meyer</v>
      </c>
      <c r="C208" s="8" t="str">
        <f>'Data cleaning and validation(3)'!C196</f>
        <v>nmeyer5e@about.me</v>
      </c>
      <c r="D208" s="8" t="str">
        <f>'Data cleaning and validation(3)'!D196</f>
        <v>M</v>
      </c>
      <c r="E208" s="8" t="str">
        <f>'Data cleaning and validation(3)'!E196</f>
        <v>Shoes</v>
      </c>
      <c r="F208" s="15">
        <f>'Data cleaning and validation(3)'!F196</f>
        <v>41222</v>
      </c>
      <c r="G208" s="8">
        <f>'Data cleaning and validation(3)'!G196</f>
        <v>9</v>
      </c>
      <c r="H208" s="19">
        <f>'Data cleaning and validation(3)'!H196</f>
        <v>48829</v>
      </c>
      <c r="I208" s="8" t="str">
        <f>'Data cleaning and validation(3)'!I196</f>
        <v>Accountant I</v>
      </c>
      <c r="J208" s="8" t="str">
        <f>'Data cleaning and validation(3)'!J196</f>
        <v>Northeast</v>
      </c>
      <c r="K208" s="8" t="str">
        <f>'Data cleaning and validation(3)'!K196</f>
        <v>USA</v>
      </c>
      <c r="L208" s="8" t="str">
        <f>'Data cleaning and validation(3)'!L196</f>
        <v>Domestic</v>
      </c>
      <c r="M208" s="8" t="str">
        <f>'Data cleaning and validation(3)'!M196</f>
        <v>On Leave</v>
      </c>
      <c r="N208" s="17">
        <f>'Data cleaning and validation(3)'!N196</f>
        <v>585948</v>
      </c>
      <c r="O208" s="18">
        <f>'Data cleaning and validation(3)'!O196</f>
        <v>4882.9000000000005</v>
      </c>
    </row>
    <row r="209" spans="1:15" x14ac:dyDescent="0.35">
      <c r="A209" s="8">
        <f>'Data cleaning and validation(3)'!A197</f>
        <v>196</v>
      </c>
      <c r="B209" s="8" t="str">
        <f>'Data cleaning and validation(3)'!B197</f>
        <v>Jacobs</v>
      </c>
      <c r="C209" s="8" t="str">
        <f>'Data cleaning and validation(3)'!C197</f>
        <v>rjacobs5f@oracle.com</v>
      </c>
      <c r="D209" s="8" t="str">
        <f>'Data cleaning and validation(3)'!D197</f>
        <v>M</v>
      </c>
      <c r="E209" s="8" t="str">
        <f>'Data cleaning and validation(3)'!E197</f>
        <v>Outdoors</v>
      </c>
      <c r="F209" s="15">
        <f>'Data cleaning and validation(3)'!F197</f>
        <v>38976</v>
      </c>
      <c r="G209" s="8">
        <f>'Data cleaning and validation(3)'!G197</f>
        <v>15</v>
      </c>
      <c r="H209" s="19">
        <f>'Data cleaning and validation(3)'!H197</f>
        <v>81270</v>
      </c>
      <c r="I209" s="8" t="str">
        <f>'Data cleaning and validation(3)'!I197</f>
        <v>Geological Engineer</v>
      </c>
      <c r="J209" s="8" t="str">
        <f>'Data cleaning and validation(3)'!J197</f>
        <v>Northeast</v>
      </c>
      <c r="K209" s="8" t="str">
        <f>'Data cleaning and validation(3)'!K197</f>
        <v>USA</v>
      </c>
      <c r="L209" s="8" t="str">
        <f>'Data cleaning and validation(3)'!L197</f>
        <v>Outdoors &amp; Garden</v>
      </c>
      <c r="M209" s="8" t="str">
        <f>'Data cleaning and validation(3)'!M197</f>
        <v>On Leave</v>
      </c>
      <c r="N209" s="17">
        <f>'Data cleaning and validation(3)'!N197</f>
        <v>975240</v>
      </c>
      <c r="O209" s="18">
        <f>'Data cleaning and validation(3)'!O197</f>
        <v>8127</v>
      </c>
    </row>
    <row r="210" spans="1:15" x14ac:dyDescent="0.35">
      <c r="A210" s="8">
        <f>'Data cleaning and validation(3)'!A198</f>
        <v>197</v>
      </c>
      <c r="B210" s="8" t="str">
        <f>'Data cleaning and validation(3)'!B198</f>
        <v>Hayes</v>
      </c>
      <c r="C210" s="8" t="str">
        <f>'Data cleaning and validation(3)'!C198</f>
        <v>jhayes5g@jiathis.com</v>
      </c>
      <c r="D210" s="8" t="str">
        <f>'Data cleaning and validation(3)'!D198</f>
        <v>F</v>
      </c>
      <c r="E210" s="8" t="str">
        <f>'Data cleaning and validation(3)'!E198</f>
        <v>Beauty</v>
      </c>
      <c r="F210" s="15">
        <f>'Data cleaning and validation(3)'!F198</f>
        <v>45294</v>
      </c>
      <c r="G210" s="8">
        <f>'Data cleaning and validation(3)'!G198</f>
        <v>10</v>
      </c>
      <c r="H210" s="19">
        <f>'Data cleaning and validation(3)'!H198</f>
        <v>130097</v>
      </c>
      <c r="I210" s="8" t="str">
        <f>'Data cleaning and validation(3)'!I198</f>
        <v>Office Assistant IV</v>
      </c>
      <c r="J210" s="8" t="str">
        <f>'Data cleaning and validation(3)'!J198</f>
        <v>British Columbia</v>
      </c>
      <c r="K210" s="8" t="str">
        <f>'Data cleaning and validation(3)'!K198</f>
        <v>Canada</v>
      </c>
      <c r="L210" s="8" t="str">
        <f>'Data cleaning and validation(3)'!L198</f>
        <v>Domestic</v>
      </c>
      <c r="M210" s="8" t="str">
        <f>'Data cleaning and validation(3)'!M198</f>
        <v>On Leave</v>
      </c>
      <c r="N210" s="17">
        <f>'Data cleaning and validation(3)'!N198</f>
        <v>1561164</v>
      </c>
      <c r="O210" s="18">
        <f>'Data cleaning and validation(3)'!O198</f>
        <v>13009.7</v>
      </c>
    </row>
    <row r="211" spans="1:15" x14ac:dyDescent="0.35">
      <c r="A211" s="8">
        <f>'Data cleaning and validation(3)'!A199</f>
        <v>198</v>
      </c>
      <c r="B211" s="8" t="str">
        <f>'Data cleaning and validation(3)'!B199</f>
        <v>Sanders</v>
      </c>
      <c r="C211" s="8" t="str">
        <f>'Data cleaning and validation(3)'!C199</f>
        <v>esanders5h@ihg.com</v>
      </c>
      <c r="D211" s="8" t="str">
        <f>'Data cleaning and validation(3)'!D199</f>
        <v>F</v>
      </c>
      <c r="E211" s="8" t="str">
        <f>'Data cleaning and validation(3)'!E199</f>
        <v>Industrial</v>
      </c>
      <c r="F211" s="15">
        <f>'Data cleaning and validation(3)'!F199</f>
        <v>36549</v>
      </c>
      <c r="G211" s="8">
        <f>'Data cleaning and validation(3)'!G199</f>
        <v>21</v>
      </c>
      <c r="H211" s="19">
        <f>'Data cleaning and validation(3)'!H199</f>
        <v>117905</v>
      </c>
      <c r="I211" s="8" t="str">
        <f>'Data cleaning and validation(3)'!I199</f>
        <v>Dental Hygienist</v>
      </c>
      <c r="J211" s="8" t="str">
        <f>'Data cleaning and validation(3)'!J199</f>
        <v>Southwest</v>
      </c>
      <c r="K211" s="8" t="str">
        <f>'Data cleaning and validation(3)'!K199</f>
        <v>USA</v>
      </c>
      <c r="L211" s="8" t="str">
        <f>'Data cleaning and validation(3)'!L199</f>
        <v>Auto &amp; Hardware</v>
      </c>
      <c r="M211" s="8" t="str">
        <f>'Data cleaning and validation(3)'!M199</f>
        <v>On Leave</v>
      </c>
      <c r="N211" s="17">
        <f>'Data cleaning and validation(3)'!N199</f>
        <v>1414860</v>
      </c>
      <c r="O211" s="18">
        <f>'Data cleaning and validation(3)'!O199</f>
        <v>11790.5</v>
      </c>
    </row>
    <row r="212" spans="1:15" x14ac:dyDescent="0.35">
      <c r="A212" s="8">
        <f>'Data cleaning and validation(3)'!A200</f>
        <v>199</v>
      </c>
      <c r="B212" s="8" t="str">
        <f>'Data cleaning and validation(3)'!B200</f>
        <v>Reed</v>
      </c>
      <c r="C212" s="8" t="str">
        <f>'Data cleaning and validation(3)'!C200</f>
        <v>sreed5i@bloglovin.com</v>
      </c>
      <c r="D212" s="8" t="str">
        <f>'Data cleaning and validation(3)'!D200</f>
        <v>F</v>
      </c>
      <c r="E212" s="8" t="str">
        <f>'Data cleaning and validation(3)'!E200</f>
        <v>Shoes</v>
      </c>
      <c r="F212" s="15">
        <f>'Data cleaning and validation(3)'!F200</f>
        <v>45242</v>
      </c>
      <c r="G212" s="8">
        <f>'Data cleaning and validation(3)'!G200</f>
        <v>11</v>
      </c>
      <c r="H212" s="19">
        <f>'Data cleaning and validation(3)'!H200</f>
        <v>142483</v>
      </c>
      <c r="I212" s="8" t="str">
        <f>'Data cleaning and validation(3)'!I200</f>
        <v>Social Worker</v>
      </c>
      <c r="J212" s="8" t="str">
        <f>'Data cleaning and validation(3)'!J200</f>
        <v>Northwest</v>
      </c>
      <c r="K212" s="8" t="str">
        <f>'Data cleaning and validation(3)'!K200</f>
        <v>USA</v>
      </c>
      <c r="L212" s="8" t="str">
        <f>'Data cleaning and validation(3)'!L200</f>
        <v>Domestic</v>
      </c>
      <c r="M212" s="8" t="str">
        <f>'Data cleaning and validation(3)'!M200</f>
        <v>On Leave</v>
      </c>
      <c r="N212" s="17">
        <f>'Data cleaning and validation(3)'!N200</f>
        <v>1709796</v>
      </c>
      <c r="O212" s="18">
        <f>'Data cleaning and validation(3)'!O200</f>
        <v>14248.300000000001</v>
      </c>
    </row>
    <row r="213" spans="1:15" x14ac:dyDescent="0.35">
      <c r="A213" s="8">
        <f>'Data cleaning and validation(3)'!A201</f>
        <v>200</v>
      </c>
      <c r="B213" s="8" t="str">
        <f>'Data cleaning and validation(3)'!B201</f>
        <v>George</v>
      </c>
      <c r="C213" s="8" t="str">
        <f>'Data cleaning and validation(3)'!C201</f>
        <v>mgeorge5j@cdc.gov</v>
      </c>
      <c r="D213" s="8" t="str">
        <f>'Data cleaning and validation(3)'!D201</f>
        <v>M</v>
      </c>
      <c r="E213" s="8" t="str">
        <f>'Data cleaning and validation(3)'!E201</f>
        <v>Movies</v>
      </c>
      <c r="F213" s="15">
        <f>'Data cleaning and validation(3)'!F201</f>
        <v>38250</v>
      </c>
      <c r="G213" s="8">
        <f>'Data cleaning and validation(3)'!G201</f>
        <v>17</v>
      </c>
      <c r="H213" s="19">
        <f>'Data cleaning and validation(3)'!H201</f>
        <v>89633</v>
      </c>
      <c r="I213" s="8" t="str">
        <f>'Data cleaning and validation(3)'!I201</f>
        <v>Software Consultant</v>
      </c>
      <c r="J213" s="8" t="str">
        <f>'Data cleaning and validation(3)'!J201</f>
        <v>Southwest</v>
      </c>
      <c r="K213" s="8" t="str">
        <f>'Data cleaning and validation(3)'!K201</f>
        <v>USA</v>
      </c>
      <c r="L213" s="8" t="str">
        <f>'Data cleaning and validation(3)'!L201</f>
        <v>Entertainment</v>
      </c>
      <c r="M213" s="8" t="str">
        <f>'Data cleaning and validation(3)'!M201</f>
        <v>Active</v>
      </c>
      <c r="N213" s="17">
        <f>'Data cleaning and validation(3)'!N201</f>
        <v>1075596</v>
      </c>
      <c r="O213" s="18">
        <f>'Data cleaning and validation(3)'!O201</f>
        <v>8963.3000000000011</v>
      </c>
    </row>
    <row r="214" spans="1:15" x14ac:dyDescent="0.35">
      <c r="A214" s="8">
        <f>'Data cleaning and validation(3)'!A202</f>
        <v>201</v>
      </c>
      <c r="B214" s="8" t="str">
        <f>'Data cleaning and validation(3)'!B202</f>
        <v>Andrews</v>
      </c>
      <c r="C214" s="8" t="str">
        <f>'Data cleaning and validation(3)'!C202</f>
        <v>jandrews5k@free.fr</v>
      </c>
      <c r="D214" s="8" t="str">
        <f>'Data cleaning and validation(3)'!D202</f>
        <v>M</v>
      </c>
      <c r="E214" s="8" t="str">
        <f>'Data cleaning and validation(3)'!E202</f>
        <v>Home</v>
      </c>
      <c r="F214" s="15">
        <f>'Data cleaning and validation(3)'!F202</f>
        <v>39890</v>
      </c>
      <c r="G214" s="8">
        <f>'Data cleaning and validation(3)'!G202</f>
        <v>12</v>
      </c>
      <c r="H214" s="19">
        <f>'Data cleaning and validation(3)'!H202</f>
        <v>48684</v>
      </c>
      <c r="I214" s="8" t="str">
        <f>'Data cleaning and validation(3)'!I202</f>
        <v>Nurse Practicioner</v>
      </c>
      <c r="J214" s="8" t="str">
        <f>'Data cleaning and validation(3)'!J202</f>
        <v>Quebec</v>
      </c>
      <c r="K214" s="8" t="str">
        <f>'Data cleaning and validation(3)'!K202</f>
        <v>Canada</v>
      </c>
      <c r="L214" s="8" t="str">
        <f>'Data cleaning and validation(3)'!L202</f>
        <v>Domestic</v>
      </c>
      <c r="M214" s="8" t="str">
        <f>'Data cleaning and validation(3)'!M202</f>
        <v>Active</v>
      </c>
      <c r="N214" s="17">
        <f>'Data cleaning and validation(3)'!N202</f>
        <v>584208</v>
      </c>
      <c r="O214" s="18">
        <f>'Data cleaning and validation(3)'!O202</f>
        <v>4868.4000000000005</v>
      </c>
    </row>
    <row r="215" spans="1:15" x14ac:dyDescent="0.35">
      <c r="A215" s="8">
        <f>'Data cleaning and validation(3)'!A203</f>
        <v>202</v>
      </c>
      <c r="B215" s="8" t="str">
        <f>'Data cleaning and validation(3)'!B203</f>
        <v>Morris</v>
      </c>
      <c r="C215" s="8" t="str">
        <f>'Data cleaning and validation(3)'!C203</f>
        <v>lmorris5l@patch.com</v>
      </c>
      <c r="D215" s="8" t="str">
        <f>'Data cleaning and validation(3)'!D203</f>
        <v>F</v>
      </c>
      <c r="E215" s="8" t="str">
        <f>'Data cleaning and validation(3)'!E203</f>
        <v>Automotive</v>
      </c>
      <c r="F215" s="15">
        <f>'Data cleaning and validation(3)'!F203</f>
        <v>38009</v>
      </c>
      <c r="G215" s="8">
        <f>'Data cleaning and validation(3)'!G203</f>
        <v>17</v>
      </c>
      <c r="H215" s="19">
        <f>'Data cleaning and validation(3)'!H203</f>
        <v>91932</v>
      </c>
      <c r="I215" s="8" t="str">
        <f>'Data cleaning and validation(3)'!I203</f>
        <v>Analyst Programmer</v>
      </c>
      <c r="J215" s="8" t="str">
        <f>'Data cleaning and validation(3)'!J203</f>
        <v>Northeast</v>
      </c>
      <c r="K215" s="8" t="str">
        <f>'Data cleaning and validation(3)'!K203</f>
        <v>USA</v>
      </c>
      <c r="L215" s="8" t="str">
        <f>'Data cleaning and validation(3)'!L203</f>
        <v>Auto &amp; Hardware</v>
      </c>
      <c r="M215" s="8" t="str">
        <f>'Data cleaning and validation(3)'!M203</f>
        <v>Active</v>
      </c>
      <c r="N215" s="17">
        <f>'Data cleaning and validation(3)'!N203</f>
        <v>1103184</v>
      </c>
      <c r="O215" s="18">
        <f>'Data cleaning and validation(3)'!O203</f>
        <v>9193.2000000000007</v>
      </c>
    </row>
    <row r="216" spans="1:15" x14ac:dyDescent="0.35">
      <c r="A216" s="8">
        <f>'Data cleaning and validation(3)'!A204</f>
        <v>203</v>
      </c>
      <c r="B216" s="8" t="str">
        <f>'Data cleaning and validation(3)'!B204</f>
        <v>Moreno</v>
      </c>
      <c r="C216" s="8" t="str">
        <f>'Data cleaning and validation(3)'!C204</f>
        <v>jmoreno5m@xing.com</v>
      </c>
      <c r="D216" s="8" t="str">
        <f>'Data cleaning and validation(3)'!D204</f>
        <v>F</v>
      </c>
      <c r="E216" s="8" t="str">
        <f>'Data cleaning and validation(3)'!E204</f>
        <v>Grocery</v>
      </c>
      <c r="F216" s="15">
        <f>'Data cleaning and validation(3)'!F204</f>
        <v>38632</v>
      </c>
      <c r="G216" s="8">
        <f>'Data cleaning and validation(3)'!G204</f>
        <v>16</v>
      </c>
      <c r="H216" s="19">
        <f>'Data cleaning and validation(3)'!H204</f>
        <v>112004</v>
      </c>
      <c r="I216" s="8" t="str">
        <f>'Data cleaning and validation(3)'!I204</f>
        <v>Internal Auditor</v>
      </c>
      <c r="J216" s="8" t="str">
        <f>'Data cleaning and validation(3)'!J204</f>
        <v>Nova Scotia</v>
      </c>
      <c r="K216" s="8" t="str">
        <f>'Data cleaning and validation(3)'!K204</f>
        <v>Canada</v>
      </c>
      <c r="L216" s="8" t="str">
        <f>'Data cleaning and validation(3)'!L204</f>
        <v>Domestic</v>
      </c>
      <c r="M216" s="8" t="str">
        <f>'Data cleaning and validation(3)'!M204</f>
        <v>Active</v>
      </c>
      <c r="N216" s="17">
        <f>'Data cleaning and validation(3)'!N204</f>
        <v>1344048</v>
      </c>
      <c r="O216" s="18">
        <f>'Data cleaning and validation(3)'!O204</f>
        <v>11200.400000000001</v>
      </c>
    </row>
    <row r="217" spans="1:15" x14ac:dyDescent="0.35">
      <c r="A217" s="8">
        <f>'Data cleaning and validation(3)'!A205</f>
        <v>204</v>
      </c>
      <c r="B217" s="8" t="str">
        <f>'Data cleaning and validation(3)'!B205</f>
        <v>Powell</v>
      </c>
      <c r="C217" s="8" t="str">
        <f>'Data cleaning and validation(3)'!C205</f>
        <v>cpowell5n@cocolog-nifty.com</v>
      </c>
      <c r="D217" s="8" t="str">
        <f>'Data cleaning and validation(3)'!D205</f>
        <v>F</v>
      </c>
      <c r="E217" s="8" t="str">
        <f>'Data cleaning and validation(3)'!E205</f>
        <v>Beauty</v>
      </c>
      <c r="F217" s="15">
        <f>'Data cleaning and validation(3)'!F205</f>
        <v>36794</v>
      </c>
      <c r="G217" s="8">
        <f>'Data cleaning and validation(3)'!G205</f>
        <v>21</v>
      </c>
      <c r="H217" s="19">
        <f>'Data cleaning and validation(3)'!H205</f>
        <v>116013</v>
      </c>
      <c r="I217" s="8" t="str">
        <f>'Data cleaning and validation(3)'!I205</f>
        <v>Tax Accountant</v>
      </c>
      <c r="J217" s="8" t="str">
        <f>'Data cleaning and validation(3)'!J205</f>
        <v>Southwest</v>
      </c>
      <c r="K217" s="8" t="str">
        <f>'Data cleaning and validation(3)'!K205</f>
        <v>USA</v>
      </c>
      <c r="L217" s="8" t="str">
        <f>'Data cleaning and validation(3)'!L205</f>
        <v>Domestic</v>
      </c>
      <c r="M217" s="8" t="str">
        <f>'Data cleaning and validation(3)'!M205</f>
        <v>Active</v>
      </c>
      <c r="N217" s="17">
        <f>'Data cleaning and validation(3)'!N205</f>
        <v>1392156</v>
      </c>
      <c r="O217" s="18">
        <f>'Data cleaning and validation(3)'!O205</f>
        <v>11601.300000000001</v>
      </c>
    </row>
    <row r="218" spans="1:15" x14ac:dyDescent="0.35">
      <c r="A218" s="8">
        <f>'Data cleaning and validation(3)'!A206</f>
        <v>205</v>
      </c>
      <c r="B218" s="8" t="str">
        <f>'Data cleaning and validation(3)'!B206</f>
        <v>Graham</v>
      </c>
      <c r="C218" s="8" t="str">
        <f>'Data cleaning and validation(3)'!C206</f>
        <v>jgraham5o@printfriendly.com</v>
      </c>
      <c r="D218" s="8" t="str">
        <f>'Data cleaning and validation(3)'!D206</f>
        <v>F</v>
      </c>
      <c r="E218" s="8" t="str">
        <f>'Data cleaning and validation(3)'!E206</f>
        <v>Games</v>
      </c>
      <c r="F218" s="15">
        <f>'Data cleaning and validation(3)'!F206</f>
        <v>44449</v>
      </c>
      <c r="G218" s="8">
        <f>'Data cleaning and validation(3)'!G206</f>
        <v>13</v>
      </c>
      <c r="H218" s="19">
        <f>'Data cleaning and validation(3)'!H206</f>
        <v>109058</v>
      </c>
      <c r="I218" s="8" t="str">
        <f>'Data cleaning and validation(3)'!I206</f>
        <v>Chemical Engineer</v>
      </c>
      <c r="J218" s="8" t="str">
        <f>'Data cleaning and validation(3)'!J206</f>
        <v>Nova Scotia</v>
      </c>
      <c r="K218" s="8" t="str">
        <f>'Data cleaning and validation(3)'!K206</f>
        <v>Canada</v>
      </c>
      <c r="L218" s="8" t="str">
        <f>'Data cleaning and validation(3)'!L206</f>
        <v>Domestic</v>
      </c>
      <c r="M218" s="8" t="str">
        <f>'Data cleaning and validation(3)'!M206</f>
        <v>Active</v>
      </c>
      <c r="N218" s="17">
        <f>'Data cleaning and validation(3)'!N206</f>
        <v>1308696</v>
      </c>
      <c r="O218" s="18">
        <f>'Data cleaning and validation(3)'!O206</f>
        <v>10905.800000000001</v>
      </c>
    </row>
    <row r="219" spans="1:15" x14ac:dyDescent="0.35">
      <c r="A219" s="8">
        <f>'Data cleaning and validation(3)'!A207</f>
        <v>206</v>
      </c>
      <c r="B219" s="8" t="str">
        <f>'Data cleaning and validation(3)'!B207</f>
        <v>Riley</v>
      </c>
      <c r="C219" s="8" t="str">
        <f>'Data cleaning and validation(3)'!C207</f>
        <v>hriley5p@dailymotion.com</v>
      </c>
      <c r="D219" s="8" t="str">
        <f>'Data cleaning and validation(3)'!D207</f>
        <v>M</v>
      </c>
      <c r="E219" s="8" t="str">
        <f>'Data cleaning and validation(3)'!E207</f>
        <v>Toys</v>
      </c>
      <c r="F219" s="15">
        <f>'Data cleaning and validation(3)'!F207</f>
        <v>41035</v>
      </c>
      <c r="G219" s="8">
        <f>'Data cleaning and validation(3)'!G207</f>
        <v>9</v>
      </c>
      <c r="H219" s="19">
        <f>'Data cleaning and validation(3)'!H207</f>
        <v>61992</v>
      </c>
      <c r="I219" s="8" t="str">
        <f>'Data cleaning and validation(3)'!I207</f>
        <v>Sales Representative</v>
      </c>
      <c r="J219" s="8" t="str">
        <f>'Data cleaning and validation(3)'!J207</f>
        <v>Southwest</v>
      </c>
      <c r="K219" s="8" t="str">
        <f>'Data cleaning and validation(3)'!K207</f>
        <v>USA</v>
      </c>
      <c r="L219" s="8" t="str">
        <f>'Data cleaning and validation(3)'!L207</f>
        <v>Games &amp; Sports</v>
      </c>
      <c r="M219" s="8" t="str">
        <f>'Data cleaning and validation(3)'!M207</f>
        <v>Active</v>
      </c>
      <c r="N219" s="17">
        <f>'Data cleaning and validation(3)'!N207</f>
        <v>743904</v>
      </c>
      <c r="O219" s="18">
        <f>'Data cleaning and validation(3)'!O207</f>
        <v>6199.2000000000007</v>
      </c>
    </row>
    <row r="220" spans="1:15" x14ac:dyDescent="0.35">
      <c r="A220" s="8">
        <f>'Data cleaning and validation(3)'!A208</f>
        <v>207</v>
      </c>
      <c r="B220" s="8" t="str">
        <f>'Data cleaning and validation(3)'!B208</f>
        <v>Harris</v>
      </c>
      <c r="C220" s="8" t="str">
        <f>'Data cleaning and validation(3)'!C208</f>
        <v>mharris5q@utexas.edu</v>
      </c>
      <c r="D220" s="8" t="str">
        <f>'Data cleaning and validation(3)'!D208</f>
        <v>F</v>
      </c>
      <c r="E220" s="8" t="str">
        <f>'Data cleaning and validation(3)'!E208</f>
        <v>Movies</v>
      </c>
      <c r="F220" s="15">
        <f>'Data cleaning and validation(3)'!F208</f>
        <v>44471</v>
      </c>
      <c r="G220" s="8">
        <f>'Data cleaning and validation(3)'!G208</f>
        <v>13</v>
      </c>
      <c r="H220" s="19">
        <f>'Data cleaning and validation(3)'!H208</f>
        <v>129527</v>
      </c>
      <c r="I220" s="8" t="str">
        <f>'Data cleaning and validation(3)'!I208</f>
        <v>Statistician II</v>
      </c>
      <c r="J220" s="8" t="str">
        <f>'Data cleaning and validation(3)'!J208</f>
        <v>Southeast</v>
      </c>
      <c r="K220" s="8" t="str">
        <f>'Data cleaning and validation(3)'!K208</f>
        <v>USA</v>
      </c>
      <c r="L220" s="8" t="str">
        <f>'Data cleaning and validation(3)'!L208</f>
        <v>Entertainment</v>
      </c>
      <c r="M220" s="8" t="str">
        <f>'Data cleaning and validation(3)'!M208</f>
        <v>Active</v>
      </c>
      <c r="N220" s="17">
        <f>'Data cleaning and validation(3)'!N208</f>
        <v>1554324</v>
      </c>
      <c r="O220" s="18">
        <f>'Data cleaning and validation(3)'!O208</f>
        <v>12952.7</v>
      </c>
    </row>
    <row r="221" spans="1:15" x14ac:dyDescent="0.35">
      <c r="A221" s="8">
        <f>'Data cleaning and validation(3)'!A209</f>
        <v>208</v>
      </c>
      <c r="B221" s="8" t="str">
        <f>'Data cleaning and validation(3)'!B209</f>
        <v>Gilbert</v>
      </c>
      <c r="C221" s="8" t="str">
        <f>'Data cleaning and validation(3)'!C209</f>
        <v>rgilbert5r@domainmarket.com</v>
      </c>
      <c r="D221" s="8" t="str">
        <f>'Data cleaning and validation(3)'!D209</f>
        <v>F</v>
      </c>
      <c r="E221" s="8" t="str">
        <f>'Data cleaning and validation(3)'!E209</f>
        <v>Grocery</v>
      </c>
      <c r="F221" s="15">
        <f>'Data cleaning and validation(3)'!F209</f>
        <v>37240</v>
      </c>
      <c r="G221" s="8">
        <f>'Data cleaning and validation(3)'!G209</f>
        <v>20</v>
      </c>
      <c r="H221" s="19">
        <f>'Data cleaning and validation(3)'!H209</f>
        <v>67746</v>
      </c>
      <c r="I221" s="8" t="str">
        <f>'Data cleaning and validation(3)'!I209</f>
        <v>Director of Sales</v>
      </c>
      <c r="J221" s="8" t="str">
        <f>'Data cleaning and validation(3)'!J209</f>
        <v>Southeast</v>
      </c>
      <c r="K221" s="8" t="str">
        <f>'Data cleaning and validation(3)'!K209</f>
        <v>USA</v>
      </c>
      <c r="L221" s="8" t="str">
        <f>'Data cleaning and validation(3)'!L209</f>
        <v>Domestic</v>
      </c>
      <c r="M221" s="8" t="str">
        <f>'Data cleaning and validation(3)'!M209</f>
        <v>Active</v>
      </c>
      <c r="N221" s="17">
        <f>'Data cleaning and validation(3)'!N209</f>
        <v>812952</v>
      </c>
      <c r="O221" s="18">
        <f>'Data cleaning and validation(3)'!O209</f>
        <v>6774.6</v>
      </c>
    </row>
    <row r="222" spans="1:15" x14ac:dyDescent="0.35">
      <c r="A222" s="8">
        <f>'Data cleaning and validation(3)'!A210</f>
        <v>209</v>
      </c>
      <c r="B222" s="8" t="str">
        <f>'Data cleaning and validation(3)'!B210</f>
        <v>Peterson</v>
      </c>
      <c r="C222" s="8" t="str">
        <f>'Data cleaning and validation(3)'!C210</f>
        <v>jpeterson5s@t-online.de</v>
      </c>
      <c r="D222" s="8" t="str">
        <f>'Data cleaning and validation(3)'!D210</f>
        <v>M</v>
      </c>
      <c r="E222" s="8" t="str">
        <f>'Data cleaning and validation(3)'!E210</f>
        <v>Books</v>
      </c>
      <c r="F222" s="15">
        <f>'Data cleaning and validation(3)'!F210</f>
        <v>40251</v>
      </c>
      <c r="G222" s="8">
        <f>'Data cleaning and validation(3)'!G210</f>
        <v>11</v>
      </c>
      <c r="H222" s="19">
        <f>'Data cleaning and validation(3)'!H210</f>
        <v>104530</v>
      </c>
      <c r="I222" s="8" t="str">
        <f>'Data cleaning and validation(3)'!I210</f>
        <v>VP Marketing</v>
      </c>
      <c r="J222" s="8" t="str">
        <f>'Data cleaning and validation(3)'!J210</f>
        <v>Southeast</v>
      </c>
      <c r="K222" s="8" t="str">
        <f>'Data cleaning and validation(3)'!K210</f>
        <v>USA</v>
      </c>
      <c r="L222" s="8" t="str">
        <f>'Data cleaning and validation(3)'!L210</f>
        <v>Library</v>
      </c>
      <c r="M222" s="8" t="str">
        <f>'Data cleaning and validation(3)'!M210</f>
        <v>Active</v>
      </c>
      <c r="N222" s="17">
        <f>'Data cleaning and validation(3)'!N210</f>
        <v>1254360</v>
      </c>
      <c r="O222" s="18">
        <f>'Data cleaning and validation(3)'!O210</f>
        <v>10453</v>
      </c>
    </row>
    <row r="223" spans="1:15" x14ac:dyDescent="0.35">
      <c r="A223" s="8">
        <f>'Data cleaning and validation(3)'!A211</f>
        <v>210</v>
      </c>
      <c r="B223" s="8" t="str">
        <f>'Data cleaning and validation(3)'!B211</f>
        <v>Foster</v>
      </c>
      <c r="C223" s="8" t="str">
        <f>'Data cleaning and validation(3)'!C211</f>
        <v>jfoster5t@icq.com</v>
      </c>
      <c r="D223" s="8" t="str">
        <f>'Data cleaning and validation(3)'!D211</f>
        <v>F</v>
      </c>
      <c r="E223" s="8" t="str">
        <f>'Data cleaning and validation(3)'!E211</f>
        <v>Music</v>
      </c>
      <c r="F223" s="15">
        <f>'Data cleaning and validation(3)'!F211</f>
        <v>44213</v>
      </c>
      <c r="G223" s="8">
        <f>'Data cleaning and validation(3)'!G211</f>
        <v>13</v>
      </c>
      <c r="H223" s="19">
        <f>'Data cleaning and validation(3)'!H211</f>
        <v>42759</v>
      </c>
      <c r="I223" s="8" t="str">
        <f>'Data cleaning and validation(3)'!I211</f>
        <v>Social Worker</v>
      </c>
      <c r="J223" s="8" t="str">
        <f>'Data cleaning and validation(3)'!J211</f>
        <v>Southwest</v>
      </c>
      <c r="K223" s="8" t="str">
        <f>'Data cleaning and validation(3)'!K211</f>
        <v>USA</v>
      </c>
      <c r="L223" s="8" t="str">
        <f>'Data cleaning and validation(3)'!L211</f>
        <v>Entertainment</v>
      </c>
      <c r="M223" s="8" t="str">
        <f>'Data cleaning and validation(3)'!M211</f>
        <v>Active</v>
      </c>
      <c r="N223" s="17">
        <f>'Data cleaning and validation(3)'!N211</f>
        <v>513108</v>
      </c>
      <c r="O223" s="18">
        <f>'Data cleaning and validation(3)'!O211</f>
        <v>4275.9000000000005</v>
      </c>
    </row>
    <row r="224" spans="1:15" x14ac:dyDescent="0.35">
      <c r="A224" s="8">
        <f>'Data cleaning and validation(3)'!A212</f>
        <v>211</v>
      </c>
      <c r="B224" s="8" t="str">
        <f>'Data cleaning and validation(3)'!B212</f>
        <v>Fowler</v>
      </c>
      <c r="C224" s="8" t="str">
        <f>'Data cleaning and validation(3)'!C212</f>
        <v>afowler5u@parallels.com</v>
      </c>
      <c r="D224" s="8" t="str">
        <f>'Data cleaning and validation(3)'!D212</f>
        <v>F</v>
      </c>
      <c r="E224" s="8" t="str">
        <f>'Data cleaning and validation(3)'!E212</f>
        <v>Kids</v>
      </c>
      <c r="F224" s="15">
        <f>'Data cleaning and validation(3)'!F212</f>
        <v>45347</v>
      </c>
      <c r="G224" s="8">
        <f>'Data cleaning and validation(3)'!G212</f>
        <v>10</v>
      </c>
      <c r="H224" s="19">
        <f>'Data cleaning and validation(3)'!H212</f>
        <v>43097</v>
      </c>
      <c r="I224" s="8" t="str">
        <f>'Data cleaning and validation(3)'!I212</f>
        <v>Associate Professor</v>
      </c>
      <c r="J224" s="8" t="str">
        <f>'Data cleaning and validation(3)'!J212</f>
        <v>Southeast</v>
      </c>
      <c r="K224" s="8" t="str">
        <f>'Data cleaning and validation(3)'!K212</f>
        <v>USA</v>
      </c>
      <c r="L224" s="8" t="str">
        <f>'Data cleaning and validation(3)'!L212</f>
        <v>Domestic</v>
      </c>
      <c r="M224" s="8" t="str">
        <f>'Data cleaning and validation(3)'!M212</f>
        <v>Active</v>
      </c>
      <c r="N224" s="17">
        <f>'Data cleaning and validation(3)'!N212</f>
        <v>517164</v>
      </c>
      <c r="O224" s="18">
        <f>'Data cleaning and validation(3)'!O212</f>
        <v>4309.7</v>
      </c>
    </row>
    <row r="225" spans="1:15" x14ac:dyDescent="0.35">
      <c r="A225" s="8">
        <f>'Data cleaning and validation(3)'!A213</f>
        <v>212</v>
      </c>
      <c r="B225" s="8" t="str">
        <f>'Data cleaning and validation(3)'!B213</f>
        <v>Matthews</v>
      </c>
      <c r="C225" s="8" t="str">
        <f>'Data cleaning and validation(3)'!C213</f>
        <v>fmatthews5v@theatlantic.com</v>
      </c>
      <c r="D225" s="8" t="str">
        <f>'Data cleaning and validation(3)'!D213</f>
        <v>F</v>
      </c>
      <c r="E225" s="8" t="str">
        <f>'Data cleaning and validation(3)'!E213</f>
        <v>Outdoors</v>
      </c>
      <c r="F225" s="15">
        <f>'Data cleaning and validation(3)'!F213</f>
        <v>38678</v>
      </c>
      <c r="G225" s="8">
        <f>'Data cleaning and validation(3)'!G213</f>
        <v>16</v>
      </c>
      <c r="H225" s="19">
        <f>'Data cleaning and validation(3)'!H213</f>
        <v>123936</v>
      </c>
      <c r="I225" s="8" t="str">
        <f>'Data cleaning and validation(3)'!I213</f>
        <v>Internal Auditor</v>
      </c>
      <c r="J225" s="8" t="str">
        <f>'Data cleaning and validation(3)'!J213</f>
        <v>Northeast</v>
      </c>
      <c r="K225" s="8" t="str">
        <f>'Data cleaning and validation(3)'!K213</f>
        <v>USA</v>
      </c>
      <c r="L225" s="8" t="str">
        <f>'Data cleaning and validation(3)'!L213</f>
        <v>Outdoors &amp; Garden</v>
      </c>
      <c r="M225" s="8" t="str">
        <f>'Data cleaning and validation(3)'!M213</f>
        <v>Active</v>
      </c>
      <c r="N225" s="17">
        <f>'Data cleaning and validation(3)'!N213</f>
        <v>1487232</v>
      </c>
      <c r="O225" s="18">
        <f>'Data cleaning and validation(3)'!O213</f>
        <v>12393.6</v>
      </c>
    </row>
    <row r="226" spans="1:15" x14ac:dyDescent="0.35">
      <c r="A226" s="8">
        <f>'Data cleaning and validation(3)'!A214</f>
        <v>213</v>
      </c>
      <c r="B226" s="8" t="str">
        <f>'Data cleaning and validation(3)'!B214</f>
        <v>Thomas</v>
      </c>
      <c r="C226" s="8" t="str">
        <f>'Data cleaning and validation(3)'!C214</f>
        <v>gthomas5w@slate.com</v>
      </c>
      <c r="D226" s="8" t="str">
        <f>'Data cleaning and validation(3)'!D214</f>
        <v>M</v>
      </c>
      <c r="E226" s="8" t="str">
        <f>'Data cleaning and validation(3)'!E214</f>
        <v>Tools</v>
      </c>
      <c r="F226" s="15">
        <f>'Data cleaning and validation(3)'!F214</f>
        <v>39049</v>
      </c>
      <c r="G226" s="8">
        <f>'Data cleaning and validation(3)'!G214</f>
        <v>15</v>
      </c>
      <c r="H226" s="19">
        <f>'Data cleaning and validation(3)'!H214</f>
        <v>128239</v>
      </c>
      <c r="I226" s="8" t="str">
        <f>'Data cleaning and validation(3)'!I214</f>
        <v>Teacher</v>
      </c>
      <c r="J226" s="8" t="str">
        <f>'Data cleaning and validation(3)'!J214</f>
        <v>Quebec</v>
      </c>
      <c r="K226" s="8" t="str">
        <f>'Data cleaning and validation(3)'!K214</f>
        <v>Canada</v>
      </c>
      <c r="L226" s="8" t="str">
        <f>'Data cleaning and validation(3)'!L214</f>
        <v>Auto &amp; Hardware</v>
      </c>
      <c r="M226" s="8" t="str">
        <f>'Data cleaning and validation(3)'!M214</f>
        <v>Active</v>
      </c>
      <c r="N226" s="17">
        <f>'Data cleaning and validation(3)'!N214</f>
        <v>1538868</v>
      </c>
      <c r="O226" s="18">
        <f>'Data cleaning and validation(3)'!O214</f>
        <v>12823.900000000001</v>
      </c>
    </row>
    <row r="227" spans="1:15" x14ac:dyDescent="0.35">
      <c r="A227" s="8">
        <f>'Data cleaning and validation(3)'!A215</f>
        <v>214</v>
      </c>
      <c r="B227" s="8" t="str">
        <f>'Data cleaning and validation(3)'!B215</f>
        <v>West</v>
      </c>
      <c r="C227" s="8" t="str">
        <f>'Data cleaning and validation(3)'!C215</f>
        <v>gwest5x@hao123.com</v>
      </c>
      <c r="D227" s="8" t="str">
        <f>'Data cleaning and validation(3)'!D215</f>
        <v>M</v>
      </c>
      <c r="E227" s="8" t="str">
        <f>'Data cleaning and validation(3)'!E215</f>
        <v>Computers</v>
      </c>
      <c r="F227" s="15">
        <f>'Data cleaning and validation(3)'!F215</f>
        <v>37925</v>
      </c>
      <c r="G227" s="8">
        <f>'Data cleaning and validation(3)'!G215</f>
        <v>18</v>
      </c>
      <c r="H227" s="19">
        <f>'Data cleaning and validation(3)'!H215</f>
        <v>66084</v>
      </c>
      <c r="I227" s="8" t="str">
        <f>'Data cleaning and validation(3)'!I215</f>
        <v>Electrical Engineer</v>
      </c>
      <c r="J227" s="8" t="str">
        <f>'Data cleaning and validation(3)'!J215</f>
        <v>Quebec</v>
      </c>
      <c r="K227" s="8" t="str">
        <f>'Data cleaning and validation(3)'!K215</f>
        <v>Canada</v>
      </c>
      <c r="L227" s="8" t="str">
        <f>'Data cleaning and validation(3)'!L215</f>
        <v>Electronic Equipment</v>
      </c>
      <c r="M227" s="8" t="str">
        <f>'Data cleaning and validation(3)'!M215</f>
        <v>Active</v>
      </c>
      <c r="N227" s="17">
        <f>'Data cleaning and validation(3)'!N215</f>
        <v>793008</v>
      </c>
      <c r="O227" s="18">
        <f>'Data cleaning and validation(3)'!O215</f>
        <v>6608.4000000000005</v>
      </c>
    </row>
    <row r="228" spans="1:15" x14ac:dyDescent="0.35">
      <c r="A228" s="8">
        <f>'Data cleaning and validation(3)'!A216</f>
        <v>215</v>
      </c>
      <c r="B228" s="8" t="str">
        <f>'Data cleaning and validation(3)'!B216</f>
        <v>Stevens</v>
      </c>
      <c r="C228" s="8" t="str">
        <f>'Data cleaning and validation(3)'!C216</f>
        <v>estevens5y@salon.com</v>
      </c>
      <c r="D228" s="8" t="str">
        <f>'Data cleaning and validation(3)'!D216</f>
        <v>M</v>
      </c>
      <c r="E228" s="8" t="str">
        <f>'Data cleaning and validation(3)'!E216</f>
        <v>Games</v>
      </c>
      <c r="F228" s="15">
        <f>'Data cleaning and validation(3)'!F216</f>
        <v>39886</v>
      </c>
      <c r="G228" s="8">
        <f>'Data cleaning and validation(3)'!G216</f>
        <v>12</v>
      </c>
      <c r="H228" s="19">
        <f>'Data cleaning and validation(3)'!H216</f>
        <v>106729</v>
      </c>
      <c r="I228" s="8" t="str">
        <f>'Data cleaning and validation(3)'!I216</f>
        <v>Occupational Therapist</v>
      </c>
      <c r="J228" s="8" t="str">
        <f>'Data cleaning and validation(3)'!J216</f>
        <v>British Columbia</v>
      </c>
      <c r="K228" s="8" t="str">
        <f>'Data cleaning and validation(3)'!K216</f>
        <v>Canada</v>
      </c>
      <c r="L228" s="8" t="str">
        <f>'Data cleaning and validation(3)'!L216</f>
        <v>Domestic</v>
      </c>
      <c r="M228" s="8" t="str">
        <f>'Data cleaning and validation(3)'!M216</f>
        <v>Active</v>
      </c>
      <c r="N228" s="17">
        <f>'Data cleaning and validation(3)'!N216</f>
        <v>1280748</v>
      </c>
      <c r="O228" s="18">
        <f>'Data cleaning and validation(3)'!O216</f>
        <v>10672.900000000001</v>
      </c>
    </row>
    <row r="229" spans="1:15" x14ac:dyDescent="0.35">
      <c r="A229" s="8">
        <f>'Data cleaning and validation(3)'!A217</f>
        <v>216</v>
      </c>
      <c r="B229" s="8" t="str">
        <f>'Data cleaning and validation(3)'!B217</f>
        <v>Howard</v>
      </c>
      <c r="C229" s="8" t="str">
        <f>'Data cleaning and validation(3)'!C217</f>
        <v>dhoward5z@soundcloud.com</v>
      </c>
      <c r="D229" s="8" t="str">
        <f>'Data cleaning and validation(3)'!D217</f>
        <v>M</v>
      </c>
      <c r="E229" s="8" t="str">
        <f>'Data cleaning and validation(3)'!E217</f>
        <v>Jewelery</v>
      </c>
      <c r="F229" s="15">
        <f>'Data cleaning and validation(3)'!F217</f>
        <v>39887</v>
      </c>
      <c r="G229" s="8">
        <f>'Data cleaning and validation(3)'!G217</f>
        <v>12</v>
      </c>
      <c r="H229" s="19">
        <f>'Data cleaning and validation(3)'!H217</f>
        <v>87269</v>
      </c>
      <c r="I229" s="8" t="str">
        <f>'Data cleaning and validation(3)'!I217</f>
        <v>General Manager</v>
      </c>
      <c r="J229" s="8" t="str">
        <f>'Data cleaning and validation(3)'!J217</f>
        <v>Southwest</v>
      </c>
      <c r="K229" s="8" t="str">
        <f>'Data cleaning and validation(3)'!K217</f>
        <v>USA</v>
      </c>
      <c r="L229" s="8" t="str">
        <f>'Data cleaning and validation(3)'!L217</f>
        <v>Fashion</v>
      </c>
      <c r="M229" s="8" t="str">
        <f>'Data cleaning and validation(3)'!M217</f>
        <v>Active</v>
      </c>
      <c r="N229" s="17">
        <f>'Data cleaning and validation(3)'!N217</f>
        <v>1047228</v>
      </c>
      <c r="O229" s="18">
        <f>'Data cleaning and validation(3)'!O217</f>
        <v>8726.9</v>
      </c>
    </row>
    <row r="230" spans="1:15" x14ac:dyDescent="0.35">
      <c r="A230" s="8">
        <f>'Data cleaning and validation(3)'!A218</f>
        <v>217</v>
      </c>
      <c r="B230" s="8" t="str">
        <f>'Data cleaning and validation(3)'!B218</f>
        <v>Boyd</v>
      </c>
      <c r="C230" s="8" t="str">
        <f>'Data cleaning and validation(3)'!C218</f>
        <v>mboyd60@jimdo.com</v>
      </c>
      <c r="D230" s="8" t="str">
        <f>'Data cleaning and validation(3)'!D218</f>
        <v>M</v>
      </c>
      <c r="E230" s="8" t="str">
        <f>'Data cleaning and validation(3)'!E218</f>
        <v>Home</v>
      </c>
      <c r="F230" s="15">
        <f>'Data cleaning and validation(3)'!F218</f>
        <v>38322</v>
      </c>
      <c r="G230" s="8">
        <f>'Data cleaning and validation(3)'!G218</f>
        <v>17</v>
      </c>
      <c r="H230" s="19">
        <f>'Data cleaning and validation(3)'!H218</f>
        <v>128765</v>
      </c>
      <c r="I230" s="8" t="str">
        <f>'Data cleaning and validation(3)'!I218</f>
        <v>Senior Financial Analyst</v>
      </c>
      <c r="J230" s="8" t="str">
        <f>'Data cleaning and validation(3)'!J218</f>
        <v>Southeast</v>
      </c>
      <c r="K230" s="8" t="str">
        <f>'Data cleaning and validation(3)'!K218</f>
        <v>USA</v>
      </c>
      <c r="L230" s="8" t="str">
        <f>'Data cleaning and validation(3)'!L218</f>
        <v>Domestic</v>
      </c>
      <c r="M230" s="8" t="str">
        <f>'Data cleaning and validation(3)'!M218</f>
        <v>Active</v>
      </c>
      <c r="N230" s="17">
        <f>'Data cleaning and validation(3)'!N218</f>
        <v>1545180</v>
      </c>
      <c r="O230" s="18">
        <f>'Data cleaning and validation(3)'!O218</f>
        <v>12876.5</v>
      </c>
    </row>
    <row r="231" spans="1:15" x14ac:dyDescent="0.35">
      <c r="A231" s="8">
        <f>'Data cleaning and validation(3)'!A219</f>
        <v>218</v>
      </c>
      <c r="B231" s="8" t="str">
        <f>'Data cleaning and validation(3)'!B219</f>
        <v>Ross</v>
      </c>
      <c r="C231" s="8" t="str">
        <f>'Data cleaning and validation(3)'!C219</f>
        <v>iross61@jimdo.com</v>
      </c>
      <c r="D231" s="8" t="str">
        <f>'Data cleaning and validation(3)'!D219</f>
        <v>M</v>
      </c>
      <c r="E231" s="8" t="str">
        <f>'Data cleaning and validation(3)'!E219</f>
        <v>Games</v>
      </c>
      <c r="F231" s="15">
        <f>'Data cleaning and validation(3)'!F219</f>
        <v>37766</v>
      </c>
      <c r="G231" s="8">
        <f>'Data cleaning and validation(3)'!G219</f>
        <v>18</v>
      </c>
      <c r="H231" s="19">
        <f>'Data cleaning and validation(3)'!H219</f>
        <v>104671</v>
      </c>
      <c r="I231" s="8" t="str">
        <f>'Data cleaning and validation(3)'!I219</f>
        <v>VP Marketing</v>
      </c>
      <c r="J231" s="8" t="str">
        <f>'Data cleaning and validation(3)'!J219</f>
        <v>Nova Scotia</v>
      </c>
      <c r="K231" s="8" t="str">
        <f>'Data cleaning and validation(3)'!K219</f>
        <v>Canada</v>
      </c>
      <c r="L231" s="8" t="str">
        <f>'Data cleaning and validation(3)'!L219</f>
        <v>Domestic</v>
      </c>
      <c r="M231" s="8" t="str">
        <f>'Data cleaning and validation(3)'!M219</f>
        <v>Active</v>
      </c>
      <c r="N231" s="17">
        <f>'Data cleaning and validation(3)'!N219</f>
        <v>1256052</v>
      </c>
      <c r="O231" s="18">
        <f>'Data cleaning and validation(3)'!O219</f>
        <v>10467.1</v>
      </c>
    </row>
    <row r="232" spans="1:15" x14ac:dyDescent="0.35">
      <c r="A232" s="8">
        <f>'Data cleaning and validation(3)'!A220</f>
        <v>219</v>
      </c>
      <c r="B232" s="8" t="str">
        <f>'Data cleaning and validation(3)'!B220</f>
        <v>Harrison</v>
      </c>
      <c r="C232" s="8" t="str">
        <f>'Data cleaning and validation(3)'!C220</f>
        <v>vharrison62@networkadvertising.org</v>
      </c>
      <c r="D232" s="8" t="str">
        <f>'Data cleaning and validation(3)'!D220</f>
        <v>M</v>
      </c>
      <c r="E232" s="8" t="str">
        <f>'Data cleaning and validation(3)'!E220</f>
        <v>Shoes</v>
      </c>
      <c r="F232" s="15">
        <f>'Data cleaning and validation(3)'!F220</f>
        <v>40664</v>
      </c>
      <c r="G232" s="8">
        <f>'Data cleaning and validation(3)'!G220</f>
        <v>10</v>
      </c>
      <c r="H232" s="19">
        <f>'Data cleaning and validation(3)'!H220</f>
        <v>55073</v>
      </c>
      <c r="I232" s="8" t="str">
        <f>'Data cleaning and validation(3)'!I220</f>
        <v>Assistant Professor</v>
      </c>
      <c r="J232" s="8" t="str">
        <f>'Data cleaning and validation(3)'!J220</f>
        <v>Southwest</v>
      </c>
      <c r="K232" s="8" t="str">
        <f>'Data cleaning and validation(3)'!K220</f>
        <v>USA</v>
      </c>
      <c r="L232" s="8" t="str">
        <f>'Data cleaning and validation(3)'!L220</f>
        <v>Domestic</v>
      </c>
      <c r="M232" s="8" t="str">
        <f>'Data cleaning and validation(3)'!M220</f>
        <v>Active</v>
      </c>
      <c r="N232" s="17">
        <f>'Data cleaning and validation(3)'!N220</f>
        <v>660876</v>
      </c>
      <c r="O232" s="18">
        <f>'Data cleaning and validation(3)'!O220</f>
        <v>5507.3</v>
      </c>
    </row>
    <row r="233" spans="1:15" x14ac:dyDescent="0.35">
      <c r="A233" s="8">
        <f>'Data cleaning and validation(3)'!A221</f>
        <v>220</v>
      </c>
      <c r="B233" s="8" t="str">
        <f>'Data cleaning and validation(3)'!B221</f>
        <v>Ellis</v>
      </c>
      <c r="C233" s="8" t="str">
        <f>'Data cleaning and validation(3)'!C221</f>
        <v>lellis63@ucla.edu</v>
      </c>
      <c r="D233" s="8" t="str">
        <f>'Data cleaning and validation(3)'!D221</f>
        <v>F</v>
      </c>
      <c r="E233" s="8" t="str">
        <f>'Data cleaning and validation(3)'!E221</f>
        <v>Outdoors</v>
      </c>
      <c r="F233" s="15">
        <f>'Data cleaning and validation(3)'!F221</f>
        <v>44156</v>
      </c>
      <c r="G233" s="8">
        <f>'Data cleaning and validation(3)'!G221</f>
        <v>14</v>
      </c>
      <c r="H233" s="19">
        <f>'Data cleaning and validation(3)'!H221</f>
        <v>146256</v>
      </c>
      <c r="I233" s="8" t="str">
        <f>'Data cleaning and validation(3)'!I221</f>
        <v>Paralegal</v>
      </c>
      <c r="J233" s="8" t="str">
        <f>'Data cleaning and validation(3)'!J221</f>
        <v>Northeast</v>
      </c>
      <c r="K233" s="8" t="str">
        <f>'Data cleaning and validation(3)'!K221</f>
        <v>USA</v>
      </c>
      <c r="L233" s="8" t="str">
        <f>'Data cleaning and validation(3)'!L221</f>
        <v>Outdoors &amp; Garden</v>
      </c>
      <c r="M233" s="8" t="str">
        <f>'Data cleaning and validation(3)'!M221</f>
        <v>Active</v>
      </c>
      <c r="N233" s="17">
        <f>'Data cleaning and validation(3)'!N221</f>
        <v>1755072</v>
      </c>
      <c r="O233" s="18">
        <f>'Data cleaning and validation(3)'!O221</f>
        <v>14625.6</v>
      </c>
    </row>
    <row r="234" spans="1:15" x14ac:dyDescent="0.35">
      <c r="A234" s="8">
        <f>'Data cleaning and validation(3)'!A222</f>
        <v>221</v>
      </c>
      <c r="B234" s="8" t="str">
        <f>'Data cleaning and validation(3)'!B222</f>
        <v>Diaz</v>
      </c>
      <c r="C234" s="8" t="str">
        <f>'Data cleaning and validation(3)'!C222</f>
        <v>sdiaz64@disqus.com</v>
      </c>
      <c r="D234" s="8" t="str">
        <f>'Data cleaning and validation(3)'!D222</f>
        <v>F</v>
      </c>
      <c r="E234" s="8" t="str">
        <f>'Data cleaning and validation(3)'!E222</f>
        <v>Home</v>
      </c>
      <c r="F234" s="15">
        <f>'Data cleaning and validation(3)'!F222</f>
        <v>38367</v>
      </c>
      <c r="G234" s="8">
        <f>'Data cleaning and validation(3)'!G222</f>
        <v>16</v>
      </c>
      <c r="H234" s="19">
        <f>'Data cleaning and validation(3)'!H222</f>
        <v>55077</v>
      </c>
      <c r="I234" s="8" t="str">
        <f>'Data cleaning and validation(3)'!I222</f>
        <v>Registered Nurse</v>
      </c>
      <c r="J234" s="8" t="str">
        <f>'Data cleaning and validation(3)'!J222</f>
        <v>Nova Scotia</v>
      </c>
      <c r="K234" s="8" t="str">
        <f>'Data cleaning and validation(3)'!K222</f>
        <v>Canada</v>
      </c>
      <c r="L234" s="8" t="str">
        <f>'Data cleaning and validation(3)'!L222</f>
        <v>Domestic</v>
      </c>
      <c r="M234" s="8" t="str">
        <f>'Data cleaning and validation(3)'!M222</f>
        <v>Active</v>
      </c>
      <c r="N234" s="17">
        <f>'Data cleaning and validation(3)'!N222</f>
        <v>660924</v>
      </c>
      <c r="O234" s="18">
        <f>'Data cleaning and validation(3)'!O222</f>
        <v>5507.7000000000007</v>
      </c>
    </row>
    <row r="235" spans="1:15" x14ac:dyDescent="0.35">
      <c r="A235" s="8">
        <f>'Data cleaning and validation(3)'!A223</f>
        <v>222</v>
      </c>
      <c r="B235" s="8" t="str">
        <f>'Data cleaning and validation(3)'!B223</f>
        <v>Snyder</v>
      </c>
      <c r="C235" s="8" t="str">
        <f>'Data cleaning and validation(3)'!C223</f>
        <v>asnyder65@soundcloud.com</v>
      </c>
      <c r="D235" s="8" t="str">
        <f>'Data cleaning and validation(3)'!D223</f>
        <v>F</v>
      </c>
      <c r="E235" s="8" t="str">
        <f>'Data cleaning and validation(3)'!E223</f>
        <v>Grocery</v>
      </c>
      <c r="F235" s="15">
        <f>'Data cleaning and validation(3)'!F223</f>
        <v>45393</v>
      </c>
      <c r="G235" s="8">
        <f>'Data cleaning and validation(3)'!G223</f>
        <v>10</v>
      </c>
      <c r="H235" s="19">
        <f>'Data cleaning and validation(3)'!H223</f>
        <v>124215</v>
      </c>
      <c r="I235" s="8" t="str">
        <f>'Data cleaning and validation(3)'!I223</f>
        <v>Recruiting Manager</v>
      </c>
      <c r="J235" s="8" t="str">
        <f>'Data cleaning and validation(3)'!J223</f>
        <v>Southeast</v>
      </c>
      <c r="K235" s="8" t="str">
        <f>'Data cleaning and validation(3)'!K223</f>
        <v>USA</v>
      </c>
      <c r="L235" s="8" t="str">
        <f>'Data cleaning and validation(3)'!L223</f>
        <v>Domestic</v>
      </c>
      <c r="M235" s="8" t="str">
        <f>'Data cleaning and validation(3)'!M223</f>
        <v>Active</v>
      </c>
      <c r="N235" s="17">
        <f>'Data cleaning and validation(3)'!N223</f>
        <v>1490580</v>
      </c>
      <c r="O235" s="18">
        <f>'Data cleaning and validation(3)'!O223</f>
        <v>12421.5</v>
      </c>
    </row>
    <row r="236" spans="1:15" x14ac:dyDescent="0.35">
      <c r="A236" s="8">
        <f>'Data cleaning and validation(3)'!A224</f>
        <v>223</v>
      </c>
      <c r="B236" s="8" t="str">
        <f>'Data cleaning and validation(3)'!B224</f>
        <v>Gibson</v>
      </c>
      <c r="C236" s="8" t="str">
        <f>'Data cleaning and validation(3)'!C224</f>
        <v>bgibson66@lulu.com</v>
      </c>
      <c r="D236" s="8" t="str">
        <f>'Data cleaning and validation(3)'!D224</f>
        <v>M</v>
      </c>
      <c r="E236" s="8" t="str">
        <f>'Data cleaning and validation(3)'!E224</f>
        <v>Computers</v>
      </c>
      <c r="F236" s="15">
        <f>'Data cleaning and validation(3)'!F224</f>
        <v>39566</v>
      </c>
      <c r="G236" s="8">
        <f>'Data cleaning and validation(3)'!G224</f>
        <v>13</v>
      </c>
      <c r="H236" s="19">
        <f>'Data cleaning and validation(3)'!H224</f>
        <v>105444</v>
      </c>
      <c r="I236" s="8" t="str">
        <f>'Data cleaning and validation(3)'!I224</f>
        <v>Human Resources Assistant II</v>
      </c>
      <c r="J236" s="8" t="str">
        <f>'Data cleaning and validation(3)'!J224</f>
        <v>Quebec</v>
      </c>
      <c r="K236" s="8" t="str">
        <f>'Data cleaning and validation(3)'!K224</f>
        <v>Canada</v>
      </c>
      <c r="L236" s="8" t="str">
        <f>'Data cleaning and validation(3)'!L224</f>
        <v>Electronic Equipment</v>
      </c>
      <c r="M236" s="8" t="str">
        <f>'Data cleaning and validation(3)'!M224</f>
        <v>Active</v>
      </c>
      <c r="N236" s="17">
        <f>'Data cleaning and validation(3)'!N224</f>
        <v>1265328</v>
      </c>
      <c r="O236" s="18">
        <f>'Data cleaning and validation(3)'!O224</f>
        <v>10544.400000000001</v>
      </c>
    </row>
    <row r="237" spans="1:15" x14ac:dyDescent="0.35">
      <c r="A237" s="8">
        <f>'Data cleaning and validation(3)'!A225</f>
        <v>224</v>
      </c>
      <c r="B237" s="8" t="str">
        <f>'Data cleaning and validation(3)'!B225</f>
        <v>Hanson</v>
      </c>
      <c r="C237" s="8" t="str">
        <f>'Data cleaning and validation(3)'!C225</f>
        <v>dhanson67@cmu.edu</v>
      </c>
      <c r="D237" s="8" t="str">
        <f>'Data cleaning and validation(3)'!D225</f>
        <v>F</v>
      </c>
      <c r="E237" s="8" t="str">
        <f>'Data cleaning and validation(3)'!E225</f>
        <v>Sports</v>
      </c>
      <c r="F237" s="15">
        <f>'Data cleaning and validation(3)'!F225</f>
        <v>45047</v>
      </c>
      <c r="G237" s="8">
        <f>'Data cleaning and validation(3)'!G225</f>
        <v>11</v>
      </c>
      <c r="H237" s="19">
        <f>'Data cleaning and validation(3)'!H225</f>
        <v>141513</v>
      </c>
      <c r="I237" s="8" t="str">
        <f>'Data cleaning and validation(3)'!I225</f>
        <v>Staff Accountant I</v>
      </c>
      <c r="J237" s="8" t="str">
        <f>'Data cleaning and validation(3)'!J225</f>
        <v>Northeast</v>
      </c>
      <c r="K237" s="8" t="str">
        <f>'Data cleaning and validation(3)'!K225</f>
        <v>USA</v>
      </c>
      <c r="L237" s="8" t="str">
        <f>'Data cleaning and validation(3)'!L225</f>
        <v>Games &amp; Sports</v>
      </c>
      <c r="M237" s="8" t="str">
        <f>'Data cleaning and validation(3)'!M225</f>
        <v>Active</v>
      </c>
      <c r="N237" s="17">
        <f>'Data cleaning and validation(3)'!N225</f>
        <v>1698156</v>
      </c>
      <c r="O237" s="18">
        <f>'Data cleaning and validation(3)'!O225</f>
        <v>14151.300000000001</v>
      </c>
    </row>
    <row r="238" spans="1:15" x14ac:dyDescent="0.35">
      <c r="A238" s="8">
        <f>'Data cleaning and validation(3)'!A226</f>
        <v>225</v>
      </c>
      <c r="B238" s="8" t="str">
        <f>'Data cleaning and validation(3)'!B226</f>
        <v>Peterson</v>
      </c>
      <c r="C238" s="8" t="str">
        <f>'Data cleaning and validation(3)'!C226</f>
        <v>mpeterson68@home.pl</v>
      </c>
      <c r="D238" s="8" t="str">
        <f>'Data cleaning and validation(3)'!D226</f>
        <v>F</v>
      </c>
      <c r="E238" s="8" t="str">
        <f>'Data cleaning and validation(3)'!E226</f>
        <v>Shoes</v>
      </c>
      <c r="F238" s="15">
        <f>'Data cleaning and validation(3)'!F226</f>
        <v>44268</v>
      </c>
      <c r="G238" s="8">
        <f>'Data cleaning and validation(3)'!G226</f>
        <v>13</v>
      </c>
      <c r="H238" s="19">
        <f>'Data cleaning and validation(3)'!H226</f>
        <v>97623</v>
      </c>
      <c r="I238" s="8" t="str">
        <f>'Data cleaning and validation(3)'!I226</f>
        <v>Technical Writer</v>
      </c>
      <c r="J238" s="8" t="str">
        <f>'Data cleaning and validation(3)'!J226</f>
        <v>Northeast</v>
      </c>
      <c r="K238" s="8" t="str">
        <f>'Data cleaning and validation(3)'!K226</f>
        <v>USA</v>
      </c>
      <c r="L238" s="8" t="str">
        <f>'Data cleaning and validation(3)'!L226</f>
        <v>Domestic</v>
      </c>
      <c r="M238" s="8" t="str">
        <f>'Data cleaning and validation(3)'!M226</f>
        <v>Active</v>
      </c>
      <c r="N238" s="17">
        <f>'Data cleaning and validation(3)'!N226</f>
        <v>1171476</v>
      </c>
      <c r="O238" s="18">
        <f>'Data cleaning and validation(3)'!O226</f>
        <v>9762.3000000000011</v>
      </c>
    </row>
    <row r="239" spans="1:15" x14ac:dyDescent="0.35">
      <c r="A239" s="8">
        <f>'Data cleaning and validation(3)'!A227</f>
        <v>226</v>
      </c>
      <c r="B239" s="8" t="str">
        <f>'Data cleaning and validation(3)'!B227</f>
        <v>Gonzalez</v>
      </c>
      <c r="C239" s="8" t="str">
        <f>'Data cleaning and validation(3)'!C227</f>
        <v>tgonzalez69@umich.edu</v>
      </c>
      <c r="D239" s="8" t="str">
        <f>'Data cleaning and validation(3)'!D227</f>
        <v>M</v>
      </c>
      <c r="E239" s="8" t="str">
        <f>'Data cleaning and validation(3)'!E227</f>
        <v>Health</v>
      </c>
      <c r="F239" s="15">
        <f>'Data cleaning and validation(3)'!F227</f>
        <v>38668</v>
      </c>
      <c r="G239" s="8">
        <f>'Data cleaning and validation(3)'!G227</f>
        <v>16</v>
      </c>
      <c r="H239" s="19">
        <f>'Data cleaning and validation(3)'!H227</f>
        <v>106833</v>
      </c>
      <c r="I239" s="8" t="str">
        <f>'Data cleaning and validation(3)'!I227</f>
        <v>Registered Nurse</v>
      </c>
      <c r="J239" s="8" t="str">
        <f>'Data cleaning and validation(3)'!J227</f>
        <v>Nova Scotia</v>
      </c>
      <c r="K239" s="8" t="str">
        <f>'Data cleaning and validation(3)'!K227</f>
        <v>Canada</v>
      </c>
      <c r="L239" s="8" t="str">
        <f>'Data cleaning and validation(3)'!L227</f>
        <v>Domestic</v>
      </c>
      <c r="M239" s="8" t="str">
        <f>'Data cleaning and validation(3)'!M227</f>
        <v>Active</v>
      </c>
      <c r="N239" s="17">
        <f>'Data cleaning and validation(3)'!N227</f>
        <v>1281996</v>
      </c>
      <c r="O239" s="18">
        <f>'Data cleaning and validation(3)'!O227</f>
        <v>10683.300000000001</v>
      </c>
    </row>
    <row r="240" spans="1:15" x14ac:dyDescent="0.35">
      <c r="A240" s="8">
        <f>'Data cleaning and validation(3)'!A228</f>
        <v>227</v>
      </c>
      <c r="B240" s="8" t="str">
        <f>'Data cleaning and validation(3)'!B228</f>
        <v>Rivera</v>
      </c>
      <c r="C240" s="8" t="str">
        <f>'Data cleaning and validation(3)'!C228</f>
        <v>crivera6a@amazon.co.jp</v>
      </c>
      <c r="D240" s="8" t="str">
        <f>'Data cleaning and validation(3)'!D228</f>
        <v>F</v>
      </c>
      <c r="E240" s="8" t="str">
        <f>'Data cleaning and validation(3)'!E228</f>
        <v>Beauty</v>
      </c>
      <c r="F240" s="15">
        <f>'Data cleaning and validation(3)'!F228</f>
        <v>38825</v>
      </c>
      <c r="G240" s="8">
        <f>'Data cleaning and validation(3)'!G228</f>
        <v>15</v>
      </c>
      <c r="H240" s="19">
        <f>'Data cleaning and validation(3)'!H228</f>
        <v>69045</v>
      </c>
      <c r="I240" s="8" t="str">
        <f>'Data cleaning and validation(3)'!I228</f>
        <v>Accounting Assistant IV</v>
      </c>
      <c r="J240" s="8" t="str">
        <f>'Data cleaning and validation(3)'!J228</f>
        <v>Southeast</v>
      </c>
      <c r="K240" s="8" t="str">
        <f>'Data cleaning and validation(3)'!K228</f>
        <v>USA</v>
      </c>
      <c r="L240" s="8" t="str">
        <f>'Data cleaning and validation(3)'!L228</f>
        <v>Domestic</v>
      </c>
      <c r="M240" s="8" t="str">
        <f>'Data cleaning and validation(3)'!M228</f>
        <v>Active</v>
      </c>
      <c r="N240" s="17">
        <f>'Data cleaning and validation(3)'!N228</f>
        <v>828540</v>
      </c>
      <c r="O240" s="18">
        <f>'Data cleaning and validation(3)'!O228</f>
        <v>6904.5</v>
      </c>
    </row>
    <row r="241" spans="1:15" x14ac:dyDescent="0.35">
      <c r="A241" s="8">
        <f>'Data cleaning and validation(3)'!A229</f>
        <v>228</v>
      </c>
      <c r="B241" s="8" t="str">
        <f>'Data cleaning and validation(3)'!B229</f>
        <v>Washington</v>
      </c>
      <c r="C241" s="8" t="str">
        <f>'Data cleaning and validation(3)'!C229</f>
        <v>cwashington6b@cargocollective.com</v>
      </c>
      <c r="D241" s="8" t="str">
        <f>'Data cleaning and validation(3)'!D229</f>
        <v>M</v>
      </c>
      <c r="E241" s="8" t="str">
        <f>'Data cleaning and validation(3)'!E229</f>
        <v>Outdoors</v>
      </c>
      <c r="F241" s="15">
        <f>'Data cleaning and validation(3)'!F229</f>
        <v>39633</v>
      </c>
      <c r="G241" s="8">
        <f>'Data cleaning and validation(3)'!G229</f>
        <v>13</v>
      </c>
      <c r="H241" s="19">
        <f>'Data cleaning and validation(3)'!H229</f>
        <v>113311</v>
      </c>
      <c r="I241" s="8" t="str">
        <f>'Data cleaning and validation(3)'!I229</f>
        <v>Programmer III</v>
      </c>
      <c r="J241" s="8" t="str">
        <f>'Data cleaning and validation(3)'!J229</f>
        <v>Southeast</v>
      </c>
      <c r="K241" s="8" t="str">
        <f>'Data cleaning and validation(3)'!K229</f>
        <v>USA</v>
      </c>
      <c r="L241" s="8" t="str">
        <f>'Data cleaning and validation(3)'!L229</f>
        <v>Outdoors &amp; Garden</v>
      </c>
      <c r="M241" s="8" t="str">
        <f>'Data cleaning and validation(3)'!M229</f>
        <v>Active</v>
      </c>
      <c r="N241" s="17">
        <f>'Data cleaning and validation(3)'!N229</f>
        <v>1359732</v>
      </c>
      <c r="O241" s="18">
        <f>'Data cleaning and validation(3)'!O229</f>
        <v>11331.1</v>
      </c>
    </row>
    <row r="242" spans="1:15" x14ac:dyDescent="0.35">
      <c r="A242" s="8">
        <f>'Data cleaning and validation(3)'!A230</f>
        <v>229</v>
      </c>
      <c r="B242" s="8" t="str">
        <f>'Data cleaning and validation(3)'!B230</f>
        <v>Ruiz</v>
      </c>
      <c r="C242" s="8" t="str">
        <f>'Data cleaning and validation(3)'!C230</f>
        <v>lruiz6c@thetimes.co.uk</v>
      </c>
      <c r="D242" s="8" t="str">
        <f>'Data cleaning and validation(3)'!D230</f>
        <v>F</v>
      </c>
      <c r="E242" s="8" t="str">
        <f>'Data cleaning and validation(3)'!E230</f>
        <v>Outdoors</v>
      </c>
      <c r="F242" s="15">
        <f>'Data cleaning and validation(3)'!F230</f>
        <v>46328</v>
      </c>
      <c r="G242" s="8">
        <f>'Data cleaning and validation(3)'!G230</f>
        <v>8</v>
      </c>
      <c r="H242" s="19">
        <f>'Data cleaning and validation(3)'!H230</f>
        <v>116301</v>
      </c>
      <c r="I242" s="8" t="str">
        <f>'Data cleaning and validation(3)'!I230</f>
        <v>Design Engineer</v>
      </c>
      <c r="J242" s="8" t="str">
        <f>'Data cleaning and validation(3)'!J230</f>
        <v>Northwest</v>
      </c>
      <c r="K242" s="8" t="str">
        <f>'Data cleaning and validation(3)'!K230</f>
        <v>USA</v>
      </c>
      <c r="L242" s="8" t="str">
        <f>'Data cleaning and validation(3)'!L230</f>
        <v>Outdoors &amp; Garden</v>
      </c>
      <c r="M242" s="8" t="str">
        <f>'Data cleaning and validation(3)'!M230</f>
        <v>Resigned</v>
      </c>
      <c r="N242" s="17">
        <f>'Data cleaning and validation(3)'!N230</f>
        <v>1395612</v>
      </c>
      <c r="O242" s="18">
        <f>'Data cleaning and validation(3)'!O230</f>
        <v>11630.1</v>
      </c>
    </row>
    <row r="243" spans="1:15" x14ac:dyDescent="0.35">
      <c r="A243" s="8">
        <f>'Data cleaning and validation(3)'!A231</f>
        <v>230</v>
      </c>
      <c r="B243" s="8" t="str">
        <f>'Data cleaning and validation(3)'!B231</f>
        <v>Ford</v>
      </c>
      <c r="C243" s="8" t="str">
        <f>'Data cleaning and validation(3)'!C231</f>
        <v>sford6d@flavors.me</v>
      </c>
      <c r="D243" s="8" t="str">
        <f>'Data cleaning and validation(3)'!D231</f>
        <v>F</v>
      </c>
      <c r="E243" s="8" t="str">
        <f>'Data cleaning and validation(3)'!E231</f>
        <v>Industrial</v>
      </c>
      <c r="F243" s="15">
        <f>'Data cleaning and validation(3)'!F231</f>
        <v>38722</v>
      </c>
      <c r="G243" s="8">
        <f>'Data cleaning and validation(3)'!G231</f>
        <v>15</v>
      </c>
      <c r="H243" s="19">
        <f>'Data cleaning and validation(3)'!H231</f>
        <v>138459</v>
      </c>
      <c r="I243" s="8" t="str">
        <f>'Data cleaning and validation(3)'!I231</f>
        <v>Geological Engineer</v>
      </c>
      <c r="J243" s="8" t="str">
        <f>'Data cleaning and validation(3)'!J231</f>
        <v>Northeast</v>
      </c>
      <c r="K243" s="8" t="str">
        <f>'Data cleaning and validation(3)'!K231</f>
        <v>USA</v>
      </c>
      <c r="L243" s="8" t="str">
        <f>'Data cleaning and validation(3)'!L231</f>
        <v>Auto &amp; Hardware</v>
      </c>
      <c r="M243" s="8" t="str">
        <f>'Data cleaning and validation(3)'!M231</f>
        <v>Resigned</v>
      </c>
      <c r="N243" s="17">
        <f>'Data cleaning and validation(3)'!N231</f>
        <v>1661508</v>
      </c>
      <c r="O243" s="18">
        <f>'Data cleaning and validation(3)'!O231</f>
        <v>13845.900000000001</v>
      </c>
    </row>
    <row r="244" spans="1:15" x14ac:dyDescent="0.35">
      <c r="A244" s="8">
        <f>'Data cleaning and validation(3)'!A232</f>
        <v>231</v>
      </c>
      <c r="B244" s="8" t="str">
        <f>'Data cleaning and validation(3)'!B232</f>
        <v>Day</v>
      </c>
      <c r="C244" s="8" t="str">
        <f>'Data cleaning and validation(3)'!C232</f>
        <v>lday6e@usgs.gov</v>
      </c>
      <c r="D244" s="8" t="str">
        <f>'Data cleaning and validation(3)'!D232</f>
        <v>F</v>
      </c>
      <c r="E244" s="8" t="str">
        <f>'Data cleaning and validation(3)'!E232</f>
        <v>Clothing</v>
      </c>
      <c r="F244" s="15">
        <f>'Data cleaning and validation(3)'!F232</f>
        <v>38536</v>
      </c>
      <c r="G244" s="8">
        <f>'Data cleaning and validation(3)'!G232</f>
        <v>16</v>
      </c>
      <c r="H244" s="19">
        <f>'Data cleaning and validation(3)'!H232</f>
        <v>87800</v>
      </c>
      <c r="I244" s="8" t="str">
        <f>'Data cleaning and validation(3)'!I232</f>
        <v>Sales Associate</v>
      </c>
      <c r="J244" s="8" t="str">
        <f>'Data cleaning and validation(3)'!J232</f>
        <v>Nova Scotia</v>
      </c>
      <c r="K244" s="8" t="str">
        <f>'Data cleaning and validation(3)'!K232</f>
        <v>Canada</v>
      </c>
      <c r="L244" s="8" t="str">
        <f>'Data cleaning and validation(3)'!L232</f>
        <v>Domestic</v>
      </c>
      <c r="M244" s="8" t="str">
        <f>'Data cleaning and validation(3)'!M232</f>
        <v>Resigned</v>
      </c>
      <c r="N244" s="17">
        <f>'Data cleaning and validation(3)'!N232</f>
        <v>1053600</v>
      </c>
      <c r="O244" s="18">
        <f>'Data cleaning and validation(3)'!O232</f>
        <v>8780</v>
      </c>
    </row>
    <row r="245" spans="1:15" x14ac:dyDescent="0.35">
      <c r="A245" s="8">
        <f>'Data cleaning and validation(3)'!A233</f>
        <v>232</v>
      </c>
      <c r="B245" s="8" t="str">
        <f>'Data cleaning and validation(3)'!B233</f>
        <v>Peterson</v>
      </c>
      <c r="C245" s="8" t="str">
        <f>'Data cleaning and validation(3)'!C233</f>
        <v>apeterson6f@sina.com.cn</v>
      </c>
      <c r="D245" s="8" t="str">
        <f>'Data cleaning and validation(3)'!D233</f>
        <v>F</v>
      </c>
      <c r="E245" s="8" t="str">
        <f>'Data cleaning and validation(3)'!E233</f>
        <v>Kids</v>
      </c>
      <c r="F245" s="15">
        <f>'Data cleaning and validation(3)'!F233</f>
        <v>36673</v>
      </c>
      <c r="G245" s="8">
        <f>'Data cleaning and validation(3)'!G233</f>
        <v>21</v>
      </c>
      <c r="H245" s="19">
        <f>'Data cleaning and validation(3)'!H233</f>
        <v>52572</v>
      </c>
      <c r="I245" s="8" t="str">
        <f>'Data cleaning and validation(3)'!I233</f>
        <v>Compensation Analyst</v>
      </c>
      <c r="J245" s="8" t="str">
        <f>'Data cleaning and validation(3)'!J233</f>
        <v>Nova Scotia</v>
      </c>
      <c r="K245" s="8" t="str">
        <f>'Data cleaning and validation(3)'!K233</f>
        <v>Canada</v>
      </c>
      <c r="L245" s="8" t="str">
        <f>'Data cleaning and validation(3)'!L233</f>
        <v>Domestic</v>
      </c>
      <c r="M245" s="8" t="str">
        <f>'Data cleaning and validation(3)'!M233</f>
        <v>Resigned</v>
      </c>
      <c r="N245" s="17">
        <f>'Data cleaning and validation(3)'!N233</f>
        <v>630864</v>
      </c>
      <c r="O245" s="18">
        <f>'Data cleaning and validation(3)'!O233</f>
        <v>5257.2000000000007</v>
      </c>
    </row>
    <row r="246" spans="1:15" x14ac:dyDescent="0.35">
      <c r="A246" s="8">
        <f>'Data cleaning and validation(3)'!A234</f>
        <v>233</v>
      </c>
      <c r="B246" s="8" t="str">
        <f>'Data cleaning and validation(3)'!B234</f>
        <v>Gonzalez</v>
      </c>
      <c r="C246" s="8" t="str">
        <f>'Data cleaning and validation(3)'!C234</f>
        <v>rgonzalez6g@europa.eu</v>
      </c>
      <c r="D246" s="8" t="str">
        <f>'Data cleaning and validation(3)'!D234</f>
        <v>M</v>
      </c>
      <c r="E246" s="8" t="str">
        <f>'Data cleaning and validation(3)'!E234</f>
        <v>Electronics</v>
      </c>
      <c r="F246" s="15">
        <f>'Data cleaning and validation(3)'!F234</f>
        <v>39927</v>
      </c>
      <c r="G246" s="8">
        <f>'Data cleaning and validation(3)'!G234</f>
        <v>12</v>
      </c>
      <c r="H246" s="19">
        <f>'Data cleaning and validation(3)'!H234</f>
        <v>44917</v>
      </c>
      <c r="I246" s="8" t="str">
        <f>'Data cleaning and validation(3)'!I234</f>
        <v>Biostatistician IV</v>
      </c>
      <c r="J246" s="8" t="str">
        <f>'Data cleaning and validation(3)'!J234</f>
        <v>British Columbia</v>
      </c>
      <c r="K246" s="8" t="str">
        <f>'Data cleaning and validation(3)'!K234</f>
        <v>Canada</v>
      </c>
      <c r="L246" s="8" t="str">
        <f>'Data cleaning and validation(3)'!L234</f>
        <v>Electronic Equipment</v>
      </c>
      <c r="M246" s="8" t="str">
        <f>'Data cleaning and validation(3)'!M234</f>
        <v>Resigned</v>
      </c>
      <c r="N246" s="17">
        <f>'Data cleaning and validation(3)'!N234</f>
        <v>539004</v>
      </c>
      <c r="O246" s="18">
        <f>'Data cleaning and validation(3)'!O234</f>
        <v>4491.7</v>
      </c>
    </row>
    <row r="247" spans="1:15" x14ac:dyDescent="0.35">
      <c r="A247" s="8">
        <f>'Data cleaning and validation(3)'!A235</f>
        <v>234</v>
      </c>
      <c r="B247" s="8" t="str">
        <f>'Data cleaning and validation(3)'!B235</f>
        <v>Walker</v>
      </c>
      <c r="C247" s="8" t="str">
        <f>'Data cleaning and validation(3)'!C235</f>
        <v>jwalker6h@google.es</v>
      </c>
      <c r="D247" s="8" t="str">
        <f>'Data cleaning and validation(3)'!D235</f>
        <v>F</v>
      </c>
      <c r="E247" s="8" t="str">
        <f>'Data cleaning and validation(3)'!E235</f>
        <v>Shoes</v>
      </c>
      <c r="F247" s="15">
        <f>'Data cleaning and validation(3)'!F235</f>
        <v>44959</v>
      </c>
      <c r="G247" s="8">
        <f>'Data cleaning and validation(3)'!G235</f>
        <v>11</v>
      </c>
      <c r="H247" s="19">
        <f>'Data cleaning and validation(3)'!H235</f>
        <v>110896</v>
      </c>
      <c r="I247" s="8" t="str">
        <f>'Data cleaning and validation(3)'!I235</f>
        <v>Accountant II</v>
      </c>
      <c r="J247" s="8" t="str">
        <f>'Data cleaning and validation(3)'!J235</f>
        <v>Southeast</v>
      </c>
      <c r="K247" s="8" t="str">
        <f>'Data cleaning and validation(3)'!K235</f>
        <v>USA</v>
      </c>
      <c r="L247" s="8" t="str">
        <f>'Data cleaning and validation(3)'!L235</f>
        <v>Domestic</v>
      </c>
      <c r="M247" s="8" t="str">
        <f>'Data cleaning and validation(3)'!M235</f>
        <v>Resigned</v>
      </c>
      <c r="N247" s="17">
        <f>'Data cleaning and validation(3)'!N235</f>
        <v>1330752</v>
      </c>
      <c r="O247" s="18">
        <f>'Data cleaning and validation(3)'!O235</f>
        <v>11089.6</v>
      </c>
    </row>
    <row r="248" spans="1:15" x14ac:dyDescent="0.35">
      <c r="A248" s="8">
        <f>'Data cleaning and validation(3)'!A236</f>
        <v>235</v>
      </c>
      <c r="B248" s="8" t="str">
        <f>'Data cleaning and validation(3)'!B236</f>
        <v>Griffin</v>
      </c>
      <c r="C248" s="8" t="str">
        <f>'Data cleaning and validation(3)'!C236</f>
        <v>sgriffin6i@123-reg.co.uk</v>
      </c>
      <c r="D248" s="8" t="str">
        <f>'Data cleaning and validation(3)'!D236</f>
        <v>M</v>
      </c>
      <c r="E248" s="8" t="str">
        <f>'Data cleaning and validation(3)'!E236</f>
        <v>Books</v>
      </c>
      <c r="F248" s="15">
        <f>'Data cleaning and validation(3)'!F236</f>
        <v>37247</v>
      </c>
      <c r="G248" s="8">
        <f>'Data cleaning and validation(3)'!G236</f>
        <v>20</v>
      </c>
      <c r="H248" s="19">
        <f>'Data cleaning and validation(3)'!H236</f>
        <v>108970</v>
      </c>
      <c r="I248" s="8" t="str">
        <f>'Data cleaning and validation(3)'!I236</f>
        <v>Senior Cost Accountant</v>
      </c>
      <c r="J248" s="8" t="str">
        <f>'Data cleaning and validation(3)'!J236</f>
        <v>Southeast</v>
      </c>
      <c r="K248" s="8" t="str">
        <f>'Data cleaning and validation(3)'!K236</f>
        <v>USA</v>
      </c>
      <c r="L248" s="8" t="str">
        <f>'Data cleaning and validation(3)'!L236</f>
        <v>Library</v>
      </c>
      <c r="M248" s="8" t="str">
        <f>'Data cleaning and validation(3)'!M236</f>
        <v>Resigned</v>
      </c>
      <c r="N248" s="17">
        <f>'Data cleaning and validation(3)'!N236</f>
        <v>1307640</v>
      </c>
      <c r="O248" s="18">
        <f>'Data cleaning and validation(3)'!O236</f>
        <v>10897</v>
      </c>
    </row>
    <row r="249" spans="1:15" x14ac:dyDescent="0.35">
      <c r="A249" s="8">
        <f>'Data cleaning and validation(3)'!A237</f>
        <v>236</v>
      </c>
      <c r="B249" s="8" t="str">
        <f>'Data cleaning and validation(3)'!B237</f>
        <v>Tucker</v>
      </c>
      <c r="C249" s="8" t="str">
        <f>'Data cleaning and validation(3)'!C237</f>
        <v>jtucker6j@dailymail.co.uk</v>
      </c>
      <c r="D249" s="8" t="str">
        <f>'Data cleaning and validation(3)'!D237</f>
        <v>M</v>
      </c>
      <c r="E249" s="8" t="str">
        <f>'Data cleaning and validation(3)'!E237</f>
        <v>Jewelery</v>
      </c>
      <c r="F249" s="15">
        <f>'Data cleaning and validation(3)'!F237</f>
        <v>39930</v>
      </c>
      <c r="G249" s="8">
        <f>'Data cleaning and validation(3)'!G237</f>
        <v>12</v>
      </c>
      <c r="H249" s="19">
        <f>'Data cleaning and validation(3)'!H237</f>
        <v>83543</v>
      </c>
      <c r="I249" s="8" t="str">
        <f>'Data cleaning and validation(3)'!I237</f>
        <v>Programmer II</v>
      </c>
      <c r="J249" s="8" t="str">
        <f>'Data cleaning and validation(3)'!J237</f>
        <v>British Columbia</v>
      </c>
      <c r="K249" s="8" t="str">
        <f>'Data cleaning and validation(3)'!K237</f>
        <v>Canada</v>
      </c>
      <c r="L249" s="8" t="str">
        <f>'Data cleaning and validation(3)'!L237</f>
        <v>Fashion</v>
      </c>
      <c r="M249" s="8" t="str">
        <f>'Data cleaning and validation(3)'!M237</f>
        <v>Resigned</v>
      </c>
      <c r="N249" s="17">
        <f>'Data cleaning and validation(3)'!N237</f>
        <v>1002516</v>
      </c>
      <c r="O249" s="18">
        <f>'Data cleaning and validation(3)'!O237</f>
        <v>8354.3000000000011</v>
      </c>
    </row>
    <row r="250" spans="1:15" x14ac:dyDescent="0.35">
      <c r="A250" s="8">
        <f>'Data cleaning and validation(3)'!A238</f>
        <v>237</v>
      </c>
      <c r="B250" s="8" t="str">
        <f>'Data cleaning and validation(3)'!B238</f>
        <v>Armstrong</v>
      </c>
      <c r="C250" s="8" t="str">
        <f>'Data cleaning and validation(3)'!C238</f>
        <v>aarmstrong6k@redcross.org</v>
      </c>
      <c r="D250" s="8" t="str">
        <f>'Data cleaning and validation(3)'!D238</f>
        <v>F</v>
      </c>
      <c r="E250" s="8" t="str">
        <f>'Data cleaning and validation(3)'!E238</f>
        <v>Music</v>
      </c>
      <c r="F250" s="15">
        <f>'Data cleaning and validation(3)'!F238</f>
        <v>46217</v>
      </c>
      <c r="G250" s="8">
        <f>'Data cleaning and validation(3)'!G238</f>
        <v>8</v>
      </c>
      <c r="H250" s="19">
        <f>'Data cleaning and validation(3)'!H238</f>
        <v>63598</v>
      </c>
      <c r="I250" s="8" t="str">
        <f>'Data cleaning and validation(3)'!I238</f>
        <v>Budget/Accounting Analyst II</v>
      </c>
      <c r="J250" s="8" t="str">
        <f>'Data cleaning and validation(3)'!J238</f>
        <v>Northeast</v>
      </c>
      <c r="K250" s="8" t="str">
        <f>'Data cleaning and validation(3)'!K238</f>
        <v>USA</v>
      </c>
      <c r="L250" s="8" t="str">
        <f>'Data cleaning and validation(3)'!L238</f>
        <v>Entertainment</v>
      </c>
      <c r="M250" s="8" t="str">
        <f>'Data cleaning and validation(3)'!M238</f>
        <v>Active</v>
      </c>
      <c r="N250" s="17">
        <f>'Data cleaning and validation(3)'!N238</f>
        <v>763176</v>
      </c>
      <c r="O250" s="18">
        <f>'Data cleaning and validation(3)'!O238</f>
        <v>6359.8</v>
      </c>
    </row>
    <row r="251" spans="1:15" x14ac:dyDescent="0.35">
      <c r="A251" s="8">
        <f>'Data cleaning and validation(3)'!A239</f>
        <v>238</v>
      </c>
      <c r="B251" s="8" t="str">
        <f>'Data cleaning and validation(3)'!B239</f>
        <v>Gonzales</v>
      </c>
      <c r="C251" s="8" t="str">
        <f>'Data cleaning and validation(3)'!C239</f>
        <v>cgonzales6l@berkeley.edu</v>
      </c>
      <c r="D251" s="8" t="str">
        <f>'Data cleaning and validation(3)'!D239</f>
        <v>M</v>
      </c>
      <c r="E251" s="8" t="str">
        <f>'Data cleaning and validation(3)'!E239</f>
        <v>Movies</v>
      </c>
      <c r="F251" s="15">
        <f>'Data cleaning and validation(3)'!F239</f>
        <v>41735</v>
      </c>
      <c r="G251" s="8">
        <f>'Data cleaning and validation(3)'!G239</f>
        <v>7</v>
      </c>
      <c r="H251" s="19">
        <f>'Data cleaning and validation(3)'!H239</f>
        <v>131274</v>
      </c>
      <c r="I251" s="8" t="str">
        <f>'Data cleaning and validation(3)'!I239</f>
        <v>Clinical Specialist</v>
      </c>
      <c r="J251" s="8" t="str">
        <f>'Data cleaning and validation(3)'!J239</f>
        <v>Southeast</v>
      </c>
      <c r="K251" s="8" t="str">
        <f>'Data cleaning and validation(3)'!K239</f>
        <v>USA</v>
      </c>
      <c r="L251" s="8" t="str">
        <f>'Data cleaning and validation(3)'!L239</f>
        <v>Entertainment</v>
      </c>
      <c r="M251" s="8" t="str">
        <f>'Data cleaning and validation(3)'!M239</f>
        <v>Active</v>
      </c>
      <c r="N251" s="17">
        <f>'Data cleaning and validation(3)'!N239</f>
        <v>1575288</v>
      </c>
      <c r="O251" s="18">
        <f>'Data cleaning and validation(3)'!O239</f>
        <v>13127.400000000001</v>
      </c>
    </row>
    <row r="252" spans="1:15" x14ac:dyDescent="0.35">
      <c r="A252" s="8">
        <f>'Data cleaning and validation(3)'!A240</f>
        <v>239</v>
      </c>
      <c r="B252" s="8" t="str">
        <f>'Data cleaning and validation(3)'!B240</f>
        <v>Williamson</v>
      </c>
      <c r="C252" s="8" t="str">
        <f>'Data cleaning and validation(3)'!C240</f>
        <v>jwilliamson6m@arizona.edu</v>
      </c>
      <c r="D252" s="8" t="str">
        <f>'Data cleaning and validation(3)'!D240</f>
        <v>F</v>
      </c>
      <c r="E252" s="8" t="str">
        <f>'Data cleaning and validation(3)'!E240</f>
        <v>Computers</v>
      </c>
      <c r="F252" s="15">
        <f>'Data cleaning and validation(3)'!F240</f>
        <v>38399</v>
      </c>
      <c r="G252" s="8">
        <f>'Data cleaning and validation(3)'!G240</f>
        <v>16</v>
      </c>
      <c r="H252" s="19">
        <f>'Data cleaning and validation(3)'!H240</f>
        <v>149085</v>
      </c>
      <c r="I252" s="8" t="str">
        <f>'Data cleaning and validation(3)'!I240</f>
        <v>Software Engineer III</v>
      </c>
      <c r="J252" s="8" t="str">
        <f>'Data cleaning and validation(3)'!J240</f>
        <v>Nova Scotia</v>
      </c>
      <c r="K252" s="8" t="str">
        <f>'Data cleaning and validation(3)'!K240</f>
        <v>Canada</v>
      </c>
      <c r="L252" s="8" t="str">
        <f>'Data cleaning and validation(3)'!L240</f>
        <v>Electronic Equipment</v>
      </c>
      <c r="M252" s="8" t="str">
        <f>'Data cleaning and validation(3)'!M240</f>
        <v>Active</v>
      </c>
      <c r="N252" s="17">
        <f>'Data cleaning and validation(3)'!N240</f>
        <v>1789020</v>
      </c>
      <c r="O252" s="18">
        <f>'Data cleaning and validation(3)'!O240</f>
        <v>14908.5</v>
      </c>
    </row>
    <row r="253" spans="1:15" x14ac:dyDescent="0.35">
      <c r="A253" s="8">
        <f>'Data cleaning and validation(3)'!A241</f>
        <v>240</v>
      </c>
      <c r="B253" s="8" t="str">
        <f>'Data cleaning and validation(3)'!B241</f>
        <v>Spencer</v>
      </c>
      <c r="C253" s="8" t="str">
        <f>'Data cleaning and validation(3)'!C241</f>
        <v>wspencer6n@marriott.com</v>
      </c>
      <c r="D253" s="8" t="str">
        <f>'Data cleaning and validation(3)'!D241</f>
        <v>M</v>
      </c>
      <c r="E253" s="8" t="str">
        <f>'Data cleaning and validation(3)'!E241</f>
        <v>Games</v>
      </c>
      <c r="F253" s="15">
        <f>'Data cleaning and validation(3)'!F241</f>
        <v>41538</v>
      </c>
      <c r="G253" s="8">
        <f>'Data cleaning and validation(3)'!G241</f>
        <v>8</v>
      </c>
      <c r="H253" s="19">
        <f>'Data cleaning and validation(3)'!H241</f>
        <v>143223</v>
      </c>
      <c r="I253" s="8" t="str">
        <f>'Data cleaning and validation(3)'!I241</f>
        <v>Staff Accountant IV</v>
      </c>
      <c r="J253" s="8" t="str">
        <f>'Data cleaning and validation(3)'!J241</f>
        <v>Quebec</v>
      </c>
      <c r="K253" s="8" t="str">
        <f>'Data cleaning and validation(3)'!K241</f>
        <v>Canada</v>
      </c>
      <c r="L253" s="8" t="str">
        <f>'Data cleaning and validation(3)'!L241</f>
        <v>Domestic</v>
      </c>
      <c r="M253" s="8" t="str">
        <f>'Data cleaning and validation(3)'!M241</f>
        <v>Active</v>
      </c>
      <c r="N253" s="17">
        <f>'Data cleaning and validation(3)'!N241</f>
        <v>1718676</v>
      </c>
      <c r="O253" s="18">
        <f>'Data cleaning and validation(3)'!O241</f>
        <v>14322.300000000001</v>
      </c>
    </row>
    <row r="254" spans="1:15" x14ac:dyDescent="0.35">
      <c r="A254" s="8">
        <f>'Data cleaning and validation(3)'!A242</f>
        <v>241</v>
      </c>
      <c r="B254" s="8" t="str">
        <f>'Data cleaning and validation(3)'!B242</f>
        <v>Rose</v>
      </c>
      <c r="C254" s="8" t="str">
        <f>'Data cleaning and validation(3)'!C242</f>
        <v>jrose6o@dion.ne.jp</v>
      </c>
      <c r="D254" s="8" t="str">
        <f>'Data cleaning and validation(3)'!D242</f>
        <v>F</v>
      </c>
      <c r="E254" s="8" t="str">
        <f>'Data cleaning and validation(3)'!E242</f>
        <v>Clothing</v>
      </c>
      <c r="F254" s="15">
        <f>'Data cleaning and validation(3)'!F242</f>
        <v>45282</v>
      </c>
      <c r="G254" s="8">
        <f>'Data cleaning and validation(3)'!G242</f>
        <v>11</v>
      </c>
      <c r="H254" s="19">
        <f>'Data cleaning and validation(3)'!H242</f>
        <v>107207</v>
      </c>
      <c r="I254" s="8" t="str">
        <f>'Data cleaning and validation(3)'!I242</f>
        <v>Web Developer II</v>
      </c>
      <c r="J254" s="8" t="str">
        <f>'Data cleaning and validation(3)'!J242</f>
        <v>Northwest</v>
      </c>
      <c r="K254" s="8" t="str">
        <f>'Data cleaning and validation(3)'!K242</f>
        <v>USA</v>
      </c>
      <c r="L254" s="8" t="str">
        <f>'Data cleaning and validation(3)'!L242</f>
        <v>Domestic</v>
      </c>
      <c r="M254" s="8" t="str">
        <f>'Data cleaning and validation(3)'!M242</f>
        <v>Active</v>
      </c>
      <c r="N254" s="17">
        <f>'Data cleaning and validation(3)'!N242</f>
        <v>1286484</v>
      </c>
      <c r="O254" s="18">
        <f>'Data cleaning and validation(3)'!O242</f>
        <v>10720.7</v>
      </c>
    </row>
    <row r="255" spans="1:15" x14ac:dyDescent="0.35">
      <c r="A255" s="8">
        <f>'Data cleaning and validation(3)'!A243</f>
        <v>242</v>
      </c>
      <c r="B255" s="8" t="str">
        <f>'Data cleaning and validation(3)'!B243</f>
        <v>Robinson</v>
      </c>
      <c r="C255" s="8" t="str">
        <f>'Data cleaning and validation(3)'!C243</f>
        <v>probinson6p@ucla.edu</v>
      </c>
      <c r="D255" s="8" t="str">
        <f>'Data cleaning and validation(3)'!D243</f>
        <v>M</v>
      </c>
      <c r="E255" s="8" t="str">
        <f>'Data cleaning and validation(3)'!E243</f>
        <v>Health</v>
      </c>
      <c r="F255" s="15">
        <f>'Data cleaning and validation(3)'!F243</f>
        <v>37955</v>
      </c>
      <c r="G255" s="8">
        <f>'Data cleaning and validation(3)'!G243</f>
        <v>18</v>
      </c>
      <c r="H255" s="19">
        <f>'Data cleaning and validation(3)'!H243</f>
        <v>137594</v>
      </c>
      <c r="I255" s="8" t="str">
        <f>'Data cleaning and validation(3)'!I243</f>
        <v>Operator</v>
      </c>
      <c r="J255" s="8" t="str">
        <f>'Data cleaning and validation(3)'!J243</f>
        <v>Quebec</v>
      </c>
      <c r="K255" s="8" t="str">
        <f>'Data cleaning and validation(3)'!K243</f>
        <v>Canada</v>
      </c>
      <c r="L255" s="8" t="str">
        <f>'Data cleaning and validation(3)'!L243</f>
        <v>Domestic</v>
      </c>
      <c r="M255" s="8" t="str">
        <f>'Data cleaning and validation(3)'!M243</f>
        <v>Active</v>
      </c>
      <c r="N255" s="17">
        <f>'Data cleaning and validation(3)'!N243</f>
        <v>1651128</v>
      </c>
      <c r="O255" s="18">
        <f>'Data cleaning and validation(3)'!O243</f>
        <v>13759.400000000001</v>
      </c>
    </row>
    <row r="256" spans="1:15" x14ac:dyDescent="0.35">
      <c r="A256" s="8">
        <f>'Data cleaning and validation(3)'!A244</f>
        <v>243</v>
      </c>
      <c r="B256" s="8" t="str">
        <f>'Data cleaning and validation(3)'!B244</f>
        <v>Gutierrez</v>
      </c>
      <c r="C256" s="8" t="str">
        <f>'Data cleaning and validation(3)'!C244</f>
        <v>kgutierrez6q@bravesites.com</v>
      </c>
      <c r="D256" s="8" t="str">
        <f>'Data cleaning and validation(3)'!D244</f>
        <v>M</v>
      </c>
      <c r="E256" s="8" t="str">
        <f>'Data cleaning and validation(3)'!E244</f>
        <v>Home</v>
      </c>
      <c r="F256" s="15">
        <f>'Data cleaning and validation(3)'!F244</f>
        <v>38743</v>
      </c>
      <c r="G256" s="8">
        <f>'Data cleaning and validation(3)'!G244</f>
        <v>15</v>
      </c>
      <c r="H256" s="19">
        <f>'Data cleaning and validation(3)'!H244</f>
        <v>139845</v>
      </c>
      <c r="I256" s="8" t="str">
        <f>'Data cleaning and validation(3)'!I244</f>
        <v>Director of Sales</v>
      </c>
      <c r="J256" s="8" t="str">
        <f>'Data cleaning and validation(3)'!J244</f>
        <v>Southwest</v>
      </c>
      <c r="K256" s="8" t="str">
        <f>'Data cleaning and validation(3)'!K244</f>
        <v>USA</v>
      </c>
      <c r="L256" s="8" t="str">
        <f>'Data cleaning and validation(3)'!L244</f>
        <v>Domestic</v>
      </c>
      <c r="M256" s="8" t="str">
        <f>'Data cleaning and validation(3)'!M244</f>
        <v>Active</v>
      </c>
      <c r="N256" s="17">
        <f>'Data cleaning and validation(3)'!N244</f>
        <v>1678140</v>
      </c>
      <c r="O256" s="18">
        <f>'Data cleaning and validation(3)'!O244</f>
        <v>13984.5</v>
      </c>
    </row>
    <row r="257" spans="1:15" x14ac:dyDescent="0.35">
      <c r="A257" s="8">
        <f>'Data cleaning and validation(3)'!A245</f>
        <v>244</v>
      </c>
      <c r="B257" s="8" t="str">
        <f>'Data cleaning and validation(3)'!B245</f>
        <v>Alvarez</v>
      </c>
      <c r="C257" s="8" t="str">
        <f>'Data cleaning and validation(3)'!C245</f>
        <v>jalvarez6r@geocities.com</v>
      </c>
      <c r="D257" s="8" t="str">
        <f>'Data cleaning and validation(3)'!D245</f>
        <v>F</v>
      </c>
      <c r="E257" s="8" t="str">
        <f>'Data cleaning and validation(3)'!E245</f>
        <v>Sports</v>
      </c>
      <c r="F257" s="15">
        <f>'Data cleaning and validation(3)'!F245</f>
        <v>45907</v>
      </c>
      <c r="G257" s="8">
        <f>'Data cleaning and validation(3)'!G245</f>
        <v>9</v>
      </c>
      <c r="H257" s="19">
        <f>'Data cleaning and validation(3)'!H245</f>
        <v>65563</v>
      </c>
      <c r="I257" s="8" t="str">
        <f>'Data cleaning and validation(3)'!I245</f>
        <v>Help Desk Technician</v>
      </c>
      <c r="J257" s="8" t="str">
        <f>'Data cleaning and validation(3)'!J245</f>
        <v>Southwest</v>
      </c>
      <c r="K257" s="8" t="str">
        <f>'Data cleaning and validation(3)'!K245</f>
        <v>USA</v>
      </c>
      <c r="L257" s="8" t="str">
        <f>'Data cleaning and validation(3)'!L245</f>
        <v>Games &amp; Sports</v>
      </c>
      <c r="M257" s="8" t="str">
        <f>'Data cleaning and validation(3)'!M245</f>
        <v>Active</v>
      </c>
      <c r="N257" s="17">
        <f>'Data cleaning and validation(3)'!N245</f>
        <v>786756</v>
      </c>
      <c r="O257" s="18">
        <f>'Data cleaning and validation(3)'!O245</f>
        <v>6556.3</v>
      </c>
    </row>
    <row r="258" spans="1:15" x14ac:dyDescent="0.35">
      <c r="A258" s="8">
        <f>'Data cleaning and validation(3)'!A246</f>
        <v>245</v>
      </c>
      <c r="B258" s="8" t="str">
        <f>'Data cleaning and validation(3)'!B246</f>
        <v>Webb</v>
      </c>
      <c r="C258" s="8" t="str">
        <f>'Data cleaning and validation(3)'!C246</f>
        <v>swebb6s@people.com.cn</v>
      </c>
      <c r="D258" s="8" t="str">
        <f>'Data cleaning and validation(3)'!D246</f>
        <v>F</v>
      </c>
      <c r="E258" s="8" t="str">
        <f>'Data cleaning and validation(3)'!E246</f>
        <v>Kids</v>
      </c>
      <c r="F258" s="15">
        <f>'Data cleaning and validation(3)'!F246</f>
        <v>46389</v>
      </c>
      <c r="G258" s="8">
        <f>'Data cleaning and validation(3)'!G246</f>
        <v>7</v>
      </c>
      <c r="H258" s="19">
        <f>'Data cleaning and validation(3)'!H246</f>
        <v>142988</v>
      </c>
      <c r="I258" s="8" t="str">
        <f>'Data cleaning and validation(3)'!I246</f>
        <v>Marketing Manager</v>
      </c>
      <c r="J258" s="8" t="str">
        <f>'Data cleaning and validation(3)'!J246</f>
        <v>Quebec</v>
      </c>
      <c r="K258" s="8" t="str">
        <f>'Data cleaning and validation(3)'!K246</f>
        <v>Canada</v>
      </c>
      <c r="L258" s="8" t="str">
        <f>'Data cleaning and validation(3)'!L246</f>
        <v>Domestic</v>
      </c>
      <c r="M258" s="8" t="str">
        <f>'Data cleaning and validation(3)'!M246</f>
        <v>Active</v>
      </c>
      <c r="N258" s="17">
        <f>'Data cleaning and validation(3)'!N246</f>
        <v>1715856</v>
      </c>
      <c r="O258" s="18">
        <f>'Data cleaning and validation(3)'!O246</f>
        <v>14298.800000000001</v>
      </c>
    </row>
    <row r="259" spans="1:15" x14ac:dyDescent="0.35">
      <c r="A259" s="8">
        <f>'Data cleaning and validation(3)'!A247</f>
        <v>246</v>
      </c>
      <c r="B259" s="8" t="str">
        <f>'Data cleaning and validation(3)'!B247</f>
        <v>Ellis</v>
      </c>
      <c r="C259" s="8" t="str">
        <f>'Data cleaning and validation(3)'!C247</f>
        <v>tellis6t@squarespace.com</v>
      </c>
      <c r="D259" s="8" t="str">
        <f>'Data cleaning and validation(3)'!D247</f>
        <v>F</v>
      </c>
      <c r="E259" s="8" t="str">
        <f>'Data cleaning and validation(3)'!E247</f>
        <v>Industrial</v>
      </c>
      <c r="F259" s="15">
        <f>'Data cleaning and validation(3)'!F247</f>
        <v>36547</v>
      </c>
      <c r="G259" s="8">
        <f>'Data cleaning and validation(3)'!G247</f>
        <v>21</v>
      </c>
      <c r="H259" s="19">
        <f>'Data cleaning and validation(3)'!H247</f>
        <v>134074</v>
      </c>
      <c r="I259" s="8" t="str">
        <f>'Data cleaning and validation(3)'!I247</f>
        <v>Product Engineer</v>
      </c>
      <c r="J259" s="8" t="str">
        <f>'Data cleaning and validation(3)'!J247</f>
        <v>Quebec</v>
      </c>
      <c r="K259" s="8" t="str">
        <f>'Data cleaning and validation(3)'!K247</f>
        <v>Canada</v>
      </c>
      <c r="L259" s="8" t="str">
        <f>'Data cleaning and validation(3)'!L247</f>
        <v>Auto &amp; Hardware</v>
      </c>
      <c r="M259" s="8" t="str">
        <f>'Data cleaning and validation(3)'!M247</f>
        <v>Active</v>
      </c>
      <c r="N259" s="17">
        <f>'Data cleaning and validation(3)'!N247</f>
        <v>1608888</v>
      </c>
      <c r="O259" s="18">
        <f>'Data cleaning and validation(3)'!O247</f>
        <v>13407.400000000001</v>
      </c>
    </row>
    <row r="260" spans="1:15" x14ac:dyDescent="0.35">
      <c r="A260" s="8">
        <f>'Data cleaning and validation(3)'!A248</f>
        <v>247</v>
      </c>
      <c r="B260" s="8" t="str">
        <f>'Data cleaning and validation(3)'!B248</f>
        <v>Romero</v>
      </c>
      <c r="C260" s="8" t="str">
        <f>'Data cleaning and validation(3)'!C248</f>
        <v>jromero6u@cafepress.com</v>
      </c>
      <c r="D260" s="8" t="str">
        <f>'Data cleaning and validation(3)'!D248</f>
        <v>M</v>
      </c>
      <c r="E260" s="8" t="str">
        <f>'Data cleaning and validation(3)'!E248</f>
        <v>Toys</v>
      </c>
      <c r="F260" s="15">
        <f>'Data cleaning and validation(3)'!F248</f>
        <v>40199</v>
      </c>
      <c r="G260" s="8">
        <f>'Data cleaning and validation(3)'!G248</f>
        <v>11</v>
      </c>
      <c r="H260" s="19">
        <f>'Data cleaning and validation(3)'!H248</f>
        <v>80654</v>
      </c>
      <c r="I260" s="8" t="str">
        <f>'Data cleaning and validation(3)'!I248</f>
        <v>Geological Engineer</v>
      </c>
      <c r="J260" s="8" t="str">
        <f>'Data cleaning and validation(3)'!J248</f>
        <v>Southeast</v>
      </c>
      <c r="K260" s="8" t="str">
        <f>'Data cleaning and validation(3)'!K248</f>
        <v>USA</v>
      </c>
      <c r="L260" s="8" t="str">
        <f>'Data cleaning and validation(3)'!L248</f>
        <v>Games &amp; Sports</v>
      </c>
      <c r="M260" s="8" t="str">
        <f>'Data cleaning and validation(3)'!M248</f>
        <v>Active</v>
      </c>
      <c r="N260" s="17">
        <f>'Data cleaning and validation(3)'!N248</f>
        <v>967848</v>
      </c>
      <c r="O260" s="18">
        <f>'Data cleaning and validation(3)'!O248</f>
        <v>8065.4000000000005</v>
      </c>
    </row>
    <row r="261" spans="1:15" x14ac:dyDescent="0.35">
      <c r="A261" s="8">
        <f>'Data cleaning and validation(3)'!A249</f>
        <v>248</v>
      </c>
      <c r="B261" s="8" t="str">
        <f>'Data cleaning and validation(3)'!B249</f>
        <v>White</v>
      </c>
      <c r="C261" s="8" t="str">
        <f>'Data cleaning and validation(3)'!C249</f>
        <v>jwhite6v@tripadvisor.com</v>
      </c>
      <c r="D261" s="8" t="str">
        <f>'Data cleaning and validation(3)'!D249</f>
        <v>M</v>
      </c>
      <c r="E261" s="8" t="str">
        <f>'Data cleaning and validation(3)'!E249</f>
        <v>Garden</v>
      </c>
      <c r="F261" s="15">
        <f>'Data cleaning and validation(3)'!F249</f>
        <v>38699</v>
      </c>
      <c r="G261" s="8">
        <f>'Data cleaning and validation(3)'!G249</f>
        <v>16</v>
      </c>
      <c r="H261" s="19">
        <f>'Data cleaning and validation(3)'!H249</f>
        <v>118834</v>
      </c>
      <c r="I261" s="8" t="str">
        <f>'Data cleaning and validation(3)'!I249</f>
        <v>Financial Analyst</v>
      </c>
      <c r="J261" s="8" t="str">
        <f>'Data cleaning and validation(3)'!J249</f>
        <v>Quebec</v>
      </c>
      <c r="K261" s="8" t="str">
        <f>'Data cleaning and validation(3)'!K249</f>
        <v>Canada</v>
      </c>
      <c r="L261" s="8" t="str">
        <f>'Data cleaning and validation(3)'!L249</f>
        <v>Outdoors &amp; Garden</v>
      </c>
      <c r="M261" s="8" t="str">
        <f>'Data cleaning and validation(3)'!M249</f>
        <v>Active</v>
      </c>
      <c r="N261" s="17">
        <f>'Data cleaning and validation(3)'!N249</f>
        <v>1426008</v>
      </c>
      <c r="O261" s="18">
        <f>'Data cleaning and validation(3)'!O249</f>
        <v>11883.400000000001</v>
      </c>
    </row>
    <row r="262" spans="1:15" x14ac:dyDescent="0.35">
      <c r="A262" s="8">
        <f>'Data cleaning and validation(3)'!A250</f>
        <v>249</v>
      </c>
      <c r="B262" s="8" t="str">
        <f>'Data cleaning and validation(3)'!B250</f>
        <v>Miller</v>
      </c>
      <c r="C262" s="8" t="str">
        <f>'Data cleaning and validation(3)'!C250</f>
        <v>jmiller6w@businesswire.com</v>
      </c>
      <c r="D262" s="8" t="str">
        <f>'Data cleaning and validation(3)'!D250</f>
        <v>M</v>
      </c>
      <c r="E262" s="8" t="str">
        <f>'Data cleaning and validation(3)'!E250</f>
        <v>Kids</v>
      </c>
      <c r="F262" s="15">
        <f>'Data cleaning and validation(3)'!F250</f>
        <v>41336</v>
      </c>
      <c r="G262" s="8">
        <f>'Data cleaning and validation(3)'!G250</f>
        <v>8</v>
      </c>
      <c r="H262" s="19">
        <f>'Data cleaning and validation(3)'!H250</f>
        <v>85559</v>
      </c>
      <c r="I262" s="8" t="str">
        <f>'Data cleaning and validation(3)'!I250</f>
        <v>Pharmacist</v>
      </c>
      <c r="J262" s="8" t="str">
        <f>'Data cleaning and validation(3)'!J250</f>
        <v>Southeast</v>
      </c>
      <c r="K262" s="8" t="str">
        <f>'Data cleaning and validation(3)'!K250</f>
        <v>USA</v>
      </c>
      <c r="L262" s="8" t="str">
        <f>'Data cleaning and validation(3)'!L250</f>
        <v>Domestic</v>
      </c>
      <c r="M262" s="8" t="str">
        <f>'Data cleaning and validation(3)'!M250</f>
        <v>Active</v>
      </c>
      <c r="N262" s="17">
        <f>'Data cleaning and validation(3)'!N250</f>
        <v>1026708</v>
      </c>
      <c r="O262" s="18">
        <f>'Data cleaning and validation(3)'!O250</f>
        <v>8555.9</v>
      </c>
    </row>
    <row r="263" spans="1:15" x14ac:dyDescent="0.35">
      <c r="A263" s="8">
        <f>'Data cleaning and validation(3)'!A251</f>
        <v>250</v>
      </c>
      <c r="B263" s="8" t="str">
        <f>'Data cleaning and validation(3)'!B251</f>
        <v>Fowler</v>
      </c>
      <c r="C263" s="8" t="str">
        <f>'Data cleaning and validation(3)'!C251</f>
        <v>mfowler6x@geocities.jp</v>
      </c>
      <c r="D263" s="8" t="str">
        <f>'Data cleaning and validation(3)'!D251</f>
        <v>M</v>
      </c>
      <c r="E263" s="8" t="str">
        <f>'Data cleaning and validation(3)'!E251</f>
        <v>Books</v>
      </c>
      <c r="F263" s="15">
        <f>'Data cleaning and validation(3)'!F251</f>
        <v>37149</v>
      </c>
      <c r="G263" s="8">
        <f>'Data cleaning and validation(3)'!G251</f>
        <v>20</v>
      </c>
      <c r="H263" s="19">
        <f>'Data cleaning and validation(3)'!H251</f>
        <v>84049</v>
      </c>
      <c r="I263" s="8" t="str">
        <f>'Data cleaning and validation(3)'!I251</f>
        <v>Information Systems Manager</v>
      </c>
      <c r="J263" s="8" t="str">
        <f>'Data cleaning and validation(3)'!J251</f>
        <v>British Columbia</v>
      </c>
      <c r="K263" s="8" t="str">
        <f>'Data cleaning and validation(3)'!K251</f>
        <v>Canada</v>
      </c>
      <c r="L263" s="8" t="str">
        <f>'Data cleaning and validation(3)'!L251</f>
        <v>Library</v>
      </c>
      <c r="M263" s="8" t="str">
        <f>'Data cleaning and validation(3)'!M251</f>
        <v>Active</v>
      </c>
      <c r="N263" s="17">
        <f>'Data cleaning and validation(3)'!N251</f>
        <v>1008588</v>
      </c>
      <c r="O263" s="18">
        <f>'Data cleaning and validation(3)'!O251</f>
        <v>8404.9</v>
      </c>
    </row>
    <row r="264" spans="1:15" x14ac:dyDescent="0.35">
      <c r="A264" s="8">
        <f>'Data cleaning and validation(3)'!A252</f>
        <v>251</v>
      </c>
      <c r="B264" s="8" t="str">
        <f>'Data cleaning and validation(3)'!B252</f>
        <v>Duncan</v>
      </c>
      <c r="C264" s="8" t="str">
        <f>'Data cleaning and validation(3)'!C252</f>
        <v>pduncan6y@sina.com.cn</v>
      </c>
      <c r="D264" s="8" t="str">
        <f>'Data cleaning and validation(3)'!D252</f>
        <v>F</v>
      </c>
      <c r="E264" s="8" t="str">
        <f>'Data cleaning and validation(3)'!E252</f>
        <v>Jewelery</v>
      </c>
      <c r="F264" s="15">
        <f>'Data cleaning and validation(3)'!F252</f>
        <v>45307</v>
      </c>
      <c r="G264" s="8">
        <f>'Data cleaning and validation(3)'!G252</f>
        <v>10</v>
      </c>
      <c r="H264" s="19">
        <f>'Data cleaning and validation(3)'!H252</f>
        <v>47439</v>
      </c>
      <c r="I264" s="8" t="str">
        <f>'Data cleaning and validation(3)'!I252</f>
        <v>Tax Accountant</v>
      </c>
      <c r="J264" s="8" t="str">
        <f>'Data cleaning and validation(3)'!J252</f>
        <v>Nova Scotia</v>
      </c>
      <c r="K264" s="8" t="str">
        <f>'Data cleaning and validation(3)'!K252</f>
        <v>Canada</v>
      </c>
      <c r="L264" s="8" t="str">
        <f>'Data cleaning and validation(3)'!L252</f>
        <v>Fashion</v>
      </c>
      <c r="M264" s="8" t="str">
        <f>'Data cleaning and validation(3)'!M252</f>
        <v>Active</v>
      </c>
      <c r="N264" s="17">
        <f>'Data cleaning and validation(3)'!N252</f>
        <v>569268</v>
      </c>
      <c r="O264" s="18">
        <f>'Data cleaning and validation(3)'!O252</f>
        <v>4743.9000000000005</v>
      </c>
    </row>
    <row r="265" spans="1:15" x14ac:dyDescent="0.35">
      <c r="A265" s="8">
        <f>'Data cleaning and validation(3)'!A253</f>
        <v>252</v>
      </c>
      <c r="B265" s="8" t="str">
        <f>'Data cleaning and validation(3)'!B253</f>
        <v>Johnston</v>
      </c>
      <c r="C265" s="8" t="str">
        <f>'Data cleaning and validation(3)'!C253</f>
        <v>jjohnston6z@irs.gov</v>
      </c>
      <c r="D265" s="8" t="str">
        <f>'Data cleaning and validation(3)'!D253</f>
        <v>M</v>
      </c>
      <c r="E265" s="8" t="str">
        <f>'Data cleaning and validation(3)'!E253</f>
        <v>Tools</v>
      </c>
      <c r="F265" s="15">
        <f>'Data cleaning and validation(3)'!F253</f>
        <v>36876</v>
      </c>
      <c r="G265" s="8">
        <f>'Data cleaning and validation(3)'!G253</f>
        <v>21</v>
      </c>
      <c r="H265" s="19">
        <f>'Data cleaning and validation(3)'!H253</f>
        <v>87072</v>
      </c>
      <c r="I265" s="8" t="str">
        <f>'Data cleaning and validation(3)'!I253</f>
        <v>Structural Engineer</v>
      </c>
      <c r="J265" s="8" t="str">
        <f>'Data cleaning and validation(3)'!J253</f>
        <v>Nova Scotia</v>
      </c>
      <c r="K265" s="8" t="str">
        <f>'Data cleaning and validation(3)'!K253</f>
        <v>Canada</v>
      </c>
      <c r="L265" s="8" t="str">
        <f>'Data cleaning and validation(3)'!L253</f>
        <v>Auto &amp; Hardware</v>
      </c>
      <c r="M265" s="8" t="str">
        <f>'Data cleaning and validation(3)'!M253</f>
        <v>Active</v>
      </c>
      <c r="N265" s="17">
        <f>'Data cleaning and validation(3)'!N253</f>
        <v>1044864</v>
      </c>
      <c r="O265" s="18">
        <f>'Data cleaning and validation(3)'!O253</f>
        <v>8707.2000000000007</v>
      </c>
    </row>
    <row r="266" spans="1:15" x14ac:dyDescent="0.35">
      <c r="A266" s="8">
        <f>'Data cleaning and validation(3)'!A254</f>
        <v>253</v>
      </c>
      <c r="B266" s="8" t="str">
        <f>'Data cleaning and validation(3)'!B254</f>
        <v>Marshall</v>
      </c>
      <c r="C266" s="8" t="str">
        <f>'Data cleaning and validation(3)'!C254</f>
        <v>mmarshall70@hibu.com</v>
      </c>
      <c r="D266" s="8" t="str">
        <f>'Data cleaning and validation(3)'!D254</f>
        <v>F</v>
      </c>
      <c r="E266" s="8" t="str">
        <f>'Data cleaning and validation(3)'!E254</f>
        <v>Computers</v>
      </c>
      <c r="F266" s="15">
        <f>'Data cleaning and validation(3)'!F254</f>
        <v>37753</v>
      </c>
      <c r="G266" s="8">
        <f>'Data cleaning and validation(3)'!G254</f>
        <v>18</v>
      </c>
      <c r="H266" s="19">
        <f>'Data cleaning and validation(3)'!H254</f>
        <v>123401</v>
      </c>
      <c r="I266" s="8" t="str">
        <f>'Data cleaning and validation(3)'!I254</f>
        <v>Computer Systems Analyst I</v>
      </c>
      <c r="J266" s="8" t="str">
        <f>'Data cleaning and validation(3)'!J254</f>
        <v>Southwest</v>
      </c>
      <c r="K266" s="8" t="str">
        <f>'Data cleaning and validation(3)'!K254</f>
        <v>USA</v>
      </c>
      <c r="L266" s="8" t="str">
        <f>'Data cleaning and validation(3)'!L254</f>
        <v>Electronic Equipment</v>
      </c>
      <c r="M266" s="8" t="str">
        <f>'Data cleaning and validation(3)'!M254</f>
        <v>Active</v>
      </c>
      <c r="N266" s="17">
        <f>'Data cleaning and validation(3)'!N254</f>
        <v>1480812</v>
      </c>
      <c r="O266" s="18">
        <f>'Data cleaning and validation(3)'!O254</f>
        <v>12340.1</v>
      </c>
    </row>
    <row r="267" spans="1:15" x14ac:dyDescent="0.35">
      <c r="A267" s="8">
        <f>'Data cleaning and validation(3)'!A255</f>
        <v>254</v>
      </c>
      <c r="B267" s="8" t="str">
        <f>'Data cleaning and validation(3)'!B255</f>
        <v>Lawrence</v>
      </c>
      <c r="C267" s="8" t="str">
        <f>'Data cleaning and validation(3)'!C255</f>
        <v>alawrence71@unicef.org</v>
      </c>
      <c r="D267" s="8" t="str">
        <f>'Data cleaning and validation(3)'!D255</f>
        <v>F</v>
      </c>
      <c r="E267" s="8" t="str">
        <f>'Data cleaning and validation(3)'!E255</f>
        <v>Grocery</v>
      </c>
      <c r="F267" s="15">
        <f>'Data cleaning and validation(3)'!F255</f>
        <v>36983</v>
      </c>
      <c r="G267" s="8">
        <f>'Data cleaning and validation(3)'!G255</f>
        <v>20</v>
      </c>
      <c r="H267" s="19">
        <f>'Data cleaning and validation(3)'!H255</f>
        <v>131681</v>
      </c>
      <c r="I267" s="8" t="str">
        <f>'Data cleaning and validation(3)'!I255</f>
        <v>Account Executive</v>
      </c>
      <c r="J267" s="8" t="str">
        <f>'Data cleaning and validation(3)'!J255</f>
        <v>Nova Scotia</v>
      </c>
      <c r="K267" s="8" t="str">
        <f>'Data cleaning and validation(3)'!K255</f>
        <v>Canada</v>
      </c>
      <c r="L267" s="8" t="str">
        <f>'Data cleaning and validation(3)'!L255</f>
        <v>Domestic</v>
      </c>
      <c r="M267" s="8" t="str">
        <f>'Data cleaning and validation(3)'!M255</f>
        <v>Active</v>
      </c>
      <c r="N267" s="17">
        <f>'Data cleaning and validation(3)'!N255</f>
        <v>1580172</v>
      </c>
      <c r="O267" s="18">
        <f>'Data cleaning and validation(3)'!O255</f>
        <v>13168.1</v>
      </c>
    </row>
    <row r="268" spans="1:15" x14ac:dyDescent="0.35">
      <c r="A268" s="8">
        <f>'Data cleaning and validation(3)'!A256</f>
        <v>255</v>
      </c>
      <c r="B268" s="8" t="str">
        <f>'Data cleaning and validation(3)'!B256</f>
        <v>Lynch</v>
      </c>
      <c r="C268" s="8" t="str">
        <f>'Data cleaning and validation(3)'!C256</f>
        <v>rlynch72@sitemeter.com</v>
      </c>
      <c r="D268" s="8" t="str">
        <f>'Data cleaning and validation(3)'!D256</f>
        <v>F</v>
      </c>
      <c r="E268" s="8" t="str">
        <f>'Data cleaning and validation(3)'!E256</f>
        <v>Kids</v>
      </c>
      <c r="F268" s="15">
        <f>'Data cleaning and validation(3)'!F256</f>
        <v>46628</v>
      </c>
      <c r="G268" s="8">
        <f>'Data cleaning and validation(3)'!G256</f>
        <v>7</v>
      </c>
      <c r="H268" s="19">
        <f>'Data cleaning and validation(3)'!H256</f>
        <v>96118</v>
      </c>
      <c r="I268" s="8" t="str">
        <f>'Data cleaning and validation(3)'!I256</f>
        <v>Social Worker</v>
      </c>
      <c r="J268" s="8" t="str">
        <f>'Data cleaning and validation(3)'!J256</f>
        <v>British Columbia</v>
      </c>
      <c r="K268" s="8" t="str">
        <f>'Data cleaning and validation(3)'!K256</f>
        <v>Canada</v>
      </c>
      <c r="L268" s="8" t="str">
        <f>'Data cleaning and validation(3)'!L256</f>
        <v>Domestic</v>
      </c>
      <c r="M268" s="8" t="str">
        <f>'Data cleaning and validation(3)'!M256</f>
        <v>Resigned</v>
      </c>
      <c r="N268" s="17">
        <f>'Data cleaning and validation(3)'!N256</f>
        <v>1153416</v>
      </c>
      <c r="O268" s="18">
        <f>'Data cleaning and validation(3)'!O256</f>
        <v>9611.8000000000011</v>
      </c>
    </row>
    <row r="269" spans="1:15" x14ac:dyDescent="0.35">
      <c r="A269" s="8">
        <f>'Data cleaning and validation(3)'!A257</f>
        <v>256</v>
      </c>
      <c r="B269" s="8" t="str">
        <f>'Data cleaning and validation(3)'!B257</f>
        <v>Stone</v>
      </c>
      <c r="C269" s="8" t="str">
        <f>'Data cleaning and validation(3)'!C257</f>
        <v>gstone73@google.es</v>
      </c>
      <c r="D269" s="8" t="str">
        <f>'Data cleaning and validation(3)'!D257</f>
        <v>F</v>
      </c>
      <c r="E269" s="8" t="str">
        <f>'Data cleaning and validation(3)'!E257</f>
        <v>Books</v>
      </c>
      <c r="F269" s="15">
        <f>'Data cleaning and validation(3)'!F257</f>
        <v>39052</v>
      </c>
      <c r="G269" s="8">
        <f>'Data cleaning and validation(3)'!G257</f>
        <v>15</v>
      </c>
      <c r="H269" s="19">
        <f>'Data cleaning and validation(3)'!H257</f>
        <v>87816</v>
      </c>
      <c r="I269" s="8" t="str">
        <f>'Data cleaning and validation(3)'!I257</f>
        <v>Administrative Assistant I</v>
      </c>
      <c r="J269" s="8" t="str">
        <f>'Data cleaning and validation(3)'!J257</f>
        <v>Southeast</v>
      </c>
      <c r="K269" s="8" t="str">
        <f>'Data cleaning and validation(3)'!K257</f>
        <v>USA</v>
      </c>
      <c r="L269" s="8" t="str">
        <f>'Data cleaning and validation(3)'!L257</f>
        <v>Library</v>
      </c>
      <c r="M269" s="8" t="str">
        <f>'Data cleaning and validation(3)'!M257</f>
        <v>Resigned</v>
      </c>
      <c r="N269" s="17">
        <f>'Data cleaning and validation(3)'!N257</f>
        <v>1053792</v>
      </c>
      <c r="O269" s="18">
        <f>'Data cleaning and validation(3)'!O257</f>
        <v>8781.6</v>
      </c>
    </row>
    <row r="270" spans="1:15" x14ac:dyDescent="0.35">
      <c r="A270" s="8">
        <f>'Data cleaning and validation(3)'!A258</f>
        <v>257</v>
      </c>
      <c r="B270" s="8" t="str">
        <f>'Data cleaning and validation(3)'!B258</f>
        <v>Freeman</v>
      </c>
      <c r="C270" s="8" t="str">
        <f>'Data cleaning and validation(3)'!C258</f>
        <v>gfreeman74@bloomberg.com</v>
      </c>
      <c r="D270" s="8" t="str">
        <f>'Data cleaning and validation(3)'!D258</f>
        <v>F</v>
      </c>
      <c r="E270" s="8" t="str">
        <f>'Data cleaning and validation(3)'!E258</f>
        <v>Home</v>
      </c>
      <c r="F270" s="15">
        <f>'Data cleaning and validation(3)'!F258</f>
        <v>45813</v>
      </c>
      <c r="G270" s="8">
        <f>'Data cleaning and validation(3)'!G258</f>
        <v>9</v>
      </c>
      <c r="H270" s="19">
        <f>'Data cleaning and validation(3)'!H258</f>
        <v>83804</v>
      </c>
      <c r="I270" s="8" t="str">
        <f>'Data cleaning and validation(3)'!I258</f>
        <v>Operator</v>
      </c>
      <c r="J270" s="8" t="str">
        <f>'Data cleaning and validation(3)'!J258</f>
        <v>Northeast</v>
      </c>
      <c r="K270" s="8" t="str">
        <f>'Data cleaning and validation(3)'!K258</f>
        <v>USA</v>
      </c>
      <c r="L270" s="8" t="str">
        <f>'Data cleaning and validation(3)'!L258</f>
        <v>Domestic</v>
      </c>
      <c r="M270" s="8" t="str">
        <f>'Data cleaning and validation(3)'!M258</f>
        <v>Resigned</v>
      </c>
      <c r="N270" s="17">
        <f>'Data cleaning and validation(3)'!N258</f>
        <v>1005648</v>
      </c>
      <c r="O270" s="18">
        <f>'Data cleaning and validation(3)'!O258</f>
        <v>8380.4</v>
      </c>
    </row>
    <row r="271" spans="1:15" x14ac:dyDescent="0.35">
      <c r="A271" s="8">
        <f>'Data cleaning and validation(3)'!A259</f>
        <v>258</v>
      </c>
      <c r="B271" s="8" t="str">
        <f>'Data cleaning and validation(3)'!B259</f>
        <v>Schmidt</v>
      </c>
      <c r="C271" s="8" t="str">
        <f>'Data cleaning and validation(3)'!C259</f>
        <v>dschmidt75@sitemeter.com</v>
      </c>
      <c r="D271" s="8" t="str">
        <f>'Data cleaning and validation(3)'!D259</f>
        <v>M</v>
      </c>
      <c r="E271" s="8" t="str">
        <f>'Data cleaning and validation(3)'!E259</f>
        <v>Automotive</v>
      </c>
      <c r="F271" s="15">
        <f>'Data cleaning and validation(3)'!F259</f>
        <v>39381</v>
      </c>
      <c r="G271" s="8">
        <f>'Data cleaning and validation(3)'!G259</f>
        <v>14</v>
      </c>
      <c r="H271" s="19">
        <f>'Data cleaning and validation(3)'!H259</f>
        <v>133612</v>
      </c>
      <c r="I271" s="8" t="str">
        <f>'Data cleaning and validation(3)'!I259</f>
        <v>VP Product Management</v>
      </c>
      <c r="J271" s="8" t="str">
        <f>'Data cleaning and validation(3)'!J259</f>
        <v>Southwest</v>
      </c>
      <c r="K271" s="8" t="str">
        <f>'Data cleaning and validation(3)'!K259</f>
        <v>USA</v>
      </c>
      <c r="L271" s="8" t="str">
        <f>'Data cleaning and validation(3)'!L259</f>
        <v>Auto &amp; Hardware</v>
      </c>
      <c r="M271" s="8" t="str">
        <f>'Data cleaning and validation(3)'!M259</f>
        <v>Resigned</v>
      </c>
      <c r="N271" s="17">
        <f>'Data cleaning and validation(3)'!N259</f>
        <v>1603344</v>
      </c>
      <c r="O271" s="18">
        <f>'Data cleaning and validation(3)'!O259</f>
        <v>13361.2</v>
      </c>
    </row>
    <row r="272" spans="1:15" x14ac:dyDescent="0.35">
      <c r="A272" s="8">
        <f>'Data cleaning and validation(3)'!A260</f>
        <v>259</v>
      </c>
      <c r="B272" s="8" t="str">
        <f>'Data cleaning and validation(3)'!B260</f>
        <v>Wallace</v>
      </c>
      <c r="C272" s="8" t="str">
        <f>'Data cleaning and validation(3)'!C260</f>
        <v>gwallace76@technorati.com</v>
      </c>
      <c r="D272" s="8" t="str">
        <f>'Data cleaning and validation(3)'!D260</f>
        <v>F</v>
      </c>
      <c r="E272" s="8" t="str">
        <f>'Data cleaning and validation(3)'!E260</f>
        <v>Computers</v>
      </c>
      <c r="F272" s="15">
        <f>'Data cleaning and validation(3)'!F260</f>
        <v>45030</v>
      </c>
      <c r="G272" s="8">
        <f>'Data cleaning and validation(3)'!G260</f>
        <v>11</v>
      </c>
      <c r="H272" s="19">
        <f>'Data cleaning and validation(3)'!H260</f>
        <v>47007</v>
      </c>
      <c r="I272" s="8" t="str">
        <f>'Data cleaning and validation(3)'!I260</f>
        <v>Internal Auditor</v>
      </c>
      <c r="J272" s="8" t="str">
        <f>'Data cleaning and validation(3)'!J260</f>
        <v>Northwest</v>
      </c>
      <c r="K272" s="8" t="str">
        <f>'Data cleaning and validation(3)'!K260</f>
        <v>USA</v>
      </c>
      <c r="L272" s="8" t="str">
        <f>'Data cleaning and validation(3)'!L260</f>
        <v>Electronic Equipment</v>
      </c>
      <c r="M272" s="8" t="str">
        <f>'Data cleaning and validation(3)'!M260</f>
        <v>Resigned</v>
      </c>
      <c r="N272" s="17">
        <f>'Data cleaning and validation(3)'!N260</f>
        <v>564084</v>
      </c>
      <c r="O272" s="18">
        <f>'Data cleaning and validation(3)'!O260</f>
        <v>4700.7</v>
      </c>
    </row>
    <row r="273" spans="1:15" x14ac:dyDescent="0.35">
      <c r="A273" s="8">
        <f>'Data cleaning and validation(3)'!A261</f>
        <v>260</v>
      </c>
      <c r="B273" s="8" t="str">
        <f>'Data cleaning and validation(3)'!B261</f>
        <v>Fuller</v>
      </c>
      <c r="C273" s="8" t="str">
        <f>'Data cleaning and validation(3)'!C261</f>
        <v>ffuller77@ustream.tv</v>
      </c>
      <c r="D273" s="8" t="str">
        <f>'Data cleaning and validation(3)'!D261</f>
        <v>M</v>
      </c>
      <c r="E273" s="8" t="str">
        <f>'Data cleaning and validation(3)'!E261</f>
        <v>Health</v>
      </c>
      <c r="F273" s="15">
        <f>'Data cleaning and validation(3)'!F261</f>
        <v>38699</v>
      </c>
      <c r="G273" s="8">
        <f>'Data cleaning and validation(3)'!G261</f>
        <v>16</v>
      </c>
      <c r="H273" s="19">
        <f>'Data cleaning and validation(3)'!H261</f>
        <v>142967</v>
      </c>
      <c r="I273" s="8" t="str">
        <f>'Data cleaning and validation(3)'!I261</f>
        <v>GIS Technical Architect</v>
      </c>
      <c r="J273" s="8" t="str">
        <f>'Data cleaning and validation(3)'!J261</f>
        <v>British Columbia</v>
      </c>
      <c r="K273" s="8" t="str">
        <f>'Data cleaning and validation(3)'!K261</f>
        <v>Canada</v>
      </c>
      <c r="L273" s="8" t="str">
        <f>'Data cleaning and validation(3)'!L261</f>
        <v>Domestic</v>
      </c>
      <c r="M273" s="8" t="str">
        <f>'Data cleaning and validation(3)'!M261</f>
        <v>Resigned</v>
      </c>
      <c r="N273" s="17">
        <f>'Data cleaning and validation(3)'!N261</f>
        <v>1715604</v>
      </c>
      <c r="O273" s="18">
        <f>'Data cleaning and validation(3)'!O261</f>
        <v>14296.7</v>
      </c>
    </row>
    <row r="274" spans="1:15" x14ac:dyDescent="0.35">
      <c r="A274" s="8">
        <f>'Data cleaning and validation(3)'!A262</f>
        <v>261</v>
      </c>
      <c r="B274" s="8" t="str">
        <f>'Data cleaning and validation(3)'!B262</f>
        <v>Bennett</v>
      </c>
      <c r="C274" s="8" t="str">
        <f>'Data cleaning and validation(3)'!C262</f>
        <v>jbennett78@surveymonkey.com</v>
      </c>
      <c r="D274" s="8" t="str">
        <f>'Data cleaning and validation(3)'!D262</f>
        <v>F</v>
      </c>
      <c r="E274" s="8" t="str">
        <f>'Data cleaning and validation(3)'!E262</f>
        <v>Kids</v>
      </c>
      <c r="F274" s="15">
        <f>'Data cleaning and validation(3)'!F262</f>
        <v>45632</v>
      </c>
      <c r="G274" s="8">
        <f>'Data cleaning and validation(3)'!G262</f>
        <v>10</v>
      </c>
      <c r="H274" s="19">
        <f>'Data cleaning and validation(3)'!H262</f>
        <v>71433</v>
      </c>
      <c r="I274" s="8" t="str">
        <f>'Data cleaning and validation(3)'!I262</f>
        <v>Food Chemist</v>
      </c>
      <c r="J274" s="8" t="str">
        <f>'Data cleaning and validation(3)'!J262</f>
        <v>Southwest</v>
      </c>
      <c r="K274" s="8" t="str">
        <f>'Data cleaning and validation(3)'!K262</f>
        <v>USA</v>
      </c>
      <c r="L274" s="8" t="str">
        <f>'Data cleaning and validation(3)'!L262</f>
        <v>Domestic</v>
      </c>
      <c r="M274" s="8" t="str">
        <f>'Data cleaning and validation(3)'!M262</f>
        <v>Active</v>
      </c>
      <c r="N274" s="17">
        <f>'Data cleaning and validation(3)'!N262</f>
        <v>857196</v>
      </c>
      <c r="O274" s="18">
        <f>'Data cleaning and validation(3)'!O262</f>
        <v>7143.3</v>
      </c>
    </row>
    <row r="275" spans="1:15" x14ac:dyDescent="0.35">
      <c r="A275" s="8">
        <f>'Data cleaning and validation(3)'!A263</f>
        <v>262</v>
      </c>
      <c r="B275" s="8" t="str">
        <f>'Data cleaning and validation(3)'!B263</f>
        <v>Lewis</v>
      </c>
      <c r="C275" s="8" t="str">
        <f>'Data cleaning and validation(3)'!C263</f>
        <v>dlewis79@parallels.com</v>
      </c>
      <c r="D275" s="8" t="str">
        <f>'Data cleaning and validation(3)'!D263</f>
        <v>F</v>
      </c>
      <c r="E275" s="8" t="str">
        <f>'Data cleaning and validation(3)'!E263</f>
        <v>Beauty</v>
      </c>
      <c r="F275" s="15">
        <f>'Data cleaning and validation(3)'!F263</f>
        <v>36593</v>
      </c>
      <c r="G275" s="8">
        <f>'Data cleaning and validation(3)'!G263</f>
        <v>21</v>
      </c>
      <c r="H275" s="19">
        <f>'Data cleaning and validation(3)'!H263</f>
        <v>74191</v>
      </c>
      <c r="I275" s="8" t="str">
        <f>'Data cleaning and validation(3)'!I263</f>
        <v>Business Systems Development Analyst</v>
      </c>
      <c r="J275" s="8" t="str">
        <f>'Data cleaning and validation(3)'!J263</f>
        <v>Northeast</v>
      </c>
      <c r="K275" s="8" t="str">
        <f>'Data cleaning and validation(3)'!K263</f>
        <v>USA</v>
      </c>
      <c r="L275" s="8" t="str">
        <f>'Data cleaning and validation(3)'!L263</f>
        <v>Domestic</v>
      </c>
      <c r="M275" s="8" t="str">
        <f>'Data cleaning and validation(3)'!M263</f>
        <v>Active</v>
      </c>
      <c r="N275" s="17">
        <f>'Data cleaning and validation(3)'!N263</f>
        <v>890292</v>
      </c>
      <c r="O275" s="18">
        <f>'Data cleaning and validation(3)'!O263</f>
        <v>7419.1</v>
      </c>
    </row>
    <row r="276" spans="1:15" x14ac:dyDescent="0.35">
      <c r="A276" s="8">
        <f>'Data cleaning and validation(3)'!A264</f>
        <v>263</v>
      </c>
      <c r="B276" s="8" t="str">
        <f>'Data cleaning and validation(3)'!B264</f>
        <v>Snyder</v>
      </c>
      <c r="C276" s="8" t="str">
        <f>'Data cleaning and validation(3)'!C264</f>
        <v>dsnyder7a@digg.com</v>
      </c>
      <c r="D276" s="8" t="str">
        <f>'Data cleaning and validation(3)'!D264</f>
        <v>M</v>
      </c>
      <c r="E276" s="8" t="str">
        <f>'Data cleaning and validation(3)'!E264</f>
        <v>Movies</v>
      </c>
      <c r="F276" s="15">
        <f>'Data cleaning and validation(3)'!F264</f>
        <v>38381</v>
      </c>
      <c r="G276" s="8">
        <f>'Data cleaning and validation(3)'!G264</f>
        <v>16</v>
      </c>
      <c r="H276" s="19">
        <f>'Data cleaning and validation(3)'!H264</f>
        <v>109004</v>
      </c>
      <c r="I276" s="8" t="str">
        <f>'Data cleaning and validation(3)'!I264</f>
        <v>Account Coordinator</v>
      </c>
      <c r="J276" s="8" t="str">
        <f>'Data cleaning and validation(3)'!J264</f>
        <v>British Columbia</v>
      </c>
      <c r="K276" s="8" t="str">
        <f>'Data cleaning and validation(3)'!K264</f>
        <v>Canada</v>
      </c>
      <c r="L276" s="8" t="str">
        <f>'Data cleaning and validation(3)'!L264</f>
        <v>Entertainment</v>
      </c>
      <c r="M276" s="8" t="str">
        <f>'Data cleaning and validation(3)'!M264</f>
        <v>Active</v>
      </c>
      <c r="N276" s="17">
        <f>'Data cleaning and validation(3)'!N264</f>
        <v>1308048</v>
      </c>
      <c r="O276" s="18">
        <f>'Data cleaning and validation(3)'!O264</f>
        <v>10900.400000000001</v>
      </c>
    </row>
    <row r="277" spans="1:15" x14ac:dyDescent="0.35">
      <c r="A277" s="8">
        <f>'Data cleaning and validation(3)'!A265</f>
        <v>264</v>
      </c>
      <c r="B277" s="8" t="str">
        <f>'Data cleaning and validation(3)'!B265</f>
        <v>Sanders</v>
      </c>
      <c r="C277" s="8" t="str">
        <f>'Data cleaning and validation(3)'!C265</f>
        <v>ksanders7b@pinterest.com</v>
      </c>
      <c r="D277" s="8" t="str">
        <f>'Data cleaning and validation(3)'!D265</f>
        <v>M</v>
      </c>
      <c r="E277" s="8" t="str">
        <f>'Data cleaning and validation(3)'!E265</f>
        <v>Industrial</v>
      </c>
      <c r="F277" s="15">
        <f>'Data cleaning and validation(3)'!F265</f>
        <v>41749</v>
      </c>
      <c r="G277" s="8">
        <f>'Data cleaning and validation(3)'!G265</f>
        <v>7</v>
      </c>
      <c r="H277" s="19">
        <f>'Data cleaning and validation(3)'!H265</f>
        <v>102211</v>
      </c>
      <c r="I277" s="8" t="str">
        <f>'Data cleaning and validation(3)'!I265</f>
        <v>Senior Cost Accountant</v>
      </c>
      <c r="J277" s="8" t="str">
        <f>'Data cleaning and validation(3)'!J265</f>
        <v>Northwest</v>
      </c>
      <c r="K277" s="8" t="str">
        <f>'Data cleaning and validation(3)'!K265</f>
        <v>USA</v>
      </c>
      <c r="L277" s="8" t="str">
        <f>'Data cleaning and validation(3)'!L265</f>
        <v>Auto &amp; Hardware</v>
      </c>
      <c r="M277" s="8" t="str">
        <f>'Data cleaning and validation(3)'!M265</f>
        <v>Active</v>
      </c>
      <c r="N277" s="17">
        <f>'Data cleaning and validation(3)'!N265</f>
        <v>1226532</v>
      </c>
      <c r="O277" s="18">
        <f>'Data cleaning and validation(3)'!O265</f>
        <v>10221.1</v>
      </c>
    </row>
    <row r="278" spans="1:15" x14ac:dyDescent="0.35">
      <c r="A278" s="8">
        <f>'Data cleaning and validation(3)'!A266</f>
        <v>265</v>
      </c>
      <c r="B278" s="8" t="str">
        <f>'Data cleaning and validation(3)'!B266</f>
        <v>Fox</v>
      </c>
      <c r="C278" s="8" t="str">
        <f>'Data cleaning and validation(3)'!C266</f>
        <v>wfox7c@yelp.com</v>
      </c>
      <c r="D278" s="8" t="str">
        <f>'Data cleaning and validation(3)'!D266</f>
        <v>M</v>
      </c>
      <c r="E278" s="8" t="str">
        <f>'Data cleaning and validation(3)'!E266</f>
        <v>Computers</v>
      </c>
      <c r="F278" s="15">
        <f>'Data cleaning and validation(3)'!F266</f>
        <v>36741</v>
      </c>
      <c r="G278" s="8">
        <f>'Data cleaning and validation(3)'!G266</f>
        <v>21</v>
      </c>
      <c r="H278" s="19">
        <f>'Data cleaning and validation(3)'!H266</f>
        <v>75862</v>
      </c>
      <c r="I278" s="8" t="str">
        <f>'Data cleaning and validation(3)'!I266</f>
        <v>Electrical Engineer</v>
      </c>
      <c r="J278" s="8" t="str">
        <f>'Data cleaning and validation(3)'!J266</f>
        <v>British Columbia</v>
      </c>
      <c r="K278" s="8" t="str">
        <f>'Data cleaning and validation(3)'!K266</f>
        <v>Canada</v>
      </c>
      <c r="L278" s="8" t="str">
        <f>'Data cleaning and validation(3)'!L266</f>
        <v>Electronic Equipment</v>
      </c>
      <c r="M278" s="8" t="str">
        <f>'Data cleaning and validation(3)'!M266</f>
        <v>Active</v>
      </c>
      <c r="N278" s="17">
        <f>'Data cleaning and validation(3)'!N266</f>
        <v>910344</v>
      </c>
      <c r="O278" s="18">
        <f>'Data cleaning and validation(3)'!O266</f>
        <v>7586.2000000000007</v>
      </c>
    </row>
    <row r="279" spans="1:15" x14ac:dyDescent="0.35">
      <c r="A279" s="8">
        <f>'Data cleaning and validation(3)'!A267</f>
        <v>266</v>
      </c>
      <c r="B279" s="8" t="str">
        <f>'Data cleaning and validation(3)'!B267</f>
        <v>Burke</v>
      </c>
      <c r="C279" s="8" t="str">
        <f>'Data cleaning and validation(3)'!C267</f>
        <v>cburke7d@ameblo.jp</v>
      </c>
      <c r="D279" s="8" t="str">
        <f>'Data cleaning and validation(3)'!D267</f>
        <v>M</v>
      </c>
      <c r="E279" s="8" t="str">
        <f>'Data cleaning and validation(3)'!E267</f>
        <v>Jewelery</v>
      </c>
      <c r="F279" s="15">
        <f>'Data cleaning and validation(3)'!F267</f>
        <v>36590</v>
      </c>
      <c r="G279" s="8">
        <f>'Data cleaning and validation(3)'!G267</f>
        <v>21</v>
      </c>
      <c r="H279" s="19">
        <f>'Data cleaning and validation(3)'!H267</f>
        <v>61446</v>
      </c>
      <c r="I279" s="8" t="str">
        <f>'Data cleaning and validation(3)'!I267</f>
        <v>Environmental Specialist</v>
      </c>
      <c r="J279" s="8" t="str">
        <f>'Data cleaning and validation(3)'!J267</f>
        <v>Southeast</v>
      </c>
      <c r="K279" s="8" t="str">
        <f>'Data cleaning and validation(3)'!K267</f>
        <v>USA</v>
      </c>
      <c r="L279" s="8" t="str">
        <f>'Data cleaning and validation(3)'!L267</f>
        <v>Fashion</v>
      </c>
      <c r="M279" s="8" t="str">
        <f>'Data cleaning and validation(3)'!M267</f>
        <v>Active</v>
      </c>
      <c r="N279" s="17">
        <f>'Data cleaning and validation(3)'!N267</f>
        <v>737352</v>
      </c>
      <c r="O279" s="18">
        <f>'Data cleaning and validation(3)'!O267</f>
        <v>6144.6</v>
      </c>
    </row>
    <row r="280" spans="1:15" x14ac:dyDescent="0.35">
      <c r="A280" s="8">
        <f>'Data cleaning and validation(3)'!A268</f>
        <v>267</v>
      </c>
      <c r="B280" s="8" t="str">
        <f>'Data cleaning and validation(3)'!B268</f>
        <v>Murphy</v>
      </c>
      <c r="C280" s="8" t="str">
        <f>'Data cleaning and validation(3)'!C268</f>
        <v>dmurphy7e@patch.com</v>
      </c>
      <c r="D280" s="8" t="str">
        <f>'Data cleaning and validation(3)'!D268</f>
        <v>M</v>
      </c>
      <c r="E280" s="8" t="str">
        <f>'Data cleaning and validation(3)'!E268</f>
        <v>Home</v>
      </c>
      <c r="F280" s="15">
        <f>'Data cleaning and validation(3)'!F268</f>
        <v>40696</v>
      </c>
      <c r="G280" s="8">
        <f>'Data cleaning and validation(3)'!G268</f>
        <v>10</v>
      </c>
      <c r="H280" s="19">
        <f>'Data cleaning and validation(3)'!H268</f>
        <v>146432</v>
      </c>
      <c r="I280" s="8" t="str">
        <f>'Data cleaning and validation(3)'!I268</f>
        <v>VP Quality Control</v>
      </c>
      <c r="J280" s="8" t="str">
        <f>'Data cleaning and validation(3)'!J268</f>
        <v>Southeast</v>
      </c>
      <c r="K280" s="8" t="str">
        <f>'Data cleaning and validation(3)'!K268</f>
        <v>USA</v>
      </c>
      <c r="L280" s="8" t="str">
        <f>'Data cleaning and validation(3)'!L268</f>
        <v>Domestic</v>
      </c>
      <c r="M280" s="8" t="str">
        <f>'Data cleaning and validation(3)'!M268</f>
        <v>Active</v>
      </c>
      <c r="N280" s="17">
        <f>'Data cleaning and validation(3)'!N268</f>
        <v>1757184</v>
      </c>
      <c r="O280" s="18">
        <f>'Data cleaning and validation(3)'!O268</f>
        <v>14643.2</v>
      </c>
    </row>
    <row r="281" spans="1:15" x14ac:dyDescent="0.35">
      <c r="A281" s="8">
        <f>'Data cleaning and validation(3)'!A269</f>
        <v>268</v>
      </c>
      <c r="B281" s="8" t="str">
        <f>'Data cleaning and validation(3)'!B269</f>
        <v>Bowman</v>
      </c>
      <c r="C281" s="8" t="str">
        <f>'Data cleaning and validation(3)'!C269</f>
        <v>hbowman7f@reddit.com</v>
      </c>
      <c r="D281" s="8" t="str">
        <f>'Data cleaning and validation(3)'!D269</f>
        <v>F</v>
      </c>
      <c r="E281" s="8" t="str">
        <f>'Data cleaning and validation(3)'!E269</f>
        <v>Grocery</v>
      </c>
      <c r="F281" s="15">
        <f>'Data cleaning and validation(3)'!F269</f>
        <v>37305</v>
      </c>
      <c r="G281" s="8">
        <f>'Data cleaning and validation(3)'!G269</f>
        <v>19</v>
      </c>
      <c r="H281" s="19">
        <f>'Data cleaning and validation(3)'!H269</f>
        <v>50623</v>
      </c>
      <c r="I281" s="8" t="str">
        <f>'Data cleaning and validation(3)'!I269</f>
        <v>Biostatistician III</v>
      </c>
      <c r="J281" s="8" t="str">
        <f>'Data cleaning and validation(3)'!J269</f>
        <v>Nova Scotia</v>
      </c>
      <c r="K281" s="8" t="str">
        <f>'Data cleaning and validation(3)'!K269</f>
        <v>Canada</v>
      </c>
      <c r="L281" s="8" t="str">
        <f>'Data cleaning and validation(3)'!L269</f>
        <v>Domestic</v>
      </c>
      <c r="M281" s="8" t="str">
        <f>'Data cleaning and validation(3)'!M269</f>
        <v>Active</v>
      </c>
      <c r="N281" s="17">
        <f>'Data cleaning and validation(3)'!N269</f>
        <v>607476</v>
      </c>
      <c r="O281" s="18">
        <f>'Data cleaning and validation(3)'!O269</f>
        <v>5062.3</v>
      </c>
    </row>
    <row r="282" spans="1:15" x14ac:dyDescent="0.35">
      <c r="A282" s="8">
        <f>'Data cleaning and validation(3)'!A270</f>
        <v>269</v>
      </c>
      <c r="B282" s="8" t="str">
        <f>'Data cleaning and validation(3)'!B270</f>
        <v>Cunningham</v>
      </c>
      <c r="C282" s="8" t="str">
        <f>'Data cleaning and validation(3)'!C270</f>
        <v>kcunningham7g@squidoo.com</v>
      </c>
      <c r="D282" s="8" t="str">
        <f>'Data cleaning and validation(3)'!D270</f>
        <v>M</v>
      </c>
      <c r="E282" s="8" t="str">
        <f>'Data cleaning and validation(3)'!E270</f>
        <v>Outdoors</v>
      </c>
      <c r="F282" s="15">
        <f>'Data cleaning and validation(3)'!F270</f>
        <v>41984</v>
      </c>
      <c r="G282" s="8">
        <f>'Data cleaning and validation(3)'!G270</f>
        <v>7</v>
      </c>
      <c r="H282" s="19">
        <f>'Data cleaning and validation(3)'!H270</f>
        <v>108248</v>
      </c>
      <c r="I282" s="8" t="str">
        <f>'Data cleaning and validation(3)'!I270</f>
        <v>Safety Technician I</v>
      </c>
      <c r="J282" s="8" t="str">
        <f>'Data cleaning and validation(3)'!J270</f>
        <v>Northwest</v>
      </c>
      <c r="K282" s="8" t="str">
        <f>'Data cleaning and validation(3)'!K270</f>
        <v>USA</v>
      </c>
      <c r="L282" s="8" t="str">
        <f>'Data cleaning and validation(3)'!L270</f>
        <v>Outdoors &amp; Garden</v>
      </c>
      <c r="M282" s="8" t="str">
        <f>'Data cleaning and validation(3)'!M270</f>
        <v>Active</v>
      </c>
      <c r="N282" s="17">
        <f>'Data cleaning and validation(3)'!N270</f>
        <v>1298976</v>
      </c>
      <c r="O282" s="18">
        <f>'Data cleaning and validation(3)'!O270</f>
        <v>10824.800000000001</v>
      </c>
    </row>
    <row r="283" spans="1:15" x14ac:dyDescent="0.35">
      <c r="A283" s="8">
        <f>'Data cleaning and validation(3)'!A271</f>
        <v>270</v>
      </c>
      <c r="B283" s="8" t="str">
        <f>'Data cleaning and validation(3)'!B271</f>
        <v>Torres</v>
      </c>
      <c r="C283" s="8" t="str">
        <f>'Data cleaning and validation(3)'!C271</f>
        <v>ttorres7h@telegraph.co.uk</v>
      </c>
      <c r="D283" s="8" t="str">
        <f>'Data cleaning and validation(3)'!D271</f>
        <v>F</v>
      </c>
      <c r="E283" s="8" t="str">
        <f>'Data cleaning and validation(3)'!E271</f>
        <v>Automotive</v>
      </c>
      <c r="F283" s="15">
        <f>'Data cleaning and validation(3)'!F271</f>
        <v>38570</v>
      </c>
      <c r="G283" s="8">
        <f>'Data cleaning and validation(3)'!G271</f>
        <v>16</v>
      </c>
      <c r="H283" s="19">
        <f>'Data cleaning and validation(3)'!H271</f>
        <v>120875</v>
      </c>
      <c r="I283" s="8" t="str">
        <f>'Data cleaning and validation(3)'!I271</f>
        <v>Software Consultant</v>
      </c>
      <c r="J283" s="8" t="str">
        <f>'Data cleaning and validation(3)'!J271</f>
        <v>Northeast</v>
      </c>
      <c r="K283" s="8" t="str">
        <f>'Data cleaning and validation(3)'!K271</f>
        <v>USA</v>
      </c>
      <c r="L283" s="8" t="str">
        <f>'Data cleaning and validation(3)'!L271</f>
        <v>Auto &amp; Hardware</v>
      </c>
      <c r="M283" s="8" t="str">
        <f>'Data cleaning and validation(3)'!M271</f>
        <v>Active</v>
      </c>
      <c r="N283" s="17">
        <f>'Data cleaning and validation(3)'!N271</f>
        <v>1450500</v>
      </c>
      <c r="O283" s="18">
        <f>'Data cleaning and validation(3)'!O271</f>
        <v>12087.5</v>
      </c>
    </row>
    <row r="284" spans="1:15" x14ac:dyDescent="0.35">
      <c r="A284" s="8">
        <f>'Data cleaning and validation(3)'!A272</f>
        <v>271</v>
      </c>
      <c r="B284" s="8" t="str">
        <f>'Data cleaning and validation(3)'!B272</f>
        <v>Jordan</v>
      </c>
      <c r="C284" s="8" t="str">
        <f>'Data cleaning and validation(3)'!C272</f>
        <v>pjordan7i@squidoo.com</v>
      </c>
      <c r="D284" s="8" t="str">
        <f>'Data cleaning and validation(3)'!D272</f>
        <v>F</v>
      </c>
      <c r="E284" s="8" t="str">
        <f>'Data cleaning and validation(3)'!E272</f>
        <v>Sports</v>
      </c>
      <c r="F284" s="15">
        <f>'Data cleaning and validation(3)'!F272</f>
        <v>37110</v>
      </c>
      <c r="G284" s="8">
        <f>'Data cleaning and validation(3)'!G272</f>
        <v>20</v>
      </c>
      <c r="H284" s="19">
        <f>'Data cleaning and validation(3)'!H272</f>
        <v>123843</v>
      </c>
      <c r="I284" s="8" t="str">
        <f>'Data cleaning and validation(3)'!I272</f>
        <v>Senior Sales Associate</v>
      </c>
      <c r="J284" s="8" t="str">
        <f>'Data cleaning and validation(3)'!J272</f>
        <v>Nova Scotia</v>
      </c>
      <c r="K284" s="8" t="str">
        <f>'Data cleaning and validation(3)'!K272</f>
        <v>Canada</v>
      </c>
      <c r="L284" s="8" t="str">
        <f>'Data cleaning and validation(3)'!L272</f>
        <v>Games &amp; Sports</v>
      </c>
      <c r="M284" s="8" t="str">
        <f>'Data cleaning and validation(3)'!M272</f>
        <v>Active</v>
      </c>
      <c r="N284" s="17">
        <f>'Data cleaning and validation(3)'!N272</f>
        <v>1486116</v>
      </c>
      <c r="O284" s="18">
        <f>'Data cleaning and validation(3)'!O272</f>
        <v>12384.300000000001</v>
      </c>
    </row>
    <row r="285" spans="1:15" x14ac:dyDescent="0.35">
      <c r="A285" s="8">
        <f>'Data cleaning and validation(3)'!A273</f>
        <v>272</v>
      </c>
      <c r="B285" s="8" t="str">
        <f>'Data cleaning and validation(3)'!B273</f>
        <v>Banks</v>
      </c>
      <c r="C285" s="8" t="str">
        <f>'Data cleaning and validation(3)'!C273</f>
        <v>jbanks7j@dion.ne.jp</v>
      </c>
      <c r="D285" s="8" t="str">
        <f>'Data cleaning and validation(3)'!D273</f>
        <v>M</v>
      </c>
      <c r="E285" s="8" t="str">
        <f>'Data cleaning and validation(3)'!E273</f>
        <v>Music</v>
      </c>
      <c r="F285" s="15">
        <f>'Data cleaning and validation(3)'!F273</f>
        <v>41775</v>
      </c>
      <c r="G285" s="8">
        <f>'Data cleaning and validation(3)'!G273</f>
        <v>7</v>
      </c>
      <c r="H285" s="19">
        <f>'Data cleaning and validation(3)'!H273</f>
        <v>43940</v>
      </c>
      <c r="I285" s="8" t="str">
        <f>'Data cleaning and validation(3)'!I273</f>
        <v>Health Coach I</v>
      </c>
      <c r="J285" s="8" t="str">
        <f>'Data cleaning and validation(3)'!J273</f>
        <v>Southeast</v>
      </c>
      <c r="K285" s="8" t="str">
        <f>'Data cleaning and validation(3)'!K273</f>
        <v>USA</v>
      </c>
      <c r="L285" s="8" t="str">
        <f>'Data cleaning and validation(3)'!L273</f>
        <v>Entertainment</v>
      </c>
      <c r="M285" s="8" t="str">
        <f>'Data cleaning and validation(3)'!M273</f>
        <v>Active</v>
      </c>
      <c r="N285" s="17">
        <f>'Data cleaning and validation(3)'!N273</f>
        <v>527280</v>
      </c>
      <c r="O285" s="18">
        <f>'Data cleaning and validation(3)'!O273</f>
        <v>4394</v>
      </c>
    </row>
    <row r="286" spans="1:15" x14ac:dyDescent="0.35">
      <c r="A286" s="8">
        <f>'Data cleaning and validation(3)'!A274</f>
        <v>273</v>
      </c>
      <c r="B286" s="8" t="str">
        <f>'Data cleaning and validation(3)'!B274</f>
        <v>Gordon</v>
      </c>
      <c r="C286" s="8" t="str">
        <f>'Data cleaning and validation(3)'!C274</f>
        <v>egordon7k@yellowbook.com</v>
      </c>
      <c r="D286" s="8" t="str">
        <f>'Data cleaning and validation(3)'!D274</f>
        <v>F</v>
      </c>
      <c r="E286" s="8" t="str">
        <f>'Data cleaning and validation(3)'!E274</f>
        <v>Movies</v>
      </c>
      <c r="F286" s="15">
        <f>'Data cleaning and validation(3)'!F274</f>
        <v>46028</v>
      </c>
      <c r="G286" s="8">
        <f>'Data cleaning and validation(3)'!G274</f>
        <v>8</v>
      </c>
      <c r="H286" s="19">
        <f>'Data cleaning and validation(3)'!H274</f>
        <v>142840</v>
      </c>
      <c r="I286" s="8" t="str">
        <f>'Data cleaning and validation(3)'!I274</f>
        <v>Account Coordinator</v>
      </c>
      <c r="J286" s="8" t="str">
        <f>'Data cleaning and validation(3)'!J274</f>
        <v>Northeast</v>
      </c>
      <c r="K286" s="8" t="str">
        <f>'Data cleaning and validation(3)'!K274</f>
        <v>USA</v>
      </c>
      <c r="L286" s="8" t="str">
        <f>'Data cleaning and validation(3)'!L274</f>
        <v>Entertainment</v>
      </c>
      <c r="M286" s="8" t="str">
        <f>'Data cleaning and validation(3)'!M274</f>
        <v>Active</v>
      </c>
      <c r="N286" s="17">
        <f>'Data cleaning and validation(3)'!N274</f>
        <v>1714080</v>
      </c>
      <c r="O286" s="18">
        <f>'Data cleaning and validation(3)'!O274</f>
        <v>14284</v>
      </c>
    </row>
    <row r="287" spans="1:15" x14ac:dyDescent="0.35">
      <c r="A287" s="8">
        <f>'Data cleaning and validation(3)'!A275</f>
        <v>274</v>
      </c>
      <c r="B287" s="8" t="str">
        <f>'Data cleaning and validation(3)'!B275</f>
        <v>Bennett</v>
      </c>
      <c r="C287" s="8" t="str">
        <f>'Data cleaning and validation(3)'!C275</f>
        <v>abennett7l@guardian.co.uk</v>
      </c>
      <c r="D287" s="8" t="str">
        <f>'Data cleaning and validation(3)'!D275</f>
        <v>M</v>
      </c>
      <c r="E287" s="8" t="str">
        <f>'Data cleaning and validation(3)'!E275</f>
        <v>Garden</v>
      </c>
      <c r="F287" s="15">
        <f>'Data cleaning and validation(3)'!F275</f>
        <v>38930</v>
      </c>
      <c r="G287" s="8">
        <f>'Data cleaning and validation(3)'!G275</f>
        <v>15</v>
      </c>
      <c r="H287" s="19">
        <f>'Data cleaning and validation(3)'!H275</f>
        <v>125713</v>
      </c>
      <c r="I287" s="8" t="str">
        <f>'Data cleaning and validation(3)'!I275</f>
        <v>Account Representative III</v>
      </c>
      <c r="J287" s="8" t="str">
        <f>'Data cleaning and validation(3)'!J275</f>
        <v>Northwest</v>
      </c>
      <c r="K287" s="8" t="str">
        <f>'Data cleaning and validation(3)'!K275</f>
        <v>USA</v>
      </c>
      <c r="L287" s="8" t="str">
        <f>'Data cleaning and validation(3)'!L275</f>
        <v>Outdoors &amp; Garden</v>
      </c>
      <c r="M287" s="8" t="str">
        <f>'Data cleaning and validation(3)'!M275</f>
        <v>Active</v>
      </c>
      <c r="N287" s="17">
        <f>'Data cleaning and validation(3)'!N275</f>
        <v>1508556</v>
      </c>
      <c r="O287" s="18">
        <f>'Data cleaning and validation(3)'!O275</f>
        <v>12571.300000000001</v>
      </c>
    </row>
    <row r="288" spans="1:15" x14ac:dyDescent="0.35">
      <c r="A288" s="8">
        <f>'Data cleaning and validation(3)'!A276</f>
        <v>275</v>
      </c>
      <c r="B288" s="8" t="str">
        <f>'Data cleaning and validation(3)'!B276</f>
        <v>Rivera</v>
      </c>
      <c r="C288" s="8" t="str">
        <f>'Data cleaning and validation(3)'!C276</f>
        <v>arivera7m@comcast.net</v>
      </c>
      <c r="D288" s="8" t="str">
        <f>'Data cleaning and validation(3)'!D276</f>
        <v>F</v>
      </c>
      <c r="E288" s="8" t="str">
        <f>'Data cleaning and validation(3)'!E276</f>
        <v>Books</v>
      </c>
      <c r="F288" s="15">
        <f>'Data cleaning and validation(3)'!F276</f>
        <v>45042</v>
      </c>
      <c r="G288" s="8">
        <f>'Data cleaning and validation(3)'!G276</f>
        <v>11</v>
      </c>
      <c r="H288" s="19">
        <f>'Data cleaning and validation(3)'!H276</f>
        <v>122219</v>
      </c>
      <c r="I288" s="8" t="str">
        <f>'Data cleaning and validation(3)'!I276</f>
        <v>Engineer I</v>
      </c>
      <c r="J288" s="8" t="str">
        <f>'Data cleaning and validation(3)'!J276</f>
        <v>Quebec</v>
      </c>
      <c r="K288" s="8" t="str">
        <f>'Data cleaning and validation(3)'!K276</f>
        <v>Canada</v>
      </c>
      <c r="L288" s="8" t="str">
        <f>'Data cleaning and validation(3)'!L276</f>
        <v>Library</v>
      </c>
      <c r="M288" s="8" t="str">
        <f>'Data cleaning and validation(3)'!M276</f>
        <v>Active</v>
      </c>
      <c r="N288" s="17">
        <f>'Data cleaning and validation(3)'!N276</f>
        <v>1466628</v>
      </c>
      <c r="O288" s="18">
        <f>'Data cleaning and validation(3)'!O276</f>
        <v>12221.900000000001</v>
      </c>
    </row>
    <row r="289" spans="1:15" x14ac:dyDescent="0.35">
      <c r="A289" s="8">
        <f>'Data cleaning and validation(3)'!A277</f>
        <v>276</v>
      </c>
      <c r="B289" s="8" t="str">
        <f>'Data cleaning and validation(3)'!B277</f>
        <v>Ellis</v>
      </c>
      <c r="C289" s="8" t="str">
        <f>'Data cleaning and validation(3)'!C277</f>
        <v>dellis7n@seesaa.net</v>
      </c>
      <c r="D289" s="8" t="str">
        <f>'Data cleaning and validation(3)'!D277</f>
        <v>F</v>
      </c>
      <c r="E289" s="8" t="str">
        <f>'Data cleaning and validation(3)'!E277</f>
        <v>Electronics</v>
      </c>
      <c r="F289" s="15">
        <f>'Data cleaning and validation(3)'!F277</f>
        <v>36667</v>
      </c>
      <c r="G289" s="8">
        <f>'Data cleaning and validation(3)'!G277</f>
        <v>21</v>
      </c>
      <c r="H289" s="19">
        <f>'Data cleaning and validation(3)'!H277</f>
        <v>46259</v>
      </c>
      <c r="I289" s="8" t="str">
        <f>'Data cleaning and validation(3)'!I277</f>
        <v>Help Desk Technician</v>
      </c>
      <c r="J289" s="8" t="str">
        <f>'Data cleaning and validation(3)'!J277</f>
        <v>Quebec</v>
      </c>
      <c r="K289" s="8" t="str">
        <f>'Data cleaning and validation(3)'!K277</f>
        <v>Canada</v>
      </c>
      <c r="L289" s="8" t="str">
        <f>'Data cleaning and validation(3)'!L277</f>
        <v>Electronic Equipment</v>
      </c>
      <c r="M289" s="8" t="str">
        <f>'Data cleaning and validation(3)'!M277</f>
        <v>Active</v>
      </c>
      <c r="N289" s="17">
        <f>'Data cleaning and validation(3)'!N277</f>
        <v>555108</v>
      </c>
      <c r="O289" s="18">
        <f>'Data cleaning and validation(3)'!O277</f>
        <v>4625.9000000000005</v>
      </c>
    </row>
    <row r="290" spans="1:15" x14ac:dyDescent="0.35">
      <c r="A290" s="8">
        <f>'Data cleaning and validation(3)'!A278</f>
        <v>277</v>
      </c>
      <c r="B290" s="8" t="str">
        <f>'Data cleaning and validation(3)'!B278</f>
        <v>Richardson</v>
      </c>
      <c r="C290" s="8" t="str">
        <f>'Data cleaning and validation(3)'!C278</f>
        <v>lrichardson7o@fc2.com</v>
      </c>
      <c r="D290" s="8" t="str">
        <f>'Data cleaning and validation(3)'!D278</f>
        <v>F</v>
      </c>
      <c r="E290" s="8" t="str">
        <f>'Data cleaning and validation(3)'!E278</f>
        <v>Clothing</v>
      </c>
      <c r="F290" s="15">
        <f>'Data cleaning and validation(3)'!F278</f>
        <v>37816</v>
      </c>
      <c r="G290" s="8">
        <f>'Data cleaning and validation(3)'!G278</f>
        <v>18</v>
      </c>
      <c r="H290" s="19">
        <f>'Data cleaning and validation(3)'!H278</f>
        <v>142403</v>
      </c>
      <c r="I290" s="8" t="str">
        <f>'Data cleaning and validation(3)'!I278</f>
        <v>Engineer III</v>
      </c>
      <c r="J290" s="8" t="str">
        <f>'Data cleaning and validation(3)'!J278</f>
        <v>Northwest</v>
      </c>
      <c r="K290" s="8" t="str">
        <f>'Data cleaning and validation(3)'!K278</f>
        <v>USA</v>
      </c>
      <c r="L290" s="8" t="str">
        <f>'Data cleaning and validation(3)'!L278</f>
        <v>Domestic</v>
      </c>
      <c r="M290" s="8" t="str">
        <f>'Data cleaning and validation(3)'!M278</f>
        <v>Active</v>
      </c>
      <c r="N290" s="17">
        <f>'Data cleaning and validation(3)'!N278</f>
        <v>1708836</v>
      </c>
      <c r="O290" s="18">
        <f>'Data cleaning and validation(3)'!O278</f>
        <v>14240.300000000001</v>
      </c>
    </row>
    <row r="291" spans="1:15" x14ac:dyDescent="0.35">
      <c r="A291" s="8">
        <f>'Data cleaning and validation(3)'!A279</f>
        <v>278</v>
      </c>
      <c r="B291" s="8" t="str">
        <f>'Data cleaning and validation(3)'!B279</f>
        <v>Ortiz</v>
      </c>
      <c r="C291" s="8" t="str">
        <f>'Data cleaning and validation(3)'!C279</f>
        <v>wortiz7p@reddit.com</v>
      </c>
      <c r="D291" s="8" t="str">
        <f>'Data cleaning and validation(3)'!D279</f>
        <v>M</v>
      </c>
      <c r="E291" s="8" t="str">
        <f>'Data cleaning and validation(3)'!E279</f>
        <v>Garden</v>
      </c>
      <c r="F291" s="15">
        <f>'Data cleaning and validation(3)'!F279</f>
        <v>36551</v>
      </c>
      <c r="G291" s="8">
        <f>'Data cleaning and validation(3)'!G279</f>
        <v>21</v>
      </c>
      <c r="H291" s="19">
        <f>'Data cleaning and validation(3)'!H279</f>
        <v>88165</v>
      </c>
      <c r="I291" s="8" t="str">
        <f>'Data cleaning and validation(3)'!I279</f>
        <v>Librarian</v>
      </c>
      <c r="J291" s="8" t="str">
        <f>'Data cleaning and validation(3)'!J279</f>
        <v>Southwest</v>
      </c>
      <c r="K291" s="8" t="str">
        <f>'Data cleaning and validation(3)'!K279</f>
        <v>USA</v>
      </c>
      <c r="L291" s="8" t="str">
        <f>'Data cleaning and validation(3)'!L279</f>
        <v>Outdoors &amp; Garden</v>
      </c>
      <c r="M291" s="8" t="str">
        <f>'Data cleaning and validation(3)'!M279</f>
        <v>Active</v>
      </c>
      <c r="N291" s="17">
        <f>'Data cleaning and validation(3)'!N279</f>
        <v>1057980</v>
      </c>
      <c r="O291" s="18">
        <f>'Data cleaning and validation(3)'!O279</f>
        <v>8816.5</v>
      </c>
    </row>
    <row r="292" spans="1:15" x14ac:dyDescent="0.35">
      <c r="A292" s="8">
        <f>'Data cleaning and validation(3)'!A280</f>
        <v>279</v>
      </c>
      <c r="B292" s="8" t="str">
        <f>'Data cleaning and validation(3)'!B280</f>
        <v>Clark</v>
      </c>
      <c r="C292" s="8" t="str">
        <f>'Data cleaning and validation(3)'!C280</f>
        <v>mclark7q@privacy.gov.au</v>
      </c>
      <c r="D292" s="8" t="str">
        <f>'Data cleaning and validation(3)'!D280</f>
        <v>M</v>
      </c>
      <c r="E292" s="8" t="str">
        <f>'Data cleaning and validation(3)'!E280</f>
        <v>Garden</v>
      </c>
      <c r="F292" s="15">
        <f>'Data cleaning and validation(3)'!F280</f>
        <v>39259</v>
      </c>
      <c r="G292" s="8">
        <f>'Data cleaning and validation(3)'!G280</f>
        <v>14</v>
      </c>
      <c r="H292" s="19">
        <f>'Data cleaning and validation(3)'!H280</f>
        <v>86291</v>
      </c>
      <c r="I292" s="8" t="str">
        <f>'Data cleaning and validation(3)'!I280</f>
        <v>Dental Hygienist</v>
      </c>
      <c r="J292" s="8" t="str">
        <f>'Data cleaning and validation(3)'!J280</f>
        <v>Nova Scotia</v>
      </c>
      <c r="K292" s="8" t="str">
        <f>'Data cleaning and validation(3)'!K280</f>
        <v>Canada</v>
      </c>
      <c r="L292" s="8" t="str">
        <f>'Data cleaning and validation(3)'!L280</f>
        <v>Outdoors &amp; Garden</v>
      </c>
      <c r="M292" s="8" t="str">
        <f>'Data cleaning and validation(3)'!M280</f>
        <v>Active</v>
      </c>
      <c r="N292" s="17">
        <f>'Data cleaning and validation(3)'!N280</f>
        <v>1035492</v>
      </c>
      <c r="O292" s="18">
        <f>'Data cleaning and validation(3)'!O280</f>
        <v>8629.1</v>
      </c>
    </row>
    <row r="293" spans="1:15" x14ac:dyDescent="0.35">
      <c r="A293" s="8">
        <f>'Data cleaning and validation(3)'!A281</f>
        <v>280</v>
      </c>
      <c r="B293" s="8" t="str">
        <f>'Data cleaning and validation(3)'!B281</f>
        <v>Chavez</v>
      </c>
      <c r="C293" s="8" t="str">
        <f>'Data cleaning and validation(3)'!C281</f>
        <v>rchavez7r@youtu.be</v>
      </c>
      <c r="D293" s="8" t="str">
        <f>'Data cleaning and validation(3)'!D281</f>
        <v>M</v>
      </c>
      <c r="E293" s="8" t="str">
        <f>'Data cleaning and validation(3)'!E281</f>
        <v>Kids</v>
      </c>
      <c r="F293" s="15">
        <f>'Data cleaning and validation(3)'!F281</f>
        <v>39603</v>
      </c>
      <c r="G293" s="8">
        <f>'Data cleaning and validation(3)'!G281</f>
        <v>13</v>
      </c>
      <c r="H293" s="19">
        <f>'Data cleaning and validation(3)'!H281</f>
        <v>139163</v>
      </c>
      <c r="I293" s="8" t="str">
        <f>'Data cleaning and validation(3)'!I281</f>
        <v>Legal Assistant</v>
      </c>
      <c r="J293" s="8" t="str">
        <f>'Data cleaning and validation(3)'!J281</f>
        <v>British Columbia</v>
      </c>
      <c r="K293" s="8" t="str">
        <f>'Data cleaning and validation(3)'!K281</f>
        <v>Canada</v>
      </c>
      <c r="L293" s="8" t="str">
        <f>'Data cleaning and validation(3)'!L281</f>
        <v>Domestic</v>
      </c>
      <c r="M293" s="8" t="str">
        <f>'Data cleaning and validation(3)'!M281</f>
        <v>Active</v>
      </c>
      <c r="N293" s="17">
        <f>'Data cleaning and validation(3)'!N281</f>
        <v>1669956</v>
      </c>
      <c r="O293" s="18">
        <f>'Data cleaning and validation(3)'!O281</f>
        <v>13916.300000000001</v>
      </c>
    </row>
    <row r="294" spans="1:15" x14ac:dyDescent="0.35">
      <c r="A294" s="8">
        <f>'Data cleaning and validation(3)'!A282</f>
        <v>281</v>
      </c>
      <c r="B294" s="8" t="str">
        <f>'Data cleaning and validation(3)'!B282</f>
        <v>Holmes</v>
      </c>
      <c r="C294" s="8" t="str">
        <f>'Data cleaning and validation(3)'!C282</f>
        <v>aholmes7s@last.fm</v>
      </c>
      <c r="D294" s="8" t="str">
        <f>'Data cleaning and validation(3)'!D282</f>
        <v>M</v>
      </c>
      <c r="E294" s="8" t="str">
        <f>'Data cleaning and validation(3)'!E282</f>
        <v>Music</v>
      </c>
      <c r="F294" s="15">
        <f>'Data cleaning and validation(3)'!F282</f>
        <v>39026</v>
      </c>
      <c r="G294" s="8">
        <f>'Data cleaning and validation(3)'!G282</f>
        <v>15</v>
      </c>
      <c r="H294" s="19">
        <f>'Data cleaning and validation(3)'!H282</f>
        <v>48892</v>
      </c>
      <c r="I294" s="8" t="str">
        <f>'Data cleaning and validation(3)'!I282</f>
        <v>Accounting Assistant I</v>
      </c>
      <c r="J294" s="8" t="str">
        <f>'Data cleaning and validation(3)'!J282</f>
        <v>Northeast</v>
      </c>
      <c r="K294" s="8" t="str">
        <f>'Data cleaning and validation(3)'!K282</f>
        <v>USA</v>
      </c>
      <c r="L294" s="8" t="str">
        <f>'Data cleaning and validation(3)'!L282</f>
        <v>Entertainment</v>
      </c>
      <c r="M294" s="8" t="str">
        <f>'Data cleaning and validation(3)'!M282</f>
        <v>Active</v>
      </c>
      <c r="N294" s="17">
        <f>'Data cleaning and validation(3)'!N282</f>
        <v>586704</v>
      </c>
      <c r="O294" s="18">
        <f>'Data cleaning and validation(3)'!O282</f>
        <v>4889.2</v>
      </c>
    </row>
    <row r="295" spans="1:15" x14ac:dyDescent="0.35">
      <c r="A295" s="8">
        <f>'Data cleaning and validation(3)'!A283</f>
        <v>282</v>
      </c>
      <c r="B295" s="8" t="str">
        <f>'Data cleaning and validation(3)'!B283</f>
        <v>Fowler</v>
      </c>
      <c r="C295" s="8" t="str">
        <f>'Data cleaning and validation(3)'!C283</f>
        <v>rfowler7t@ameblo.jp</v>
      </c>
      <c r="D295" s="8" t="str">
        <f>'Data cleaning and validation(3)'!D283</f>
        <v>F</v>
      </c>
      <c r="E295" s="8" t="str">
        <f>'Data cleaning and validation(3)'!E283</f>
        <v>Outdoors</v>
      </c>
      <c r="F295" s="15">
        <f>'Data cleaning and validation(3)'!F283</f>
        <v>46745</v>
      </c>
      <c r="G295" s="8">
        <f>'Data cleaning and validation(3)'!G283</f>
        <v>7</v>
      </c>
      <c r="H295" s="19">
        <f>'Data cleaning and validation(3)'!H283</f>
        <v>120540</v>
      </c>
      <c r="I295" s="8" t="str">
        <f>'Data cleaning and validation(3)'!I283</f>
        <v>Junior Executive</v>
      </c>
      <c r="J295" s="8" t="str">
        <f>'Data cleaning and validation(3)'!J283</f>
        <v>Quebec</v>
      </c>
      <c r="K295" s="8" t="str">
        <f>'Data cleaning and validation(3)'!K283</f>
        <v>Canada</v>
      </c>
      <c r="L295" s="8" t="str">
        <f>'Data cleaning and validation(3)'!L283</f>
        <v>Outdoors &amp; Garden</v>
      </c>
      <c r="M295" s="8" t="str">
        <f>'Data cleaning and validation(3)'!M283</f>
        <v>Active</v>
      </c>
      <c r="N295" s="17">
        <f>'Data cleaning and validation(3)'!N283</f>
        <v>1446480</v>
      </c>
      <c r="O295" s="18">
        <f>'Data cleaning and validation(3)'!O283</f>
        <v>12054</v>
      </c>
    </row>
    <row r="296" spans="1:15" x14ac:dyDescent="0.35">
      <c r="A296" s="8">
        <f>'Data cleaning and validation(3)'!A284</f>
        <v>283</v>
      </c>
      <c r="B296" s="8" t="str">
        <f>'Data cleaning and validation(3)'!B284</f>
        <v>George</v>
      </c>
      <c r="C296" s="8" t="str">
        <f>'Data cleaning and validation(3)'!C284</f>
        <v>ageorge7u@1und1.de</v>
      </c>
      <c r="D296" s="8" t="str">
        <f>'Data cleaning and validation(3)'!D284</f>
        <v>F</v>
      </c>
      <c r="E296" s="8" t="str">
        <f>'Data cleaning and validation(3)'!E284</f>
        <v>Health</v>
      </c>
      <c r="F296" s="15">
        <f>'Data cleaning and validation(3)'!F284</f>
        <v>36598</v>
      </c>
      <c r="G296" s="8">
        <f>'Data cleaning and validation(3)'!G284</f>
        <v>21</v>
      </c>
      <c r="H296" s="19">
        <f>'Data cleaning and validation(3)'!H284</f>
        <v>47450</v>
      </c>
      <c r="I296" s="8" t="str">
        <f>'Data cleaning and validation(3)'!I284</f>
        <v>Automation Specialist I</v>
      </c>
      <c r="J296" s="8" t="str">
        <f>'Data cleaning and validation(3)'!J284</f>
        <v>Northeast</v>
      </c>
      <c r="K296" s="8" t="str">
        <f>'Data cleaning and validation(3)'!K284</f>
        <v>USA</v>
      </c>
      <c r="L296" s="8" t="str">
        <f>'Data cleaning and validation(3)'!L284</f>
        <v>Domestic</v>
      </c>
      <c r="M296" s="8" t="str">
        <f>'Data cleaning and validation(3)'!M284</f>
        <v>Active</v>
      </c>
      <c r="N296" s="17">
        <f>'Data cleaning and validation(3)'!N284</f>
        <v>569400</v>
      </c>
      <c r="O296" s="18">
        <f>'Data cleaning and validation(3)'!O284</f>
        <v>4745</v>
      </c>
    </row>
    <row r="297" spans="1:15" x14ac:dyDescent="0.35">
      <c r="A297" s="8">
        <f>'Data cleaning and validation(3)'!A285</f>
        <v>284</v>
      </c>
      <c r="B297" s="8" t="str">
        <f>'Data cleaning and validation(3)'!B285</f>
        <v>Murray</v>
      </c>
      <c r="C297" s="8" t="str">
        <f>'Data cleaning and validation(3)'!C285</f>
        <v>kmurray7v@ca.gov</v>
      </c>
      <c r="D297" s="8" t="str">
        <f>'Data cleaning and validation(3)'!D285</f>
        <v>F</v>
      </c>
      <c r="E297" s="8" t="str">
        <f>'Data cleaning and validation(3)'!E285</f>
        <v>Health</v>
      </c>
      <c r="F297" s="15">
        <f>'Data cleaning and validation(3)'!F285</f>
        <v>44433</v>
      </c>
      <c r="G297" s="8">
        <f>'Data cleaning and validation(3)'!G285</f>
        <v>13</v>
      </c>
      <c r="H297" s="19">
        <f>'Data cleaning and validation(3)'!H285</f>
        <v>142255</v>
      </c>
      <c r="I297" s="8" t="str">
        <f>'Data cleaning and validation(3)'!I285</f>
        <v>Quality Engineer</v>
      </c>
      <c r="J297" s="8" t="str">
        <f>'Data cleaning and validation(3)'!J285</f>
        <v>Southwest</v>
      </c>
      <c r="K297" s="8" t="str">
        <f>'Data cleaning and validation(3)'!K285</f>
        <v>USA</v>
      </c>
      <c r="L297" s="8" t="str">
        <f>'Data cleaning and validation(3)'!L285</f>
        <v>Domestic</v>
      </c>
      <c r="M297" s="8" t="str">
        <f>'Data cleaning and validation(3)'!M285</f>
        <v>Active</v>
      </c>
      <c r="N297" s="17">
        <f>'Data cleaning and validation(3)'!N285</f>
        <v>1707060</v>
      </c>
      <c r="O297" s="18">
        <f>'Data cleaning and validation(3)'!O285</f>
        <v>14225.5</v>
      </c>
    </row>
    <row r="298" spans="1:15" x14ac:dyDescent="0.35">
      <c r="A298" s="8">
        <f>'Data cleaning and validation(3)'!A286</f>
        <v>285</v>
      </c>
      <c r="B298" s="8" t="str">
        <f>'Data cleaning and validation(3)'!B286</f>
        <v>Hunter</v>
      </c>
      <c r="C298" s="8" t="str">
        <f>'Data cleaning and validation(3)'!C286</f>
        <v>rhunter7w@buzzfeed.com</v>
      </c>
      <c r="D298" s="8" t="str">
        <f>'Data cleaning and validation(3)'!D286</f>
        <v>M</v>
      </c>
      <c r="E298" s="8" t="str">
        <f>'Data cleaning and validation(3)'!E286</f>
        <v>Garden</v>
      </c>
      <c r="F298" s="15">
        <f>'Data cleaning and validation(3)'!F286</f>
        <v>36754</v>
      </c>
      <c r="G298" s="8">
        <f>'Data cleaning and validation(3)'!G286</f>
        <v>21</v>
      </c>
      <c r="H298" s="19">
        <f>'Data cleaning and validation(3)'!H286</f>
        <v>62441</v>
      </c>
      <c r="I298" s="8" t="str">
        <f>'Data cleaning and validation(3)'!I286</f>
        <v>Environmental Specialist</v>
      </c>
      <c r="J298" s="8" t="str">
        <f>'Data cleaning and validation(3)'!J286</f>
        <v>Northwest</v>
      </c>
      <c r="K298" s="8" t="str">
        <f>'Data cleaning and validation(3)'!K286</f>
        <v>USA</v>
      </c>
      <c r="L298" s="8" t="str">
        <f>'Data cleaning and validation(3)'!L286</f>
        <v>Outdoors &amp; Garden</v>
      </c>
      <c r="M298" s="8" t="str">
        <f>'Data cleaning and validation(3)'!M286</f>
        <v>Active</v>
      </c>
      <c r="N298" s="17">
        <f>'Data cleaning and validation(3)'!N286</f>
        <v>749292</v>
      </c>
      <c r="O298" s="18">
        <f>'Data cleaning and validation(3)'!O286</f>
        <v>6244.1</v>
      </c>
    </row>
    <row r="299" spans="1:15" x14ac:dyDescent="0.35">
      <c r="A299" s="8">
        <f>'Data cleaning and validation(3)'!A287</f>
        <v>286</v>
      </c>
      <c r="B299" s="8" t="str">
        <f>'Data cleaning and validation(3)'!B287</f>
        <v>Long</v>
      </c>
      <c r="C299" s="8" t="str">
        <f>'Data cleaning and validation(3)'!C287</f>
        <v>elong7x@nymag.com</v>
      </c>
      <c r="D299" s="8" t="str">
        <f>'Data cleaning and validation(3)'!D287</f>
        <v>F</v>
      </c>
      <c r="E299" s="8" t="str">
        <f>'Data cleaning and validation(3)'!E287</f>
        <v>Games</v>
      </c>
      <c r="F299" s="15">
        <f>'Data cleaning and validation(3)'!F287</f>
        <v>43901</v>
      </c>
      <c r="G299" s="8">
        <f>'Data cleaning and validation(3)'!G287</f>
        <v>14</v>
      </c>
      <c r="H299" s="19">
        <f>'Data cleaning and validation(3)'!H287</f>
        <v>142529</v>
      </c>
      <c r="I299" s="8" t="str">
        <f>'Data cleaning and validation(3)'!I287</f>
        <v>Librarian</v>
      </c>
      <c r="J299" s="8" t="str">
        <f>'Data cleaning and validation(3)'!J287</f>
        <v>Southeast</v>
      </c>
      <c r="K299" s="8" t="str">
        <f>'Data cleaning and validation(3)'!K287</f>
        <v>USA</v>
      </c>
      <c r="L299" s="8" t="str">
        <f>'Data cleaning and validation(3)'!L287</f>
        <v>Domestic</v>
      </c>
      <c r="M299" s="8" t="str">
        <f>'Data cleaning and validation(3)'!M287</f>
        <v>Active</v>
      </c>
      <c r="N299" s="17">
        <f>'Data cleaning and validation(3)'!N287</f>
        <v>1710348</v>
      </c>
      <c r="O299" s="18">
        <f>'Data cleaning and validation(3)'!O287</f>
        <v>14252.900000000001</v>
      </c>
    </row>
    <row r="300" spans="1:15" x14ac:dyDescent="0.35">
      <c r="A300" s="8">
        <f>'Data cleaning and validation(3)'!A288</f>
        <v>287</v>
      </c>
      <c r="B300" s="8" t="str">
        <f>'Data cleaning and validation(3)'!B288</f>
        <v>Andrews</v>
      </c>
      <c r="C300" s="8" t="str">
        <f>'Data cleaning and validation(3)'!C288</f>
        <v>tandrews7y@ycombinator.com</v>
      </c>
      <c r="D300" s="8" t="str">
        <f>'Data cleaning and validation(3)'!D288</f>
        <v>F</v>
      </c>
      <c r="E300" s="8" t="str">
        <f>'Data cleaning and validation(3)'!E288</f>
        <v>Beauty</v>
      </c>
      <c r="F300" s="15">
        <f>'Data cleaning and validation(3)'!F288</f>
        <v>45004</v>
      </c>
      <c r="G300" s="8">
        <f>'Data cleaning and validation(3)'!G288</f>
        <v>11</v>
      </c>
      <c r="H300" s="19">
        <f>'Data cleaning and validation(3)'!H288</f>
        <v>142103</v>
      </c>
      <c r="I300" s="8" t="str">
        <f>'Data cleaning and validation(3)'!I288</f>
        <v>Associate Professor</v>
      </c>
      <c r="J300" s="8" t="str">
        <f>'Data cleaning and validation(3)'!J288</f>
        <v>Southwest</v>
      </c>
      <c r="K300" s="8" t="str">
        <f>'Data cleaning and validation(3)'!K288</f>
        <v>USA</v>
      </c>
      <c r="L300" s="8" t="str">
        <f>'Data cleaning and validation(3)'!L288</f>
        <v>Domestic</v>
      </c>
      <c r="M300" s="8" t="str">
        <f>'Data cleaning and validation(3)'!M288</f>
        <v>Active</v>
      </c>
      <c r="N300" s="17">
        <f>'Data cleaning and validation(3)'!N288</f>
        <v>1705236</v>
      </c>
      <c r="O300" s="18">
        <f>'Data cleaning and validation(3)'!O288</f>
        <v>14210.300000000001</v>
      </c>
    </row>
    <row r="301" spans="1:15" x14ac:dyDescent="0.35">
      <c r="A301" s="8">
        <f>'Data cleaning and validation(3)'!A289</f>
        <v>288</v>
      </c>
      <c r="B301" s="8" t="str">
        <f>'Data cleaning and validation(3)'!B289</f>
        <v>Moore</v>
      </c>
      <c r="C301" s="8" t="str">
        <f>'Data cleaning and validation(3)'!C289</f>
        <v>bmoore7z@twitpic.com</v>
      </c>
      <c r="D301" s="8" t="str">
        <f>'Data cleaning and validation(3)'!D289</f>
        <v>M</v>
      </c>
      <c r="E301" s="8" t="str">
        <f>'Data cleaning and validation(3)'!E289</f>
        <v>Electronics</v>
      </c>
      <c r="F301" s="15">
        <f>'Data cleaning and validation(3)'!F289</f>
        <v>37479</v>
      </c>
      <c r="G301" s="8">
        <f>'Data cleaning and validation(3)'!G289</f>
        <v>19</v>
      </c>
      <c r="H301" s="19">
        <f>'Data cleaning and validation(3)'!H289</f>
        <v>102395</v>
      </c>
      <c r="I301" s="8" t="str">
        <f>'Data cleaning and validation(3)'!I289</f>
        <v>Account Coordinator</v>
      </c>
      <c r="J301" s="8" t="str">
        <f>'Data cleaning and validation(3)'!J289</f>
        <v>Quebec</v>
      </c>
      <c r="K301" s="8" t="str">
        <f>'Data cleaning and validation(3)'!K289</f>
        <v>Canada</v>
      </c>
      <c r="L301" s="8" t="str">
        <f>'Data cleaning and validation(3)'!L289</f>
        <v>Electronic Equipment</v>
      </c>
      <c r="M301" s="8" t="str">
        <f>'Data cleaning and validation(3)'!M289</f>
        <v>Active</v>
      </c>
      <c r="N301" s="17">
        <f>'Data cleaning and validation(3)'!N289</f>
        <v>1228740</v>
      </c>
      <c r="O301" s="18">
        <f>'Data cleaning and validation(3)'!O289</f>
        <v>10239.5</v>
      </c>
    </row>
    <row r="302" spans="1:15" x14ac:dyDescent="0.35">
      <c r="A302" s="8">
        <f>'Data cleaning and validation(3)'!A290</f>
        <v>289</v>
      </c>
      <c r="B302" s="8" t="str">
        <f>'Data cleaning and validation(3)'!B290</f>
        <v>Sanders</v>
      </c>
      <c r="C302" s="8" t="str">
        <f>'Data cleaning and validation(3)'!C290</f>
        <v>csanders80@blog.com</v>
      </c>
      <c r="D302" s="8" t="str">
        <f>'Data cleaning and validation(3)'!D290</f>
        <v>M</v>
      </c>
      <c r="E302" s="8" t="str">
        <f>'Data cleaning and validation(3)'!E290</f>
        <v>Home</v>
      </c>
      <c r="F302" s="15">
        <f>'Data cleaning and validation(3)'!F290</f>
        <v>40095</v>
      </c>
      <c r="G302" s="8">
        <f>'Data cleaning and validation(3)'!G290</f>
        <v>12</v>
      </c>
      <c r="H302" s="19">
        <f>'Data cleaning and validation(3)'!H290</f>
        <v>44593</v>
      </c>
      <c r="I302" s="8" t="str">
        <f>'Data cleaning and validation(3)'!I290</f>
        <v>Engineer III</v>
      </c>
      <c r="J302" s="8" t="str">
        <f>'Data cleaning and validation(3)'!J290</f>
        <v>Southeast</v>
      </c>
      <c r="K302" s="8" t="str">
        <f>'Data cleaning and validation(3)'!K290</f>
        <v>USA</v>
      </c>
      <c r="L302" s="8" t="str">
        <f>'Data cleaning and validation(3)'!L290</f>
        <v>Domestic</v>
      </c>
      <c r="M302" s="8" t="str">
        <f>'Data cleaning and validation(3)'!M290</f>
        <v>Active</v>
      </c>
      <c r="N302" s="17">
        <f>'Data cleaning and validation(3)'!N290</f>
        <v>535116</v>
      </c>
      <c r="O302" s="18">
        <f>'Data cleaning and validation(3)'!O290</f>
        <v>4459.3</v>
      </c>
    </row>
    <row r="303" spans="1:15" x14ac:dyDescent="0.35">
      <c r="A303" s="8">
        <f>'Data cleaning and validation(3)'!A291</f>
        <v>290</v>
      </c>
      <c r="B303" s="8" t="str">
        <f>'Data cleaning and validation(3)'!B291</f>
        <v>Carter</v>
      </c>
      <c r="C303" s="8" t="str">
        <f>'Data cleaning and validation(3)'!C291</f>
        <v>scarter81@cargocollective.com</v>
      </c>
      <c r="D303" s="8" t="str">
        <f>'Data cleaning and validation(3)'!D291</f>
        <v>M</v>
      </c>
      <c r="E303" s="8" t="str">
        <f>'Data cleaning and validation(3)'!E291</f>
        <v>Grocery</v>
      </c>
      <c r="F303" s="15">
        <f>'Data cleaning and validation(3)'!F291</f>
        <v>39122</v>
      </c>
      <c r="G303" s="8">
        <f>'Data cleaning and validation(3)'!G291</f>
        <v>14</v>
      </c>
      <c r="H303" s="19">
        <f>'Data cleaning and validation(3)'!H291</f>
        <v>120800</v>
      </c>
      <c r="I303" s="8" t="str">
        <f>'Data cleaning and validation(3)'!I291</f>
        <v>Accountant III</v>
      </c>
      <c r="J303" s="8" t="str">
        <f>'Data cleaning and validation(3)'!J291</f>
        <v>British Columbia</v>
      </c>
      <c r="K303" s="8" t="str">
        <f>'Data cleaning and validation(3)'!K291</f>
        <v>Canada</v>
      </c>
      <c r="L303" s="8" t="str">
        <f>'Data cleaning and validation(3)'!L291</f>
        <v>Domestic</v>
      </c>
      <c r="M303" s="8" t="str">
        <f>'Data cleaning and validation(3)'!M291</f>
        <v>On Leave</v>
      </c>
      <c r="N303" s="17">
        <f>'Data cleaning and validation(3)'!N291</f>
        <v>1449600</v>
      </c>
      <c r="O303" s="18">
        <f>'Data cleaning and validation(3)'!O291</f>
        <v>12080</v>
      </c>
    </row>
    <row r="304" spans="1:15" x14ac:dyDescent="0.35">
      <c r="A304" s="8">
        <f>'Data cleaning and validation(3)'!A292</f>
        <v>291</v>
      </c>
      <c r="B304" s="8" t="str">
        <f>'Data cleaning and validation(3)'!B292</f>
        <v>Moreno</v>
      </c>
      <c r="C304" s="8" t="str">
        <f>'Data cleaning and validation(3)'!C292</f>
        <v>rmoreno82@alibaba.com</v>
      </c>
      <c r="D304" s="8" t="str">
        <f>'Data cleaning and validation(3)'!D292</f>
        <v>F</v>
      </c>
      <c r="E304" s="8" t="str">
        <f>'Data cleaning and validation(3)'!E292</f>
        <v>Books</v>
      </c>
      <c r="F304" s="15">
        <f>'Data cleaning and validation(3)'!F292</f>
        <v>37951</v>
      </c>
      <c r="G304" s="8">
        <f>'Data cleaning and validation(3)'!G292</f>
        <v>18</v>
      </c>
      <c r="H304" s="19">
        <f>'Data cleaning and validation(3)'!H292</f>
        <v>121238</v>
      </c>
      <c r="I304" s="8" t="str">
        <f>'Data cleaning and validation(3)'!I292</f>
        <v>Senior Developer</v>
      </c>
      <c r="J304" s="8" t="str">
        <f>'Data cleaning and validation(3)'!J292</f>
        <v>Southwest</v>
      </c>
      <c r="K304" s="8" t="str">
        <f>'Data cleaning and validation(3)'!K292</f>
        <v>USA</v>
      </c>
      <c r="L304" s="8" t="str">
        <f>'Data cleaning and validation(3)'!L292</f>
        <v>Library</v>
      </c>
      <c r="M304" s="8" t="str">
        <f>'Data cleaning and validation(3)'!M292</f>
        <v>On Leave</v>
      </c>
      <c r="N304" s="17">
        <f>'Data cleaning and validation(3)'!N292</f>
        <v>1454856</v>
      </c>
      <c r="O304" s="18">
        <f>'Data cleaning and validation(3)'!O292</f>
        <v>12123.800000000001</v>
      </c>
    </row>
    <row r="305" spans="1:15" x14ac:dyDescent="0.35">
      <c r="A305" s="8">
        <f>'Data cleaning and validation(3)'!A293</f>
        <v>292</v>
      </c>
      <c r="B305" s="8" t="str">
        <f>'Data cleaning and validation(3)'!B293</f>
        <v>Ortiz</v>
      </c>
      <c r="C305" s="8" t="str">
        <f>'Data cleaning and validation(3)'!C293</f>
        <v>dortiz83@themeforest.net</v>
      </c>
      <c r="D305" s="8" t="str">
        <f>'Data cleaning and validation(3)'!D293</f>
        <v>F</v>
      </c>
      <c r="E305" s="8" t="str">
        <f>'Data cleaning and validation(3)'!E293</f>
        <v>Automotive</v>
      </c>
      <c r="F305" s="15">
        <f>'Data cleaning and validation(3)'!F293</f>
        <v>45634</v>
      </c>
      <c r="G305" s="8">
        <f>'Data cleaning and validation(3)'!G293</f>
        <v>10</v>
      </c>
      <c r="H305" s="19">
        <f>'Data cleaning and validation(3)'!H293</f>
        <v>91296</v>
      </c>
      <c r="I305" s="8" t="str">
        <f>'Data cleaning and validation(3)'!I293</f>
        <v>Environmental Tech</v>
      </c>
      <c r="J305" s="8" t="str">
        <f>'Data cleaning and validation(3)'!J293</f>
        <v>Quebec</v>
      </c>
      <c r="K305" s="8" t="str">
        <f>'Data cleaning and validation(3)'!K293</f>
        <v>Canada</v>
      </c>
      <c r="L305" s="8" t="str">
        <f>'Data cleaning and validation(3)'!L293</f>
        <v>Auto &amp; Hardware</v>
      </c>
      <c r="M305" s="8" t="str">
        <f>'Data cleaning and validation(3)'!M293</f>
        <v>On Leave</v>
      </c>
      <c r="N305" s="17">
        <f>'Data cleaning and validation(3)'!N293</f>
        <v>1095552</v>
      </c>
      <c r="O305" s="18">
        <f>'Data cleaning and validation(3)'!O293</f>
        <v>9129.6</v>
      </c>
    </row>
    <row r="306" spans="1:15" x14ac:dyDescent="0.35">
      <c r="A306" s="8">
        <f>'Data cleaning and validation(3)'!A294</f>
        <v>293</v>
      </c>
      <c r="B306" s="8" t="str">
        <f>'Data cleaning and validation(3)'!B294</f>
        <v>Castillo</v>
      </c>
      <c r="C306" s="8" t="str">
        <f>'Data cleaning and validation(3)'!C294</f>
        <v>pcastillo84@1688.com</v>
      </c>
      <c r="D306" s="8" t="str">
        <f>'Data cleaning and validation(3)'!D294</f>
        <v>F</v>
      </c>
      <c r="E306" s="8" t="str">
        <f>'Data cleaning and validation(3)'!E294</f>
        <v>Health</v>
      </c>
      <c r="F306" s="15">
        <f>'Data cleaning and validation(3)'!F294</f>
        <v>45528</v>
      </c>
      <c r="G306" s="8">
        <f>'Data cleaning and validation(3)'!G294</f>
        <v>10</v>
      </c>
      <c r="H306" s="19">
        <f>'Data cleaning and validation(3)'!H294</f>
        <v>86070</v>
      </c>
      <c r="I306" s="8" t="str">
        <f>'Data cleaning and validation(3)'!I294</f>
        <v>Clinical Specialist</v>
      </c>
      <c r="J306" s="8" t="str">
        <f>'Data cleaning and validation(3)'!J294</f>
        <v>Northwest</v>
      </c>
      <c r="K306" s="8" t="str">
        <f>'Data cleaning and validation(3)'!K294</f>
        <v>USA</v>
      </c>
      <c r="L306" s="8" t="str">
        <f>'Data cleaning and validation(3)'!L294</f>
        <v>Domestic</v>
      </c>
      <c r="M306" s="8" t="str">
        <f>'Data cleaning and validation(3)'!M294</f>
        <v>On Leave</v>
      </c>
      <c r="N306" s="17">
        <f>'Data cleaning and validation(3)'!N294</f>
        <v>1032840</v>
      </c>
      <c r="O306" s="18">
        <f>'Data cleaning and validation(3)'!O294</f>
        <v>8607</v>
      </c>
    </row>
    <row r="307" spans="1:15" x14ac:dyDescent="0.35">
      <c r="A307" s="8">
        <f>'Data cleaning and validation(3)'!A295</f>
        <v>294</v>
      </c>
      <c r="B307" s="8" t="str">
        <f>'Data cleaning and validation(3)'!B295</f>
        <v>Cooper</v>
      </c>
      <c r="C307" s="8" t="str">
        <f>'Data cleaning and validation(3)'!C295</f>
        <v>icooper85@w3.org</v>
      </c>
      <c r="D307" s="8" t="str">
        <f>'Data cleaning and validation(3)'!D295</f>
        <v>F</v>
      </c>
      <c r="E307" s="8" t="str">
        <f>'Data cleaning and validation(3)'!E295</f>
        <v>Movies</v>
      </c>
      <c r="F307" s="15">
        <f>'Data cleaning and validation(3)'!F295</f>
        <v>44592</v>
      </c>
      <c r="G307" s="8">
        <f>'Data cleaning and validation(3)'!G295</f>
        <v>12</v>
      </c>
      <c r="H307" s="19">
        <f>'Data cleaning and validation(3)'!H295</f>
        <v>61519</v>
      </c>
      <c r="I307" s="8" t="str">
        <f>'Data cleaning and validation(3)'!I295</f>
        <v>Human Resources Assistant III</v>
      </c>
      <c r="J307" s="8" t="str">
        <f>'Data cleaning and validation(3)'!J295</f>
        <v>Nova Scotia</v>
      </c>
      <c r="K307" s="8" t="str">
        <f>'Data cleaning and validation(3)'!K295</f>
        <v>Canada</v>
      </c>
      <c r="L307" s="8" t="str">
        <f>'Data cleaning and validation(3)'!L295</f>
        <v>Entertainment</v>
      </c>
      <c r="M307" s="8" t="str">
        <f>'Data cleaning and validation(3)'!M295</f>
        <v>On Leave</v>
      </c>
      <c r="N307" s="17">
        <f>'Data cleaning and validation(3)'!N295</f>
        <v>738228</v>
      </c>
      <c r="O307" s="18">
        <f>'Data cleaning and validation(3)'!O295</f>
        <v>6151.9000000000005</v>
      </c>
    </row>
    <row r="308" spans="1:15" x14ac:dyDescent="0.35">
      <c r="A308" s="8">
        <f>'Data cleaning and validation(3)'!A296</f>
        <v>295</v>
      </c>
      <c r="B308" s="8" t="str">
        <f>'Data cleaning and validation(3)'!B296</f>
        <v>Harris</v>
      </c>
      <c r="C308" s="8" t="str">
        <f>'Data cleaning and validation(3)'!C296</f>
        <v>lharris86@ibm.com</v>
      </c>
      <c r="D308" s="8" t="str">
        <f>'Data cleaning and validation(3)'!D296</f>
        <v>F</v>
      </c>
      <c r="E308" s="8" t="str">
        <f>'Data cleaning and validation(3)'!E296</f>
        <v>Books</v>
      </c>
      <c r="F308" s="15">
        <f>'Data cleaning and validation(3)'!F296</f>
        <v>38615</v>
      </c>
      <c r="G308" s="8">
        <f>'Data cleaning and validation(3)'!G296</f>
        <v>16</v>
      </c>
      <c r="H308" s="19">
        <f>'Data cleaning and validation(3)'!H296</f>
        <v>47131</v>
      </c>
      <c r="I308" s="8" t="str">
        <f>'Data cleaning and validation(3)'!I296</f>
        <v>Developer IV</v>
      </c>
      <c r="J308" s="8" t="str">
        <f>'Data cleaning and validation(3)'!J296</f>
        <v>Quebec</v>
      </c>
      <c r="K308" s="8" t="str">
        <f>'Data cleaning and validation(3)'!K296</f>
        <v>Canada</v>
      </c>
      <c r="L308" s="8" t="str">
        <f>'Data cleaning and validation(3)'!L296</f>
        <v>Library</v>
      </c>
      <c r="M308" s="8" t="str">
        <f>'Data cleaning and validation(3)'!M296</f>
        <v>On Leave</v>
      </c>
      <c r="N308" s="17">
        <f>'Data cleaning and validation(3)'!N296</f>
        <v>565572</v>
      </c>
      <c r="O308" s="18">
        <f>'Data cleaning and validation(3)'!O296</f>
        <v>4713.1000000000004</v>
      </c>
    </row>
    <row r="309" spans="1:15" x14ac:dyDescent="0.35">
      <c r="A309" s="8">
        <f>'Data cleaning and validation(3)'!A297</f>
        <v>296</v>
      </c>
      <c r="B309" s="8" t="str">
        <f>'Data cleaning and validation(3)'!B297</f>
        <v>Edwards</v>
      </c>
      <c r="C309" s="8" t="str">
        <f>'Data cleaning and validation(3)'!C297</f>
        <v>aedwards87@webeden.co.uk</v>
      </c>
      <c r="D309" s="8" t="str">
        <f>'Data cleaning and validation(3)'!D297</f>
        <v>M</v>
      </c>
      <c r="E309" s="8" t="str">
        <f>'Data cleaning and validation(3)'!E297</f>
        <v>Kids</v>
      </c>
      <c r="F309" s="15">
        <f>'Data cleaning and validation(3)'!F297</f>
        <v>39545</v>
      </c>
      <c r="G309" s="8">
        <f>'Data cleaning and validation(3)'!G297</f>
        <v>13</v>
      </c>
      <c r="H309" s="19">
        <f>'Data cleaning and validation(3)'!H297</f>
        <v>93962</v>
      </c>
      <c r="I309" s="8" t="str">
        <f>'Data cleaning and validation(3)'!I297</f>
        <v>Staff Scientist</v>
      </c>
      <c r="J309" s="8" t="str">
        <f>'Data cleaning and validation(3)'!J297</f>
        <v>Northwest</v>
      </c>
      <c r="K309" s="8" t="str">
        <f>'Data cleaning and validation(3)'!K297</f>
        <v>USA</v>
      </c>
      <c r="L309" s="8" t="str">
        <f>'Data cleaning and validation(3)'!L297</f>
        <v>Domestic</v>
      </c>
      <c r="M309" s="8" t="str">
        <f>'Data cleaning and validation(3)'!M297</f>
        <v>On Leave</v>
      </c>
      <c r="N309" s="17">
        <f>'Data cleaning and validation(3)'!N297</f>
        <v>1127544</v>
      </c>
      <c r="O309" s="18">
        <f>'Data cleaning and validation(3)'!O297</f>
        <v>9396.2000000000007</v>
      </c>
    </row>
    <row r="310" spans="1:15" x14ac:dyDescent="0.35">
      <c r="A310" s="8">
        <f>'Data cleaning and validation(3)'!A298</f>
        <v>297</v>
      </c>
      <c r="B310" s="8" t="str">
        <f>'Data cleaning and validation(3)'!B298</f>
        <v>Harrison</v>
      </c>
      <c r="C310" s="8" t="str">
        <f>'Data cleaning and validation(3)'!C298</f>
        <v>nharrison88@imageshack.us</v>
      </c>
      <c r="D310" s="8" t="str">
        <f>'Data cleaning and validation(3)'!D298</f>
        <v>M</v>
      </c>
      <c r="E310" s="8" t="str">
        <f>'Data cleaning and validation(3)'!E298</f>
        <v>Shoes</v>
      </c>
      <c r="F310" s="15">
        <f>'Data cleaning and validation(3)'!F298</f>
        <v>41955</v>
      </c>
      <c r="G310" s="8">
        <f>'Data cleaning and validation(3)'!G298</f>
        <v>7</v>
      </c>
      <c r="H310" s="19">
        <f>'Data cleaning and validation(3)'!H298</f>
        <v>133845</v>
      </c>
      <c r="I310" s="8" t="str">
        <f>'Data cleaning and validation(3)'!I298</f>
        <v>Executive Secretary</v>
      </c>
      <c r="J310" s="8" t="str">
        <f>'Data cleaning and validation(3)'!J298</f>
        <v>Southwest</v>
      </c>
      <c r="K310" s="8" t="str">
        <f>'Data cleaning and validation(3)'!K298</f>
        <v>USA</v>
      </c>
      <c r="L310" s="8" t="str">
        <f>'Data cleaning and validation(3)'!L298</f>
        <v>Domestic</v>
      </c>
      <c r="M310" s="8" t="str">
        <f>'Data cleaning and validation(3)'!M298</f>
        <v>On Leave</v>
      </c>
      <c r="N310" s="17">
        <f>'Data cleaning and validation(3)'!N298</f>
        <v>1606140</v>
      </c>
      <c r="O310" s="18">
        <f>'Data cleaning and validation(3)'!O298</f>
        <v>13384.5</v>
      </c>
    </row>
    <row r="311" spans="1:15" x14ac:dyDescent="0.35">
      <c r="A311" s="8">
        <f>'Data cleaning and validation(3)'!A299</f>
        <v>298</v>
      </c>
      <c r="B311" s="8" t="str">
        <f>'Data cleaning and validation(3)'!B299</f>
        <v>Berry</v>
      </c>
      <c r="C311" s="8" t="str">
        <f>'Data cleaning and validation(3)'!C299</f>
        <v>lberry89@gov.uk</v>
      </c>
      <c r="D311" s="8" t="str">
        <f>'Data cleaning and validation(3)'!D299</f>
        <v>M</v>
      </c>
      <c r="E311" s="8" t="str">
        <f>'Data cleaning and validation(3)'!E299</f>
        <v>Clothing</v>
      </c>
      <c r="F311" s="15">
        <f>'Data cleaning and validation(3)'!F299</f>
        <v>40346</v>
      </c>
      <c r="G311" s="8">
        <f>'Data cleaning and validation(3)'!G299</f>
        <v>11</v>
      </c>
      <c r="H311" s="19">
        <f>'Data cleaning and validation(3)'!H299</f>
        <v>43067</v>
      </c>
      <c r="I311" s="8" t="str">
        <f>'Data cleaning and validation(3)'!I299</f>
        <v>Research Assistant I</v>
      </c>
      <c r="J311" s="8" t="str">
        <f>'Data cleaning and validation(3)'!J299</f>
        <v>Nova Scotia</v>
      </c>
      <c r="K311" s="8" t="str">
        <f>'Data cleaning and validation(3)'!K299</f>
        <v>Canada</v>
      </c>
      <c r="L311" s="8" t="str">
        <f>'Data cleaning and validation(3)'!L299</f>
        <v>Domestic</v>
      </c>
      <c r="M311" s="8" t="str">
        <f>'Data cleaning and validation(3)'!M299</f>
        <v>On Leave</v>
      </c>
      <c r="N311" s="17">
        <f>'Data cleaning and validation(3)'!N299</f>
        <v>516804</v>
      </c>
      <c r="O311" s="18">
        <f>'Data cleaning and validation(3)'!O299</f>
        <v>4306.7</v>
      </c>
    </row>
    <row r="312" spans="1:15" x14ac:dyDescent="0.35">
      <c r="A312" s="8">
        <f>'Data cleaning and validation(3)'!A300</f>
        <v>299</v>
      </c>
      <c r="B312" s="8" t="str">
        <f>'Data cleaning and validation(3)'!B300</f>
        <v>Stephens</v>
      </c>
      <c r="C312" s="8" t="str">
        <f>'Data cleaning and validation(3)'!C300</f>
        <v>cstephens8a@imdb.com</v>
      </c>
      <c r="D312" s="8" t="str">
        <f>'Data cleaning and validation(3)'!D300</f>
        <v>F</v>
      </c>
      <c r="E312" s="8" t="str">
        <f>'Data cleaning and validation(3)'!E300</f>
        <v>Beauty</v>
      </c>
      <c r="F312" s="15">
        <f>'Data cleaning and validation(3)'!F300</f>
        <v>37135</v>
      </c>
      <c r="G312" s="8">
        <f>'Data cleaning and validation(3)'!G300</f>
        <v>20</v>
      </c>
      <c r="H312" s="19">
        <f>'Data cleaning and validation(3)'!H300</f>
        <v>88972</v>
      </c>
      <c r="I312" s="8" t="str">
        <f>'Data cleaning and validation(3)'!I300</f>
        <v>Paralegal</v>
      </c>
      <c r="J312" s="8" t="str">
        <f>'Data cleaning and validation(3)'!J300</f>
        <v>Nova Scotia</v>
      </c>
      <c r="K312" s="8" t="str">
        <f>'Data cleaning and validation(3)'!K300</f>
        <v>Canada</v>
      </c>
      <c r="L312" s="8" t="str">
        <f>'Data cleaning and validation(3)'!L300</f>
        <v>Domestic</v>
      </c>
      <c r="M312" s="8" t="str">
        <f>'Data cleaning and validation(3)'!M300</f>
        <v>Active</v>
      </c>
      <c r="N312" s="17">
        <f>'Data cleaning and validation(3)'!N300</f>
        <v>1067664</v>
      </c>
      <c r="O312" s="18">
        <f>'Data cleaning and validation(3)'!O300</f>
        <v>8897.2000000000007</v>
      </c>
    </row>
    <row r="313" spans="1:15" x14ac:dyDescent="0.35">
      <c r="A313" s="8">
        <f>'Data cleaning and validation(3)'!A301</f>
        <v>300</v>
      </c>
      <c r="B313" s="8" t="str">
        <f>'Data cleaning and validation(3)'!B301</f>
        <v>Arnold</v>
      </c>
      <c r="C313" s="8" t="str">
        <f>'Data cleaning and validation(3)'!C301</f>
        <v>barnold8b@thetimes.co.uk</v>
      </c>
      <c r="D313" s="8" t="str">
        <f>'Data cleaning and validation(3)'!D301</f>
        <v>M</v>
      </c>
      <c r="E313" s="8" t="str">
        <f>'Data cleaning and validation(3)'!E301</f>
        <v>Clothing</v>
      </c>
      <c r="F313" s="15">
        <f>'Data cleaning and validation(3)'!F301</f>
        <v>38671</v>
      </c>
      <c r="G313" s="8">
        <f>'Data cleaning and validation(3)'!G301</f>
        <v>16</v>
      </c>
      <c r="H313" s="19">
        <f>'Data cleaning and validation(3)'!H301</f>
        <v>77635</v>
      </c>
      <c r="I313" s="8" t="str">
        <f>'Data cleaning and validation(3)'!I301</f>
        <v>VP Product Management</v>
      </c>
      <c r="J313" s="8" t="str">
        <f>'Data cleaning and validation(3)'!J301</f>
        <v>Northwest</v>
      </c>
      <c r="K313" s="8" t="str">
        <f>'Data cleaning and validation(3)'!K301</f>
        <v>USA</v>
      </c>
      <c r="L313" s="8" t="str">
        <f>'Data cleaning and validation(3)'!L301</f>
        <v>Domestic</v>
      </c>
      <c r="M313" s="8" t="str">
        <f>'Data cleaning and validation(3)'!M301</f>
        <v>Active</v>
      </c>
      <c r="N313" s="17">
        <f>'Data cleaning and validation(3)'!N301</f>
        <v>931620</v>
      </c>
      <c r="O313" s="18">
        <f>'Data cleaning and validation(3)'!O301</f>
        <v>7763.5</v>
      </c>
    </row>
    <row r="314" spans="1:15" x14ac:dyDescent="0.35">
      <c r="A314" s="8">
        <f>'Data cleaning and validation(3)'!A302</f>
        <v>301</v>
      </c>
      <c r="B314" s="8" t="str">
        <f>'Data cleaning and validation(3)'!B302</f>
        <v>Myers</v>
      </c>
      <c r="C314" s="8" t="str">
        <f>'Data cleaning and validation(3)'!C302</f>
        <v>amyers8c@ibm.com</v>
      </c>
      <c r="D314" s="8" t="str">
        <f>'Data cleaning and validation(3)'!D302</f>
        <v>M</v>
      </c>
      <c r="E314" s="8" t="str">
        <f>'Data cleaning and validation(3)'!E302</f>
        <v>Grocery</v>
      </c>
      <c r="F314" s="15">
        <f>'Data cleaning and validation(3)'!F302</f>
        <v>40679</v>
      </c>
      <c r="G314" s="8">
        <f>'Data cleaning and validation(3)'!G302</f>
        <v>10</v>
      </c>
      <c r="H314" s="19">
        <f>'Data cleaning and validation(3)'!H302</f>
        <v>148993</v>
      </c>
      <c r="I314" s="8" t="str">
        <f>'Data cleaning and validation(3)'!I302</f>
        <v>Speech Pathologist</v>
      </c>
      <c r="J314" s="8" t="str">
        <f>'Data cleaning and validation(3)'!J302</f>
        <v>Northeast</v>
      </c>
      <c r="K314" s="8" t="str">
        <f>'Data cleaning and validation(3)'!K302</f>
        <v>USA</v>
      </c>
      <c r="L314" s="8" t="str">
        <f>'Data cleaning and validation(3)'!L302</f>
        <v>Domestic</v>
      </c>
      <c r="M314" s="8" t="str">
        <f>'Data cleaning and validation(3)'!M302</f>
        <v>Active</v>
      </c>
      <c r="N314" s="17">
        <f>'Data cleaning and validation(3)'!N302</f>
        <v>1787916</v>
      </c>
      <c r="O314" s="18">
        <f>'Data cleaning and validation(3)'!O302</f>
        <v>14899.300000000001</v>
      </c>
    </row>
    <row r="315" spans="1:15" x14ac:dyDescent="0.35">
      <c r="A315" s="8">
        <f>'Data cleaning and validation(3)'!A303</f>
        <v>302</v>
      </c>
      <c r="B315" s="8" t="str">
        <f>'Data cleaning and validation(3)'!B303</f>
        <v>Jenkins</v>
      </c>
      <c r="C315" s="8" t="str">
        <f>'Data cleaning and validation(3)'!C303</f>
        <v>rjenkins8d@wufoo.com</v>
      </c>
      <c r="D315" s="8" t="str">
        <f>'Data cleaning and validation(3)'!D303</f>
        <v>F</v>
      </c>
      <c r="E315" s="8" t="str">
        <f>'Data cleaning and validation(3)'!E303</f>
        <v>Tools</v>
      </c>
      <c r="F315" s="15">
        <f>'Data cleaning and validation(3)'!F303</f>
        <v>37483</v>
      </c>
      <c r="G315" s="8">
        <f>'Data cleaning and validation(3)'!G303</f>
        <v>19</v>
      </c>
      <c r="H315" s="19">
        <f>'Data cleaning and validation(3)'!H303</f>
        <v>113599</v>
      </c>
      <c r="I315" s="8" t="str">
        <f>'Data cleaning and validation(3)'!I303</f>
        <v>Geological Engineer</v>
      </c>
      <c r="J315" s="8" t="str">
        <f>'Data cleaning and validation(3)'!J303</f>
        <v>Southeast</v>
      </c>
      <c r="K315" s="8" t="str">
        <f>'Data cleaning and validation(3)'!K303</f>
        <v>USA</v>
      </c>
      <c r="L315" s="8" t="str">
        <f>'Data cleaning and validation(3)'!L303</f>
        <v>Auto &amp; Hardware</v>
      </c>
      <c r="M315" s="8" t="str">
        <f>'Data cleaning and validation(3)'!M303</f>
        <v>Active</v>
      </c>
      <c r="N315" s="17">
        <f>'Data cleaning and validation(3)'!N303</f>
        <v>1363188</v>
      </c>
      <c r="O315" s="18">
        <f>'Data cleaning and validation(3)'!O303</f>
        <v>11359.900000000001</v>
      </c>
    </row>
    <row r="316" spans="1:15" x14ac:dyDescent="0.35">
      <c r="A316" s="8">
        <f>'Data cleaning and validation(3)'!A304</f>
        <v>303</v>
      </c>
      <c r="B316" s="8" t="str">
        <f>'Data cleaning and validation(3)'!B304</f>
        <v>West</v>
      </c>
      <c r="C316" s="8" t="str">
        <f>'Data cleaning and validation(3)'!C304</f>
        <v>jwest8e@berkeley.edu</v>
      </c>
      <c r="D316" s="8" t="str">
        <f>'Data cleaning and validation(3)'!D304</f>
        <v>M</v>
      </c>
      <c r="E316" s="8" t="str">
        <f>'Data cleaning and validation(3)'!E304</f>
        <v>Electronics</v>
      </c>
      <c r="F316" s="15">
        <f>'Data cleaning and validation(3)'!F304</f>
        <v>40983</v>
      </c>
      <c r="G316" s="8">
        <f>'Data cleaning and validation(3)'!G304</f>
        <v>9</v>
      </c>
      <c r="H316" s="19">
        <f>'Data cleaning and validation(3)'!H304</f>
        <v>76943</v>
      </c>
      <c r="I316" s="8" t="str">
        <f>'Data cleaning and validation(3)'!I304</f>
        <v>General Manager</v>
      </c>
      <c r="J316" s="8" t="str">
        <f>'Data cleaning and validation(3)'!J304</f>
        <v>Nova Scotia</v>
      </c>
      <c r="K316" s="8" t="str">
        <f>'Data cleaning and validation(3)'!K304</f>
        <v>Canada</v>
      </c>
      <c r="L316" s="8" t="str">
        <f>'Data cleaning and validation(3)'!L304</f>
        <v>Electronic Equipment</v>
      </c>
      <c r="M316" s="8" t="str">
        <f>'Data cleaning and validation(3)'!M304</f>
        <v>Active</v>
      </c>
      <c r="N316" s="17">
        <f>'Data cleaning and validation(3)'!N304</f>
        <v>923316</v>
      </c>
      <c r="O316" s="18">
        <f>'Data cleaning and validation(3)'!O304</f>
        <v>7694.3</v>
      </c>
    </row>
    <row r="317" spans="1:15" x14ac:dyDescent="0.35">
      <c r="A317" s="8">
        <f>'Data cleaning and validation(3)'!A305</f>
        <v>304</v>
      </c>
      <c r="B317" s="8" t="str">
        <f>'Data cleaning and validation(3)'!B305</f>
        <v>Mccoy</v>
      </c>
      <c r="C317" s="8" t="str">
        <f>'Data cleaning and validation(3)'!C305</f>
        <v>mmccoy8f@wisc.edu</v>
      </c>
      <c r="D317" s="8" t="str">
        <f>'Data cleaning and validation(3)'!D305</f>
        <v>F</v>
      </c>
      <c r="E317" s="8" t="str">
        <f>'Data cleaning and validation(3)'!E305</f>
        <v>Books</v>
      </c>
      <c r="F317" s="15">
        <f>'Data cleaning and validation(3)'!F305</f>
        <v>43977</v>
      </c>
      <c r="G317" s="8">
        <f>'Data cleaning and validation(3)'!G305</f>
        <v>14</v>
      </c>
      <c r="H317" s="19">
        <f>'Data cleaning and validation(3)'!H305</f>
        <v>77486</v>
      </c>
      <c r="I317" s="8" t="str">
        <f>'Data cleaning and validation(3)'!I305</f>
        <v>Community Outreach Specialist</v>
      </c>
      <c r="J317" s="8" t="str">
        <f>'Data cleaning and validation(3)'!J305</f>
        <v>Southwest</v>
      </c>
      <c r="K317" s="8" t="str">
        <f>'Data cleaning and validation(3)'!K305</f>
        <v>USA</v>
      </c>
      <c r="L317" s="8" t="str">
        <f>'Data cleaning and validation(3)'!L305</f>
        <v>Library</v>
      </c>
      <c r="M317" s="8" t="str">
        <f>'Data cleaning and validation(3)'!M305</f>
        <v>Active</v>
      </c>
      <c r="N317" s="17">
        <f>'Data cleaning and validation(3)'!N305</f>
        <v>929832</v>
      </c>
      <c r="O317" s="18">
        <f>'Data cleaning and validation(3)'!O305</f>
        <v>7748.6</v>
      </c>
    </row>
    <row r="318" spans="1:15" x14ac:dyDescent="0.35">
      <c r="A318" s="8">
        <f>'Data cleaning and validation(3)'!A306</f>
        <v>305</v>
      </c>
      <c r="B318" s="8" t="str">
        <f>'Data cleaning and validation(3)'!B306</f>
        <v>Johnson</v>
      </c>
      <c r="C318" s="8" t="str">
        <f>'Data cleaning and validation(3)'!C306</f>
        <v>fjohnson8g@wikipedia.org</v>
      </c>
      <c r="D318" s="8" t="str">
        <f>'Data cleaning and validation(3)'!D306</f>
        <v>M</v>
      </c>
      <c r="E318" s="8" t="str">
        <f>'Data cleaning and validation(3)'!E306</f>
        <v>Electronics</v>
      </c>
      <c r="F318" s="15">
        <f>'Data cleaning and validation(3)'!F306</f>
        <v>41598</v>
      </c>
      <c r="G318" s="8">
        <f>'Data cleaning and validation(3)'!G306</f>
        <v>8</v>
      </c>
      <c r="H318" s="19">
        <f>'Data cleaning and validation(3)'!H306</f>
        <v>135001</v>
      </c>
      <c r="I318" s="8" t="str">
        <f>'Data cleaning and validation(3)'!I306</f>
        <v>Recruiting Manager</v>
      </c>
      <c r="J318" s="8" t="str">
        <f>'Data cleaning and validation(3)'!J306</f>
        <v>Southwest</v>
      </c>
      <c r="K318" s="8" t="str">
        <f>'Data cleaning and validation(3)'!K306</f>
        <v>USA</v>
      </c>
      <c r="L318" s="8" t="str">
        <f>'Data cleaning and validation(3)'!L306</f>
        <v>Electronic Equipment</v>
      </c>
      <c r="M318" s="8" t="str">
        <f>'Data cleaning and validation(3)'!M306</f>
        <v>Active</v>
      </c>
      <c r="N318" s="17">
        <f>'Data cleaning and validation(3)'!N306</f>
        <v>1620012</v>
      </c>
      <c r="O318" s="18">
        <f>'Data cleaning and validation(3)'!O306</f>
        <v>13500.1</v>
      </c>
    </row>
    <row r="319" spans="1:15" x14ac:dyDescent="0.35">
      <c r="A319" s="8">
        <f>'Data cleaning and validation(3)'!A307</f>
        <v>306</v>
      </c>
      <c r="B319" s="8" t="str">
        <f>'Data cleaning and validation(3)'!B307</f>
        <v>Sanders</v>
      </c>
      <c r="C319" s="8" t="str">
        <f>'Data cleaning and validation(3)'!C307</f>
        <v>ssanders8h@mtv.com</v>
      </c>
      <c r="D319" s="8" t="str">
        <f>'Data cleaning and validation(3)'!D307</f>
        <v>M</v>
      </c>
      <c r="E319" s="8" t="str">
        <f>'Data cleaning and validation(3)'!E307</f>
        <v>Baby</v>
      </c>
      <c r="F319" s="15">
        <f>'Data cleaning and validation(3)'!F307</f>
        <v>39762</v>
      </c>
      <c r="G319" s="8">
        <f>'Data cleaning and validation(3)'!G307</f>
        <v>13</v>
      </c>
      <c r="H319" s="19">
        <f>'Data cleaning and validation(3)'!H307</f>
        <v>52171</v>
      </c>
      <c r="I319" s="8" t="str">
        <f>'Data cleaning and validation(3)'!I307</f>
        <v>Data Coordiator</v>
      </c>
      <c r="J319" s="8" t="str">
        <f>'Data cleaning and validation(3)'!J307</f>
        <v>Southeast</v>
      </c>
      <c r="K319" s="8" t="str">
        <f>'Data cleaning and validation(3)'!K307</f>
        <v>USA</v>
      </c>
      <c r="L319" s="8" t="str">
        <f>'Data cleaning and validation(3)'!L307</f>
        <v>Domestic</v>
      </c>
      <c r="M319" s="8" t="str">
        <f>'Data cleaning and validation(3)'!M307</f>
        <v>Active</v>
      </c>
      <c r="N319" s="17">
        <f>'Data cleaning and validation(3)'!N307</f>
        <v>626052</v>
      </c>
      <c r="O319" s="18">
        <f>'Data cleaning and validation(3)'!O307</f>
        <v>5217.1000000000004</v>
      </c>
    </row>
    <row r="320" spans="1:15" x14ac:dyDescent="0.35">
      <c r="A320" s="8">
        <f>'Data cleaning and validation(3)'!A308</f>
        <v>307</v>
      </c>
      <c r="B320" s="8" t="str">
        <f>'Data cleaning and validation(3)'!B308</f>
        <v>Cunningham</v>
      </c>
      <c r="C320" s="8" t="str">
        <f>'Data cleaning and validation(3)'!C308</f>
        <v>acunningham8i@wikimedia.org</v>
      </c>
      <c r="D320" s="8" t="str">
        <f>'Data cleaning and validation(3)'!D308</f>
        <v>F</v>
      </c>
      <c r="E320" s="8" t="str">
        <f>'Data cleaning and validation(3)'!E308</f>
        <v>Garden</v>
      </c>
      <c r="F320" s="15">
        <f>'Data cleaning and validation(3)'!F308</f>
        <v>38890</v>
      </c>
      <c r="G320" s="8">
        <f>'Data cleaning and validation(3)'!G308</f>
        <v>15</v>
      </c>
      <c r="H320" s="19">
        <f>'Data cleaning and validation(3)'!H308</f>
        <v>139302</v>
      </c>
      <c r="I320" s="8" t="str">
        <f>'Data cleaning and validation(3)'!I308</f>
        <v>Engineer IV</v>
      </c>
      <c r="J320" s="8" t="str">
        <f>'Data cleaning and validation(3)'!J308</f>
        <v>British Columbia</v>
      </c>
      <c r="K320" s="8" t="str">
        <f>'Data cleaning and validation(3)'!K308</f>
        <v>Canada</v>
      </c>
      <c r="L320" s="8" t="str">
        <f>'Data cleaning and validation(3)'!L308</f>
        <v>Outdoors &amp; Garden</v>
      </c>
      <c r="M320" s="8" t="str">
        <f>'Data cleaning and validation(3)'!M308</f>
        <v>Active</v>
      </c>
      <c r="N320" s="17">
        <f>'Data cleaning and validation(3)'!N308</f>
        <v>1671624</v>
      </c>
      <c r="O320" s="18">
        <f>'Data cleaning and validation(3)'!O308</f>
        <v>13930.2</v>
      </c>
    </row>
    <row r="321" spans="1:15" x14ac:dyDescent="0.35">
      <c r="A321" s="8">
        <f>'Data cleaning and validation(3)'!A309</f>
        <v>308</v>
      </c>
      <c r="B321" s="8" t="str">
        <f>'Data cleaning and validation(3)'!B309</f>
        <v>Lynch</v>
      </c>
      <c r="C321" s="8" t="str">
        <f>'Data cleaning and validation(3)'!C309</f>
        <v>slynch8j@123-reg.co.uk</v>
      </c>
      <c r="D321" s="8" t="str">
        <f>'Data cleaning and validation(3)'!D309</f>
        <v>F</v>
      </c>
      <c r="E321" s="8" t="str">
        <f>'Data cleaning and validation(3)'!E309</f>
        <v>Health</v>
      </c>
      <c r="F321" s="15">
        <f>'Data cleaning and validation(3)'!F309</f>
        <v>36747</v>
      </c>
      <c r="G321" s="8">
        <f>'Data cleaning and validation(3)'!G309</f>
        <v>21</v>
      </c>
      <c r="H321" s="19">
        <f>'Data cleaning and validation(3)'!H309</f>
        <v>126683</v>
      </c>
      <c r="I321" s="8" t="str">
        <f>'Data cleaning and validation(3)'!I309</f>
        <v>Librarian</v>
      </c>
      <c r="J321" s="8" t="str">
        <f>'Data cleaning and validation(3)'!J309</f>
        <v>Southwest</v>
      </c>
      <c r="K321" s="8" t="str">
        <f>'Data cleaning and validation(3)'!K309</f>
        <v>USA</v>
      </c>
      <c r="L321" s="8" t="str">
        <f>'Data cleaning and validation(3)'!L309</f>
        <v>Domestic</v>
      </c>
      <c r="M321" s="8" t="str">
        <f>'Data cleaning and validation(3)'!M309</f>
        <v>Active</v>
      </c>
      <c r="N321" s="17">
        <f>'Data cleaning and validation(3)'!N309</f>
        <v>1520196</v>
      </c>
      <c r="O321" s="18">
        <f>'Data cleaning and validation(3)'!O309</f>
        <v>12668.300000000001</v>
      </c>
    </row>
    <row r="322" spans="1:15" x14ac:dyDescent="0.35">
      <c r="A322" s="8">
        <f>'Data cleaning and validation(3)'!A310</f>
        <v>309</v>
      </c>
      <c r="B322" s="8" t="str">
        <f>'Data cleaning and validation(3)'!B310</f>
        <v>Riley</v>
      </c>
      <c r="C322" s="8" t="str">
        <f>'Data cleaning and validation(3)'!C310</f>
        <v>driley8k@dell.com</v>
      </c>
      <c r="D322" s="8" t="str">
        <f>'Data cleaning and validation(3)'!D310</f>
        <v>M</v>
      </c>
      <c r="E322" s="8" t="str">
        <f>'Data cleaning and validation(3)'!E310</f>
        <v>Sports</v>
      </c>
      <c r="F322" s="15">
        <f>'Data cleaning and validation(3)'!F310</f>
        <v>38902</v>
      </c>
      <c r="G322" s="8">
        <f>'Data cleaning and validation(3)'!G310</f>
        <v>15</v>
      </c>
      <c r="H322" s="19">
        <f>'Data cleaning and validation(3)'!H310</f>
        <v>143781</v>
      </c>
      <c r="I322" s="8" t="str">
        <f>'Data cleaning and validation(3)'!I310</f>
        <v>Product Engineer</v>
      </c>
      <c r="J322" s="8" t="str">
        <f>'Data cleaning and validation(3)'!J310</f>
        <v>Southwest</v>
      </c>
      <c r="K322" s="8" t="str">
        <f>'Data cleaning and validation(3)'!K310</f>
        <v>USA</v>
      </c>
      <c r="L322" s="8" t="str">
        <f>'Data cleaning and validation(3)'!L310</f>
        <v>Games &amp; Sports</v>
      </c>
      <c r="M322" s="8" t="str">
        <f>'Data cleaning and validation(3)'!M310</f>
        <v>Active</v>
      </c>
      <c r="N322" s="17">
        <f>'Data cleaning and validation(3)'!N310</f>
        <v>1725372</v>
      </c>
      <c r="O322" s="18">
        <f>'Data cleaning and validation(3)'!O310</f>
        <v>14378.1</v>
      </c>
    </row>
    <row r="323" spans="1:15" x14ac:dyDescent="0.35">
      <c r="A323" s="8">
        <f>'Data cleaning and validation(3)'!A311</f>
        <v>310</v>
      </c>
      <c r="B323" s="8" t="str">
        <f>'Data cleaning and validation(3)'!B311</f>
        <v>Ray</v>
      </c>
      <c r="C323" s="8" t="str">
        <f>'Data cleaning and validation(3)'!C311</f>
        <v>aray8l@cbc.ca</v>
      </c>
      <c r="D323" s="8" t="str">
        <f>'Data cleaning and validation(3)'!D311</f>
        <v>M</v>
      </c>
      <c r="E323" s="8" t="str">
        <f>'Data cleaning and validation(3)'!E311</f>
        <v>Books</v>
      </c>
      <c r="F323" s="15">
        <f>'Data cleaning and validation(3)'!F311</f>
        <v>39512</v>
      </c>
      <c r="G323" s="8">
        <f>'Data cleaning and validation(3)'!G311</f>
        <v>13</v>
      </c>
      <c r="H323" s="19">
        <f>'Data cleaning and validation(3)'!H311</f>
        <v>51761</v>
      </c>
      <c r="I323" s="8" t="str">
        <f>'Data cleaning and validation(3)'!I311</f>
        <v>Cost Accountant</v>
      </c>
      <c r="J323" s="8" t="str">
        <f>'Data cleaning and validation(3)'!J311</f>
        <v>British Columbia</v>
      </c>
      <c r="K323" s="8" t="str">
        <f>'Data cleaning and validation(3)'!K311</f>
        <v>Canada</v>
      </c>
      <c r="L323" s="8" t="str">
        <f>'Data cleaning and validation(3)'!L311</f>
        <v>Library</v>
      </c>
      <c r="M323" s="8" t="str">
        <f>'Data cleaning and validation(3)'!M311</f>
        <v>Active</v>
      </c>
      <c r="N323" s="17">
        <f>'Data cleaning and validation(3)'!N311</f>
        <v>621132</v>
      </c>
      <c r="O323" s="18">
        <f>'Data cleaning and validation(3)'!O311</f>
        <v>5176.1000000000004</v>
      </c>
    </row>
    <row r="324" spans="1:15" x14ac:dyDescent="0.35">
      <c r="A324" s="8">
        <f>'Data cleaning and validation(3)'!A312</f>
        <v>311</v>
      </c>
      <c r="B324" s="8" t="str">
        <f>'Data cleaning and validation(3)'!B312</f>
        <v>Lane</v>
      </c>
      <c r="C324" s="8" t="str">
        <f>'Data cleaning and validation(3)'!C312</f>
        <v>plane8m@pbs.org</v>
      </c>
      <c r="D324" s="8" t="str">
        <f>'Data cleaning and validation(3)'!D312</f>
        <v>M</v>
      </c>
      <c r="E324" s="8" t="str">
        <f>'Data cleaning and validation(3)'!E312</f>
        <v>Shoes</v>
      </c>
      <c r="F324" s="15">
        <f>'Data cleaning and validation(3)'!F312</f>
        <v>40689</v>
      </c>
      <c r="G324" s="8">
        <f>'Data cleaning and validation(3)'!G312</f>
        <v>10</v>
      </c>
      <c r="H324" s="19">
        <f>'Data cleaning and validation(3)'!H312</f>
        <v>45463</v>
      </c>
      <c r="I324" s="8" t="str">
        <f>'Data cleaning and validation(3)'!I312</f>
        <v>Marketing Manager</v>
      </c>
      <c r="J324" s="8" t="str">
        <f>'Data cleaning and validation(3)'!J312</f>
        <v>British Columbia</v>
      </c>
      <c r="K324" s="8" t="str">
        <f>'Data cleaning and validation(3)'!K312</f>
        <v>Canada</v>
      </c>
      <c r="L324" s="8" t="str">
        <f>'Data cleaning and validation(3)'!L312</f>
        <v>Domestic</v>
      </c>
      <c r="M324" s="8" t="str">
        <f>'Data cleaning and validation(3)'!M312</f>
        <v>Active</v>
      </c>
      <c r="N324" s="17">
        <f>'Data cleaning and validation(3)'!N312</f>
        <v>545556</v>
      </c>
      <c r="O324" s="18">
        <f>'Data cleaning and validation(3)'!O312</f>
        <v>4546.3</v>
      </c>
    </row>
    <row r="325" spans="1:15" x14ac:dyDescent="0.35">
      <c r="A325" s="8">
        <f>'Data cleaning and validation(3)'!A313</f>
        <v>312</v>
      </c>
      <c r="B325" s="8" t="str">
        <f>'Data cleaning and validation(3)'!B313</f>
        <v>Jordan</v>
      </c>
      <c r="C325" s="8" t="str">
        <f>'Data cleaning and validation(3)'!C313</f>
        <v>pjordan8n@adobe.com</v>
      </c>
      <c r="D325" s="8" t="str">
        <f>'Data cleaning and validation(3)'!D313</f>
        <v>F</v>
      </c>
      <c r="E325" s="8" t="str">
        <f>'Data cleaning and validation(3)'!E313</f>
        <v>Clothing</v>
      </c>
      <c r="F325" s="15">
        <f>'Data cleaning and validation(3)'!F313</f>
        <v>37940</v>
      </c>
      <c r="G325" s="8">
        <f>'Data cleaning and validation(3)'!G313</f>
        <v>18</v>
      </c>
      <c r="H325" s="19">
        <f>'Data cleaning and validation(3)'!H313</f>
        <v>133498</v>
      </c>
      <c r="I325" s="8" t="str">
        <f>'Data cleaning and validation(3)'!I313</f>
        <v>Nuclear Power Engineer</v>
      </c>
      <c r="J325" s="8" t="str">
        <f>'Data cleaning and validation(3)'!J313</f>
        <v>Nova Scotia</v>
      </c>
      <c r="K325" s="8" t="str">
        <f>'Data cleaning and validation(3)'!K313</f>
        <v>Canada</v>
      </c>
      <c r="L325" s="8" t="str">
        <f>'Data cleaning and validation(3)'!L313</f>
        <v>Domestic</v>
      </c>
      <c r="M325" s="8" t="str">
        <f>'Data cleaning and validation(3)'!M313</f>
        <v>Active</v>
      </c>
      <c r="N325" s="17">
        <f>'Data cleaning and validation(3)'!N313</f>
        <v>1601976</v>
      </c>
      <c r="O325" s="18">
        <f>'Data cleaning and validation(3)'!O313</f>
        <v>13349.800000000001</v>
      </c>
    </row>
    <row r="326" spans="1:15" x14ac:dyDescent="0.35">
      <c r="A326" s="8">
        <f>'Data cleaning and validation(3)'!A314</f>
        <v>313</v>
      </c>
      <c r="B326" s="8" t="str">
        <f>'Data cleaning and validation(3)'!B314</f>
        <v>Gibson</v>
      </c>
      <c r="C326" s="8" t="str">
        <f>'Data cleaning and validation(3)'!C314</f>
        <v>bgibson8o@pen.io</v>
      </c>
      <c r="D326" s="8" t="str">
        <f>'Data cleaning and validation(3)'!D314</f>
        <v>F</v>
      </c>
      <c r="E326" s="8" t="str">
        <f>'Data cleaning and validation(3)'!E314</f>
        <v>Home</v>
      </c>
      <c r="F326" s="15">
        <f>'Data cleaning and validation(3)'!F314</f>
        <v>45372</v>
      </c>
      <c r="G326" s="8">
        <f>'Data cleaning and validation(3)'!G314</f>
        <v>10</v>
      </c>
      <c r="H326" s="19">
        <f>'Data cleaning and validation(3)'!H314</f>
        <v>81273</v>
      </c>
      <c r="I326" s="8" t="str">
        <f>'Data cleaning and validation(3)'!I314</f>
        <v>Health Coach II</v>
      </c>
      <c r="J326" s="8" t="str">
        <f>'Data cleaning and validation(3)'!J314</f>
        <v>Southwest</v>
      </c>
      <c r="K326" s="8" t="str">
        <f>'Data cleaning and validation(3)'!K314</f>
        <v>USA</v>
      </c>
      <c r="L326" s="8" t="str">
        <f>'Data cleaning and validation(3)'!L314</f>
        <v>Domestic</v>
      </c>
      <c r="M326" s="8" t="str">
        <f>'Data cleaning and validation(3)'!M314</f>
        <v>Active</v>
      </c>
      <c r="N326" s="17">
        <f>'Data cleaning and validation(3)'!N314</f>
        <v>975276</v>
      </c>
      <c r="O326" s="18">
        <f>'Data cleaning and validation(3)'!O314</f>
        <v>8127.3</v>
      </c>
    </row>
    <row r="327" spans="1:15" x14ac:dyDescent="0.35">
      <c r="A327" s="8">
        <f>'Data cleaning and validation(3)'!A315</f>
        <v>314</v>
      </c>
      <c r="B327" s="8" t="str">
        <f>'Data cleaning and validation(3)'!B315</f>
        <v>Elliott</v>
      </c>
      <c r="C327" s="8" t="str">
        <f>'Data cleaning and validation(3)'!C315</f>
        <v>telliott8p@mozilla.org</v>
      </c>
      <c r="D327" s="8" t="str">
        <f>'Data cleaning and validation(3)'!D315</f>
        <v>M</v>
      </c>
      <c r="E327" s="8" t="str">
        <f>'Data cleaning and validation(3)'!E315</f>
        <v>Computers</v>
      </c>
      <c r="F327" s="15">
        <f>'Data cleaning and validation(3)'!F315</f>
        <v>39505</v>
      </c>
      <c r="G327" s="8">
        <f>'Data cleaning and validation(3)'!G315</f>
        <v>13</v>
      </c>
      <c r="H327" s="19">
        <f>'Data cleaning and validation(3)'!H315</f>
        <v>77921</v>
      </c>
      <c r="I327" s="8" t="str">
        <f>'Data cleaning and validation(3)'!I315</f>
        <v>Environmental Specialist</v>
      </c>
      <c r="J327" s="8" t="str">
        <f>'Data cleaning and validation(3)'!J315</f>
        <v>Nova Scotia</v>
      </c>
      <c r="K327" s="8" t="str">
        <f>'Data cleaning and validation(3)'!K315</f>
        <v>Canada</v>
      </c>
      <c r="L327" s="8" t="str">
        <f>'Data cleaning and validation(3)'!L315</f>
        <v>Electronic Equipment</v>
      </c>
      <c r="M327" s="8" t="str">
        <f>'Data cleaning and validation(3)'!M315</f>
        <v>Active</v>
      </c>
      <c r="N327" s="17">
        <f>'Data cleaning and validation(3)'!N315</f>
        <v>935052</v>
      </c>
      <c r="O327" s="18">
        <f>'Data cleaning and validation(3)'!O315</f>
        <v>7792.1</v>
      </c>
    </row>
    <row r="328" spans="1:15" x14ac:dyDescent="0.35">
      <c r="A328" s="8">
        <f>'Data cleaning and validation(3)'!A316</f>
        <v>315</v>
      </c>
      <c r="B328" s="8" t="str">
        <f>'Data cleaning and validation(3)'!B316</f>
        <v>Smith</v>
      </c>
      <c r="C328" s="8" t="str">
        <f>'Data cleaning and validation(3)'!C316</f>
        <v>bsmith8q@mysql.com</v>
      </c>
      <c r="D328" s="8" t="str">
        <f>'Data cleaning and validation(3)'!D316</f>
        <v>M</v>
      </c>
      <c r="E328" s="8" t="str">
        <f>'Data cleaning and validation(3)'!E316</f>
        <v>Games</v>
      </c>
      <c r="F328" s="15">
        <f>'Data cleaning and validation(3)'!F316</f>
        <v>41115</v>
      </c>
      <c r="G328" s="8">
        <f>'Data cleaning and validation(3)'!G316</f>
        <v>9</v>
      </c>
      <c r="H328" s="19">
        <f>'Data cleaning and validation(3)'!H316</f>
        <v>59580</v>
      </c>
      <c r="I328" s="8" t="str">
        <f>'Data cleaning and validation(3)'!I316</f>
        <v>General Manager</v>
      </c>
      <c r="J328" s="8" t="str">
        <f>'Data cleaning and validation(3)'!J316</f>
        <v>Southeast</v>
      </c>
      <c r="K328" s="8" t="str">
        <f>'Data cleaning and validation(3)'!K316</f>
        <v>USA</v>
      </c>
      <c r="L328" s="8" t="str">
        <f>'Data cleaning and validation(3)'!L316</f>
        <v>Domestic</v>
      </c>
      <c r="M328" s="8" t="str">
        <f>'Data cleaning and validation(3)'!M316</f>
        <v>Active</v>
      </c>
      <c r="N328" s="17">
        <f>'Data cleaning and validation(3)'!N316</f>
        <v>714960</v>
      </c>
      <c r="O328" s="18">
        <f>'Data cleaning and validation(3)'!O316</f>
        <v>5958</v>
      </c>
    </row>
    <row r="329" spans="1:15" x14ac:dyDescent="0.35">
      <c r="A329" s="8">
        <f>'Data cleaning and validation(3)'!A317</f>
        <v>316</v>
      </c>
      <c r="B329" s="8" t="str">
        <f>'Data cleaning and validation(3)'!B317</f>
        <v>Peters</v>
      </c>
      <c r="C329" s="8" t="str">
        <f>'Data cleaning and validation(3)'!C317</f>
        <v>cpeters8r@epa.gov</v>
      </c>
      <c r="D329" s="8" t="str">
        <f>'Data cleaning and validation(3)'!D317</f>
        <v>M</v>
      </c>
      <c r="E329" s="8" t="str">
        <f>'Data cleaning and validation(3)'!E317</f>
        <v>Sports</v>
      </c>
      <c r="F329" s="15">
        <f>'Data cleaning and validation(3)'!F317</f>
        <v>40437</v>
      </c>
      <c r="G329" s="8">
        <f>'Data cleaning and validation(3)'!G317</f>
        <v>11</v>
      </c>
      <c r="H329" s="19">
        <f>'Data cleaning and validation(3)'!H317</f>
        <v>40418</v>
      </c>
      <c r="I329" s="8" t="str">
        <f>'Data cleaning and validation(3)'!I317</f>
        <v>VP Marketing</v>
      </c>
      <c r="J329" s="8" t="str">
        <f>'Data cleaning and validation(3)'!J317</f>
        <v>Southeast</v>
      </c>
      <c r="K329" s="8" t="str">
        <f>'Data cleaning and validation(3)'!K317</f>
        <v>USA</v>
      </c>
      <c r="L329" s="8" t="str">
        <f>'Data cleaning and validation(3)'!L317</f>
        <v>Games &amp; Sports</v>
      </c>
      <c r="M329" s="8" t="str">
        <f>'Data cleaning and validation(3)'!M317</f>
        <v>Active</v>
      </c>
      <c r="N329" s="17">
        <f>'Data cleaning and validation(3)'!N317</f>
        <v>485016</v>
      </c>
      <c r="O329" s="18">
        <f>'Data cleaning and validation(3)'!O317</f>
        <v>4041.8</v>
      </c>
    </row>
    <row r="330" spans="1:15" x14ac:dyDescent="0.35">
      <c r="A330" s="8">
        <f>'Data cleaning and validation(3)'!A318</f>
        <v>317</v>
      </c>
      <c r="B330" s="8" t="str">
        <f>'Data cleaning and validation(3)'!B318</f>
        <v>Tucker</v>
      </c>
      <c r="C330" s="8" t="str">
        <f>'Data cleaning and validation(3)'!C318</f>
        <v>htucker8s@photobucket.com</v>
      </c>
      <c r="D330" s="8" t="str">
        <f>'Data cleaning and validation(3)'!D318</f>
        <v>M</v>
      </c>
      <c r="E330" s="8" t="str">
        <f>'Data cleaning and validation(3)'!E318</f>
        <v>Grocery</v>
      </c>
      <c r="F330" s="15">
        <f>'Data cleaning and validation(3)'!F318</f>
        <v>38204</v>
      </c>
      <c r="G330" s="8">
        <f>'Data cleaning and validation(3)'!G318</f>
        <v>17</v>
      </c>
      <c r="H330" s="19">
        <f>'Data cleaning and validation(3)'!H318</f>
        <v>104844</v>
      </c>
      <c r="I330" s="8" t="str">
        <f>'Data cleaning and validation(3)'!I318</f>
        <v>Structural Analysis Engineer</v>
      </c>
      <c r="J330" s="8" t="str">
        <f>'Data cleaning and validation(3)'!J318</f>
        <v>Northwest</v>
      </c>
      <c r="K330" s="8" t="str">
        <f>'Data cleaning and validation(3)'!K318</f>
        <v>USA</v>
      </c>
      <c r="L330" s="8" t="str">
        <f>'Data cleaning and validation(3)'!L318</f>
        <v>Domestic</v>
      </c>
      <c r="M330" s="8" t="str">
        <f>'Data cleaning and validation(3)'!M318</f>
        <v>Active</v>
      </c>
      <c r="N330" s="17">
        <f>'Data cleaning and validation(3)'!N318</f>
        <v>1258128</v>
      </c>
      <c r="O330" s="18">
        <f>'Data cleaning and validation(3)'!O318</f>
        <v>10484.400000000001</v>
      </c>
    </row>
    <row r="331" spans="1:15" x14ac:dyDescent="0.35">
      <c r="A331" s="8">
        <f>'Data cleaning and validation(3)'!A319</f>
        <v>318</v>
      </c>
      <c r="B331" s="8" t="str">
        <f>'Data cleaning and validation(3)'!B319</f>
        <v>Moore</v>
      </c>
      <c r="C331" s="8" t="str">
        <f>'Data cleaning and validation(3)'!C319</f>
        <v>jmoore8t@umich.edu</v>
      </c>
      <c r="D331" s="8" t="str">
        <f>'Data cleaning and validation(3)'!D319</f>
        <v>M</v>
      </c>
      <c r="E331" s="8" t="str">
        <f>'Data cleaning and validation(3)'!E319</f>
        <v>Computers</v>
      </c>
      <c r="F331" s="15">
        <f>'Data cleaning and validation(3)'!F319</f>
        <v>37738</v>
      </c>
      <c r="G331" s="8">
        <f>'Data cleaning and validation(3)'!G319</f>
        <v>18</v>
      </c>
      <c r="H331" s="19">
        <f>'Data cleaning and validation(3)'!H319</f>
        <v>139304</v>
      </c>
      <c r="I331" s="8" t="str">
        <f>'Data cleaning and validation(3)'!I319</f>
        <v>Help Desk Technician</v>
      </c>
      <c r="J331" s="8" t="str">
        <f>'Data cleaning and validation(3)'!J319</f>
        <v>Northwest</v>
      </c>
      <c r="K331" s="8" t="str">
        <f>'Data cleaning and validation(3)'!K319</f>
        <v>USA</v>
      </c>
      <c r="L331" s="8" t="str">
        <f>'Data cleaning and validation(3)'!L319</f>
        <v>Electronic Equipment</v>
      </c>
      <c r="M331" s="8" t="str">
        <f>'Data cleaning and validation(3)'!M319</f>
        <v>Active</v>
      </c>
      <c r="N331" s="17">
        <f>'Data cleaning and validation(3)'!N319</f>
        <v>1671648</v>
      </c>
      <c r="O331" s="18">
        <f>'Data cleaning and validation(3)'!O319</f>
        <v>13930.400000000001</v>
      </c>
    </row>
    <row r="332" spans="1:15" x14ac:dyDescent="0.35">
      <c r="A332" s="8">
        <f>'Data cleaning and validation(3)'!A320</f>
        <v>319</v>
      </c>
      <c r="B332" s="8" t="str">
        <f>'Data cleaning and validation(3)'!B320</f>
        <v>Crawford</v>
      </c>
      <c r="C332" s="8" t="str">
        <f>'Data cleaning and validation(3)'!C320</f>
        <v>mcrawford8u@parallels.com</v>
      </c>
      <c r="D332" s="8" t="str">
        <f>'Data cleaning and validation(3)'!D320</f>
        <v>F</v>
      </c>
      <c r="E332" s="8" t="str">
        <f>'Data cleaning and validation(3)'!E320</f>
        <v>Home</v>
      </c>
      <c r="F332" s="15">
        <f>'Data cleaning and validation(3)'!F320</f>
        <v>45646</v>
      </c>
      <c r="G332" s="8">
        <f>'Data cleaning and validation(3)'!G320</f>
        <v>10</v>
      </c>
      <c r="H332" s="19">
        <f>'Data cleaning and validation(3)'!H320</f>
        <v>140996</v>
      </c>
      <c r="I332" s="8" t="str">
        <f>'Data cleaning and validation(3)'!I320</f>
        <v>Software Engineer IV</v>
      </c>
      <c r="J332" s="8" t="str">
        <f>'Data cleaning and validation(3)'!J320</f>
        <v>Northwest</v>
      </c>
      <c r="K332" s="8" t="str">
        <f>'Data cleaning and validation(3)'!K320</f>
        <v>USA</v>
      </c>
      <c r="L332" s="8" t="str">
        <f>'Data cleaning and validation(3)'!L320</f>
        <v>Domestic</v>
      </c>
      <c r="M332" s="8" t="str">
        <f>'Data cleaning and validation(3)'!M320</f>
        <v>Active</v>
      </c>
      <c r="N332" s="17">
        <f>'Data cleaning and validation(3)'!N320</f>
        <v>1691952</v>
      </c>
      <c r="O332" s="18">
        <f>'Data cleaning and validation(3)'!O320</f>
        <v>14099.6</v>
      </c>
    </row>
    <row r="333" spans="1:15" x14ac:dyDescent="0.35">
      <c r="A333" s="8">
        <f>'Data cleaning and validation(3)'!A321</f>
        <v>320</v>
      </c>
      <c r="B333" s="8" t="str">
        <f>'Data cleaning and validation(3)'!B321</f>
        <v>Gilbert</v>
      </c>
      <c r="C333" s="8" t="str">
        <f>'Data cleaning and validation(3)'!C321</f>
        <v>egilbert8v@nydailynews.com</v>
      </c>
      <c r="D333" s="8" t="str">
        <f>'Data cleaning and validation(3)'!D321</f>
        <v>M</v>
      </c>
      <c r="E333" s="8" t="str">
        <f>'Data cleaning and validation(3)'!E321</f>
        <v>Garden</v>
      </c>
      <c r="F333" s="15">
        <f>'Data cleaning and validation(3)'!F321</f>
        <v>40280</v>
      </c>
      <c r="G333" s="8">
        <f>'Data cleaning and validation(3)'!G321</f>
        <v>11</v>
      </c>
      <c r="H333" s="19">
        <f>'Data cleaning and validation(3)'!H321</f>
        <v>52430</v>
      </c>
      <c r="I333" s="8" t="str">
        <f>'Data cleaning and validation(3)'!I321</f>
        <v>Assistant Media Planner</v>
      </c>
      <c r="J333" s="8" t="str">
        <f>'Data cleaning and validation(3)'!J321</f>
        <v>British Columbia</v>
      </c>
      <c r="K333" s="8" t="str">
        <f>'Data cleaning and validation(3)'!K321</f>
        <v>Canada</v>
      </c>
      <c r="L333" s="8" t="str">
        <f>'Data cleaning and validation(3)'!L321</f>
        <v>Outdoors &amp; Garden</v>
      </c>
      <c r="M333" s="8" t="str">
        <f>'Data cleaning and validation(3)'!M321</f>
        <v>On Leave</v>
      </c>
      <c r="N333" s="17">
        <f>'Data cleaning and validation(3)'!N321</f>
        <v>629160</v>
      </c>
      <c r="O333" s="18">
        <f>'Data cleaning and validation(3)'!O321</f>
        <v>5243</v>
      </c>
    </row>
    <row r="334" spans="1:15" x14ac:dyDescent="0.35">
      <c r="A334" s="8">
        <f>'Data cleaning and validation(3)'!A322</f>
        <v>321</v>
      </c>
      <c r="B334" s="8" t="str">
        <f>'Data cleaning and validation(3)'!B322</f>
        <v>Wheeler</v>
      </c>
      <c r="C334" s="8" t="str">
        <f>'Data cleaning and validation(3)'!C322</f>
        <v>jwheeler8w@whitehouse.gov</v>
      </c>
      <c r="D334" s="8" t="str">
        <f>'Data cleaning and validation(3)'!D322</f>
        <v>F</v>
      </c>
      <c r="E334" s="8" t="str">
        <f>'Data cleaning and validation(3)'!E322</f>
        <v>Books</v>
      </c>
      <c r="F334" s="15">
        <f>'Data cleaning and validation(3)'!F322</f>
        <v>37127</v>
      </c>
      <c r="G334" s="8">
        <f>'Data cleaning and validation(3)'!G322</f>
        <v>20</v>
      </c>
      <c r="H334" s="19">
        <f>'Data cleaning and validation(3)'!H322</f>
        <v>145284</v>
      </c>
      <c r="I334" s="8" t="str">
        <f>'Data cleaning and validation(3)'!I322</f>
        <v>Information Systems Manager</v>
      </c>
      <c r="J334" s="8" t="str">
        <f>'Data cleaning and validation(3)'!J322</f>
        <v>Nova Scotia</v>
      </c>
      <c r="K334" s="8" t="str">
        <f>'Data cleaning and validation(3)'!K322</f>
        <v>Canada</v>
      </c>
      <c r="L334" s="8" t="str">
        <f>'Data cleaning and validation(3)'!L322</f>
        <v>Library</v>
      </c>
      <c r="M334" s="8" t="str">
        <f>'Data cleaning and validation(3)'!M322</f>
        <v>On Leave</v>
      </c>
      <c r="N334" s="17">
        <f>'Data cleaning and validation(3)'!N322</f>
        <v>1743408</v>
      </c>
      <c r="O334" s="18">
        <f>'Data cleaning and validation(3)'!O322</f>
        <v>14528.400000000001</v>
      </c>
    </row>
    <row r="335" spans="1:15" x14ac:dyDescent="0.35">
      <c r="A335" s="8">
        <f>'Data cleaning and validation(3)'!A323</f>
        <v>322</v>
      </c>
      <c r="B335" s="8" t="str">
        <f>'Data cleaning and validation(3)'!B323</f>
        <v>Marshall</v>
      </c>
      <c r="C335" s="8" t="str">
        <f>'Data cleaning and validation(3)'!C323</f>
        <v>jmarshall8x@va.gov</v>
      </c>
      <c r="D335" s="8" t="str">
        <f>'Data cleaning and validation(3)'!D323</f>
        <v>M</v>
      </c>
      <c r="E335" s="8" t="str">
        <f>'Data cleaning and validation(3)'!E323</f>
        <v>Computers</v>
      </c>
      <c r="F335" s="15">
        <f>'Data cleaning and validation(3)'!F323</f>
        <v>41585</v>
      </c>
      <c r="G335" s="8">
        <f>'Data cleaning and validation(3)'!G323</f>
        <v>8</v>
      </c>
      <c r="H335" s="19">
        <f>'Data cleaning and validation(3)'!H323</f>
        <v>66063</v>
      </c>
      <c r="I335" s="8" t="str">
        <f>'Data cleaning and validation(3)'!I323</f>
        <v>Web Designer III</v>
      </c>
      <c r="J335" s="8" t="str">
        <f>'Data cleaning and validation(3)'!J323</f>
        <v>Southeast</v>
      </c>
      <c r="K335" s="8" t="str">
        <f>'Data cleaning and validation(3)'!K323</f>
        <v>USA</v>
      </c>
      <c r="L335" s="8" t="str">
        <f>'Data cleaning and validation(3)'!L323</f>
        <v>Electronic Equipment</v>
      </c>
      <c r="M335" s="8" t="str">
        <f>'Data cleaning and validation(3)'!M323</f>
        <v>On Leave</v>
      </c>
      <c r="N335" s="17">
        <f>'Data cleaning and validation(3)'!N323</f>
        <v>792756</v>
      </c>
      <c r="O335" s="18">
        <f>'Data cleaning and validation(3)'!O323</f>
        <v>6606.3</v>
      </c>
    </row>
    <row r="336" spans="1:15" x14ac:dyDescent="0.35">
      <c r="A336" s="8">
        <f>'Data cleaning and validation(3)'!A324</f>
        <v>323</v>
      </c>
      <c r="B336" s="8" t="str">
        <f>'Data cleaning and validation(3)'!B324</f>
        <v>Robinson</v>
      </c>
      <c r="C336" s="8" t="str">
        <f>'Data cleaning and validation(3)'!C324</f>
        <v>rrobinson8y@businessinsider.com</v>
      </c>
      <c r="D336" s="8" t="str">
        <f>'Data cleaning and validation(3)'!D324</f>
        <v>M</v>
      </c>
      <c r="E336" s="8" t="str">
        <f>'Data cleaning and validation(3)'!E324</f>
        <v>Electronics</v>
      </c>
      <c r="F336" s="15">
        <f>'Data cleaning and validation(3)'!F324</f>
        <v>39548</v>
      </c>
      <c r="G336" s="8">
        <f>'Data cleaning and validation(3)'!G324</f>
        <v>13</v>
      </c>
      <c r="H336" s="19">
        <f>'Data cleaning and validation(3)'!H324</f>
        <v>134422</v>
      </c>
      <c r="I336" s="8" t="str">
        <f>'Data cleaning and validation(3)'!I324</f>
        <v>Occupational Therapist</v>
      </c>
      <c r="J336" s="8" t="str">
        <f>'Data cleaning and validation(3)'!J324</f>
        <v>Southwest</v>
      </c>
      <c r="K336" s="8" t="str">
        <f>'Data cleaning and validation(3)'!K324</f>
        <v>USA</v>
      </c>
      <c r="L336" s="8" t="str">
        <f>'Data cleaning and validation(3)'!L324</f>
        <v>Electronic Equipment</v>
      </c>
      <c r="M336" s="8" t="str">
        <f>'Data cleaning and validation(3)'!M324</f>
        <v>On Leave</v>
      </c>
      <c r="N336" s="17">
        <f>'Data cleaning and validation(3)'!N324</f>
        <v>1613064</v>
      </c>
      <c r="O336" s="18">
        <f>'Data cleaning and validation(3)'!O324</f>
        <v>13442.2</v>
      </c>
    </row>
    <row r="337" spans="1:15" x14ac:dyDescent="0.35">
      <c r="A337" s="8">
        <f>'Data cleaning and validation(3)'!A325</f>
        <v>324</v>
      </c>
      <c r="B337" s="8" t="str">
        <f>'Data cleaning and validation(3)'!B325</f>
        <v>Stevens</v>
      </c>
      <c r="C337" s="8" t="str">
        <f>'Data cleaning and validation(3)'!C325</f>
        <v>astevens8z@si.edu</v>
      </c>
      <c r="D337" s="8" t="str">
        <f>'Data cleaning and validation(3)'!D325</f>
        <v>F</v>
      </c>
      <c r="E337" s="8" t="str">
        <f>'Data cleaning and validation(3)'!E325</f>
        <v>Computers</v>
      </c>
      <c r="F337" s="15">
        <f>'Data cleaning and validation(3)'!F325</f>
        <v>45796</v>
      </c>
      <c r="G337" s="8">
        <f>'Data cleaning and validation(3)'!G325</f>
        <v>9</v>
      </c>
      <c r="H337" s="19">
        <f>'Data cleaning and validation(3)'!H325</f>
        <v>106229</v>
      </c>
      <c r="I337" s="8" t="str">
        <f>'Data cleaning and validation(3)'!I325</f>
        <v>Research Associate</v>
      </c>
      <c r="J337" s="8" t="str">
        <f>'Data cleaning and validation(3)'!J325</f>
        <v>Southwest</v>
      </c>
      <c r="K337" s="8" t="str">
        <f>'Data cleaning and validation(3)'!K325</f>
        <v>USA</v>
      </c>
      <c r="L337" s="8" t="str">
        <f>'Data cleaning and validation(3)'!L325</f>
        <v>Electronic Equipment</v>
      </c>
      <c r="M337" s="8" t="str">
        <f>'Data cleaning and validation(3)'!M325</f>
        <v>On Leave</v>
      </c>
      <c r="N337" s="17">
        <f>'Data cleaning and validation(3)'!N325</f>
        <v>1274748</v>
      </c>
      <c r="O337" s="18">
        <f>'Data cleaning and validation(3)'!O325</f>
        <v>10622.900000000001</v>
      </c>
    </row>
    <row r="338" spans="1:15" x14ac:dyDescent="0.35">
      <c r="A338" s="8">
        <f>'Data cleaning and validation(3)'!A326</f>
        <v>325</v>
      </c>
      <c r="B338" s="8" t="str">
        <f>'Data cleaning and validation(3)'!B326</f>
        <v>Wright</v>
      </c>
      <c r="C338" s="8" t="str">
        <f>'Data cleaning and validation(3)'!C326</f>
        <v>kwright90@buzzfeed.com</v>
      </c>
      <c r="D338" s="8" t="str">
        <f>'Data cleaning and validation(3)'!D326</f>
        <v>F</v>
      </c>
      <c r="E338" s="8" t="str">
        <f>'Data cleaning and validation(3)'!E326</f>
        <v>Clothing</v>
      </c>
      <c r="F338" s="15">
        <f>'Data cleaning and validation(3)'!F326</f>
        <v>45790</v>
      </c>
      <c r="G338" s="8">
        <f>'Data cleaning and validation(3)'!G326</f>
        <v>9</v>
      </c>
      <c r="H338" s="19">
        <f>'Data cleaning and validation(3)'!H326</f>
        <v>107727</v>
      </c>
      <c r="I338" s="8" t="str">
        <f>'Data cleaning and validation(3)'!I326</f>
        <v>Computer Systems Analyst I</v>
      </c>
      <c r="J338" s="8" t="str">
        <f>'Data cleaning and validation(3)'!J326</f>
        <v>Southeast</v>
      </c>
      <c r="K338" s="8" t="str">
        <f>'Data cleaning and validation(3)'!K326</f>
        <v>USA</v>
      </c>
      <c r="L338" s="8" t="str">
        <f>'Data cleaning and validation(3)'!L326</f>
        <v>Domestic</v>
      </c>
      <c r="M338" s="8" t="str">
        <f>'Data cleaning and validation(3)'!M326</f>
        <v>On Leave</v>
      </c>
      <c r="N338" s="17">
        <f>'Data cleaning and validation(3)'!N326</f>
        <v>1292724</v>
      </c>
      <c r="O338" s="18">
        <f>'Data cleaning and validation(3)'!O326</f>
        <v>10772.7</v>
      </c>
    </row>
    <row r="339" spans="1:15" x14ac:dyDescent="0.35">
      <c r="A339" s="8">
        <f>'Data cleaning and validation(3)'!A327</f>
        <v>326</v>
      </c>
      <c r="B339" s="8" t="str">
        <f>'Data cleaning and validation(3)'!B327</f>
        <v>Castillo</v>
      </c>
      <c r="C339" s="8" t="str">
        <f>'Data cleaning and validation(3)'!C327</f>
        <v>bcastillo91@hc360.com</v>
      </c>
      <c r="D339" s="8" t="str">
        <f>'Data cleaning and validation(3)'!D327</f>
        <v>F</v>
      </c>
      <c r="E339" s="8" t="str">
        <f>'Data cleaning and validation(3)'!E327</f>
        <v>Jewelery</v>
      </c>
      <c r="F339" s="15">
        <f>'Data cleaning and validation(3)'!F327</f>
        <v>44177</v>
      </c>
      <c r="G339" s="8">
        <f>'Data cleaning and validation(3)'!G327</f>
        <v>14</v>
      </c>
      <c r="H339" s="19">
        <f>'Data cleaning and validation(3)'!H327</f>
        <v>130188</v>
      </c>
      <c r="I339" s="8" t="str">
        <f>'Data cleaning and validation(3)'!I327</f>
        <v>Social Worker</v>
      </c>
      <c r="J339" s="8" t="str">
        <f>'Data cleaning and validation(3)'!J327</f>
        <v>Northwest</v>
      </c>
      <c r="K339" s="8" t="str">
        <f>'Data cleaning and validation(3)'!K327</f>
        <v>USA</v>
      </c>
      <c r="L339" s="8" t="str">
        <f>'Data cleaning and validation(3)'!L327</f>
        <v>Fashion</v>
      </c>
      <c r="M339" s="8" t="str">
        <f>'Data cleaning and validation(3)'!M327</f>
        <v>On Leave</v>
      </c>
      <c r="N339" s="17">
        <f>'Data cleaning and validation(3)'!N327</f>
        <v>1562256</v>
      </c>
      <c r="O339" s="18">
        <f>'Data cleaning and validation(3)'!O327</f>
        <v>13018.800000000001</v>
      </c>
    </row>
    <row r="340" spans="1:15" x14ac:dyDescent="0.35">
      <c r="A340" s="8">
        <f>'Data cleaning and validation(3)'!A328</f>
        <v>327</v>
      </c>
      <c r="B340" s="8" t="str">
        <f>'Data cleaning and validation(3)'!B328</f>
        <v>Edwards</v>
      </c>
      <c r="C340" s="8" t="str">
        <f>'Data cleaning and validation(3)'!C328</f>
        <v>medwards92@mail.ru</v>
      </c>
      <c r="D340" s="8" t="str">
        <f>'Data cleaning and validation(3)'!D328</f>
        <v>M</v>
      </c>
      <c r="E340" s="8" t="str">
        <f>'Data cleaning and validation(3)'!E328</f>
        <v>Automotive</v>
      </c>
      <c r="F340" s="15">
        <f>'Data cleaning and validation(3)'!F328</f>
        <v>37533</v>
      </c>
      <c r="G340" s="8">
        <f>'Data cleaning and validation(3)'!G328</f>
        <v>19</v>
      </c>
      <c r="H340" s="19">
        <f>'Data cleaning and validation(3)'!H328</f>
        <v>140194</v>
      </c>
      <c r="I340" s="8" t="str">
        <f>'Data cleaning and validation(3)'!I328</f>
        <v>Programmer IV</v>
      </c>
      <c r="J340" s="8" t="str">
        <f>'Data cleaning and validation(3)'!J328</f>
        <v>British Columbia</v>
      </c>
      <c r="K340" s="8" t="str">
        <f>'Data cleaning and validation(3)'!K328</f>
        <v>Canada</v>
      </c>
      <c r="L340" s="8" t="str">
        <f>'Data cleaning and validation(3)'!L328</f>
        <v>Auto &amp; Hardware</v>
      </c>
      <c r="M340" s="8" t="str">
        <f>'Data cleaning and validation(3)'!M328</f>
        <v>On Leave</v>
      </c>
      <c r="N340" s="17">
        <f>'Data cleaning and validation(3)'!N328</f>
        <v>1682328</v>
      </c>
      <c r="O340" s="18">
        <f>'Data cleaning and validation(3)'!O328</f>
        <v>14019.400000000001</v>
      </c>
    </row>
    <row r="341" spans="1:15" x14ac:dyDescent="0.35">
      <c r="A341" s="8">
        <f>'Data cleaning and validation(3)'!A329</f>
        <v>328</v>
      </c>
      <c r="B341" s="8" t="str">
        <f>'Data cleaning and validation(3)'!B329</f>
        <v>Hanson</v>
      </c>
      <c r="C341" s="8" t="str">
        <f>'Data cleaning and validation(3)'!C329</f>
        <v>bhanson93@blinklist.com</v>
      </c>
      <c r="D341" s="8" t="str">
        <f>'Data cleaning and validation(3)'!D329</f>
        <v>F</v>
      </c>
      <c r="E341" s="8" t="str">
        <f>'Data cleaning and validation(3)'!E329</f>
        <v>Computers</v>
      </c>
      <c r="F341" s="15">
        <f>'Data cleaning and validation(3)'!F329</f>
        <v>38358</v>
      </c>
      <c r="G341" s="8">
        <f>'Data cleaning and validation(3)'!G329</f>
        <v>16</v>
      </c>
      <c r="H341" s="19">
        <f>'Data cleaning and validation(3)'!H329</f>
        <v>58719</v>
      </c>
      <c r="I341" s="8" t="str">
        <f>'Data cleaning and validation(3)'!I329</f>
        <v>Media Manager I</v>
      </c>
      <c r="J341" s="8" t="str">
        <f>'Data cleaning and validation(3)'!J329</f>
        <v>Southwest</v>
      </c>
      <c r="K341" s="8" t="str">
        <f>'Data cleaning and validation(3)'!K329</f>
        <v>USA</v>
      </c>
      <c r="L341" s="8" t="str">
        <f>'Data cleaning and validation(3)'!L329</f>
        <v>Electronic Equipment</v>
      </c>
      <c r="M341" s="8" t="str">
        <f>'Data cleaning and validation(3)'!M329</f>
        <v>On Leave</v>
      </c>
      <c r="N341" s="17">
        <f>'Data cleaning and validation(3)'!N329</f>
        <v>704628</v>
      </c>
      <c r="O341" s="18">
        <f>'Data cleaning and validation(3)'!O329</f>
        <v>5871.9000000000005</v>
      </c>
    </row>
    <row r="342" spans="1:15" x14ac:dyDescent="0.35">
      <c r="A342" s="8">
        <f>'Data cleaning and validation(3)'!A330</f>
        <v>329</v>
      </c>
      <c r="B342" s="8" t="str">
        <f>'Data cleaning and validation(3)'!B330</f>
        <v>Mccoy</v>
      </c>
      <c r="C342" s="8" t="str">
        <f>'Data cleaning and validation(3)'!C330</f>
        <v>hmccoy94@miitbeian.gov.cn</v>
      </c>
      <c r="D342" s="8" t="str">
        <f>'Data cleaning and validation(3)'!D330</f>
        <v>F</v>
      </c>
      <c r="E342" s="8" t="str">
        <f>'Data cleaning and validation(3)'!E330</f>
        <v>Shoes</v>
      </c>
      <c r="F342" s="15">
        <f>'Data cleaning and validation(3)'!F330</f>
        <v>38195</v>
      </c>
      <c r="G342" s="8">
        <f>'Data cleaning and validation(3)'!G330</f>
        <v>17</v>
      </c>
      <c r="H342" s="19">
        <f>'Data cleaning and validation(3)'!H330</f>
        <v>86803</v>
      </c>
      <c r="I342" s="8" t="str">
        <f>'Data cleaning and validation(3)'!I330</f>
        <v>Administrative Assistant III</v>
      </c>
      <c r="J342" s="8" t="str">
        <f>'Data cleaning and validation(3)'!J330</f>
        <v>Southwest</v>
      </c>
      <c r="K342" s="8" t="str">
        <f>'Data cleaning and validation(3)'!K330</f>
        <v>USA</v>
      </c>
      <c r="L342" s="8" t="str">
        <f>'Data cleaning and validation(3)'!L330</f>
        <v>Domestic</v>
      </c>
      <c r="M342" s="8" t="str">
        <f>'Data cleaning and validation(3)'!M330</f>
        <v>On Leave</v>
      </c>
      <c r="N342" s="17">
        <f>'Data cleaning and validation(3)'!N330</f>
        <v>1041636</v>
      </c>
      <c r="O342" s="18">
        <f>'Data cleaning and validation(3)'!O330</f>
        <v>8680.3000000000011</v>
      </c>
    </row>
    <row r="343" spans="1:15" x14ac:dyDescent="0.35">
      <c r="A343" s="8">
        <f>'Data cleaning and validation(3)'!A331</f>
        <v>330</v>
      </c>
      <c r="B343" s="8" t="str">
        <f>'Data cleaning and validation(3)'!B331</f>
        <v>Dunn</v>
      </c>
      <c r="C343" s="8" t="str">
        <f>'Data cleaning and validation(3)'!C331</f>
        <v>cdunn95@ft.com</v>
      </c>
      <c r="D343" s="8" t="str">
        <f>'Data cleaning and validation(3)'!D331</f>
        <v>M</v>
      </c>
      <c r="E343" s="8" t="str">
        <f>'Data cleaning and validation(3)'!E331</f>
        <v>Industrial</v>
      </c>
      <c r="F343" s="15">
        <f>'Data cleaning and validation(3)'!F331</f>
        <v>40352</v>
      </c>
      <c r="G343" s="8">
        <f>'Data cleaning and validation(3)'!G331</f>
        <v>11</v>
      </c>
      <c r="H343" s="19">
        <f>'Data cleaning and validation(3)'!H331</f>
        <v>68334</v>
      </c>
      <c r="I343" s="8" t="str">
        <f>'Data cleaning and validation(3)'!I331</f>
        <v>Administrative Officer</v>
      </c>
      <c r="J343" s="8" t="str">
        <f>'Data cleaning and validation(3)'!J331</f>
        <v>Nova Scotia</v>
      </c>
      <c r="K343" s="8" t="str">
        <f>'Data cleaning and validation(3)'!K331</f>
        <v>Canada</v>
      </c>
      <c r="L343" s="8" t="str">
        <f>'Data cleaning and validation(3)'!L331</f>
        <v>Auto &amp; Hardware</v>
      </c>
      <c r="M343" s="8" t="str">
        <f>'Data cleaning and validation(3)'!M331</f>
        <v>On Leave</v>
      </c>
      <c r="N343" s="17">
        <f>'Data cleaning and validation(3)'!N331</f>
        <v>820008</v>
      </c>
      <c r="O343" s="18">
        <f>'Data cleaning and validation(3)'!O331</f>
        <v>6833.4000000000005</v>
      </c>
    </row>
    <row r="344" spans="1:15" x14ac:dyDescent="0.35">
      <c r="A344" s="8">
        <f>'Data cleaning and validation(3)'!A332</f>
        <v>331</v>
      </c>
      <c r="B344" s="8" t="str">
        <f>'Data cleaning and validation(3)'!B332</f>
        <v>Hudson</v>
      </c>
      <c r="C344" s="8" t="str">
        <f>'Data cleaning and validation(3)'!C332</f>
        <v>jhudson96@thetimes.co.uk</v>
      </c>
      <c r="D344" s="8" t="str">
        <f>'Data cleaning and validation(3)'!D332</f>
        <v>F</v>
      </c>
      <c r="E344" s="8" t="str">
        <f>'Data cleaning and validation(3)'!E332</f>
        <v>Sports</v>
      </c>
      <c r="F344" s="15">
        <f>'Data cleaning and validation(3)'!F332</f>
        <v>44553</v>
      </c>
      <c r="G344" s="8">
        <f>'Data cleaning and validation(3)'!G332</f>
        <v>13</v>
      </c>
      <c r="H344" s="19">
        <f>'Data cleaning and validation(3)'!H332</f>
        <v>91906</v>
      </c>
      <c r="I344" s="8" t="str">
        <f>'Data cleaning and validation(3)'!I332</f>
        <v>Food Chemist</v>
      </c>
      <c r="J344" s="8" t="str">
        <f>'Data cleaning and validation(3)'!J332</f>
        <v>Southwest</v>
      </c>
      <c r="K344" s="8" t="str">
        <f>'Data cleaning and validation(3)'!K332</f>
        <v>USA</v>
      </c>
      <c r="L344" s="8" t="str">
        <f>'Data cleaning and validation(3)'!L332</f>
        <v>Games &amp; Sports</v>
      </c>
      <c r="M344" s="8" t="str">
        <f>'Data cleaning and validation(3)'!M332</f>
        <v>Active</v>
      </c>
      <c r="N344" s="17">
        <f>'Data cleaning and validation(3)'!N332</f>
        <v>1102872</v>
      </c>
      <c r="O344" s="18">
        <f>'Data cleaning and validation(3)'!O332</f>
        <v>9190.6</v>
      </c>
    </row>
    <row r="345" spans="1:15" x14ac:dyDescent="0.35">
      <c r="A345" s="8">
        <f>'Data cleaning and validation(3)'!A333</f>
        <v>332</v>
      </c>
      <c r="B345" s="8" t="str">
        <f>'Data cleaning and validation(3)'!B333</f>
        <v>Garza</v>
      </c>
      <c r="C345" s="8" t="str">
        <f>'Data cleaning and validation(3)'!C333</f>
        <v>lgarza97@bing.com</v>
      </c>
      <c r="D345" s="8" t="str">
        <f>'Data cleaning and validation(3)'!D333</f>
        <v>F</v>
      </c>
      <c r="E345" s="8" t="str">
        <f>'Data cleaning and validation(3)'!E333</f>
        <v>Games</v>
      </c>
      <c r="F345" s="15">
        <f>'Data cleaning and validation(3)'!F333</f>
        <v>39071</v>
      </c>
      <c r="G345" s="8">
        <f>'Data cleaning and validation(3)'!G333</f>
        <v>15</v>
      </c>
      <c r="H345" s="19">
        <f>'Data cleaning and validation(3)'!H333</f>
        <v>48064</v>
      </c>
      <c r="I345" s="8" t="str">
        <f>'Data cleaning and validation(3)'!I333</f>
        <v>Office Assistant II</v>
      </c>
      <c r="J345" s="8" t="str">
        <f>'Data cleaning and validation(3)'!J333</f>
        <v>British Columbia</v>
      </c>
      <c r="K345" s="8" t="str">
        <f>'Data cleaning and validation(3)'!K333</f>
        <v>Canada</v>
      </c>
      <c r="L345" s="8" t="str">
        <f>'Data cleaning and validation(3)'!L333</f>
        <v>Domestic</v>
      </c>
      <c r="M345" s="8" t="str">
        <f>'Data cleaning and validation(3)'!M333</f>
        <v>Active</v>
      </c>
      <c r="N345" s="17">
        <f>'Data cleaning and validation(3)'!N333</f>
        <v>576768</v>
      </c>
      <c r="O345" s="18">
        <f>'Data cleaning and validation(3)'!O333</f>
        <v>4806.4000000000005</v>
      </c>
    </row>
    <row r="346" spans="1:15" x14ac:dyDescent="0.35">
      <c r="A346" s="8">
        <f>'Data cleaning and validation(3)'!A334</f>
        <v>333</v>
      </c>
      <c r="B346" s="8" t="str">
        <f>'Data cleaning and validation(3)'!B334</f>
        <v>Garza</v>
      </c>
      <c r="C346" s="8" t="str">
        <f>'Data cleaning and validation(3)'!C334</f>
        <v>pgarza98@go.com</v>
      </c>
      <c r="D346" s="8" t="str">
        <f>'Data cleaning and validation(3)'!D334</f>
        <v>M</v>
      </c>
      <c r="E346" s="8" t="str">
        <f>'Data cleaning and validation(3)'!E334</f>
        <v>Industrial</v>
      </c>
      <c r="F346" s="15">
        <f>'Data cleaning and validation(3)'!F334</f>
        <v>38168</v>
      </c>
      <c r="G346" s="8">
        <f>'Data cleaning and validation(3)'!G334</f>
        <v>17</v>
      </c>
      <c r="H346" s="19">
        <f>'Data cleaning and validation(3)'!H334</f>
        <v>75281</v>
      </c>
      <c r="I346" s="8" t="str">
        <f>'Data cleaning and validation(3)'!I334</f>
        <v>Data Coordiator</v>
      </c>
      <c r="J346" s="8" t="str">
        <f>'Data cleaning and validation(3)'!J334</f>
        <v>Nova Scotia</v>
      </c>
      <c r="K346" s="8" t="str">
        <f>'Data cleaning and validation(3)'!K334</f>
        <v>Canada</v>
      </c>
      <c r="L346" s="8" t="str">
        <f>'Data cleaning and validation(3)'!L334</f>
        <v>Auto &amp; Hardware</v>
      </c>
      <c r="M346" s="8" t="str">
        <f>'Data cleaning and validation(3)'!M334</f>
        <v>Active</v>
      </c>
      <c r="N346" s="17">
        <f>'Data cleaning and validation(3)'!N334</f>
        <v>903372</v>
      </c>
      <c r="O346" s="18">
        <f>'Data cleaning and validation(3)'!O334</f>
        <v>7528.1</v>
      </c>
    </row>
    <row r="347" spans="1:15" x14ac:dyDescent="0.35">
      <c r="A347" s="8">
        <f>'Data cleaning and validation(3)'!A335</f>
        <v>334</v>
      </c>
      <c r="B347" s="8" t="str">
        <f>'Data cleaning and validation(3)'!B335</f>
        <v>Mills</v>
      </c>
      <c r="C347" s="8" t="str">
        <f>'Data cleaning and validation(3)'!C335</f>
        <v>fmills99@ameblo.jp</v>
      </c>
      <c r="D347" s="8" t="str">
        <f>'Data cleaning and validation(3)'!D335</f>
        <v>M</v>
      </c>
      <c r="E347" s="8" t="str">
        <f>'Data cleaning and validation(3)'!E335</f>
        <v>Industrial</v>
      </c>
      <c r="F347" s="15">
        <f>'Data cleaning and validation(3)'!F335</f>
        <v>39896</v>
      </c>
      <c r="G347" s="8">
        <f>'Data cleaning and validation(3)'!G335</f>
        <v>12</v>
      </c>
      <c r="H347" s="19">
        <f>'Data cleaning and validation(3)'!H335</f>
        <v>91659</v>
      </c>
      <c r="I347" s="8" t="str">
        <f>'Data cleaning and validation(3)'!I335</f>
        <v>VP Accounting</v>
      </c>
      <c r="J347" s="8" t="str">
        <f>'Data cleaning and validation(3)'!J335</f>
        <v>Southwest</v>
      </c>
      <c r="K347" s="8" t="str">
        <f>'Data cleaning and validation(3)'!K335</f>
        <v>USA</v>
      </c>
      <c r="L347" s="8" t="str">
        <f>'Data cleaning and validation(3)'!L335</f>
        <v>Auto &amp; Hardware</v>
      </c>
      <c r="M347" s="8" t="str">
        <f>'Data cleaning and validation(3)'!M335</f>
        <v>Active</v>
      </c>
      <c r="N347" s="17">
        <f>'Data cleaning and validation(3)'!N335</f>
        <v>1099908</v>
      </c>
      <c r="O347" s="18">
        <f>'Data cleaning and validation(3)'!O335</f>
        <v>9165.9</v>
      </c>
    </row>
    <row r="348" spans="1:15" x14ac:dyDescent="0.35">
      <c r="A348" s="8">
        <f>'Data cleaning and validation(3)'!A336</f>
        <v>335</v>
      </c>
      <c r="B348" s="8" t="str">
        <f>'Data cleaning and validation(3)'!B336</f>
        <v>Gilbert</v>
      </c>
      <c r="C348" s="8" t="str">
        <f>'Data cleaning and validation(3)'!C336</f>
        <v>pgilbert9a@wiley.com</v>
      </c>
      <c r="D348" s="8" t="str">
        <f>'Data cleaning and validation(3)'!D336</f>
        <v>F</v>
      </c>
      <c r="E348" s="8" t="str">
        <f>'Data cleaning and validation(3)'!E336</f>
        <v>Sports</v>
      </c>
      <c r="F348" s="15">
        <f>'Data cleaning and validation(3)'!F336</f>
        <v>37167</v>
      </c>
      <c r="G348" s="8">
        <f>'Data cleaning and validation(3)'!G336</f>
        <v>20</v>
      </c>
      <c r="H348" s="19">
        <f>'Data cleaning and validation(3)'!H336</f>
        <v>52792</v>
      </c>
      <c r="I348" s="8" t="str">
        <f>'Data cleaning and validation(3)'!I336</f>
        <v>Pharmacist</v>
      </c>
      <c r="J348" s="8" t="str">
        <f>'Data cleaning and validation(3)'!J336</f>
        <v>Southeast</v>
      </c>
      <c r="K348" s="8" t="str">
        <f>'Data cleaning and validation(3)'!K336</f>
        <v>USA</v>
      </c>
      <c r="L348" s="8" t="str">
        <f>'Data cleaning and validation(3)'!L336</f>
        <v>Games &amp; Sports</v>
      </c>
      <c r="M348" s="8" t="str">
        <f>'Data cleaning and validation(3)'!M336</f>
        <v>Active</v>
      </c>
      <c r="N348" s="17">
        <f>'Data cleaning and validation(3)'!N336</f>
        <v>633504</v>
      </c>
      <c r="O348" s="18">
        <f>'Data cleaning and validation(3)'!O336</f>
        <v>5279.2000000000007</v>
      </c>
    </row>
    <row r="349" spans="1:15" x14ac:dyDescent="0.35">
      <c r="A349" s="8">
        <f>'Data cleaning and validation(3)'!A337</f>
        <v>336</v>
      </c>
      <c r="B349" s="8" t="str">
        <f>'Data cleaning and validation(3)'!B337</f>
        <v>Campbell</v>
      </c>
      <c r="C349" s="8" t="str">
        <f>'Data cleaning and validation(3)'!C337</f>
        <v>pcampbell9b@istockphoto.com</v>
      </c>
      <c r="D349" s="8" t="str">
        <f>'Data cleaning and validation(3)'!D337</f>
        <v>F</v>
      </c>
      <c r="E349" s="8" t="str">
        <f>'Data cleaning and validation(3)'!E337</f>
        <v>Home</v>
      </c>
      <c r="F349" s="15">
        <f>'Data cleaning and validation(3)'!F337</f>
        <v>37133</v>
      </c>
      <c r="G349" s="8">
        <f>'Data cleaning and validation(3)'!G337</f>
        <v>20</v>
      </c>
      <c r="H349" s="19">
        <f>'Data cleaning and validation(3)'!H337</f>
        <v>40415</v>
      </c>
      <c r="I349" s="8" t="str">
        <f>'Data cleaning and validation(3)'!I337</f>
        <v>Food Chemist</v>
      </c>
      <c r="J349" s="8" t="str">
        <f>'Data cleaning and validation(3)'!J337</f>
        <v>Southwest</v>
      </c>
      <c r="K349" s="8" t="str">
        <f>'Data cleaning and validation(3)'!K337</f>
        <v>USA</v>
      </c>
      <c r="L349" s="8" t="str">
        <f>'Data cleaning and validation(3)'!L337</f>
        <v>Domestic</v>
      </c>
      <c r="M349" s="8" t="str">
        <f>'Data cleaning and validation(3)'!M337</f>
        <v>Active</v>
      </c>
      <c r="N349" s="17">
        <f>'Data cleaning and validation(3)'!N337</f>
        <v>484980</v>
      </c>
      <c r="O349" s="18">
        <f>'Data cleaning and validation(3)'!O337</f>
        <v>4041.5</v>
      </c>
    </row>
    <row r="350" spans="1:15" x14ac:dyDescent="0.35">
      <c r="A350" s="8">
        <f>'Data cleaning and validation(3)'!A338</f>
        <v>337</v>
      </c>
      <c r="B350" s="8" t="str">
        <f>'Data cleaning and validation(3)'!B338</f>
        <v>Spencer</v>
      </c>
      <c r="C350" s="8" t="str">
        <f>'Data cleaning and validation(3)'!C338</f>
        <v>dspencer9c@ed.gov</v>
      </c>
      <c r="D350" s="8" t="str">
        <f>'Data cleaning and validation(3)'!D338</f>
        <v>M</v>
      </c>
      <c r="E350" s="8" t="str">
        <f>'Data cleaning and validation(3)'!E338</f>
        <v>Movies</v>
      </c>
      <c r="F350" s="15">
        <f>'Data cleaning and validation(3)'!F338</f>
        <v>39615</v>
      </c>
      <c r="G350" s="8">
        <f>'Data cleaning and validation(3)'!G338</f>
        <v>13</v>
      </c>
      <c r="H350" s="19">
        <f>'Data cleaning and validation(3)'!H338</f>
        <v>83256</v>
      </c>
      <c r="I350" s="8" t="str">
        <f>'Data cleaning and validation(3)'!I338</f>
        <v>Senior Editor</v>
      </c>
      <c r="J350" s="8" t="str">
        <f>'Data cleaning and validation(3)'!J338</f>
        <v>British Columbia</v>
      </c>
      <c r="K350" s="8" t="str">
        <f>'Data cleaning and validation(3)'!K338</f>
        <v>Canada</v>
      </c>
      <c r="L350" s="8" t="str">
        <f>'Data cleaning and validation(3)'!L338</f>
        <v>Entertainment</v>
      </c>
      <c r="M350" s="8" t="str">
        <f>'Data cleaning and validation(3)'!M338</f>
        <v>Active</v>
      </c>
      <c r="N350" s="17">
        <f>'Data cleaning and validation(3)'!N338</f>
        <v>999072</v>
      </c>
      <c r="O350" s="18">
        <f>'Data cleaning and validation(3)'!O338</f>
        <v>8325.6</v>
      </c>
    </row>
    <row r="351" spans="1:15" x14ac:dyDescent="0.35">
      <c r="A351" s="8">
        <f>'Data cleaning and validation(3)'!A339</f>
        <v>338</v>
      </c>
      <c r="B351" s="8" t="str">
        <f>'Data cleaning and validation(3)'!B339</f>
        <v>Garrett</v>
      </c>
      <c r="C351" s="8" t="str">
        <f>'Data cleaning and validation(3)'!C339</f>
        <v>kgarrett9d@wordpress.com</v>
      </c>
      <c r="D351" s="8" t="str">
        <f>'Data cleaning and validation(3)'!D339</f>
        <v>F</v>
      </c>
      <c r="E351" s="8" t="str">
        <f>'Data cleaning and validation(3)'!E339</f>
        <v>Electronics</v>
      </c>
      <c r="F351" s="15">
        <f>'Data cleaning and validation(3)'!F339</f>
        <v>46021</v>
      </c>
      <c r="G351" s="8">
        <f>'Data cleaning and validation(3)'!G339</f>
        <v>9</v>
      </c>
      <c r="H351" s="19">
        <f>'Data cleaning and validation(3)'!H339</f>
        <v>145181</v>
      </c>
      <c r="I351" s="8" t="str">
        <f>'Data cleaning and validation(3)'!I339</f>
        <v>Programmer Analyst III</v>
      </c>
      <c r="J351" s="8" t="str">
        <f>'Data cleaning and validation(3)'!J339</f>
        <v>Northeast</v>
      </c>
      <c r="K351" s="8" t="str">
        <f>'Data cleaning and validation(3)'!K339</f>
        <v>USA</v>
      </c>
      <c r="L351" s="8" t="str">
        <f>'Data cleaning and validation(3)'!L339</f>
        <v>Electronic Equipment</v>
      </c>
      <c r="M351" s="8" t="str">
        <f>'Data cleaning and validation(3)'!M339</f>
        <v>Active</v>
      </c>
      <c r="N351" s="17">
        <f>'Data cleaning and validation(3)'!N339</f>
        <v>1742172</v>
      </c>
      <c r="O351" s="18">
        <f>'Data cleaning and validation(3)'!O339</f>
        <v>14518.1</v>
      </c>
    </row>
    <row r="352" spans="1:15" x14ac:dyDescent="0.35">
      <c r="A352" s="8">
        <f>'Data cleaning and validation(3)'!A340</f>
        <v>339</v>
      </c>
      <c r="B352" s="8" t="str">
        <f>'Data cleaning and validation(3)'!B340</f>
        <v>Hudson</v>
      </c>
      <c r="C352" s="8" t="str">
        <f>'Data cleaning and validation(3)'!C340</f>
        <v>rhudson9e@geocities.com</v>
      </c>
      <c r="D352" s="8" t="str">
        <f>'Data cleaning and validation(3)'!D340</f>
        <v>F</v>
      </c>
      <c r="E352" s="8" t="str">
        <f>'Data cleaning and validation(3)'!E340</f>
        <v>Jewelery</v>
      </c>
      <c r="F352" s="15">
        <f>'Data cleaning and validation(3)'!F340</f>
        <v>38191</v>
      </c>
      <c r="G352" s="8">
        <f>'Data cleaning and validation(3)'!G340</f>
        <v>17</v>
      </c>
      <c r="H352" s="19">
        <f>'Data cleaning and validation(3)'!H340</f>
        <v>78294</v>
      </c>
      <c r="I352" s="8" t="str">
        <f>'Data cleaning and validation(3)'!I340</f>
        <v>Software Consultant</v>
      </c>
      <c r="J352" s="8" t="str">
        <f>'Data cleaning and validation(3)'!J340</f>
        <v>Southwest</v>
      </c>
      <c r="K352" s="8" t="str">
        <f>'Data cleaning and validation(3)'!K340</f>
        <v>USA</v>
      </c>
      <c r="L352" s="8" t="str">
        <f>'Data cleaning and validation(3)'!L340</f>
        <v>Fashion</v>
      </c>
      <c r="M352" s="8" t="str">
        <f>'Data cleaning and validation(3)'!M340</f>
        <v>Active</v>
      </c>
      <c r="N352" s="17">
        <f>'Data cleaning and validation(3)'!N340</f>
        <v>939528</v>
      </c>
      <c r="O352" s="18">
        <f>'Data cleaning and validation(3)'!O340</f>
        <v>7829.4000000000005</v>
      </c>
    </row>
    <row r="353" spans="1:15" x14ac:dyDescent="0.35">
      <c r="A353" s="8">
        <f>'Data cleaning and validation(3)'!A341</f>
        <v>340</v>
      </c>
      <c r="B353" s="8" t="str">
        <f>'Data cleaning and validation(3)'!B341</f>
        <v>Williams</v>
      </c>
      <c r="C353" s="8" t="str">
        <f>'Data cleaning and validation(3)'!C341</f>
        <v>jwilliams9f@canalblog.com</v>
      </c>
      <c r="D353" s="8" t="str">
        <f>'Data cleaning and validation(3)'!D341</f>
        <v>M</v>
      </c>
      <c r="E353" s="8" t="str">
        <f>'Data cleaning and validation(3)'!E341</f>
        <v>Electronics</v>
      </c>
      <c r="F353" s="15">
        <f>'Data cleaning and validation(3)'!F341</f>
        <v>39266</v>
      </c>
      <c r="G353" s="8">
        <f>'Data cleaning and validation(3)'!G341</f>
        <v>14</v>
      </c>
      <c r="H353" s="19">
        <f>'Data cleaning and validation(3)'!H341</f>
        <v>90120</v>
      </c>
      <c r="I353" s="8" t="str">
        <f>'Data cleaning and validation(3)'!I341</f>
        <v>Biostatistician I</v>
      </c>
      <c r="J353" s="8" t="str">
        <f>'Data cleaning and validation(3)'!J341</f>
        <v>Southeast</v>
      </c>
      <c r="K353" s="8" t="str">
        <f>'Data cleaning and validation(3)'!K341</f>
        <v>USA</v>
      </c>
      <c r="L353" s="8" t="str">
        <f>'Data cleaning and validation(3)'!L341</f>
        <v>Electronic Equipment</v>
      </c>
      <c r="M353" s="8" t="str">
        <f>'Data cleaning and validation(3)'!M341</f>
        <v>Active</v>
      </c>
      <c r="N353" s="17">
        <f>'Data cleaning and validation(3)'!N341</f>
        <v>1081440</v>
      </c>
      <c r="O353" s="18">
        <f>'Data cleaning and validation(3)'!O341</f>
        <v>9012</v>
      </c>
    </row>
    <row r="354" spans="1:15" x14ac:dyDescent="0.35">
      <c r="A354" s="8">
        <f>'Data cleaning and validation(3)'!A342</f>
        <v>341</v>
      </c>
      <c r="B354" s="8" t="str">
        <f>'Data cleaning and validation(3)'!B342</f>
        <v>Ellis</v>
      </c>
      <c r="C354" s="8" t="str">
        <f>'Data cleaning and validation(3)'!C342</f>
        <v>cellis9g@ibm.com</v>
      </c>
      <c r="D354" s="8" t="str">
        <f>'Data cleaning and validation(3)'!D342</f>
        <v>M</v>
      </c>
      <c r="E354" s="8" t="str">
        <f>'Data cleaning and validation(3)'!E342</f>
        <v>Home</v>
      </c>
      <c r="F354" s="15">
        <f>'Data cleaning and validation(3)'!F342</f>
        <v>39715</v>
      </c>
      <c r="G354" s="8">
        <f>'Data cleaning and validation(3)'!G342</f>
        <v>13</v>
      </c>
      <c r="H354" s="19">
        <f>'Data cleaning and validation(3)'!H342</f>
        <v>80284</v>
      </c>
      <c r="I354" s="8" t="str">
        <f>'Data cleaning and validation(3)'!I342</f>
        <v>VP Accounting</v>
      </c>
      <c r="J354" s="8" t="str">
        <f>'Data cleaning and validation(3)'!J342</f>
        <v>Northwest</v>
      </c>
      <c r="K354" s="8" t="str">
        <f>'Data cleaning and validation(3)'!K342</f>
        <v>USA</v>
      </c>
      <c r="L354" s="8" t="str">
        <f>'Data cleaning and validation(3)'!L342</f>
        <v>Domestic</v>
      </c>
      <c r="M354" s="8" t="str">
        <f>'Data cleaning and validation(3)'!M342</f>
        <v>Active</v>
      </c>
      <c r="N354" s="17">
        <f>'Data cleaning and validation(3)'!N342</f>
        <v>963408</v>
      </c>
      <c r="O354" s="18">
        <f>'Data cleaning and validation(3)'!O342</f>
        <v>8028.4000000000005</v>
      </c>
    </row>
    <row r="355" spans="1:15" x14ac:dyDescent="0.35">
      <c r="A355" s="8">
        <f>'Data cleaning and validation(3)'!A343</f>
        <v>342</v>
      </c>
      <c r="B355" s="8" t="str">
        <f>'Data cleaning and validation(3)'!B343</f>
        <v>Carroll</v>
      </c>
      <c r="C355" s="8" t="str">
        <f>'Data cleaning and validation(3)'!C343</f>
        <v>scarroll9h@yellowbook.com</v>
      </c>
      <c r="D355" s="8" t="str">
        <f>'Data cleaning and validation(3)'!D343</f>
        <v>F</v>
      </c>
      <c r="E355" s="8" t="str">
        <f>'Data cleaning and validation(3)'!E343</f>
        <v>Shoes</v>
      </c>
      <c r="F355" s="15">
        <f>'Data cleaning and validation(3)'!F343</f>
        <v>44768</v>
      </c>
      <c r="G355" s="8">
        <f>'Data cleaning and validation(3)'!G343</f>
        <v>12</v>
      </c>
      <c r="H355" s="19">
        <f>'Data cleaning and validation(3)'!H343</f>
        <v>85511</v>
      </c>
      <c r="I355" s="8" t="str">
        <f>'Data cleaning and validation(3)'!I343</f>
        <v>Business Systems Development Analyst</v>
      </c>
      <c r="J355" s="8" t="str">
        <f>'Data cleaning and validation(3)'!J343</f>
        <v>British Columbia</v>
      </c>
      <c r="K355" s="8" t="str">
        <f>'Data cleaning and validation(3)'!K343</f>
        <v>Canada</v>
      </c>
      <c r="L355" s="8" t="str">
        <f>'Data cleaning and validation(3)'!L343</f>
        <v>Domestic</v>
      </c>
      <c r="M355" s="8" t="str">
        <f>'Data cleaning and validation(3)'!M343</f>
        <v>Active</v>
      </c>
      <c r="N355" s="17">
        <f>'Data cleaning and validation(3)'!N343</f>
        <v>1026132</v>
      </c>
      <c r="O355" s="18">
        <f>'Data cleaning and validation(3)'!O343</f>
        <v>8551.1</v>
      </c>
    </row>
    <row r="356" spans="1:15" x14ac:dyDescent="0.35">
      <c r="A356" s="8">
        <f>'Data cleaning and validation(3)'!A344</f>
        <v>343</v>
      </c>
      <c r="B356" s="8" t="str">
        <f>'Data cleaning and validation(3)'!B344</f>
        <v>Long</v>
      </c>
      <c r="C356" s="8" t="str">
        <f>'Data cleaning and validation(3)'!C344</f>
        <v>along9i@ocn.ne.jp</v>
      </c>
      <c r="D356" s="8" t="str">
        <f>'Data cleaning and validation(3)'!D344</f>
        <v>F</v>
      </c>
      <c r="E356" s="8" t="str">
        <f>'Data cleaning and validation(3)'!E344</f>
        <v>Toys</v>
      </c>
      <c r="F356" s="15">
        <f>'Data cleaning and validation(3)'!F344</f>
        <v>44360</v>
      </c>
      <c r="G356" s="8">
        <f>'Data cleaning and validation(3)'!G344</f>
        <v>13</v>
      </c>
      <c r="H356" s="19">
        <f>'Data cleaning and validation(3)'!H344</f>
        <v>40138</v>
      </c>
      <c r="I356" s="8" t="str">
        <f>'Data cleaning and validation(3)'!I344</f>
        <v>Payment Adjustment Coordinator</v>
      </c>
      <c r="J356" s="8" t="str">
        <f>'Data cleaning and validation(3)'!J344</f>
        <v>Quebec</v>
      </c>
      <c r="K356" s="8" t="str">
        <f>'Data cleaning and validation(3)'!K344</f>
        <v>Canada</v>
      </c>
      <c r="L356" s="8" t="str">
        <f>'Data cleaning and validation(3)'!L344</f>
        <v>Games &amp; Sports</v>
      </c>
      <c r="M356" s="8" t="str">
        <f>'Data cleaning and validation(3)'!M344</f>
        <v>Active</v>
      </c>
      <c r="N356" s="17">
        <f>'Data cleaning and validation(3)'!N344</f>
        <v>481656</v>
      </c>
      <c r="O356" s="18">
        <f>'Data cleaning and validation(3)'!O344</f>
        <v>4013.8</v>
      </c>
    </row>
    <row r="357" spans="1:15" x14ac:dyDescent="0.35">
      <c r="A357" s="8">
        <f>'Data cleaning and validation(3)'!A345</f>
        <v>344</v>
      </c>
      <c r="B357" s="8" t="str">
        <f>'Data cleaning and validation(3)'!B345</f>
        <v>Owens</v>
      </c>
      <c r="C357" s="8" t="str">
        <f>'Data cleaning and validation(3)'!C345</f>
        <v>eowens9j@skyrock.com</v>
      </c>
      <c r="D357" s="8" t="str">
        <f>'Data cleaning and validation(3)'!D345</f>
        <v>M</v>
      </c>
      <c r="E357" s="8" t="str">
        <f>'Data cleaning and validation(3)'!E345</f>
        <v>Books</v>
      </c>
      <c r="F357" s="15">
        <f>'Data cleaning and validation(3)'!F345</f>
        <v>40346</v>
      </c>
      <c r="G357" s="8">
        <f>'Data cleaning and validation(3)'!G345</f>
        <v>11</v>
      </c>
      <c r="H357" s="19">
        <f>'Data cleaning and validation(3)'!H345</f>
        <v>42714</v>
      </c>
      <c r="I357" s="8" t="str">
        <f>'Data cleaning and validation(3)'!I345</f>
        <v>Electrical Engineer</v>
      </c>
      <c r="J357" s="8" t="str">
        <f>'Data cleaning and validation(3)'!J345</f>
        <v>Nova Scotia</v>
      </c>
      <c r="K357" s="8" t="str">
        <f>'Data cleaning and validation(3)'!K345</f>
        <v>Canada</v>
      </c>
      <c r="L357" s="8" t="str">
        <f>'Data cleaning and validation(3)'!L345</f>
        <v>Library</v>
      </c>
      <c r="M357" s="8" t="str">
        <f>'Data cleaning and validation(3)'!M345</f>
        <v>Active</v>
      </c>
      <c r="N357" s="17">
        <f>'Data cleaning and validation(3)'!N345</f>
        <v>512568</v>
      </c>
      <c r="O357" s="18">
        <f>'Data cleaning and validation(3)'!O345</f>
        <v>4271.4000000000005</v>
      </c>
    </row>
    <row r="358" spans="1:15" x14ac:dyDescent="0.35">
      <c r="A358" s="8">
        <f>'Data cleaning and validation(3)'!A346</f>
        <v>345</v>
      </c>
      <c r="B358" s="8" t="str">
        <f>'Data cleaning and validation(3)'!B346</f>
        <v>Perez</v>
      </c>
      <c r="C358" s="8" t="str">
        <f>'Data cleaning and validation(3)'!C346</f>
        <v>jperez9k@bloglines.com</v>
      </c>
      <c r="D358" s="8" t="str">
        <f>'Data cleaning and validation(3)'!D346</f>
        <v>M</v>
      </c>
      <c r="E358" s="8" t="str">
        <f>'Data cleaning and validation(3)'!E346</f>
        <v>Music</v>
      </c>
      <c r="F358" s="15">
        <f>'Data cleaning and validation(3)'!F346</f>
        <v>38524</v>
      </c>
      <c r="G358" s="8">
        <f>'Data cleaning and validation(3)'!G346</f>
        <v>16</v>
      </c>
      <c r="H358" s="19">
        <f>'Data cleaning and validation(3)'!H346</f>
        <v>65767</v>
      </c>
      <c r="I358" s="8" t="str">
        <f>'Data cleaning and validation(3)'!I346</f>
        <v>Programmer Analyst I</v>
      </c>
      <c r="J358" s="8" t="str">
        <f>'Data cleaning and validation(3)'!J346</f>
        <v>Southwest</v>
      </c>
      <c r="K358" s="8" t="str">
        <f>'Data cleaning and validation(3)'!K346</f>
        <v>USA</v>
      </c>
      <c r="L358" s="8" t="str">
        <f>'Data cleaning and validation(3)'!L346</f>
        <v>Entertainment</v>
      </c>
      <c r="M358" s="8" t="str">
        <f>'Data cleaning and validation(3)'!M346</f>
        <v>Active</v>
      </c>
      <c r="N358" s="17">
        <f>'Data cleaning and validation(3)'!N346</f>
        <v>789204</v>
      </c>
      <c r="O358" s="18">
        <f>'Data cleaning and validation(3)'!O346</f>
        <v>6576.7000000000007</v>
      </c>
    </row>
    <row r="359" spans="1:15" x14ac:dyDescent="0.35">
      <c r="A359" s="8">
        <f>'Data cleaning and validation(3)'!A347</f>
        <v>346</v>
      </c>
      <c r="B359" s="8" t="str">
        <f>'Data cleaning and validation(3)'!B347</f>
        <v>Freeman</v>
      </c>
      <c r="C359" s="8" t="str">
        <f>'Data cleaning and validation(3)'!C347</f>
        <v>lfreeman9l@cpanel.net</v>
      </c>
      <c r="D359" s="8" t="str">
        <f>'Data cleaning and validation(3)'!D347</f>
        <v>F</v>
      </c>
      <c r="E359" s="8" t="str">
        <f>'Data cleaning and validation(3)'!E347</f>
        <v>Kids</v>
      </c>
      <c r="F359" s="15">
        <f>'Data cleaning and validation(3)'!F347</f>
        <v>46066</v>
      </c>
      <c r="G359" s="8">
        <f>'Data cleaning and validation(3)'!G347</f>
        <v>8</v>
      </c>
      <c r="H359" s="19">
        <f>'Data cleaning and validation(3)'!H347</f>
        <v>149351</v>
      </c>
      <c r="I359" s="8" t="str">
        <f>'Data cleaning and validation(3)'!I347</f>
        <v>Design Engineer</v>
      </c>
      <c r="J359" s="8" t="str">
        <f>'Data cleaning and validation(3)'!J347</f>
        <v>Nova Scotia</v>
      </c>
      <c r="K359" s="8" t="str">
        <f>'Data cleaning and validation(3)'!K347</f>
        <v>Canada</v>
      </c>
      <c r="L359" s="8" t="str">
        <f>'Data cleaning and validation(3)'!L347</f>
        <v>Domestic</v>
      </c>
      <c r="M359" s="8" t="str">
        <f>'Data cleaning and validation(3)'!M347</f>
        <v>Active</v>
      </c>
      <c r="N359" s="17">
        <f>'Data cleaning and validation(3)'!N347</f>
        <v>1792212</v>
      </c>
      <c r="O359" s="18">
        <f>'Data cleaning and validation(3)'!O347</f>
        <v>14935.1</v>
      </c>
    </row>
    <row r="360" spans="1:15" x14ac:dyDescent="0.35">
      <c r="A360" s="8">
        <f>'Data cleaning and validation(3)'!A348</f>
        <v>347</v>
      </c>
      <c r="B360" s="8" t="str">
        <f>'Data cleaning and validation(3)'!B348</f>
        <v>Frazier</v>
      </c>
      <c r="C360" s="8" t="str">
        <f>'Data cleaning and validation(3)'!C348</f>
        <v>dfrazier9m@amazon.co.uk</v>
      </c>
      <c r="D360" s="8" t="str">
        <f>'Data cleaning and validation(3)'!D348</f>
        <v>F</v>
      </c>
      <c r="E360" s="8" t="str">
        <f>'Data cleaning and validation(3)'!E348</f>
        <v>Tools</v>
      </c>
      <c r="F360" s="15">
        <f>'Data cleaning and validation(3)'!F348</f>
        <v>45660</v>
      </c>
      <c r="G360" s="8">
        <f>'Data cleaning and validation(3)'!G348</f>
        <v>9</v>
      </c>
      <c r="H360" s="19">
        <f>'Data cleaning and validation(3)'!H348</f>
        <v>88470</v>
      </c>
      <c r="I360" s="8" t="str">
        <f>'Data cleaning and validation(3)'!I348</f>
        <v>Associate Professor</v>
      </c>
      <c r="J360" s="8" t="str">
        <f>'Data cleaning and validation(3)'!J348</f>
        <v>Northeast</v>
      </c>
      <c r="K360" s="8" t="str">
        <f>'Data cleaning and validation(3)'!K348</f>
        <v>USA</v>
      </c>
      <c r="L360" s="8" t="str">
        <f>'Data cleaning and validation(3)'!L348</f>
        <v>Auto &amp; Hardware</v>
      </c>
      <c r="M360" s="8" t="str">
        <f>'Data cleaning and validation(3)'!M348</f>
        <v>Active</v>
      </c>
      <c r="N360" s="17">
        <f>'Data cleaning and validation(3)'!N348</f>
        <v>1061640</v>
      </c>
      <c r="O360" s="18">
        <f>'Data cleaning and validation(3)'!O348</f>
        <v>8847</v>
      </c>
    </row>
    <row r="361" spans="1:15" x14ac:dyDescent="0.35">
      <c r="A361" s="8">
        <f>'Data cleaning and validation(3)'!A349</f>
        <v>348</v>
      </c>
      <c r="B361" s="8" t="str">
        <f>'Data cleaning and validation(3)'!B349</f>
        <v>Thomas</v>
      </c>
      <c r="C361" s="8" t="str">
        <f>'Data cleaning and validation(3)'!C349</f>
        <v>athomas9n@answers.com</v>
      </c>
      <c r="D361" s="8" t="str">
        <f>'Data cleaning and validation(3)'!D349</f>
        <v>F</v>
      </c>
      <c r="E361" s="8" t="str">
        <f>'Data cleaning and validation(3)'!E349</f>
        <v>Electronics</v>
      </c>
      <c r="F361" s="15">
        <f>'Data cleaning and validation(3)'!F349</f>
        <v>44891</v>
      </c>
      <c r="G361" s="8">
        <f>'Data cleaning and validation(3)'!G349</f>
        <v>12</v>
      </c>
      <c r="H361" s="19">
        <f>'Data cleaning and validation(3)'!H349</f>
        <v>90317</v>
      </c>
      <c r="I361" s="8" t="str">
        <f>'Data cleaning and validation(3)'!I349</f>
        <v>Health Coach I</v>
      </c>
      <c r="J361" s="8" t="str">
        <f>'Data cleaning and validation(3)'!J349</f>
        <v>Southwest</v>
      </c>
      <c r="K361" s="8" t="str">
        <f>'Data cleaning and validation(3)'!K349</f>
        <v>USA</v>
      </c>
      <c r="L361" s="8" t="str">
        <f>'Data cleaning and validation(3)'!L349</f>
        <v>Electronic Equipment</v>
      </c>
      <c r="M361" s="8" t="str">
        <f>'Data cleaning and validation(3)'!M349</f>
        <v>Active</v>
      </c>
      <c r="N361" s="17">
        <f>'Data cleaning and validation(3)'!N349</f>
        <v>1083804</v>
      </c>
      <c r="O361" s="18">
        <f>'Data cleaning and validation(3)'!O349</f>
        <v>9031.7000000000007</v>
      </c>
    </row>
    <row r="362" spans="1:15" x14ac:dyDescent="0.35">
      <c r="A362" s="8">
        <f>'Data cleaning and validation(3)'!A350</f>
        <v>349</v>
      </c>
      <c r="B362" s="8" t="str">
        <f>'Data cleaning and validation(3)'!B350</f>
        <v>Crawford</v>
      </c>
      <c r="C362" s="8" t="str">
        <f>'Data cleaning and validation(3)'!C350</f>
        <v>acrawford9o@cpanel.net</v>
      </c>
      <c r="D362" s="8" t="str">
        <f>'Data cleaning and validation(3)'!D350</f>
        <v>M</v>
      </c>
      <c r="E362" s="8" t="str">
        <f>'Data cleaning and validation(3)'!E350</f>
        <v>Garden</v>
      </c>
      <c r="F362" s="15">
        <f>'Data cleaning and validation(3)'!F350</f>
        <v>41192</v>
      </c>
      <c r="G362" s="8">
        <f>'Data cleaning and validation(3)'!G350</f>
        <v>9</v>
      </c>
      <c r="H362" s="19">
        <f>'Data cleaning and validation(3)'!H350</f>
        <v>142149</v>
      </c>
      <c r="I362" s="8" t="str">
        <f>'Data cleaning and validation(3)'!I350</f>
        <v>Compensation Analyst</v>
      </c>
      <c r="J362" s="8" t="str">
        <f>'Data cleaning and validation(3)'!J350</f>
        <v>Southeast</v>
      </c>
      <c r="K362" s="8" t="str">
        <f>'Data cleaning and validation(3)'!K350</f>
        <v>USA</v>
      </c>
      <c r="L362" s="8" t="str">
        <f>'Data cleaning and validation(3)'!L350</f>
        <v>Outdoors &amp; Garden</v>
      </c>
      <c r="M362" s="8" t="str">
        <f>'Data cleaning and validation(3)'!M350</f>
        <v>Active</v>
      </c>
      <c r="N362" s="17">
        <f>'Data cleaning and validation(3)'!N350</f>
        <v>1705788</v>
      </c>
      <c r="O362" s="18">
        <f>'Data cleaning and validation(3)'!O350</f>
        <v>14214.900000000001</v>
      </c>
    </row>
    <row r="363" spans="1:15" x14ac:dyDescent="0.35">
      <c r="A363" s="8">
        <f>'Data cleaning and validation(3)'!A351</f>
        <v>350</v>
      </c>
      <c r="B363" s="8" t="str">
        <f>'Data cleaning and validation(3)'!B351</f>
        <v>Hawkins</v>
      </c>
      <c r="C363" s="8" t="str">
        <f>'Data cleaning and validation(3)'!C351</f>
        <v>ahawkins9p@hud.gov</v>
      </c>
      <c r="D363" s="8" t="str">
        <f>'Data cleaning and validation(3)'!D351</f>
        <v>M</v>
      </c>
      <c r="E363" s="8" t="str">
        <f>'Data cleaning and validation(3)'!E351</f>
        <v>Electronics</v>
      </c>
      <c r="F363" s="15">
        <f>'Data cleaning and validation(3)'!F351</f>
        <v>36667</v>
      </c>
      <c r="G363" s="8">
        <f>'Data cleaning and validation(3)'!G351</f>
        <v>21</v>
      </c>
      <c r="H363" s="19">
        <f>'Data cleaning and validation(3)'!H351</f>
        <v>144073</v>
      </c>
      <c r="I363" s="8" t="str">
        <f>'Data cleaning and validation(3)'!I351</f>
        <v>Programmer I</v>
      </c>
      <c r="J363" s="8" t="str">
        <f>'Data cleaning and validation(3)'!J351</f>
        <v>Northeast</v>
      </c>
      <c r="K363" s="8" t="str">
        <f>'Data cleaning and validation(3)'!K351</f>
        <v>USA</v>
      </c>
      <c r="L363" s="8" t="str">
        <f>'Data cleaning and validation(3)'!L351</f>
        <v>Electronic Equipment</v>
      </c>
      <c r="M363" s="8" t="str">
        <f>'Data cleaning and validation(3)'!M351</f>
        <v>Active</v>
      </c>
      <c r="N363" s="17">
        <f>'Data cleaning and validation(3)'!N351</f>
        <v>1728876</v>
      </c>
      <c r="O363" s="18">
        <f>'Data cleaning and validation(3)'!O351</f>
        <v>14407.300000000001</v>
      </c>
    </row>
    <row r="364" spans="1:15" x14ac:dyDescent="0.35">
      <c r="A364" s="8">
        <f>'Data cleaning and validation(3)'!A352</f>
        <v>351</v>
      </c>
      <c r="B364" s="8" t="str">
        <f>'Data cleaning and validation(3)'!B352</f>
        <v>Fuller</v>
      </c>
      <c r="C364" s="8" t="str">
        <f>'Data cleaning and validation(3)'!C352</f>
        <v>jfuller9q@merriam-webster.com</v>
      </c>
      <c r="D364" s="8" t="str">
        <f>'Data cleaning and validation(3)'!D352</f>
        <v>F</v>
      </c>
      <c r="E364" s="8" t="str">
        <f>'Data cleaning and validation(3)'!E352</f>
        <v>Books</v>
      </c>
      <c r="F364" s="15">
        <f>'Data cleaning and validation(3)'!F352</f>
        <v>37120</v>
      </c>
      <c r="G364" s="8">
        <f>'Data cleaning and validation(3)'!G352</f>
        <v>20</v>
      </c>
      <c r="H364" s="19">
        <f>'Data cleaning and validation(3)'!H352</f>
        <v>54410</v>
      </c>
      <c r="I364" s="8" t="str">
        <f>'Data cleaning and validation(3)'!I352</f>
        <v>Programmer Analyst II</v>
      </c>
      <c r="J364" s="8" t="str">
        <f>'Data cleaning and validation(3)'!J352</f>
        <v>Nova Scotia</v>
      </c>
      <c r="K364" s="8" t="str">
        <f>'Data cleaning and validation(3)'!K352</f>
        <v>Canada</v>
      </c>
      <c r="L364" s="8" t="str">
        <f>'Data cleaning and validation(3)'!L352</f>
        <v>Library</v>
      </c>
      <c r="M364" s="8" t="str">
        <f>'Data cleaning and validation(3)'!M352</f>
        <v>Active</v>
      </c>
      <c r="N364" s="17">
        <f>'Data cleaning and validation(3)'!N352</f>
        <v>652920</v>
      </c>
      <c r="O364" s="18">
        <f>'Data cleaning and validation(3)'!O352</f>
        <v>5441</v>
      </c>
    </row>
    <row r="365" spans="1:15" x14ac:dyDescent="0.35">
      <c r="A365" s="8">
        <f>'Data cleaning and validation(3)'!A353</f>
        <v>352</v>
      </c>
      <c r="B365" s="8" t="str">
        <f>'Data cleaning and validation(3)'!B353</f>
        <v>Moreno</v>
      </c>
      <c r="C365" s="8" t="str">
        <f>'Data cleaning and validation(3)'!C353</f>
        <v>smoreno9r@slate.com</v>
      </c>
      <c r="D365" s="8" t="str">
        <f>'Data cleaning and validation(3)'!D353</f>
        <v>M</v>
      </c>
      <c r="E365" s="8" t="str">
        <f>'Data cleaning and validation(3)'!E353</f>
        <v>Home</v>
      </c>
      <c r="F365" s="15">
        <f>'Data cleaning and validation(3)'!F353</f>
        <v>36705</v>
      </c>
      <c r="G365" s="8">
        <f>'Data cleaning and validation(3)'!G353</f>
        <v>21</v>
      </c>
      <c r="H365" s="19">
        <f>'Data cleaning and validation(3)'!H353</f>
        <v>107907</v>
      </c>
      <c r="I365" s="8" t="str">
        <f>'Data cleaning and validation(3)'!I353</f>
        <v>Financial Advisor</v>
      </c>
      <c r="J365" s="8" t="str">
        <f>'Data cleaning and validation(3)'!J353</f>
        <v>British Columbia</v>
      </c>
      <c r="K365" s="8" t="str">
        <f>'Data cleaning and validation(3)'!K353</f>
        <v>Canada</v>
      </c>
      <c r="L365" s="8" t="str">
        <f>'Data cleaning and validation(3)'!L353</f>
        <v>Domestic</v>
      </c>
      <c r="M365" s="8" t="str">
        <f>'Data cleaning and validation(3)'!M353</f>
        <v>Active</v>
      </c>
      <c r="N365" s="17">
        <f>'Data cleaning and validation(3)'!N353</f>
        <v>1294884</v>
      </c>
      <c r="O365" s="18">
        <f>'Data cleaning and validation(3)'!O353</f>
        <v>10790.7</v>
      </c>
    </row>
    <row r="366" spans="1:15" x14ac:dyDescent="0.35">
      <c r="A366" s="8">
        <f>'Data cleaning and validation(3)'!A354</f>
        <v>353</v>
      </c>
      <c r="B366" s="8" t="str">
        <f>'Data cleaning and validation(3)'!B354</f>
        <v>Gonzales</v>
      </c>
      <c r="C366" s="8" t="str">
        <f>'Data cleaning and validation(3)'!C354</f>
        <v>jgonzales9s@sourceforge.net</v>
      </c>
      <c r="D366" s="8" t="str">
        <f>'Data cleaning and validation(3)'!D354</f>
        <v>F</v>
      </c>
      <c r="E366" s="8" t="str">
        <f>'Data cleaning and validation(3)'!E354</f>
        <v>Home</v>
      </c>
      <c r="F366" s="15">
        <f>'Data cleaning and validation(3)'!F354</f>
        <v>45117</v>
      </c>
      <c r="G366" s="8">
        <f>'Data cleaning and validation(3)'!G354</f>
        <v>11</v>
      </c>
      <c r="H366" s="19">
        <f>'Data cleaning and validation(3)'!H354</f>
        <v>91249</v>
      </c>
      <c r="I366" s="8" t="str">
        <f>'Data cleaning and validation(3)'!I354</f>
        <v>Mechanical Systems Engineer</v>
      </c>
      <c r="J366" s="8" t="str">
        <f>'Data cleaning and validation(3)'!J354</f>
        <v>Southeast</v>
      </c>
      <c r="K366" s="8" t="str">
        <f>'Data cleaning and validation(3)'!K354</f>
        <v>USA</v>
      </c>
      <c r="L366" s="8" t="str">
        <f>'Data cleaning and validation(3)'!L354</f>
        <v>Domestic</v>
      </c>
      <c r="M366" s="8" t="str">
        <f>'Data cleaning and validation(3)'!M354</f>
        <v>Active</v>
      </c>
      <c r="N366" s="17">
        <f>'Data cleaning and validation(3)'!N354</f>
        <v>1094988</v>
      </c>
      <c r="O366" s="18">
        <f>'Data cleaning and validation(3)'!O354</f>
        <v>9124.9</v>
      </c>
    </row>
    <row r="367" spans="1:15" x14ac:dyDescent="0.35">
      <c r="A367" s="8">
        <f>'Data cleaning and validation(3)'!A355</f>
        <v>354</v>
      </c>
      <c r="B367" s="8" t="str">
        <f>'Data cleaning and validation(3)'!B355</f>
        <v>Hudson</v>
      </c>
      <c r="C367" s="8" t="str">
        <f>'Data cleaning and validation(3)'!C355</f>
        <v>shudson9t@shareasale.com</v>
      </c>
      <c r="D367" s="8" t="str">
        <f>'Data cleaning and validation(3)'!D355</f>
        <v>M</v>
      </c>
      <c r="E367" s="8" t="str">
        <f>'Data cleaning and validation(3)'!E355</f>
        <v>Outdoors</v>
      </c>
      <c r="F367" s="15">
        <f>'Data cleaning and validation(3)'!F355</f>
        <v>38706</v>
      </c>
      <c r="G367" s="8">
        <f>'Data cleaning and validation(3)'!G355</f>
        <v>16</v>
      </c>
      <c r="H367" s="19">
        <f>'Data cleaning and validation(3)'!H355</f>
        <v>78478</v>
      </c>
      <c r="I367" s="8" t="str">
        <f>'Data cleaning and validation(3)'!I355</f>
        <v>Compensation Analyst</v>
      </c>
      <c r="J367" s="8" t="str">
        <f>'Data cleaning and validation(3)'!J355</f>
        <v>British Columbia</v>
      </c>
      <c r="K367" s="8" t="str">
        <f>'Data cleaning and validation(3)'!K355</f>
        <v>Canada</v>
      </c>
      <c r="L367" s="8" t="str">
        <f>'Data cleaning and validation(3)'!L355</f>
        <v>Outdoors &amp; Garden</v>
      </c>
      <c r="M367" s="8" t="str">
        <f>'Data cleaning and validation(3)'!M355</f>
        <v>Active</v>
      </c>
      <c r="N367" s="17">
        <f>'Data cleaning and validation(3)'!N355</f>
        <v>941736</v>
      </c>
      <c r="O367" s="18">
        <f>'Data cleaning and validation(3)'!O355</f>
        <v>7847.8</v>
      </c>
    </row>
    <row r="368" spans="1:15" x14ac:dyDescent="0.35">
      <c r="A368" s="8">
        <f>'Data cleaning and validation(3)'!A356</f>
        <v>355</v>
      </c>
      <c r="B368" s="8" t="str">
        <f>'Data cleaning and validation(3)'!B356</f>
        <v>Murray</v>
      </c>
      <c r="C368" s="8" t="str">
        <f>'Data cleaning and validation(3)'!C356</f>
        <v>cmurray9u@reverbnation.com</v>
      </c>
      <c r="D368" s="8" t="str">
        <f>'Data cleaning and validation(3)'!D356</f>
        <v>M</v>
      </c>
      <c r="E368" s="8" t="str">
        <f>'Data cleaning and validation(3)'!E356</f>
        <v>Sports</v>
      </c>
      <c r="F368" s="15">
        <f>'Data cleaning and validation(3)'!F356</f>
        <v>38540</v>
      </c>
      <c r="G368" s="8">
        <f>'Data cleaning and validation(3)'!G356</f>
        <v>16</v>
      </c>
      <c r="H368" s="19">
        <f>'Data cleaning and validation(3)'!H356</f>
        <v>48812</v>
      </c>
      <c r="I368" s="8" t="str">
        <f>'Data cleaning and validation(3)'!I356</f>
        <v>Human Resources Assistant III</v>
      </c>
      <c r="J368" s="8" t="str">
        <f>'Data cleaning and validation(3)'!J356</f>
        <v>Nova Scotia</v>
      </c>
      <c r="K368" s="8" t="str">
        <f>'Data cleaning and validation(3)'!K356</f>
        <v>Canada</v>
      </c>
      <c r="L368" s="8" t="str">
        <f>'Data cleaning and validation(3)'!L356</f>
        <v>Games &amp; Sports</v>
      </c>
      <c r="M368" s="8" t="str">
        <f>'Data cleaning and validation(3)'!M356</f>
        <v>Active</v>
      </c>
      <c r="N368" s="17">
        <f>'Data cleaning and validation(3)'!N356</f>
        <v>585744</v>
      </c>
      <c r="O368" s="18">
        <f>'Data cleaning and validation(3)'!O356</f>
        <v>4881.2</v>
      </c>
    </row>
    <row r="369" spans="1:15" x14ac:dyDescent="0.35">
      <c r="A369" s="8">
        <f>'Data cleaning and validation(3)'!A357</f>
        <v>356</v>
      </c>
      <c r="B369" s="8" t="str">
        <f>'Data cleaning and validation(3)'!B357</f>
        <v>Stephens</v>
      </c>
      <c r="C369" s="8" t="str">
        <f>'Data cleaning and validation(3)'!C357</f>
        <v>estephens9v@bbc.co.uk</v>
      </c>
      <c r="D369" s="8" t="str">
        <f>'Data cleaning and validation(3)'!D357</f>
        <v>F</v>
      </c>
      <c r="E369" s="8" t="str">
        <f>'Data cleaning and validation(3)'!E357</f>
        <v>Grocery</v>
      </c>
      <c r="F369" s="15">
        <f>'Data cleaning and validation(3)'!F357</f>
        <v>36643</v>
      </c>
      <c r="G369" s="8">
        <f>'Data cleaning and validation(3)'!G357</f>
        <v>21</v>
      </c>
      <c r="H369" s="19">
        <f>'Data cleaning and validation(3)'!H357</f>
        <v>147440</v>
      </c>
      <c r="I369" s="8" t="str">
        <f>'Data cleaning and validation(3)'!I357</f>
        <v>Sales Associate</v>
      </c>
      <c r="J369" s="8" t="str">
        <f>'Data cleaning and validation(3)'!J357</f>
        <v>Southeast</v>
      </c>
      <c r="K369" s="8" t="str">
        <f>'Data cleaning and validation(3)'!K357</f>
        <v>USA</v>
      </c>
      <c r="L369" s="8" t="str">
        <f>'Data cleaning and validation(3)'!L357</f>
        <v>Domestic</v>
      </c>
      <c r="M369" s="8" t="str">
        <f>'Data cleaning and validation(3)'!M357</f>
        <v>Active</v>
      </c>
      <c r="N369" s="17">
        <f>'Data cleaning and validation(3)'!N357</f>
        <v>1769280</v>
      </c>
      <c r="O369" s="18">
        <f>'Data cleaning and validation(3)'!O357</f>
        <v>14744</v>
      </c>
    </row>
    <row r="370" spans="1:15" x14ac:dyDescent="0.35">
      <c r="A370" s="8">
        <f>'Data cleaning and validation(3)'!A358</f>
        <v>357</v>
      </c>
      <c r="B370" s="8" t="str">
        <f>'Data cleaning and validation(3)'!B358</f>
        <v>Reynolds</v>
      </c>
      <c r="C370" s="8" t="str">
        <f>'Data cleaning and validation(3)'!C358</f>
        <v>dreynolds9w@angelfire.com</v>
      </c>
      <c r="D370" s="8" t="str">
        <f>'Data cleaning and validation(3)'!D358</f>
        <v>M</v>
      </c>
      <c r="E370" s="8" t="str">
        <f>'Data cleaning and validation(3)'!E358</f>
        <v>Outdoors</v>
      </c>
      <c r="F370" s="15">
        <f>'Data cleaning and validation(3)'!F358</f>
        <v>37759</v>
      </c>
      <c r="G370" s="8">
        <f>'Data cleaning and validation(3)'!G358</f>
        <v>18</v>
      </c>
      <c r="H370" s="19">
        <f>'Data cleaning and validation(3)'!H358</f>
        <v>87978</v>
      </c>
      <c r="I370" s="8" t="str">
        <f>'Data cleaning and validation(3)'!I358</f>
        <v>Senior Financial Analyst</v>
      </c>
      <c r="J370" s="8" t="str">
        <f>'Data cleaning and validation(3)'!J358</f>
        <v>Northeast</v>
      </c>
      <c r="K370" s="8" t="str">
        <f>'Data cleaning and validation(3)'!K358</f>
        <v>USA</v>
      </c>
      <c r="L370" s="8" t="str">
        <f>'Data cleaning and validation(3)'!L358</f>
        <v>Outdoors &amp; Garden</v>
      </c>
      <c r="M370" s="8" t="str">
        <f>'Data cleaning and validation(3)'!M358</f>
        <v>Active</v>
      </c>
      <c r="N370" s="17">
        <f>'Data cleaning and validation(3)'!N358</f>
        <v>1055736</v>
      </c>
      <c r="O370" s="18">
        <f>'Data cleaning and validation(3)'!O358</f>
        <v>8797.8000000000011</v>
      </c>
    </row>
    <row r="371" spans="1:15" x14ac:dyDescent="0.35">
      <c r="A371" s="8">
        <f>'Data cleaning and validation(3)'!A359</f>
        <v>358</v>
      </c>
      <c r="B371" s="8" t="str">
        <f>'Data cleaning and validation(3)'!B359</f>
        <v>Gutierrez</v>
      </c>
      <c r="C371" s="8" t="str">
        <f>'Data cleaning and validation(3)'!C359</f>
        <v>jgutierrez9x@telegraph.co.uk</v>
      </c>
      <c r="D371" s="8" t="str">
        <f>'Data cleaning and validation(3)'!D359</f>
        <v>M</v>
      </c>
      <c r="E371" s="8" t="str">
        <f>'Data cleaning and validation(3)'!E359</f>
        <v>Automotive</v>
      </c>
      <c r="F371" s="15">
        <f>'Data cleaning and validation(3)'!F359</f>
        <v>37424</v>
      </c>
      <c r="G371" s="8">
        <f>'Data cleaning and validation(3)'!G359</f>
        <v>19</v>
      </c>
      <c r="H371" s="19">
        <f>'Data cleaning and validation(3)'!H359</f>
        <v>67800</v>
      </c>
      <c r="I371" s="8" t="str">
        <f>'Data cleaning and validation(3)'!I359</f>
        <v>Desktop Support Technician</v>
      </c>
      <c r="J371" s="8" t="str">
        <f>'Data cleaning and validation(3)'!J359</f>
        <v>Southeast</v>
      </c>
      <c r="K371" s="8" t="str">
        <f>'Data cleaning and validation(3)'!K359</f>
        <v>USA</v>
      </c>
      <c r="L371" s="8" t="str">
        <f>'Data cleaning and validation(3)'!L359</f>
        <v>Auto &amp; Hardware</v>
      </c>
      <c r="M371" s="8" t="str">
        <f>'Data cleaning and validation(3)'!M359</f>
        <v>Active</v>
      </c>
      <c r="N371" s="17">
        <f>'Data cleaning and validation(3)'!N359</f>
        <v>813600</v>
      </c>
      <c r="O371" s="18">
        <f>'Data cleaning and validation(3)'!O359</f>
        <v>6780</v>
      </c>
    </row>
    <row r="372" spans="1:15" x14ac:dyDescent="0.35">
      <c r="A372" s="8">
        <f>'Data cleaning and validation(3)'!A360</f>
        <v>359</v>
      </c>
      <c r="B372" s="8" t="str">
        <f>'Data cleaning and validation(3)'!B360</f>
        <v>Tucker</v>
      </c>
      <c r="C372" s="8" t="str">
        <f>'Data cleaning and validation(3)'!C360</f>
        <v>gtucker9y@instagram.com</v>
      </c>
      <c r="D372" s="8" t="str">
        <f>'Data cleaning and validation(3)'!D360</f>
        <v>M</v>
      </c>
      <c r="E372" s="8" t="str">
        <f>'Data cleaning and validation(3)'!E360</f>
        <v>Baby</v>
      </c>
      <c r="F372" s="15">
        <f>'Data cleaning and validation(3)'!F360</f>
        <v>40312</v>
      </c>
      <c r="G372" s="8">
        <f>'Data cleaning and validation(3)'!G360</f>
        <v>11</v>
      </c>
      <c r="H372" s="19">
        <f>'Data cleaning and validation(3)'!H360</f>
        <v>42944</v>
      </c>
      <c r="I372" s="8" t="str">
        <f>'Data cleaning and validation(3)'!I360</f>
        <v>Tax Accountant</v>
      </c>
      <c r="J372" s="8" t="str">
        <f>'Data cleaning and validation(3)'!J360</f>
        <v>Northwest</v>
      </c>
      <c r="K372" s="8" t="str">
        <f>'Data cleaning and validation(3)'!K360</f>
        <v>USA</v>
      </c>
      <c r="L372" s="8" t="str">
        <f>'Data cleaning and validation(3)'!L360</f>
        <v>Domestic</v>
      </c>
      <c r="M372" s="8" t="str">
        <f>'Data cleaning and validation(3)'!M360</f>
        <v>Active</v>
      </c>
      <c r="N372" s="17">
        <f>'Data cleaning and validation(3)'!N360</f>
        <v>515328</v>
      </c>
      <c r="O372" s="18">
        <f>'Data cleaning and validation(3)'!O360</f>
        <v>4294.4000000000005</v>
      </c>
    </row>
    <row r="373" spans="1:15" x14ac:dyDescent="0.35">
      <c r="A373" s="8">
        <f>'Data cleaning and validation(3)'!A361</f>
        <v>360</v>
      </c>
      <c r="B373" s="8" t="str">
        <f>'Data cleaning and validation(3)'!B361</f>
        <v>Jenkins</v>
      </c>
      <c r="C373" s="8" t="str">
        <f>'Data cleaning and validation(3)'!C361</f>
        <v>jjenkins9z@w3.org</v>
      </c>
      <c r="D373" s="8" t="str">
        <f>'Data cleaning and validation(3)'!D361</f>
        <v>F</v>
      </c>
      <c r="E373" s="8" t="str">
        <f>'Data cleaning and validation(3)'!E361</f>
        <v>Automotive</v>
      </c>
      <c r="F373" s="15">
        <f>'Data cleaning and validation(3)'!F361</f>
        <v>38186</v>
      </c>
      <c r="G373" s="8">
        <f>'Data cleaning and validation(3)'!G361</f>
        <v>17</v>
      </c>
      <c r="H373" s="19">
        <f>'Data cleaning and validation(3)'!H361</f>
        <v>84356</v>
      </c>
      <c r="I373" s="8" t="str">
        <f>'Data cleaning and validation(3)'!I361</f>
        <v>Marketing Assistant</v>
      </c>
      <c r="J373" s="8" t="str">
        <f>'Data cleaning and validation(3)'!J361</f>
        <v>Southeast</v>
      </c>
      <c r="K373" s="8" t="str">
        <f>'Data cleaning and validation(3)'!K361</f>
        <v>USA</v>
      </c>
      <c r="L373" s="8" t="str">
        <f>'Data cleaning and validation(3)'!L361</f>
        <v>Auto &amp; Hardware</v>
      </c>
      <c r="M373" s="8" t="str">
        <f>'Data cleaning and validation(3)'!M361</f>
        <v>Active</v>
      </c>
      <c r="N373" s="17">
        <f>'Data cleaning and validation(3)'!N361</f>
        <v>1012272</v>
      </c>
      <c r="O373" s="18">
        <f>'Data cleaning and validation(3)'!O361</f>
        <v>8435.6</v>
      </c>
    </row>
    <row r="374" spans="1:15" x14ac:dyDescent="0.35">
      <c r="A374" s="8">
        <f>'Data cleaning and validation(3)'!A362</f>
        <v>361</v>
      </c>
      <c r="B374" s="8" t="str">
        <f>'Data cleaning and validation(3)'!B362</f>
        <v>Rice</v>
      </c>
      <c r="C374" s="8" t="str">
        <f>'Data cleaning and validation(3)'!C362</f>
        <v>dricea0@hubpages.com</v>
      </c>
      <c r="D374" s="8" t="str">
        <f>'Data cleaning and validation(3)'!D362</f>
        <v>F</v>
      </c>
      <c r="E374" s="8" t="str">
        <f>'Data cleaning and validation(3)'!E362</f>
        <v>Garden</v>
      </c>
      <c r="F374" s="15">
        <f>'Data cleaning and validation(3)'!F362</f>
        <v>39057</v>
      </c>
      <c r="G374" s="8">
        <f>'Data cleaning and validation(3)'!G362</f>
        <v>15</v>
      </c>
      <c r="H374" s="19">
        <f>'Data cleaning and validation(3)'!H362</f>
        <v>144724</v>
      </c>
      <c r="I374" s="8" t="str">
        <f>'Data cleaning and validation(3)'!I362</f>
        <v>Senior Quality Engineer</v>
      </c>
      <c r="J374" s="8" t="str">
        <f>'Data cleaning and validation(3)'!J362</f>
        <v>Nova Scotia</v>
      </c>
      <c r="K374" s="8" t="str">
        <f>'Data cleaning and validation(3)'!K362</f>
        <v>Canada</v>
      </c>
      <c r="L374" s="8" t="str">
        <f>'Data cleaning and validation(3)'!L362</f>
        <v>Outdoors &amp; Garden</v>
      </c>
      <c r="M374" s="8" t="str">
        <f>'Data cleaning and validation(3)'!M362</f>
        <v>Resigned</v>
      </c>
      <c r="N374" s="17">
        <f>'Data cleaning and validation(3)'!N362</f>
        <v>1736688</v>
      </c>
      <c r="O374" s="18">
        <f>'Data cleaning and validation(3)'!O362</f>
        <v>14472.400000000001</v>
      </c>
    </row>
    <row r="375" spans="1:15" x14ac:dyDescent="0.35">
      <c r="A375" s="8">
        <f>'Data cleaning and validation(3)'!A363</f>
        <v>362</v>
      </c>
      <c r="B375" s="8" t="str">
        <f>'Data cleaning and validation(3)'!B363</f>
        <v>Burke</v>
      </c>
      <c r="C375" s="8" t="str">
        <f>'Data cleaning and validation(3)'!C363</f>
        <v>jburkea1@mayoclinic.com</v>
      </c>
      <c r="D375" s="8" t="str">
        <f>'Data cleaning and validation(3)'!D363</f>
        <v>M</v>
      </c>
      <c r="E375" s="8" t="str">
        <f>'Data cleaning and validation(3)'!E363</f>
        <v>Grocery</v>
      </c>
      <c r="F375" s="15">
        <f>'Data cleaning and validation(3)'!F363</f>
        <v>37872</v>
      </c>
      <c r="G375" s="8">
        <f>'Data cleaning and validation(3)'!G363</f>
        <v>18</v>
      </c>
      <c r="H375" s="19">
        <f>'Data cleaning and validation(3)'!H363</f>
        <v>147290</v>
      </c>
      <c r="I375" s="8" t="str">
        <f>'Data cleaning and validation(3)'!I363</f>
        <v>Analyst Programmer</v>
      </c>
      <c r="J375" s="8" t="str">
        <f>'Data cleaning and validation(3)'!J363</f>
        <v>Quebec</v>
      </c>
      <c r="K375" s="8" t="str">
        <f>'Data cleaning and validation(3)'!K363</f>
        <v>Canada</v>
      </c>
      <c r="L375" s="8" t="str">
        <f>'Data cleaning and validation(3)'!L363</f>
        <v>Domestic</v>
      </c>
      <c r="M375" s="8" t="str">
        <f>'Data cleaning and validation(3)'!M363</f>
        <v>Resigned</v>
      </c>
      <c r="N375" s="17">
        <f>'Data cleaning and validation(3)'!N363</f>
        <v>1767480</v>
      </c>
      <c r="O375" s="18">
        <f>'Data cleaning and validation(3)'!O363</f>
        <v>14729</v>
      </c>
    </row>
    <row r="376" spans="1:15" x14ac:dyDescent="0.35">
      <c r="A376" s="8">
        <f>'Data cleaning and validation(3)'!A364</f>
        <v>363</v>
      </c>
      <c r="B376" s="8" t="str">
        <f>'Data cleaning and validation(3)'!B364</f>
        <v>Hall</v>
      </c>
      <c r="C376" s="8" t="str">
        <f>'Data cleaning and validation(3)'!C364</f>
        <v>jhalla2@prweb.com</v>
      </c>
      <c r="D376" s="8" t="str">
        <f>'Data cleaning and validation(3)'!D364</f>
        <v>M</v>
      </c>
      <c r="E376" s="8" t="str">
        <f>'Data cleaning and validation(3)'!E364</f>
        <v>Automotive</v>
      </c>
      <c r="F376" s="15">
        <f>'Data cleaning and validation(3)'!F364</f>
        <v>37253</v>
      </c>
      <c r="G376" s="8">
        <f>'Data cleaning and validation(3)'!G364</f>
        <v>20</v>
      </c>
      <c r="H376" s="19">
        <f>'Data cleaning and validation(3)'!H364</f>
        <v>83177</v>
      </c>
      <c r="I376" s="8" t="str">
        <f>'Data cleaning and validation(3)'!I364</f>
        <v>Community Outreach Specialist</v>
      </c>
      <c r="J376" s="8" t="str">
        <f>'Data cleaning and validation(3)'!J364</f>
        <v>Northwest</v>
      </c>
      <c r="K376" s="8" t="str">
        <f>'Data cleaning and validation(3)'!K364</f>
        <v>USA</v>
      </c>
      <c r="L376" s="8" t="str">
        <f>'Data cleaning and validation(3)'!L364</f>
        <v>Auto &amp; Hardware</v>
      </c>
      <c r="M376" s="8" t="str">
        <f>'Data cleaning and validation(3)'!M364</f>
        <v>Resigned</v>
      </c>
      <c r="N376" s="17">
        <f>'Data cleaning and validation(3)'!N364</f>
        <v>998124</v>
      </c>
      <c r="O376" s="18">
        <f>'Data cleaning and validation(3)'!O364</f>
        <v>8317.7000000000007</v>
      </c>
    </row>
    <row r="377" spans="1:15" x14ac:dyDescent="0.35">
      <c r="A377" s="8">
        <f>'Data cleaning and validation(3)'!A365</f>
        <v>364</v>
      </c>
      <c r="B377" s="8" t="str">
        <f>'Data cleaning and validation(3)'!B365</f>
        <v>Ryan</v>
      </c>
      <c r="C377" s="8" t="str">
        <f>'Data cleaning and validation(3)'!C365</f>
        <v>rryana3@twitter.com</v>
      </c>
      <c r="D377" s="8" t="str">
        <f>'Data cleaning and validation(3)'!D365</f>
        <v>M</v>
      </c>
      <c r="E377" s="8" t="str">
        <f>'Data cleaning and validation(3)'!E365</f>
        <v>Health</v>
      </c>
      <c r="F377" s="15">
        <f>'Data cleaning and validation(3)'!F365</f>
        <v>41790</v>
      </c>
      <c r="G377" s="8">
        <f>'Data cleaning and validation(3)'!G365</f>
        <v>7</v>
      </c>
      <c r="H377" s="19">
        <f>'Data cleaning and validation(3)'!H365</f>
        <v>83252</v>
      </c>
      <c r="I377" s="8" t="str">
        <f>'Data cleaning and validation(3)'!I365</f>
        <v>Civil Engineer</v>
      </c>
      <c r="J377" s="8" t="str">
        <f>'Data cleaning and validation(3)'!J365</f>
        <v>Northwest</v>
      </c>
      <c r="K377" s="8" t="str">
        <f>'Data cleaning and validation(3)'!K365</f>
        <v>USA</v>
      </c>
      <c r="L377" s="8" t="str">
        <f>'Data cleaning and validation(3)'!L365</f>
        <v>Domestic</v>
      </c>
      <c r="M377" s="8" t="str">
        <f>'Data cleaning and validation(3)'!M365</f>
        <v>Resigned</v>
      </c>
      <c r="N377" s="17">
        <f>'Data cleaning and validation(3)'!N365</f>
        <v>999024</v>
      </c>
      <c r="O377" s="18">
        <f>'Data cleaning and validation(3)'!O365</f>
        <v>8325.2000000000007</v>
      </c>
    </row>
    <row r="378" spans="1:15" x14ac:dyDescent="0.35">
      <c r="A378" s="8">
        <f>'Data cleaning and validation(3)'!A366</f>
        <v>365</v>
      </c>
      <c r="B378" s="8" t="str">
        <f>'Data cleaning and validation(3)'!B366</f>
        <v>Gonzales</v>
      </c>
      <c r="C378" s="8" t="str">
        <f>'Data cleaning and validation(3)'!C366</f>
        <v>jgonzalesa4@cpanel.net</v>
      </c>
      <c r="D378" s="8" t="str">
        <f>'Data cleaning and validation(3)'!D366</f>
        <v>M</v>
      </c>
      <c r="E378" s="8" t="str">
        <f>'Data cleaning and validation(3)'!E366</f>
        <v>Clothing</v>
      </c>
      <c r="F378" s="15">
        <f>'Data cleaning and validation(3)'!F366</f>
        <v>36768</v>
      </c>
      <c r="G378" s="8">
        <f>'Data cleaning and validation(3)'!G366</f>
        <v>21</v>
      </c>
      <c r="H378" s="19">
        <f>'Data cleaning and validation(3)'!H366</f>
        <v>127393</v>
      </c>
      <c r="I378" s="8" t="str">
        <f>'Data cleaning and validation(3)'!I366</f>
        <v>Help Desk Technician</v>
      </c>
      <c r="J378" s="8" t="str">
        <f>'Data cleaning and validation(3)'!J366</f>
        <v>Nova Scotia</v>
      </c>
      <c r="K378" s="8" t="str">
        <f>'Data cleaning and validation(3)'!K366</f>
        <v>Canada</v>
      </c>
      <c r="L378" s="8" t="str">
        <f>'Data cleaning and validation(3)'!L366</f>
        <v>Domestic</v>
      </c>
      <c r="M378" s="8" t="str">
        <f>'Data cleaning and validation(3)'!M366</f>
        <v>Resigned</v>
      </c>
      <c r="N378" s="17">
        <f>'Data cleaning and validation(3)'!N366</f>
        <v>1528716</v>
      </c>
      <c r="O378" s="18">
        <f>'Data cleaning and validation(3)'!O366</f>
        <v>12739.300000000001</v>
      </c>
    </row>
    <row r="379" spans="1:15" x14ac:dyDescent="0.35">
      <c r="A379" s="8">
        <f>'Data cleaning and validation(3)'!A367</f>
        <v>366</v>
      </c>
      <c r="B379" s="8" t="str">
        <f>'Data cleaning and validation(3)'!B367</f>
        <v>Jacobs</v>
      </c>
      <c r="C379" s="8" t="str">
        <f>'Data cleaning and validation(3)'!C367</f>
        <v>bjacobsa5@domainmarket.com</v>
      </c>
      <c r="D379" s="8" t="str">
        <f>'Data cleaning and validation(3)'!D367</f>
        <v>M</v>
      </c>
      <c r="E379" s="8" t="str">
        <f>'Data cleaning and validation(3)'!E367</f>
        <v>Industrial</v>
      </c>
      <c r="F379" s="15">
        <f>'Data cleaning and validation(3)'!F367</f>
        <v>38746</v>
      </c>
      <c r="G379" s="8">
        <f>'Data cleaning and validation(3)'!G367</f>
        <v>15</v>
      </c>
      <c r="H379" s="19">
        <f>'Data cleaning and validation(3)'!H367</f>
        <v>67186</v>
      </c>
      <c r="I379" s="8" t="str">
        <f>'Data cleaning and validation(3)'!I367</f>
        <v>Research Nurse</v>
      </c>
      <c r="J379" s="8" t="str">
        <f>'Data cleaning and validation(3)'!J367</f>
        <v>Northeast</v>
      </c>
      <c r="K379" s="8" t="str">
        <f>'Data cleaning and validation(3)'!K367</f>
        <v>USA</v>
      </c>
      <c r="L379" s="8" t="str">
        <f>'Data cleaning and validation(3)'!L367</f>
        <v>Auto &amp; Hardware</v>
      </c>
      <c r="M379" s="8" t="str">
        <f>'Data cleaning and validation(3)'!M367</f>
        <v>Resigned</v>
      </c>
      <c r="N379" s="17">
        <f>'Data cleaning and validation(3)'!N367</f>
        <v>806232</v>
      </c>
      <c r="O379" s="18">
        <f>'Data cleaning and validation(3)'!O367</f>
        <v>6718.6</v>
      </c>
    </row>
    <row r="380" spans="1:15" x14ac:dyDescent="0.35">
      <c r="A380" s="8">
        <f>'Data cleaning and validation(3)'!A368</f>
        <v>367</v>
      </c>
      <c r="B380" s="8" t="str">
        <f>'Data cleaning and validation(3)'!B368</f>
        <v>Ramos</v>
      </c>
      <c r="C380" s="8" t="str">
        <f>'Data cleaning and validation(3)'!C368</f>
        <v>jramosa6@cdbaby.com</v>
      </c>
      <c r="D380" s="8" t="str">
        <f>'Data cleaning and validation(3)'!D368</f>
        <v>F</v>
      </c>
      <c r="E380" s="8" t="str">
        <f>'Data cleaning and validation(3)'!E368</f>
        <v>Beauty</v>
      </c>
      <c r="F380" s="15">
        <f>'Data cleaning and validation(3)'!F368</f>
        <v>37320</v>
      </c>
      <c r="G380" s="8">
        <f>'Data cleaning and validation(3)'!G368</f>
        <v>19</v>
      </c>
      <c r="H380" s="19">
        <f>'Data cleaning and validation(3)'!H368</f>
        <v>102361</v>
      </c>
      <c r="I380" s="8" t="str">
        <f>'Data cleaning and validation(3)'!I368</f>
        <v>Computer Systems Analyst III</v>
      </c>
      <c r="J380" s="8" t="str">
        <f>'Data cleaning and validation(3)'!J368</f>
        <v>British Columbia</v>
      </c>
      <c r="K380" s="8" t="str">
        <f>'Data cleaning and validation(3)'!K368</f>
        <v>Canada</v>
      </c>
      <c r="L380" s="8" t="str">
        <f>'Data cleaning and validation(3)'!L368</f>
        <v>Domestic</v>
      </c>
      <c r="M380" s="8" t="str">
        <f>'Data cleaning and validation(3)'!M368</f>
        <v>Resigned</v>
      </c>
      <c r="N380" s="17">
        <f>'Data cleaning and validation(3)'!N368</f>
        <v>1228332</v>
      </c>
      <c r="O380" s="18">
        <f>'Data cleaning and validation(3)'!O368</f>
        <v>10236.1</v>
      </c>
    </row>
    <row r="381" spans="1:15" x14ac:dyDescent="0.35">
      <c r="A381" s="8">
        <f>'Data cleaning and validation(3)'!A369</f>
        <v>368</v>
      </c>
      <c r="B381" s="8" t="str">
        <f>'Data cleaning and validation(3)'!B369</f>
        <v>Rivera</v>
      </c>
      <c r="C381" s="8" t="str">
        <f>'Data cleaning and validation(3)'!C369</f>
        <v>driveraa7@typepad.com</v>
      </c>
      <c r="D381" s="8" t="str">
        <f>'Data cleaning and validation(3)'!D369</f>
        <v>F</v>
      </c>
      <c r="E381" s="8" t="str">
        <f>'Data cleaning and validation(3)'!E369</f>
        <v>Kids</v>
      </c>
      <c r="F381" s="15">
        <f>'Data cleaning and validation(3)'!F369</f>
        <v>37118</v>
      </c>
      <c r="G381" s="8">
        <f>'Data cleaning and validation(3)'!G369</f>
        <v>20</v>
      </c>
      <c r="H381" s="19">
        <f>'Data cleaning and validation(3)'!H369</f>
        <v>60688</v>
      </c>
      <c r="I381" s="8" t="str">
        <f>'Data cleaning and validation(3)'!I369</f>
        <v>Paralegal</v>
      </c>
      <c r="J381" s="8" t="str">
        <f>'Data cleaning and validation(3)'!J369</f>
        <v>Northeast</v>
      </c>
      <c r="K381" s="8" t="str">
        <f>'Data cleaning and validation(3)'!K369</f>
        <v>USA</v>
      </c>
      <c r="L381" s="8" t="str">
        <f>'Data cleaning and validation(3)'!L369</f>
        <v>Domestic</v>
      </c>
      <c r="M381" s="8" t="str">
        <f>'Data cleaning and validation(3)'!M369</f>
        <v>Resigned</v>
      </c>
      <c r="N381" s="17">
        <f>'Data cleaning and validation(3)'!N369</f>
        <v>728256</v>
      </c>
      <c r="O381" s="18">
        <f>'Data cleaning and validation(3)'!O369</f>
        <v>6068.8</v>
      </c>
    </row>
    <row r="382" spans="1:15" x14ac:dyDescent="0.35">
      <c r="A382" s="8">
        <f>'Data cleaning and validation(3)'!A370</f>
        <v>369</v>
      </c>
      <c r="B382" s="8" t="str">
        <f>'Data cleaning and validation(3)'!B370</f>
        <v>Lawrence</v>
      </c>
      <c r="C382" s="8" t="str">
        <f>'Data cleaning and validation(3)'!C370</f>
        <v>llawrencea8@mozilla.com</v>
      </c>
      <c r="D382" s="8" t="str">
        <f>'Data cleaning and validation(3)'!D370</f>
        <v>F</v>
      </c>
      <c r="E382" s="8" t="str">
        <f>'Data cleaning and validation(3)'!E370</f>
        <v>Electronics</v>
      </c>
      <c r="F382" s="15">
        <f>'Data cleaning and validation(3)'!F370</f>
        <v>46136</v>
      </c>
      <c r="G382" s="8">
        <f>'Data cleaning and validation(3)'!G370</f>
        <v>8</v>
      </c>
      <c r="H382" s="19">
        <f>'Data cleaning and validation(3)'!H370</f>
        <v>44704</v>
      </c>
      <c r="I382" s="8" t="str">
        <f>'Data cleaning and validation(3)'!I370</f>
        <v>Data Coordiator</v>
      </c>
      <c r="J382" s="8" t="str">
        <f>'Data cleaning and validation(3)'!J370</f>
        <v>Southeast</v>
      </c>
      <c r="K382" s="8" t="str">
        <f>'Data cleaning and validation(3)'!K370</f>
        <v>USA</v>
      </c>
      <c r="L382" s="8" t="str">
        <f>'Data cleaning and validation(3)'!L370</f>
        <v>Electronic Equipment</v>
      </c>
      <c r="M382" s="8" t="str">
        <f>'Data cleaning and validation(3)'!M370</f>
        <v>Resigned</v>
      </c>
      <c r="N382" s="17">
        <f>'Data cleaning and validation(3)'!N370</f>
        <v>536448</v>
      </c>
      <c r="O382" s="18">
        <f>'Data cleaning and validation(3)'!O370</f>
        <v>4470.4000000000005</v>
      </c>
    </row>
    <row r="383" spans="1:15" x14ac:dyDescent="0.35">
      <c r="A383" s="8">
        <f>'Data cleaning and validation(3)'!A371</f>
        <v>370</v>
      </c>
      <c r="B383" s="8" t="str">
        <f>'Data cleaning and validation(3)'!B371</f>
        <v>Austin</v>
      </c>
      <c r="C383" s="8" t="str">
        <f>'Data cleaning and validation(3)'!C371</f>
        <v>eaustina9@answers.com</v>
      </c>
      <c r="D383" s="8" t="str">
        <f>'Data cleaning and validation(3)'!D371</f>
        <v>M</v>
      </c>
      <c r="E383" s="8" t="str">
        <f>'Data cleaning and validation(3)'!E371</f>
        <v>Home</v>
      </c>
      <c r="F383" s="15">
        <f>'Data cleaning and validation(3)'!F371</f>
        <v>37265</v>
      </c>
      <c r="G383" s="8">
        <f>'Data cleaning and validation(3)'!G371</f>
        <v>19</v>
      </c>
      <c r="H383" s="19">
        <f>'Data cleaning and validation(3)'!H371</f>
        <v>110627</v>
      </c>
      <c r="I383" s="8" t="str">
        <f>'Data cleaning and validation(3)'!I371</f>
        <v>Teacher</v>
      </c>
      <c r="J383" s="8" t="str">
        <f>'Data cleaning and validation(3)'!J371</f>
        <v>Nova Scotia</v>
      </c>
      <c r="K383" s="8" t="str">
        <f>'Data cleaning and validation(3)'!K371</f>
        <v>Canada</v>
      </c>
      <c r="L383" s="8" t="str">
        <f>'Data cleaning and validation(3)'!L371</f>
        <v>Domestic</v>
      </c>
      <c r="M383" s="8" t="str">
        <f>'Data cleaning and validation(3)'!M371</f>
        <v>Resigned</v>
      </c>
      <c r="N383" s="17">
        <f>'Data cleaning and validation(3)'!N371</f>
        <v>1327524</v>
      </c>
      <c r="O383" s="18">
        <f>'Data cleaning and validation(3)'!O371</f>
        <v>11062.7</v>
      </c>
    </row>
    <row r="384" spans="1:15" x14ac:dyDescent="0.35">
      <c r="A384" s="8">
        <f>'Data cleaning and validation(3)'!A372</f>
        <v>371</v>
      </c>
      <c r="B384" s="8" t="str">
        <f>'Data cleaning and validation(3)'!B372</f>
        <v>Sims</v>
      </c>
      <c r="C384" s="8" t="str">
        <f>'Data cleaning and validation(3)'!C372</f>
        <v>bsimsaa@privacy.gov.au</v>
      </c>
      <c r="D384" s="8" t="str">
        <f>'Data cleaning and validation(3)'!D372</f>
        <v>M</v>
      </c>
      <c r="E384" s="8" t="str">
        <f>'Data cleaning and validation(3)'!E372</f>
        <v>Sports</v>
      </c>
      <c r="F384" s="15">
        <f>'Data cleaning and validation(3)'!F372</f>
        <v>36681</v>
      </c>
      <c r="G384" s="8">
        <f>'Data cleaning and validation(3)'!G372</f>
        <v>21</v>
      </c>
      <c r="H384" s="19">
        <f>'Data cleaning and validation(3)'!H372</f>
        <v>127223</v>
      </c>
      <c r="I384" s="8" t="str">
        <f>'Data cleaning and validation(3)'!I372</f>
        <v>Operator</v>
      </c>
      <c r="J384" s="8" t="str">
        <f>'Data cleaning and validation(3)'!J372</f>
        <v>British Columbia</v>
      </c>
      <c r="K384" s="8" t="str">
        <f>'Data cleaning and validation(3)'!K372</f>
        <v>Canada</v>
      </c>
      <c r="L384" s="8" t="str">
        <f>'Data cleaning and validation(3)'!L372</f>
        <v>Games &amp; Sports</v>
      </c>
      <c r="M384" s="8" t="str">
        <f>'Data cleaning and validation(3)'!M372</f>
        <v>Resigned</v>
      </c>
      <c r="N384" s="17">
        <f>'Data cleaning and validation(3)'!N372</f>
        <v>1526676</v>
      </c>
      <c r="O384" s="18">
        <f>'Data cleaning and validation(3)'!O372</f>
        <v>12722.300000000001</v>
      </c>
    </row>
    <row r="385" spans="1:15" x14ac:dyDescent="0.35">
      <c r="A385" s="8">
        <f>'Data cleaning and validation(3)'!A373</f>
        <v>372</v>
      </c>
      <c r="B385" s="8" t="str">
        <f>'Data cleaning and validation(3)'!B373</f>
        <v>Harper</v>
      </c>
      <c r="C385" s="8" t="str">
        <f>'Data cleaning and validation(3)'!C373</f>
        <v>rharperab@china.com.cn</v>
      </c>
      <c r="D385" s="8" t="str">
        <f>'Data cleaning and validation(3)'!D373</f>
        <v>F</v>
      </c>
      <c r="E385" s="8" t="str">
        <f>'Data cleaning and validation(3)'!E373</f>
        <v>Kids</v>
      </c>
      <c r="F385" s="15">
        <f>'Data cleaning and validation(3)'!F373</f>
        <v>37134</v>
      </c>
      <c r="G385" s="8">
        <f>'Data cleaning and validation(3)'!G373</f>
        <v>20</v>
      </c>
      <c r="H385" s="19">
        <f>'Data cleaning and validation(3)'!H373</f>
        <v>96163</v>
      </c>
      <c r="I385" s="8" t="str">
        <f>'Data cleaning and validation(3)'!I373</f>
        <v>Safety Technician IV</v>
      </c>
      <c r="J385" s="8" t="str">
        <f>'Data cleaning and validation(3)'!J373</f>
        <v>Northwest</v>
      </c>
      <c r="K385" s="8" t="str">
        <f>'Data cleaning and validation(3)'!K373</f>
        <v>USA</v>
      </c>
      <c r="L385" s="8" t="str">
        <f>'Data cleaning and validation(3)'!L373</f>
        <v>Domestic</v>
      </c>
      <c r="M385" s="8" t="str">
        <f>'Data cleaning and validation(3)'!M373</f>
        <v>Resigned</v>
      </c>
      <c r="N385" s="17">
        <f>'Data cleaning and validation(3)'!N373</f>
        <v>1153956</v>
      </c>
      <c r="O385" s="18">
        <f>'Data cleaning and validation(3)'!O373</f>
        <v>9616.3000000000011</v>
      </c>
    </row>
    <row r="386" spans="1:15" x14ac:dyDescent="0.35">
      <c r="A386" s="8">
        <f>'Data cleaning and validation(3)'!A374</f>
        <v>373</v>
      </c>
      <c r="B386" s="8" t="str">
        <f>'Data cleaning and validation(3)'!B374</f>
        <v>Sims</v>
      </c>
      <c r="C386" s="8" t="str">
        <f>'Data cleaning and validation(3)'!C374</f>
        <v>jsimsac@a8.net</v>
      </c>
      <c r="D386" s="8" t="str">
        <f>'Data cleaning and validation(3)'!D374</f>
        <v>M</v>
      </c>
      <c r="E386" s="8" t="str">
        <f>'Data cleaning and validation(3)'!E374</f>
        <v>Jewelery</v>
      </c>
      <c r="F386" s="15">
        <f>'Data cleaning and validation(3)'!F374</f>
        <v>41023</v>
      </c>
      <c r="G386" s="8">
        <f>'Data cleaning and validation(3)'!G374</f>
        <v>9</v>
      </c>
      <c r="H386" s="19">
        <f>'Data cleaning and validation(3)'!H374</f>
        <v>86524</v>
      </c>
      <c r="I386" s="8" t="str">
        <f>'Data cleaning and validation(3)'!I374</f>
        <v>Developer IV</v>
      </c>
      <c r="J386" s="8" t="str">
        <f>'Data cleaning and validation(3)'!J374</f>
        <v>British Columbia</v>
      </c>
      <c r="K386" s="8" t="str">
        <f>'Data cleaning and validation(3)'!K374</f>
        <v>Canada</v>
      </c>
      <c r="L386" s="8" t="str">
        <f>'Data cleaning and validation(3)'!L374</f>
        <v>Fashion</v>
      </c>
      <c r="M386" s="8" t="str">
        <f>'Data cleaning and validation(3)'!M374</f>
        <v>Resigned</v>
      </c>
      <c r="N386" s="17">
        <f>'Data cleaning and validation(3)'!N374</f>
        <v>1038288</v>
      </c>
      <c r="O386" s="18">
        <f>'Data cleaning and validation(3)'!O374</f>
        <v>8652.4</v>
      </c>
    </row>
    <row r="387" spans="1:15" x14ac:dyDescent="0.35">
      <c r="A387" s="8">
        <f>'Data cleaning and validation(3)'!A375</f>
        <v>374</v>
      </c>
      <c r="B387" s="8" t="str">
        <f>'Data cleaning and validation(3)'!B375</f>
        <v>Mcdonald</v>
      </c>
      <c r="C387" s="8" t="str">
        <f>'Data cleaning and validation(3)'!C375</f>
        <v>jmcdonaldad@sbwire.com</v>
      </c>
      <c r="D387" s="8" t="str">
        <f>'Data cleaning and validation(3)'!D375</f>
        <v>F</v>
      </c>
      <c r="E387" s="8" t="str">
        <f>'Data cleaning and validation(3)'!E375</f>
        <v>Baby</v>
      </c>
      <c r="F387" s="15">
        <f>'Data cleaning and validation(3)'!F375</f>
        <v>38614</v>
      </c>
      <c r="G387" s="8">
        <f>'Data cleaning and validation(3)'!G375</f>
        <v>16</v>
      </c>
      <c r="H387" s="19">
        <f>'Data cleaning and validation(3)'!H375</f>
        <v>141464</v>
      </c>
      <c r="I387" s="8" t="str">
        <f>'Data cleaning and validation(3)'!I375</f>
        <v>Programmer IV</v>
      </c>
      <c r="J387" s="8" t="str">
        <f>'Data cleaning and validation(3)'!J375</f>
        <v>Southwest</v>
      </c>
      <c r="K387" s="8" t="str">
        <f>'Data cleaning and validation(3)'!K375</f>
        <v>USA</v>
      </c>
      <c r="L387" s="8" t="str">
        <f>'Data cleaning and validation(3)'!L375</f>
        <v>Domestic</v>
      </c>
      <c r="M387" s="8" t="str">
        <f>'Data cleaning and validation(3)'!M375</f>
        <v>Active</v>
      </c>
      <c r="N387" s="17">
        <f>'Data cleaning and validation(3)'!N375</f>
        <v>1697568</v>
      </c>
      <c r="O387" s="18">
        <f>'Data cleaning and validation(3)'!O375</f>
        <v>14146.400000000001</v>
      </c>
    </row>
    <row r="388" spans="1:15" x14ac:dyDescent="0.35">
      <c r="A388" s="8">
        <f>'Data cleaning and validation(3)'!A376</f>
        <v>375</v>
      </c>
      <c r="B388" s="8" t="str">
        <f>'Data cleaning and validation(3)'!B376</f>
        <v>Hudson</v>
      </c>
      <c r="C388" s="8" t="str">
        <f>'Data cleaning and validation(3)'!C376</f>
        <v>mhudsonae@ihg.com</v>
      </c>
      <c r="D388" s="8" t="str">
        <f>'Data cleaning and validation(3)'!D376</f>
        <v>F</v>
      </c>
      <c r="E388" s="8" t="str">
        <f>'Data cleaning and validation(3)'!E376</f>
        <v>Industrial</v>
      </c>
      <c r="F388" s="15">
        <f>'Data cleaning and validation(3)'!F376</f>
        <v>46626</v>
      </c>
      <c r="G388" s="8">
        <f>'Data cleaning and validation(3)'!G376</f>
        <v>7</v>
      </c>
      <c r="H388" s="19">
        <f>'Data cleaning and validation(3)'!H376</f>
        <v>88029</v>
      </c>
      <c r="I388" s="8" t="str">
        <f>'Data cleaning and validation(3)'!I376</f>
        <v>Help Desk Operator</v>
      </c>
      <c r="J388" s="8" t="str">
        <f>'Data cleaning and validation(3)'!J376</f>
        <v>Southwest</v>
      </c>
      <c r="K388" s="8" t="str">
        <f>'Data cleaning and validation(3)'!K376</f>
        <v>USA</v>
      </c>
      <c r="L388" s="8" t="str">
        <f>'Data cleaning and validation(3)'!L376</f>
        <v>Auto &amp; Hardware</v>
      </c>
      <c r="M388" s="8" t="str">
        <f>'Data cleaning and validation(3)'!M376</f>
        <v>Active</v>
      </c>
      <c r="N388" s="17">
        <f>'Data cleaning and validation(3)'!N376</f>
        <v>1056348</v>
      </c>
      <c r="O388" s="18">
        <f>'Data cleaning and validation(3)'!O376</f>
        <v>8802.9</v>
      </c>
    </row>
    <row r="389" spans="1:15" x14ac:dyDescent="0.35">
      <c r="A389" s="8">
        <f>'Data cleaning and validation(3)'!A377</f>
        <v>376</v>
      </c>
      <c r="B389" s="8" t="str">
        <f>'Data cleaning and validation(3)'!B377</f>
        <v>Harper</v>
      </c>
      <c r="C389" s="8" t="str">
        <f>'Data cleaning and validation(3)'!C377</f>
        <v>charperaf@google.pl</v>
      </c>
      <c r="D389" s="8" t="str">
        <f>'Data cleaning and validation(3)'!D377</f>
        <v>M</v>
      </c>
      <c r="E389" s="8" t="str">
        <f>'Data cleaning and validation(3)'!E377</f>
        <v>Home</v>
      </c>
      <c r="F389" s="15">
        <f>'Data cleaning and validation(3)'!F377</f>
        <v>39162</v>
      </c>
      <c r="G389" s="8">
        <f>'Data cleaning and validation(3)'!G377</f>
        <v>14</v>
      </c>
      <c r="H389" s="19">
        <f>'Data cleaning and validation(3)'!H377</f>
        <v>47281</v>
      </c>
      <c r="I389" s="8" t="str">
        <f>'Data cleaning and validation(3)'!I377</f>
        <v>VP Quality Control</v>
      </c>
      <c r="J389" s="8" t="str">
        <f>'Data cleaning and validation(3)'!J377</f>
        <v>Quebec</v>
      </c>
      <c r="K389" s="8" t="str">
        <f>'Data cleaning and validation(3)'!K377</f>
        <v>Canada</v>
      </c>
      <c r="L389" s="8" t="str">
        <f>'Data cleaning and validation(3)'!L377</f>
        <v>Domestic</v>
      </c>
      <c r="M389" s="8" t="str">
        <f>'Data cleaning and validation(3)'!M377</f>
        <v>Active</v>
      </c>
      <c r="N389" s="17">
        <f>'Data cleaning and validation(3)'!N377</f>
        <v>567372</v>
      </c>
      <c r="O389" s="18">
        <f>'Data cleaning and validation(3)'!O377</f>
        <v>4728.1000000000004</v>
      </c>
    </row>
    <row r="390" spans="1:15" x14ac:dyDescent="0.35">
      <c r="A390" s="8">
        <f>'Data cleaning and validation(3)'!A378</f>
        <v>377</v>
      </c>
      <c r="B390" s="8" t="str">
        <f>'Data cleaning and validation(3)'!B378</f>
        <v>Alexander</v>
      </c>
      <c r="C390" s="8" t="str">
        <f>'Data cleaning and validation(3)'!C378</f>
        <v>valexanderag@amazon.co.uk</v>
      </c>
      <c r="D390" s="8" t="str">
        <f>'Data cleaning and validation(3)'!D378</f>
        <v>F</v>
      </c>
      <c r="E390" s="8" t="str">
        <f>'Data cleaning and validation(3)'!E378</f>
        <v>Electronics</v>
      </c>
      <c r="F390" s="15">
        <f>'Data cleaning and validation(3)'!F378</f>
        <v>37271</v>
      </c>
      <c r="G390" s="8">
        <f>'Data cleaning and validation(3)'!G378</f>
        <v>19</v>
      </c>
      <c r="H390" s="19">
        <f>'Data cleaning and validation(3)'!H378</f>
        <v>93245</v>
      </c>
      <c r="I390" s="8" t="str">
        <f>'Data cleaning and validation(3)'!I378</f>
        <v>Staff Scientist</v>
      </c>
      <c r="J390" s="8" t="str">
        <f>'Data cleaning and validation(3)'!J378</f>
        <v>Northeast</v>
      </c>
      <c r="K390" s="8" t="str">
        <f>'Data cleaning and validation(3)'!K378</f>
        <v>USA</v>
      </c>
      <c r="L390" s="8" t="str">
        <f>'Data cleaning and validation(3)'!L378</f>
        <v>Electronic Equipment</v>
      </c>
      <c r="M390" s="8" t="str">
        <f>'Data cleaning and validation(3)'!M378</f>
        <v>Active</v>
      </c>
      <c r="N390" s="17">
        <f>'Data cleaning and validation(3)'!N378</f>
        <v>1118940</v>
      </c>
      <c r="O390" s="18">
        <f>'Data cleaning and validation(3)'!O378</f>
        <v>9324.5</v>
      </c>
    </row>
    <row r="391" spans="1:15" x14ac:dyDescent="0.35">
      <c r="A391" s="8">
        <f>'Data cleaning and validation(3)'!A379</f>
        <v>378</v>
      </c>
      <c r="B391" s="8" t="str">
        <f>'Data cleaning and validation(3)'!B379</f>
        <v>Nichols</v>
      </c>
      <c r="C391" s="8" t="str">
        <f>'Data cleaning and validation(3)'!C379</f>
        <v>bnicholsah@networkadvertising.org</v>
      </c>
      <c r="D391" s="8" t="str">
        <f>'Data cleaning and validation(3)'!D379</f>
        <v>M</v>
      </c>
      <c r="E391" s="8" t="str">
        <f>'Data cleaning and validation(3)'!E379</f>
        <v>Automotive</v>
      </c>
      <c r="F391" s="15">
        <f>'Data cleaning and validation(3)'!F379</f>
        <v>41120</v>
      </c>
      <c r="G391" s="8">
        <f>'Data cleaning and validation(3)'!G379</f>
        <v>9</v>
      </c>
      <c r="H391" s="19">
        <f>'Data cleaning and validation(3)'!H379</f>
        <v>110589</v>
      </c>
      <c r="I391" s="8" t="str">
        <f>'Data cleaning and validation(3)'!I379</f>
        <v>Cost Accountant</v>
      </c>
      <c r="J391" s="8" t="str">
        <f>'Data cleaning and validation(3)'!J379</f>
        <v>Nova Scotia</v>
      </c>
      <c r="K391" s="8" t="str">
        <f>'Data cleaning and validation(3)'!K379</f>
        <v>Canada</v>
      </c>
      <c r="L391" s="8" t="str">
        <f>'Data cleaning and validation(3)'!L379</f>
        <v>Auto &amp; Hardware</v>
      </c>
      <c r="M391" s="8" t="str">
        <f>'Data cleaning and validation(3)'!M379</f>
        <v>Active</v>
      </c>
      <c r="N391" s="17">
        <f>'Data cleaning and validation(3)'!N379</f>
        <v>1327068</v>
      </c>
      <c r="O391" s="18">
        <f>'Data cleaning and validation(3)'!O379</f>
        <v>11058.900000000001</v>
      </c>
    </row>
    <row r="392" spans="1:15" x14ac:dyDescent="0.35">
      <c r="A392" s="8">
        <f>'Data cleaning and validation(3)'!A380</f>
        <v>379</v>
      </c>
      <c r="B392" s="8" t="str">
        <f>'Data cleaning and validation(3)'!B380</f>
        <v>Hicks</v>
      </c>
      <c r="C392" s="8" t="str">
        <f>'Data cleaning and validation(3)'!C380</f>
        <v>ghicksai@weibo.com</v>
      </c>
      <c r="D392" s="8" t="str">
        <f>'Data cleaning and validation(3)'!D380</f>
        <v>M</v>
      </c>
      <c r="E392" s="8" t="str">
        <f>'Data cleaning and validation(3)'!E380</f>
        <v>Jewelery</v>
      </c>
      <c r="F392" s="15">
        <f>'Data cleaning and validation(3)'!F380</f>
        <v>37714</v>
      </c>
      <c r="G392" s="8">
        <f>'Data cleaning and validation(3)'!G380</f>
        <v>18</v>
      </c>
      <c r="H392" s="19">
        <f>'Data cleaning and validation(3)'!H380</f>
        <v>63735</v>
      </c>
      <c r="I392" s="8" t="str">
        <f>'Data cleaning and validation(3)'!I380</f>
        <v>VP Accounting</v>
      </c>
      <c r="J392" s="8" t="str">
        <f>'Data cleaning and validation(3)'!J380</f>
        <v>Quebec</v>
      </c>
      <c r="K392" s="8" t="str">
        <f>'Data cleaning and validation(3)'!K380</f>
        <v>Canada</v>
      </c>
      <c r="L392" s="8" t="str">
        <f>'Data cleaning and validation(3)'!L380</f>
        <v>Fashion</v>
      </c>
      <c r="M392" s="8" t="str">
        <f>'Data cleaning and validation(3)'!M380</f>
        <v>Active</v>
      </c>
      <c r="N392" s="17">
        <f>'Data cleaning and validation(3)'!N380</f>
        <v>764820</v>
      </c>
      <c r="O392" s="18">
        <f>'Data cleaning and validation(3)'!O380</f>
        <v>6373.5</v>
      </c>
    </row>
    <row r="393" spans="1:15" x14ac:dyDescent="0.35">
      <c r="A393" s="8">
        <f>'Data cleaning and validation(3)'!A381</f>
        <v>380</v>
      </c>
      <c r="B393" s="8" t="str">
        <f>'Data cleaning and validation(3)'!B381</f>
        <v>Turner</v>
      </c>
      <c r="C393" s="8" t="str">
        <f>'Data cleaning and validation(3)'!C381</f>
        <v>bturneraj@samsung.com</v>
      </c>
      <c r="D393" s="8" t="str">
        <f>'Data cleaning and validation(3)'!D381</f>
        <v>F</v>
      </c>
      <c r="E393" s="8" t="str">
        <f>'Data cleaning and validation(3)'!E381</f>
        <v>Industrial</v>
      </c>
      <c r="F393" s="15">
        <f>'Data cleaning and validation(3)'!F381</f>
        <v>46349</v>
      </c>
      <c r="G393" s="8">
        <f>'Data cleaning and validation(3)'!G381</f>
        <v>8</v>
      </c>
      <c r="H393" s="19">
        <f>'Data cleaning and validation(3)'!H381</f>
        <v>91182</v>
      </c>
      <c r="I393" s="8" t="str">
        <f>'Data cleaning and validation(3)'!I381</f>
        <v>Compensation Analyst</v>
      </c>
      <c r="J393" s="8" t="str">
        <f>'Data cleaning and validation(3)'!J381</f>
        <v>British Columbia</v>
      </c>
      <c r="K393" s="8" t="str">
        <f>'Data cleaning and validation(3)'!K381</f>
        <v>Canada</v>
      </c>
      <c r="L393" s="8" t="str">
        <f>'Data cleaning and validation(3)'!L381</f>
        <v>Auto &amp; Hardware</v>
      </c>
      <c r="M393" s="8" t="str">
        <f>'Data cleaning and validation(3)'!M381</f>
        <v>Active</v>
      </c>
      <c r="N393" s="17">
        <f>'Data cleaning and validation(3)'!N381</f>
        <v>1094184</v>
      </c>
      <c r="O393" s="18">
        <f>'Data cleaning and validation(3)'!O381</f>
        <v>9118.2000000000007</v>
      </c>
    </row>
    <row r="394" spans="1:15" x14ac:dyDescent="0.35">
      <c r="A394" s="8">
        <f>'Data cleaning and validation(3)'!A382</f>
        <v>381</v>
      </c>
      <c r="B394" s="8" t="str">
        <f>'Data cleaning and validation(3)'!B382</f>
        <v>Welch</v>
      </c>
      <c r="C394" s="8" t="str">
        <f>'Data cleaning and validation(3)'!C382</f>
        <v>dwelchak@printfriendly.com</v>
      </c>
      <c r="D394" s="8" t="str">
        <f>'Data cleaning and validation(3)'!D382</f>
        <v>M</v>
      </c>
      <c r="E394" s="8" t="str">
        <f>'Data cleaning and validation(3)'!E382</f>
        <v>Music</v>
      </c>
      <c r="F394" s="15">
        <f>'Data cleaning and validation(3)'!F382</f>
        <v>41161</v>
      </c>
      <c r="G394" s="8">
        <f>'Data cleaning and validation(3)'!G382</f>
        <v>9</v>
      </c>
      <c r="H394" s="19">
        <f>'Data cleaning and validation(3)'!H382</f>
        <v>133007</v>
      </c>
      <c r="I394" s="8" t="str">
        <f>'Data cleaning and validation(3)'!I382</f>
        <v>Software Test Engineer I</v>
      </c>
      <c r="J394" s="8" t="str">
        <f>'Data cleaning and validation(3)'!J382</f>
        <v>Nova Scotia</v>
      </c>
      <c r="K394" s="8" t="str">
        <f>'Data cleaning and validation(3)'!K382</f>
        <v>Canada</v>
      </c>
      <c r="L394" s="8" t="str">
        <f>'Data cleaning and validation(3)'!L382</f>
        <v>Entertainment</v>
      </c>
      <c r="M394" s="8" t="str">
        <f>'Data cleaning and validation(3)'!M382</f>
        <v>Active</v>
      </c>
      <c r="N394" s="17">
        <f>'Data cleaning and validation(3)'!N382</f>
        <v>1596084</v>
      </c>
      <c r="O394" s="18">
        <f>'Data cleaning and validation(3)'!O382</f>
        <v>13300.7</v>
      </c>
    </row>
    <row r="395" spans="1:15" x14ac:dyDescent="0.35">
      <c r="A395" s="8">
        <f>'Data cleaning and validation(3)'!A383</f>
        <v>382</v>
      </c>
      <c r="B395" s="8" t="str">
        <f>'Data cleaning and validation(3)'!B383</f>
        <v>Payne</v>
      </c>
      <c r="C395" s="8" t="str">
        <f>'Data cleaning and validation(3)'!C383</f>
        <v>jpayneal@comsenz.com</v>
      </c>
      <c r="D395" s="8" t="str">
        <f>'Data cleaning and validation(3)'!D383</f>
        <v>F</v>
      </c>
      <c r="E395" s="8" t="str">
        <f>'Data cleaning and validation(3)'!E383</f>
        <v>Home</v>
      </c>
      <c r="F395" s="15">
        <f>'Data cleaning and validation(3)'!F383</f>
        <v>45879</v>
      </c>
      <c r="G395" s="8">
        <f>'Data cleaning and validation(3)'!G383</f>
        <v>9</v>
      </c>
      <c r="H395" s="19">
        <f>'Data cleaning and validation(3)'!H383</f>
        <v>92879</v>
      </c>
      <c r="I395" s="8" t="str">
        <f>'Data cleaning and validation(3)'!I383</f>
        <v>Nurse</v>
      </c>
      <c r="J395" s="8" t="str">
        <f>'Data cleaning and validation(3)'!J383</f>
        <v>Southeast</v>
      </c>
      <c r="K395" s="8" t="str">
        <f>'Data cleaning and validation(3)'!K383</f>
        <v>USA</v>
      </c>
      <c r="L395" s="8" t="str">
        <f>'Data cleaning and validation(3)'!L383</f>
        <v>Domestic</v>
      </c>
      <c r="M395" s="8" t="str">
        <f>'Data cleaning and validation(3)'!M383</f>
        <v>Active</v>
      </c>
      <c r="N395" s="17">
        <f>'Data cleaning and validation(3)'!N383</f>
        <v>1114548</v>
      </c>
      <c r="O395" s="18">
        <f>'Data cleaning and validation(3)'!O383</f>
        <v>9287.9</v>
      </c>
    </row>
    <row r="396" spans="1:15" x14ac:dyDescent="0.35">
      <c r="A396" s="8">
        <f>'Data cleaning and validation(3)'!A384</f>
        <v>383</v>
      </c>
      <c r="B396" s="8" t="str">
        <f>'Data cleaning and validation(3)'!B384</f>
        <v>Young</v>
      </c>
      <c r="C396" s="8" t="str">
        <f>'Data cleaning and validation(3)'!C384</f>
        <v>pyoungam@theguardian.com</v>
      </c>
      <c r="D396" s="8" t="str">
        <f>'Data cleaning and validation(3)'!D384</f>
        <v>M</v>
      </c>
      <c r="E396" s="8" t="str">
        <f>'Data cleaning and validation(3)'!E384</f>
        <v>Clothing</v>
      </c>
      <c r="F396" s="15">
        <f>'Data cleaning and validation(3)'!F384</f>
        <v>37600</v>
      </c>
      <c r="G396" s="8">
        <f>'Data cleaning and validation(3)'!G384</f>
        <v>19</v>
      </c>
      <c r="H396" s="19">
        <f>'Data cleaning and validation(3)'!H384</f>
        <v>104079</v>
      </c>
      <c r="I396" s="8" t="str">
        <f>'Data cleaning and validation(3)'!I384</f>
        <v>Systems Administrator IV</v>
      </c>
      <c r="J396" s="8" t="str">
        <f>'Data cleaning and validation(3)'!J384</f>
        <v>Southwest</v>
      </c>
      <c r="K396" s="8" t="str">
        <f>'Data cleaning and validation(3)'!K384</f>
        <v>USA</v>
      </c>
      <c r="L396" s="8" t="str">
        <f>'Data cleaning and validation(3)'!L384</f>
        <v>Domestic</v>
      </c>
      <c r="M396" s="8" t="str">
        <f>'Data cleaning and validation(3)'!M384</f>
        <v>Active</v>
      </c>
      <c r="N396" s="17">
        <f>'Data cleaning and validation(3)'!N384</f>
        <v>1248948</v>
      </c>
      <c r="O396" s="18">
        <f>'Data cleaning and validation(3)'!O384</f>
        <v>10407.900000000001</v>
      </c>
    </row>
    <row r="397" spans="1:15" x14ac:dyDescent="0.35">
      <c r="A397" s="8">
        <f>'Data cleaning and validation(3)'!A385</f>
        <v>384</v>
      </c>
      <c r="B397" s="8" t="str">
        <f>'Data cleaning and validation(3)'!B385</f>
        <v>Butler</v>
      </c>
      <c r="C397" s="8" t="str">
        <f>'Data cleaning and validation(3)'!C385</f>
        <v>dbutleran@eventbrite.com</v>
      </c>
      <c r="D397" s="8" t="str">
        <f>'Data cleaning and validation(3)'!D385</f>
        <v>F</v>
      </c>
      <c r="E397" s="8" t="str">
        <f>'Data cleaning and validation(3)'!E385</f>
        <v>Beauty</v>
      </c>
      <c r="F397" s="15">
        <f>'Data cleaning and validation(3)'!F385</f>
        <v>38657</v>
      </c>
      <c r="G397" s="8">
        <f>'Data cleaning and validation(3)'!G385</f>
        <v>16</v>
      </c>
      <c r="H397" s="19">
        <f>'Data cleaning and validation(3)'!H385</f>
        <v>63918</v>
      </c>
      <c r="I397" s="8" t="str">
        <f>'Data cleaning and validation(3)'!I385</f>
        <v>Structural Engineer</v>
      </c>
      <c r="J397" s="8" t="str">
        <f>'Data cleaning and validation(3)'!J385</f>
        <v>Southwest</v>
      </c>
      <c r="K397" s="8" t="str">
        <f>'Data cleaning and validation(3)'!K385</f>
        <v>USA</v>
      </c>
      <c r="L397" s="8" t="str">
        <f>'Data cleaning and validation(3)'!L385</f>
        <v>Domestic</v>
      </c>
      <c r="M397" s="8" t="str">
        <f>'Data cleaning and validation(3)'!M385</f>
        <v>Active</v>
      </c>
      <c r="N397" s="17">
        <f>'Data cleaning and validation(3)'!N385</f>
        <v>767016</v>
      </c>
      <c r="O397" s="18">
        <f>'Data cleaning and validation(3)'!O385</f>
        <v>6391.8</v>
      </c>
    </row>
    <row r="398" spans="1:15" x14ac:dyDescent="0.35">
      <c r="A398" s="8">
        <f>'Data cleaning and validation(3)'!A386</f>
        <v>385</v>
      </c>
      <c r="B398" s="8" t="str">
        <f>'Data cleaning and validation(3)'!B386</f>
        <v>Carroll</v>
      </c>
      <c r="C398" s="8" t="str">
        <f>'Data cleaning and validation(3)'!C386</f>
        <v>ecarrollao@newsvine.com</v>
      </c>
      <c r="D398" s="8" t="str">
        <f>'Data cleaning and validation(3)'!D386</f>
        <v>F</v>
      </c>
      <c r="E398" s="8" t="str">
        <f>'Data cleaning and validation(3)'!E386</f>
        <v>Automotive</v>
      </c>
      <c r="F398" s="15">
        <f>'Data cleaning and validation(3)'!F386</f>
        <v>45414</v>
      </c>
      <c r="G398" s="8">
        <f>'Data cleaning and validation(3)'!G386</f>
        <v>10</v>
      </c>
      <c r="H398" s="19">
        <f>'Data cleaning and validation(3)'!H386</f>
        <v>128885</v>
      </c>
      <c r="I398" s="8" t="str">
        <f>'Data cleaning and validation(3)'!I386</f>
        <v>Office Assistant III</v>
      </c>
      <c r="J398" s="8" t="str">
        <f>'Data cleaning and validation(3)'!J386</f>
        <v>British Columbia</v>
      </c>
      <c r="K398" s="8" t="str">
        <f>'Data cleaning and validation(3)'!K386</f>
        <v>Canada</v>
      </c>
      <c r="L398" s="8" t="str">
        <f>'Data cleaning and validation(3)'!L386</f>
        <v>Auto &amp; Hardware</v>
      </c>
      <c r="M398" s="8" t="str">
        <f>'Data cleaning and validation(3)'!M386</f>
        <v>Active</v>
      </c>
      <c r="N398" s="17">
        <f>'Data cleaning and validation(3)'!N386</f>
        <v>1546620</v>
      </c>
      <c r="O398" s="18">
        <f>'Data cleaning and validation(3)'!O386</f>
        <v>12888.5</v>
      </c>
    </row>
    <row r="399" spans="1:15" x14ac:dyDescent="0.35">
      <c r="A399" s="8">
        <f>'Data cleaning and validation(3)'!A387</f>
        <v>386</v>
      </c>
      <c r="B399" s="8" t="str">
        <f>'Data cleaning and validation(3)'!B387</f>
        <v>Griffin</v>
      </c>
      <c r="C399" s="8" t="str">
        <f>'Data cleaning and validation(3)'!C387</f>
        <v>tgriffinap@reddit.com</v>
      </c>
      <c r="D399" s="8" t="str">
        <f>'Data cleaning and validation(3)'!D387</f>
        <v>M</v>
      </c>
      <c r="E399" s="8" t="str">
        <f>'Data cleaning and validation(3)'!E387</f>
        <v>Games</v>
      </c>
      <c r="F399" s="15">
        <f>'Data cleaning and validation(3)'!F387</f>
        <v>40601</v>
      </c>
      <c r="G399" s="8">
        <f>'Data cleaning and validation(3)'!G387</f>
        <v>10</v>
      </c>
      <c r="H399" s="19">
        <f>'Data cleaning and validation(3)'!H387</f>
        <v>140567</v>
      </c>
      <c r="I399" s="8" t="str">
        <f>'Data cleaning and validation(3)'!I387</f>
        <v>Research Associate</v>
      </c>
      <c r="J399" s="8" t="str">
        <f>'Data cleaning and validation(3)'!J387</f>
        <v>Southeast</v>
      </c>
      <c r="K399" s="8" t="str">
        <f>'Data cleaning and validation(3)'!K387</f>
        <v>USA</v>
      </c>
      <c r="L399" s="8" t="str">
        <f>'Data cleaning and validation(3)'!L387</f>
        <v>Domestic</v>
      </c>
      <c r="M399" s="8" t="str">
        <f>'Data cleaning and validation(3)'!M387</f>
        <v>Active</v>
      </c>
      <c r="N399" s="17">
        <f>'Data cleaning and validation(3)'!N387</f>
        <v>1686804</v>
      </c>
      <c r="O399" s="18">
        <f>'Data cleaning and validation(3)'!O387</f>
        <v>14056.7</v>
      </c>
    </row>
    <row r="400" spans="1:15" x14ac:dyDescent="0.35">
      <c r="A400" s="8">
        <f>'Data cleaning and validation(3)'!A388</f>
        <v>387</v>
      </c>
      <c r="B400" s="8" t="str">
        <f>'Data cleaning and validation(3)'!B388</f>
        <v>Burke</v>
      </c>
      <c r="C400" s="8" t="str">
        <f>'Data cleaning and validation(3)'!C388</f>
        <v>mburkeaq@360.cn</v>
      </c>
      <c r="D400" s="8" t="str">
        <f>'Data cleaning and validation(3)'!D388</f>
        <v>F</v>
      </c>
      <c r="E400" s="8" t="str">
        <f>'Data cleaning and validation(3)'!E388</f>
        <v>Garden</v>
      </c>
      <c r="F400" s="15">
        <f>'Data cleaning and validation(3)'!F388</f>
        <v>37842</v>
      </c>
      <c r="G400" s="8">
        <f>'Data cleaning and validation(3)'!G388</f>
        <v>18</v>
      </c>
      <c r="H400" s="19">
        <f>'Data cleaning and validation(3)'!H388</f>
        <v>95726</v>
      </c>
      <c r="I400" s="8" t="str">
        <f>'Data cleaning and validation(3)'!I388</f>
        <v>Registered Nurse</v>
      </c>
      <c r="J400" s="8" t="str">
        <f>'Data cleaning and validation(3)'!J388</f>
        <v>Southwest</v>
      </c>
      <c r="K400" s="8" t="str">
        <f>'Data cleaning and validation(3)'!K388</f>
        <v>USA</v>
      </c>
      <c r="L400" s="8" t="str">
        <f>'Data cleaning and validation(3)'!L388</f>
        <v>Outdoors &amp; Garden</v>
      </c>
      <c r="M400" s="8" t="str">
        <f>'Data cleaning and validation(3)'!M388</f>
        <v>Active</v>
      </c>
      <c r="N400" s="17">
        <f>'Data cleaning and validation(3)'!N388</f>
        <v>1148712</v>
      </c>
      <c r="O400" s="18">
        <f>'Data cleaning and validation(3)'!O388</f>
        <v>9572.6</v>
      </c>
    </row>
    <row r="401" spans="1:15" x14ac:dyDescent="0.35">
      <c r="A401" s="8">
        <f>'Data cleaning and validation(3)'!A389</f>
        <v>388</v>
      </c>
      <c r="B401" s="8" t="str">
        <f>'Data cleaning and validation(3)'!B389</f>
        <v>Kelley</v>
      </c>
      <c r="C401" s="8" t="str">
        <f>'Data cleaning and validation(3)'!C389</f>
        <v>akelleyar@list-manage.com</v>
      </c>
      <c r="D401" s="8" t="str">
        <f>'Data cleaning and validation(3)'!D389</f>
        <v>F</v>
      </c>
      <c r="E401" s="8" t="str">
        <f>'Data cleaning and validation(3)'!E389</f>
        <v>Music</v>
      </c>
      <c r="F401" s="15">
        <f>'Data cleaning and validation(3)'!F389</f>
        <v>44220</v>
      </c>
      <c r="G401" s="8">
        <f>'Data cleaning and validation(3)'!G389</f>
        <v>13</v>
      </c>
      <c r="H401" s="19">
        <f>'Data cleaning and validation(3)'!H389</f>
        <v>84261</v>
      </c>
      <c r="I401" s="8" t="str">
        <f>'Data cleaning and validation(3)'!I389</f>
        <v>Senior Editor</v>
      </c>
      <c r="J401" s="8" t="str">
        <f>'Data cleaning and validation(3)'!J389</f>
        <v>British Columbia</v>
      </c>
      <c r="K401" s="8" t="str">
        <f>'Data cleaning and validation(3)'!K389</f>
        <v>Canada</v>
      </c>
      <c r="L401" s="8" t="str">
        <f>'Data cleaning and validation(3)'!L389</f>
        <v>Entertainment</v>
      </c>
      <c r="M401" s="8" t="str">
        <f>'Data cleaning and validation(3)'!M389</f>
        <v>Active</v>
      </c>
      <c r="N401" s="17">
        <f>'Data cleaning and validation(3)'!N389</f>
        <v>1011132</v>
      </c>
      <c r="O401" s="18">
        <f>'Data cleaning and validation(3)'!O389</f>
        <v>8426.1</v>
      </c>
    </row>
    <row r="402" spans="1:15" x14ac:dyDescent="0.35">
      <c r="A402" s="8">
        <f>'Data cleaning and validation(3)'!A390</f>
        <v>389</v>
      </c>
      <c r="B402" s="8" t="str">
        <f>'Data cleaning and validation(3)'!B390</f>
        <v>Ortiz</v>
      </c>
      <c r="C402" s="8" t="str">
        <f>'Data cleaning and validation(3)'!C390</f>
        <v>gortizas@w3.org</v>
      </c>
      <c r="D402" s="8" t="str">
        <f>'Data cleaning and validation(3)'!D390</f>
        <v>M</v>
      </c>
      <c r="E402" s="8" t="str">
        <f>'Data cleaning and validation(3)'!E390</f>
        <v>Baby</v>
      </c>
      <c r="F402" s="15">
        <f>'Data cleaning and validation(3)'!F390</f>
        <v>41447</v>
      </c>
      <c r="G402" s="8">
        <f>'Data cleaning and validation(3)'!G390</f>
        <v>8</v>
      </c>
      <c r="H402" s="19">
        <f>'Data cleaning and validation(3)'!H390</f>
        <v>42924</v>
      </c>
      <c r="I402" s="8" t="str">
        <f>'Data cleaning and validation(3)'!I390</f>
        <v>Marketing Assistant</v>
      </c>
      <c r="J402" s="8" t="str">
        <f>'Data cleaning and validation(3)'!J390</f>
        <v>Southeast</v>
      </c>
      <c r="K402" s="8" t="str">
        <f>'Data cleaning and validation(3)'!K390</f>
        <v>USA</v>
      </c>
      <c r="L402" s="8" t="str">
        <f>'Data cleaning and validation(3)'!L390</f>
        <v>Domestic</v>
      </c>
      <c r="M402" s="8" t="str">
        <f>'Data cleaning and validation(3)'!M390</f>
        <v>Active</v>
      </c>
      <c r="N402" s="17">
        <f>'Data cleaning and validation(3)'!N390</f>
        <v>515088</v>
      </c>
      <c r="O402" s="18">
        <f>'Data cleaning and validation(3)'!O390</f>
        <v>4292.4000000000005</v>
      </c>
    </row>
    <row r="403" spans="1:15" x14ac:dyDescent="0.35">
      <c r="A403" s="8">
        <f>'Data cleaning and validation(3)'!A391</f>
        <v>390</v>
      </c>
      <c r="B403" s="8" t="str">
        <f>'Data cleaning and validation(3)'!B391</f>
        <v>Olson</v>
      </c>
      <c r="C403" s="8" t="str">
        <f>'Data cleaning and validation(3)'!C391</f>
        <v>aolsonat@cpanel.net</v>
      </c>
      <c r="D403" s="8" t="str">
        <f>'Data cleaning and validation(3)'!D391</f>
        <v>M</v>
      </c>
      <c r="E403" s="8" t="str">
        <f>'Data cleaning and validation(3)'!E391</f>
        <v>Computers</v>
      </c>
      <c r="F403" s="15">
        <f>'Data cleaning and validation(3)'!F391</f>
        <v>39705</v>
      </c>
      <c r="G403" s="8">
        <f>'Data cleaning and validation(3)'!G391</f>
        <v>13</v>
      </c>
      <c r="H403" s="19">
        <f>'Data cleaning and validation(3)'!H391</f>
        <v>86670</v>
      </c>
      <c r="I403" s="8" t="str">
        <f>'Data cleaning and validation(3)'!I391</f>
        <v>Web Designer II</v>
      </c>
      <c r="J403" s="8" t="str">
        <f>'Data cleaning and validation(3)'!J391</f>
        <v>Southeast</v>
      </c>
      <c r="K403" s="8" t="str">
        <f>'Data cleaning and validation(3)'!K391</f>
        <v>USA</v>
      </c>
      <c r="L403" s="8" t="str">
        <f>'Data cleaning and validation(3)'!L391</f>
        <v>Electronic Equipment</v>
      </c>
      <c r="M403" s="8" t="str">
        <f>'Data cleaning and validation(3)'!M391</f>
        <v>Active</v>
      </c>
      <c r="N403" s="17">
        <f>'Data cleaning and validation(3)'!N391</f>
        <v>1040040</v>
      </c>
      <c r="O403" s="18">
        <f>'Data cleaning and validation(3)'!O391</f>
        <v>8667</v>
      </c>
    </row>
    <row r="404" spans="1:15" x14ac:dyDescent="0.35">
      <c r="A404" s="8">
        <f>'Data cleaning and validation(3)'!A392</f>
        <v>391</v>
      </c>
      <c r="B404" s="8" t="str">
        <f>'Data cleaning and validation(3)'!B392</f>
        <v>White</v>
      </c>
      <c r="C404" s="8" t="str">
        <f>'Data cleaning and validation(3)'!C392</f>
        <v>cwhiteau@amazon.de</v>
      </c>
      <c r="D404" s="8" t="str">
        <f>'Data cleaning and validation(3)'!D392</f>
        <v>F</v>
      </c>
      <c r="E404" s="8" t="str">
        <f>'Data cleaning and validation(3)'!E392</f>
        <v>Clothing</v>
      </c>
      <c r="F404" s="15">
        <f>'Data cleaning and validation(3)'!F392</f>
        <v>37929</v>
      </c>
      <c r="G404" s="8">
        <f>'Data cleaning and validation(3)'!G392</f>
        <v>18</v>
      </c>
      <c r="H404" s="19">
        <f>'Data cleaning and validation(3)'!H392</f>
        <v>147702</v>
      </c>
      <c r="I404" s="8" t="str">
        <f>'Data cleaning and validation(3)'!I392</f>
        <v>VP Quality Control</v>
      </c>
      <c r="J404" s="8" t="str">
        <f>'Data cleaning and validation(3)'!J392</f>
        <v>Southwest</v>
      </c>
      <c r="K404" s="8" t="str">
        <f>'Data cleaning and validation(3)'!K392</f>
        <v>USA</v>
      </c>
      <c r="L404" s="8" t="str">
        <f>'Data cleaning and validation(3)'!L392</f>
        <v>Domestic</v>
      </c>
      <c r="M404" s="8" t="str">
        <f>'Data cleaning and validation(3)'!M392</f>
        <v>Active</v>
      </c>
      <c r="N404" s="17">
        <f>'Data cleaning and validation(3)'!N392</f>
        <v>1772424</v>
      </c>
      <c r="O404" s="18">
        <f>'Data cleaning and validation(3)'!O392</f>
        <v>14770.2</v>
      </c>
    </row>
    <row r="405" spans="1:15" x14ac:dyDescent="0.35">
      <c r="A405" s="8">
        <f>'Data cleaning and validation(3)'!A393</f>
        <v>392</v>
      </c>
      <c r="B405" s="8" t="str">
        <f>'Data cleaning and validation(3)'!B393</f>
        <v>Peters</v>
      </c>
      <c r="C405" s="8" t="str">
        <f>'Data cleaning and validation(3)'!C393</f>
        <v>apetersav@loc.gov</v>
      </c>
      <c r="D405" s="8" t="str">
        <f>'Data cleaning and validation(3)'!D393</f>
        <v>F</v>
      </c>
      <c r="E405" s="8" t="str">
        <f>'Data cleaning and validation(3)'!E393</f>
        <v>Beauty</v>
      </c>
      <c r="F405" s="15">
        <f>'Data cleaning and validation(3)'!F393</f>
        <v>46055</v>
      </c>
      <c r="G405" s="8">
        <f>'Data cleaning and validation(3)'!G393</f>
        <v>8</v>
      </c>
      <c r="H405" s="19">
        <f>'Data cleaning and validation(3)'!H393</f>
        <v>132470</v>
      </c>
      <c r="I405" s="8" t="str">
        <f>'Data cleaning and validation(3)'!I393</f>
        <v>Database Administrator II</v>
      </c>
      <c r="J405" s="8" t="str">
        <f>'Data cleaning and validation(3)'!J393</f>
        <v>Quebec</v>
      </c>
      <c r="K405" s="8" t="str">
        <f>'Data cleaning and validation(3)'!K393</f>
        <v>Canada</v>
      </c>
      <c r="L405" s="8" t="str">
        <f>'Data cleaning and validation(3)'!L393</f>
        <v>Domestic</v>
      </c>
      <c r="M405" s="8" t="str">
        <f>'Data cleaning and validation(3)'!M393</f>
        <v>Active</v>
      </c>
      <c r="N405" s="17">
        <f>'Data cleaning and validation(3)'!N393</f>
        <v>1589640</v>
      </c>
      <c r="O405" s="18">
        <f>'Data cleaning and validation(3)'!O393</f>
        <v>13247</v>
      </c>
    </row>
    <row r="406" spans="1:15" x14ac:dyDescent="0.35">
      <c r="A406" s="8">
        <f>'Data cleaning and validation(3)'!A394</f>
        <v>393</v>
      </c>
      <c r="B406" s="8" t="str">
        <f>'Data cleaning and validation(3)'!B394</f>
        <v>Sullivan</v>
      </c>
      <c r="C406" s="8" t="str">
        <f>'Data cleaning and validation(3)'!C394</f>
        <v>ksullivanaw@slideshare.net</v>
      </c>
      <c r="D406" s="8" t="str">
        <f>'Data cleaning and validation(3)'!D394</f>
        <v>F</v>
      </c>
      <c r="E406" s="8" t="str">
        <f>'Data cleaning and validation(3)'!E394</f>
        <v>Music</v>
      </c>
      <c r="F406" s="15">
        <f>'Data cleaning and validation(3)'!F394</f>
        <v>36780</v>
      </c>
      <c r="G406" s="8">
        <f>'Data cleaning and validation(3)'!G394</f>
        <v>21</v>
      </c>
      <c r="H406" s="19">
        <f>'Data cleaning and validation(3)'!H394</f>
        <v>63341</v>
      </c>
      <c r="I406" s="8" t="str">
        <f>'Data cleaning and validation(3)'!I394</f>
        <v>Research Associate</v>
      </c>
      <c r="J406" s="8" t="str">
        <f>'Data cleaning and validation(3)'!J394</f>
        <v>Nova Scotia</v>
      </c>
      <c r="K406" s="8" t="str">
        <f>'Data cleaning and validation(3)'!K394</f>
        <v>Canada</v>
      </c>
      <c r="L406" s="8" t="str">
        <f>'Data cleaning and validation(3)'!L394</f>
        <v>Entertainment</v>
      </c>
      <c r="M406" s="8" t="str">
        <f>'Data cleaning and validation(3)'!M394</f>
        <v>Active</v>
      </c>
      <c r="N406" s="17">
        <f>'Data cleaning and validation(3)'!N394</f>
        <v>760092</v>
      </c>
      <c r="O406" s="18">
        <f>'Data cleaning and validation(3)'!O394</f>
        <v>6334.1</v>
      </c>
    </row>
    <row r="407" spans="1:15" x14ac:dyDescent="0.35">
      <c r="A407" s="8">
        <f>'Data cleaning and validation(3)'!A395</f>
        <v>394</v>
      </c>
      <c r="B407" s="8" t="str">
        <f>'Data cleaning and validation(3)'!B395</f>
        <v>Washington</v>
      </c>
      <c r="C407" s="8" t="str">
        <f>'Data cleaning and validation(3)'!C395</f>
        <v>rwashingtonax@gmpg.org</v>
      </c>
      <c r="D407" s="8" t="str">
        <f>'Data cleaning and validation(3)'!D395</f>
        <v>F</v>
      </c>
      <c r="E407" s="8" t="str">
        <f>'Data cleaning and validation(3)'!E395</f>
        <v>Beauty</v>
      </c>
      <c r="F407" s="15">
        <f>'Data cleaning and validation(3)'!F395</f>
        <v>37552</v>
      </c>
      <c r="G407" s="8">
        <f>'Data cleaning and validation(3)'!G395</f>
        <v>19</v>
      </c>
      <c r="H407" s="19">
        <f>'Data cleaning and validation(3)'!H395</f>
        <v>91651</v>
      </c>
      <c r="I407" s="8" t="str">
        <f>'Data cleaning and validation(3)'!I395</f>
        <v>Staff Accountant III</v>
      </c>
      <c r="J407" s="8" t="str">
        <f>'Data cleaning and validation(3)'!J395</f>
        <v>Southwest</v>
      </c>
      <c r="K407" s="8" t="str">
        <f>'Data cleaning and validation(3)'!K395</f>
        <v>USA</v>
      </c>
      <c r="L407" s="8" t="str">
        <f>'Data cleaning and validation(3)'!L395</f>
        <v>Domestic</v>
      </c>
      <c r="M407" s="8" t="str">
        <f>'Data cleaning and validation(3)'!M395</f>
        <v>Active</v>
      </c>
      <c r="N407" s="17">
        <f>'Data cleaning and validation(3)'!N395</f>
        <v>1099812</v>
      </c>
      <c r="O407" s="18">
        <f>'Data cleaning and validation(3)'!O395</f>
        <v>9165.1</v>
      </c>
    </row>
    <row r="408" spans="1:15" x14ac:dyDescent="0.35">
      <c r="A408" s="8">
        <f>'Data cleaning and validation(3)'!A396</f>
        <v>395</v>
      </c>
      <c r="B408" s="8" t="str">
        <f>'Data cleaning and validation(3)'!B396</f>
        <v>Ward</v>
      </c>
      <c r="C408" s="8" t="str">
        <f>'Data cleaning and validation(3)'!C396</f>
        <v>jwarday@quantcast.com</v>
      </c>
      <c r="D408" s="8" t="str">
        <f>'Data cleaning and validation(3)'!D396</f>
        <v>M</v>
      </c>
      <c r="E408" s="8" t="str">
        <f>'Data cleaning and validation(3)'!E396</f>
        <v>Baby</v>
      </c>
      <c r="F408" s="15">
        <f>'Data cleaning and validation(3)'!F396</f>
        <v>41528</v>
      </c>
      <c r="G408" s="8">
        <f>'Data cleaning and validation(3)'!G396</f>
        <v>8</v>
      </c>
      <c r="H408" s="19">
        <f>'Data cleaning and validation(3)'!H396</f>
        <v>48927</v>
      </c>
      <c r="I408" s="8" t="str">
        <f>'Data cleaning and validation(3)'!I396</f>
        <v>Sales Representative</v>
      </c>
      <c r="J408" s="8" t="str">
        <f>'Data cleaning and validation(3)'!J396</f>
        <v>Quebec</v>
      </c>
      <c r="K408" s="8" t="str">
        <f>'Data cleaning and validation(3)'!K396</f>
        <v>Canada</v>
      </c>
      <c r="L408" s="8" t="str">
        <f>'Data cleaning and validation(3)'!L396</f>
        <v>Domestic</v>
      </c>
      <c r="M408" s="8" t="str">
        <f>'Data cleaning and validation(3)'!M396</f>
        <v>Active</v>
      </c>
      <c r="N408" s="17">
        <f>'Data cleaning and validation(3)'!N396</f>
        <v>587124</v>
      </c>
      <c r="O408" s="18">
        <f>'Data cleaning and validation(3)'!O396</f>
        <v>4892.7</v>
      </c>
    </row>
    <row r="409" spans="1:15" x14ac:dyDescent="0.35">
      <c r="A409" s="8">
        <f>'Data cleaning and validation(3)'!A397</f>
        <v>396</v>
      </c>
      <c r="B409" s="8" t="str">
        <f>'Data cleaning and validation(3)'!B397</f>
        <v>Kelly</v>
      </c>
      <c r="C409" s="8" t="str">
        <f>'Data cleaning and validation(3)'!C397</f>
        <v>bkellyaz@bandcamp.com</v>
      </c>
      <c r="D409" s="8" t="str">
        <f>'Data cleaning and validation(3)'!D397</f>
        <v>F</v>
      </c>
      <c r="E409" s="8" t="str">
        <f>'Data cleaning and validation(3)'!E397</f>
        <v>Kids</v>
      </c>
      <c r="F409" s="15">
        <f>'Data cleaning and validation(3)'!F397</f>
        <v>46343</v>
      </c>
      <c r="G409" s="8">
        <f>'Data cleaning and validation(3)'!G397</f>
        <v>8</v>
      </c>
      <c r="H409" s="19">
        <f>'Data cleaning and validation(3)'!H397</f>
        <v>143433</v>
      </c>
      <c r="I409" s="8" t="str">
        <f>'Data cleaning and validation(3)'!I397</f>
        <v>Web Developer II</v>
      </c>
      <c r="J409" s="8" t="str">
        <f>'Data cleaning and validation(3)'!J397</f>
        <v>Northeast</v>
      </c>
      <c r="K409" s="8" t="str">
        <f>'Data cleaning and validation(3)'!K397</f>
        <v>USA</v>
      </c>
      <c r="L409" s="8" t="str">
        <f>'Data cleaning and validation(3)'!L397</f>
        <v>Domestic</v>
      </c>
      <c r="M409" s="8" t="str">
        <f>'Data cleaning and validation(3)'!M397</f>
        <v>Active</v>
      </c>
      <c r="N409" s="17">
        <f>'Data cleaning and validation(3)'!N397</f>
        <v>1721196</v>
      </c>
      <c r="O409" s="18">
        <f>'Data cleaning and validation(3)'!O397</f>
        <v>14343.300000000001</v>
      </c>
    </row>
    <row r="410" spans="1:15" x14ac:dyDescent="0.35">
      <c r="A410" s="8">
        <f>'Data cleaning and validation(3)'!A398</f>
        <v>397</v>
      </c>
      <c r="B410" s="8" t="str">
        <f>'Data cleaning and validation(3)'!B398</f>
        <v>Martin</v>
      </c>
      <c r="C410" s="8" t="str">
        <f>'Data cleaning and validation(3)'!C398</f>
        <v>hmartinb0@homestead.com</v>
      </c>
      <c r="D410" s="8" t="str">
        <f>'Data cleaning and validation(3)'!D398</f>
        <v>M</v>
      </c>
      <c r="E410" s="8" t="str">
        <f>'Data cleaning and validation(3)'!E398</f>
        <v>Toys</v>
      </c>
      <c r="F410" s="15">
        <f>'Data cleaning and validation(3)'!F398</f>
        <v>38992</v>
      </c>
      <c r="G410" s="8">
        <f>'Data cleaning and validation(3)'!G398</f>
        <v>15</v>
      </c>
      <c r="H410" s="19">
        <f>'Data cleaning and validation(3)'!H398</f>
        <v>81998</v>
      </c>
      <c r="I410" s="8" t="str">
        <f>'Data cleaning and validation(3)'!I398</f>
        <v>Product Engineer</v>
      </c>
      <c r="J410" s="8" t="str">
        <f>'Data cleaning and validation(3)'!J398</f>
        <v>British Columbia</v>
      </c>
      <c r="K410" s="8" t="str">
        <f>'Data cleaning and validation(3)'!K398</f>
        <v>Canada</v>
      </c>
      <c r="L410" s="8" t="str">
        <f>'Data cleaning and validation(3)'!L398</f>
        <v>Games &amp; Sports</v>
      </c>
      <c r="M410" s="8" t="str">
        <f>'Data cleaning and validation(3)'!M398</f>
        <v>Active</v>
      </c>
      <c r="N410" s="17">
        <f>'Data cleaning and validation(3)'!N398</f>
        <v>983976</v>
      </c>
      <c r="O410" s="18">
        <f>'Data cleaning and validation(3)'!O398</f>
        <v>8199.8000000000011</v>
      </c>
    </row>
    <row r="411" spans="1:15" x14ac:dyDescent="0.35">
      <c r="A411" s="8">
        <f>'Data cleaning and validation(3)'!A399</f>
        <v>398</v>
      </c>
      <c r="B411" s="8" t="str">
        <f>'Data cleaning and validation(3)'!B399</f>
        <v>Cooper</v>
      </c>
      <c r="C411" s="8" t="str">
        <f>'Data cleaning and validation(3)'!C399</f>
        <v>scooperb1@cmu.edu</v>
      </c>
      <c r="D411" s="8" t="str">
        <f>'Data cleaning and validation(3)'!D399</f>
        <v>F</v>
      </c>
      <c r="E411" s="8" t="str">
        <f>'Data cleaning and validation(3)'!E399</f>
        <v>Home</v>
      </c>
      <c r="F411" s="15">
        <f>'Data cleaning and validation(3)'!F399</f>
        <v>37019</v>
      </c>
      <c r="G411" s="8">
        <f>'Data cleaning and validation(3)'!G399</f>
        <v>20</v>
      </c>
      <c r="H411" s="19">
        <f>'Data cleaning and validation(3)'!H399</f>
        <v>68584</v>
      </c>
      <c r="I411" s="8" t="str">
        <f>'Data cleaning and validation(3)'!I399</f>
        <v>Quality Engineer</v>
      </c>
      <c r="J411" s="8" t="str">
        <f>'Data cleaning and validation(3)'!J399</f>
        <v>Southeast</v>
      </c>
      <c r="K411" s="8" t="str">
        <f>'Data cleaning and validation(3)'!K399</f>
        <v>USA</v>
      </c>
      <c r="L411" s="8" t="str">
        <f>'Data cleaning and validation(3)'!L399</f>
        <v>Domestic</v>
      </c>
      <c r="M411" s="8" t="str">
        <f>'Data cleaning and validation(3)'!M399</f>
        <v>Active</v>
      </c>
      <c r="N411" s="17">
        <f>'Data cleaning and validation(3)'!N399</f>
        <v>823008</v>
      </c>
      <c r="O411" s="18">
        <f>'Data cleaning and validation(3)'!O399</f>
        <v>6858.4000000000005</v>
      </c>
    </row>
    <row r="412" spans="1:15" x14ac:dyDescent="0.35">
      <c r="A412" s="8">
        <f>'Data cleaning and validation(3)'!A400</f>
        <v>399</v>
      </c>
      <c r="B412" s="8" t="str">
        <f>'Data cleaning and validation(3)'!B400</f>
        <v>Holmes</v>
      </c>
      <c r="C412" s="8" t="str">
        <f>'Data cleaning and validation(3)'!C400</f>
        <v>jholmesb2@uol.com.br</v>
      </c>
      <c r="D412" s="8" t="str">
        <f>'Data cleaning and validation(3)'!D400</f>
        <v>F</v>
      </c>
      <c r="E412" s="8" t="str">
        <f>'Data cleaning and validation(3)'!E400</f>
        <v>Computers</v>
      </c>
      <c r="F412" s="15">
        <f>'Data cleaning and validation(3)'!F400</f>
        <v>44746</v>
      </c>
      <c r="G412" s="8">
        <f>'Data cleaning and validation(3)'!G400</f>
        <v>12</v>
      </c>
      <c r="H412" s="19">
        <f>'Data cleaning and validation(3)'!H400</f>
        <v>88216</v>
      </c>
      <c r="I412" s="8" t="str">
        <f>'Data cleaning and validation(3)'!I400</f>
        <v>Accountant III</v>
      </c>
      <c r="J412" s="8" t="str">
        <f>'Data cleaning and validation(3)'!J400</f>
        <v>Northwest</v>
      </c>
      <c r="K412" s="8" t="str">
        <f>'Data cleaning and validation(3)'!K400</f>
        <v>USA</v>
      </c>
      <c r="L412" s="8" t="str">
        <f>'Data cleaning and validation(3)'!L400</f>
        <v>Electronic Equipment</v>
      </c>
      <c r="M412" s="8" t="str">
        <f>'Data cleaning and validation(3)'!M400</f>
        <v>Active</v>
      </c>
      <c r="N412" s="17">
        <f>'Data cleaning and validation(3)'!N400</f>
        <v>1058592</v>
      </c>
      <c r="O412" s="18">
        <f>'Data cleaning and validation(3)'!O400</f>
        <v>8821.6</v>
      </c>
    </row>
    <row r="413" spans="1:15" x14ac:dyDescent="0.35">
      <c r="A413" s="8">
        <f>'Data cleaning and validation(3)'!A401</f>
        <v>400</v>
      </c>
      <c r="B413" s="8" t="str">
        <f>'Data cleaning and validation(3)'!B401</f>
        <v>Harrison</v>
      </c>
      <c r="C413" s="8" t="str">
        <f>'Data cleaning and validation(3)'!C401</f>
        <v>jharrisonb3@google.de</v>
      </c>
      <c r="D413" s="8" t="str">
        <f>'Data cleaning and validation(3)'!D401</f>
        <v>M</v>
      </c>
      <c r="E413" s="8" t="str">
        <f>'Data cleaning and validation(3)'!E401</f>
        <v>Health</v>
      </c>
      <c r="F413" s="15">
        <f>'Data cleaning and validation(3)'!F401</f>
        <v>40901</v>
      </c>
      <c r="G413" s="8">
        <f>'Data cleaning and validation(3)'!G401</f>
        <v>10</v>
      </c>
      <c r="H413" s="19">
        <f>'Data cleaning and validation(3)'!H401</f>
        <v>86046</v>
      </c>
      <c r="I413" s="8" t="str">
        <f>'Data cleaning and validation(3)'!I401</f>
        <v>Nuclear Power Engineer</v>
      </c>
      <c r="J413" s="8" t="str">
        <f>'Data cleaning and validation(3)'!J401</f>
        <v>British Columbia</v>
      </c>
      <c r="K413" s="8" t="str">
        <f>'Data cleaning and validation(3)'!K401</f>
        <v>Canada</v>
      </c>
      <c r="L413" s="8" t="str">
        <f>'Data cleaning and validation(3)'!L401</f>
        <v>Domestic</v>
      </c>
      <c r="M413" s="8" t="str">
        <f>'Data cleaning and validation(3)'!M401</f>
        <v>Active</v>
      </c>
      <c r="N413" s="17">
        <f>'Data cleaning and validation(3)'!N401</f>
        <v>1032552</v>
      </c>
      <c r="O413" s="18">
        <f>'Data cleaning and validation(3)'!O401</f>
        <v>8604.6</v>
      </c>
    </row>
    <row r="414" spans="1:15" x14ac:dyDescent="0.35">
      <c r="A414" s="8">
        <f>'Data cleaning and validation(3)'!A402</f>
        <v>401</v>
      </c>
      <c r="B414" s="8" t="str">
        <f>'Data cleaning and validation(3)'!B402</f>
        <v>Parker</v>
      </c>
      <c r="C414" s="8" t="str">
        <f>'Data cleaning and validation(3)'!C402</f>
        <v>jparkerb4@mit.edu</v>
      </c>
      <c r="D414" s="8" t="str">
        <f>'Data cleaning and validation(3)'!D402</f>
        <v>F</v>
      </c>
      <c r="E414" s="8" t="str">
        <f>'Data cleaning and validation(3)'!E402</f>
        <v>Outdoors</v>
      </c>
      <c r="F414" s="15">
        <f>'Data cleaning and validation(3)'!F402</f>
        <v>44260</v>
      </c>
      <c r="G414" s="8">
        <f>'Data cleaning and validation(3)'!G402</f>
        <v>13</v>
      </c>
      <c r="H414" s="19">
        <f>'Data cleaning and validation(3)'!H402</f>
        <v>148906</v>
      </c>
      <c r="I414" s="8" t="str">
        <f>'Data cleaning and validation(3)'!I402</f>
        <v>Project Manager</v>
      </c>
      <c r="J414" s="8" t="str">
        <f>'Data cleaning and validation(3)'!J402</f>
        <v>British Columbia</v>
      </c>
      <c r="K414" s="8" t="str">
        <f>'Data cleaning and validation(3)'!K402</f>
        <v>Canada</v>
      </c>
      <c r="L414" s="8" t="str">
        <f>'Data cleaning and validation(3)'!L402</f>
        <v>Outdoors &amp; Garden</v>
      </c>
      <c r="M414" s="8" t="str">
        <f>'Data cleaning and validation(3)'!M402</f>
        <v>Active</v>
      </c>
      <c r="N414" s="17">
        <f>'Data cleaning and validation(3)'!N402</f>
        <v>1786872</v>
      </c>
      <c r="O414" s="18">
        <f>'Data cleaning and validation(3)'!O402</f>
        <v>14890.6</v>
      </c>
    </row>
    <row r="415" spans="1:15" x14ac:dyDescent="0.35">
      <c r="A415" s="8">
        <f>'Data cleaning and validation(3)'!A403</f>
        <v>402</v>
      </c>
      <c r="B415" s="8" t="str">
        <f>'Data cleaning and validation(3)'!B403</f>
        <v>Marshall</v>
      </c>
      <c r="C415" s="8" t="str">
        <f>'Data cleaning and validation(3)'!C403</f>
        <v>emarshallb5@yahoo.co.jp</v>
      </c>
      <c r="D415" s="8" t="str">
        <f>'Data cleaning and validation(3)'!D403</f>
        <v>F</v>
      </c>
      <c r="E415" s="8" t="str">
        <f>'Data cleaning and validation(3)'!E403</f>
        <v>Clothing</v>
      </c>
      <c r="F415" s="15">
        <f>'Data cleaning and validation(3)'!F403</f>
        <v>44145</v>
      </c>
      <c r="G415" s="8">
        <f>'Data cleaning and validation(3)'!G403</f>
        <v>14</v>
      </c>
      <c r="H415" s="19">
        <f>'Data cleaning and validation(3)'!H403</f>
        <v>93266</v>
      </c>
      <c r="I415" s="8" t="str">
        <f>'Data cleaning and validation(3)'!I403</f>
        <v>Recruiter</v>
      </c>
      <c r="J415" s="8" t="str">
        <f>'Data cleaning and validation(3)'!J403</f>
        <v>Nova Scotia</v>
      </c>
      <c r="K415" s="8" t="str">
        <f>'Data cleaning and validation(3)'!K403</f>
        <v>Canada</v>
      </c>
      <c r="L415" s="8" t="str">
        <f>'Data cleaning and validation(3)'!L403</f>
        <v>Domestic</v>
      </c>
      <c r="M415" s="8" t="str">
        <f>'Data cleaning and validation(3)'!M403</f>
        <v>Active</v>
      </c>
      <c r="N415" s="17">
        <f>'Data cleaning and validation(3)'!N403</f>
        <v>1119192</v>
      </c>
      <c r="O415" s="18">
        <f>'Data cleaning and validation(3)'!O403</f>
        <v>9326.6</v>
      </c>
    </row>
    <row r="416" spans="1:15" x14ac:dyDescent="0.35">
      <c r="A416" s="8">
        <f>'Data cleaning and validation(3)'!A404</f>
        <v>403</v>
      </c>
      <c r="B416" s="8" t="str">
        <f>'Data cleaning and validation(3)'!B404</f>
        <v>Chapman</v>
      </c>
      <c r="C416" s="8" t="str">
        <f>'Data cleaning and validation(3)'!C404</f>
        <v>schapmanb6@nhs.uk</v>
      </c>
      <c r="D416" s="8" t="str">
        <f>'Data cleaning and validation(3)'!D404</f>
        <v>F</v>
      </c>
      <c r="E416" s="8" t="str">
        <f>'Data cleaning and validation(3)'!E404</f>
        <v>Home</v>
      </c>
      <c r="F416" s="15">
        <f>'Data cleaning and validation(3)'!F404</f>
        <v>37324</v>
      </c>
      <c r="G416" s="8">
        <f>'Data cleaning and validation(3)'!G404</f>
        <v>19</v>
      </c>
      <c r="H416" s="19">
        <f>'Data cleaning and validation(3)'!H404</f>
        <v>69702</v>
      </c>
      <c r="I416" s="8" t="str">
        <f>'Data cleaning and validation(3)'!I404</f>
        <v>Food Chemist</v>
      </c>
      <c r="J416" s="8" t="str">
        <f>'Data cleaning and validation(3)'!J404</f>
        <v>Northeast</v>
      </c>
      <c r="K416" s="8" t="str">
        <f>'Data cleaning and validation(3)'!K404</f>
        <v>USA</v>
      </c>
      <c r="L416" s="8" t="str">
        <f>'Data cleaning and validation(3)'!L404</f>
        <v>Domestic</v>
      </c>
      <c r="M416" s="8" t="str">
        <f>'Data cleaning and validation(3)'!M404</f>
        <v>Active</v>
      </c>
      <c r="N416" s="17">
        <f>'Data cleaning and validation(3)'!N404</f>
        <v>836424</v>
      </c>
      <c r="O416" s="18">
        <f>'Data cleaning and validation(3)'!O404</f>
        <v>6970.2000000000007</v>
      </c>
    </row>
    <row r="417" spans="1:15" x14ac:dyDescent="0.35">
      <c r="A417" s="8">
        <f>'Data cleaning and validation(3)'!A405</f>
        <v>404</v>
      </c>
      <c r="B417" s="8" t="str">
        <f>'Data cleaning and validation(3)'!B405</f>
        <v>Harvey</v>
      </c>
      <c r="C417" s="8" t="str">
        <f>'Data cleaning and validation(3)'!C405</f>
        <v>aharveyb7@who.int</v>
      </c>
      <c r="D417" s="8" t="str">
        <f>'Data cleaning and validation(3)'!D405</f>
        <v>F</v>
      </c>
      <c r="E417" s="8" t="str">
        <f>'Data cleaning and validation(3)'!E405</f>
        <v>Outdoors</v>
      </c>
      <c r="F417" s="15">
        <f>'Data cleaning and validation(3)'!F405</f>
        <v>45288</v>
      </c>
      <c r="G417" s="8">
        <f>'Data cleaning and validation(3)'!G405</f>
        <v>11</v>
      </c>
      <c r="H417" s="19">
        <f>'Data cleaning and validation(3)'!H405</f>
        <v>43366</v>
      </c>
      <c r="I417" s="8" t="str">
        <f>'Data cleaning and validation(3)'!I405</f>
        <v>Administrative Assistant IV</v>
      </c>
      <c r="J417" s="8" t="str">
        <f>'Data cleaning and validation(3)'!J405</f>
        <v>Southwest</v>
      </c>
      <c r="K417" s="8" t="str">
        <f>'Data cleaning and validation(3)'!K405</f>
        <v>USA</v>
      </c>
      <c r="L417" s="8" t="str">
        <f>'Data cleaning and validation(3)'!L405</f>
        <v>Outdoors &amp; Garden</v>
      </c>
      <c r="M417" s="8" t="str">
        <f>'Data cleaning and validation(3)'!M405</f>
        <v>Active</v>
      </c>
      <c r="N417" s="17">
        <f>'Data cleaning and validation(3)'!N405</f>
        <v>520392</v>
      </c>
      <c r="O417" s="18">
        <f>'Data cleaning and validation(3)'!O405</f>
        <v>4336.6000000000004</v>
      </c>
    </row>
    <row r="418" spans="1:15" x14ac:dyDescent="0.35">
      <c r="A418" s="8">
        <f>'Data cleaning and validation(3)'!A406</f>
        <v>405</v>
      </c>
      <c r="B418" s="8" t="str">
        <f>'Data cleaning and validation(3)'!B406</f>
        <v>Morgan</v>
      </c>
      <c r="C418" s="8" t="str">
        <f>'Data cleaning and validation(3)'!C406</f>
        <v>dmorganb8@moonfruit.com</v>
      </c>
      <c r="D418" s="8" t="str">
        <f>'Data cleaning and validation(3)'!D406</f>
        <v>M</v>
      </c>
      <c r="E418" s="8" t="str">
        <f>'Data cleaning and validation(3)'!E406</f>
        <v>Industrial</v>
      </c>
      <c r="F418" s="15">
        <f>'Data cleaning and validation(3)'!F406</f>
        <v>38491</v>
      </c>
      <c r="G418" s="8">
        <f>'Data cleaning and validation(3)'!G406</f>
        <v>16</v>
      </c>
      <c r="H418" s="19">
        <f>'Data cleaning and validation(3)'!H406</f>
        <v>101945</v>
      </c>
      <c r="I418" s="8" t="str">
        <f>'Data cleaning and validation(3)'!I406</f>
        <v>Web Developer I</v>
      </c>
      <c r="J418" s="8" t="str">
        <f>'Data cleaning and validation(3)'!J406</f>
        <v>Southeast</v>
      </c>
      <c r="K418" s="8" t="str">
        <f>'Data cleaning and validation(3)'!K406</f>
        <v>USA</v>
      </c>
      <c r="L418" s="8" t="str">
        <f>'Data cleaning and validation(3)'!L406</f>
        <v>Auto &amp; Hardware</v>
      </c>
      <c r="M418" s="8" t="str">
        <f>'Data cleaning and validation(3)'!M406</f>
        <v>Active</v>
      </c>
      <c r="N418" s="17">
        <f>'Data cleaning and validation(3)'!N406</f>
        <v>1223340</v>
      </c>
      <c r="O418" s="18">
        <f>'Data cleaning and validation(3)'!O406</f>
        <v>10194.5</v>
      </c>
    </row>
    <row r="419" spans="1:15" x14ac:dyDescent="0.35">
      <c r="A419" s="8">
        <f>'Data cleaning and validation(3)'!A407</f>
        <v>406</v>
      </c>
      <c r="B419" s="8" t="str">
        <f>'Data cleaning and validation(3)'!B407</f>
        <v>Foster</v>
      </c>
      <c r="C419" s="8" t="str">
        <f>'Data cleaning and validation(3)'!C407</f>
        <v>pfosterb9@intel.com</v>
      </c>
      <c r="D419" s="8" t="str">
        <f>'Data cleaning and validation(3)'!D407</f>
        <v>M</v>
      </c>
      <c r="E419" s="8" t="str">
        <f>'Data cleaning and validation(3)'!E407</f>
        <v>Toys</v>
      </c>
      <c r="F419" s="15">
        <f>'Data cleaning and validation(3)'!F407</f>
        <v>37653</v>
      </c>
      <c r="G419" s="8">
        <f>'Data cleaning and validation(3)'!G407</f>
        <v>18</v>
      </c>
      <c r="H419" s="19">
        <f>'Data cleaning and validation(3)'!H407</f>
        <v>54007</v>
      </c>
      <c r="I419" s="8" t="str">
        <f>'Data cleaning and validation(3)'!I407</f>
        <v>Geological Engineer</v>
      </c>
      <c r="J419" s="8" t="str">
        <f>'Data cleaning and validation(3)'!J407</f>
        <v>British Columbia</v>
      </c>
      <c r="K419" s="8" t="str">
        <f>'Data cleaning and validation(3)'!K407</f>
        <v>Canada</v>
      </c>
      <c r="L419" s="8" t="str">
        <f>'Data cleaning and validation(3)'!L407</f>
        <v>Games &amp; Sports</v>
      </c>
      <c r="M419" s="8" t="str">
        <f>'Data cleaning and validation(3)'!M407</f>
        <v>Active</v>
      </c>
      <c r="N419" s="17">
        <f>'Data cleaning and validation(3)'!N407</f>
        <v>648084</v>
      </c>
      <c r="O419" s="18">
        <f>'Data cleaning and validation(3)'!O407</f>
        <v>5400.7000000000007</v>
      </c>
    </row>
    <row r="420" spans="1:15" x14ac:dyDescent="0.35">
      <c r="A420" s="8">
        <f>'Data cleaning and validation(3)'!A408</f>
        <v>407</v>
      </c>
      <c r="B420" s="8" t="str">
        <f>'Data cleaning and validation(3)'!B408</f>
        <v>Vasquez</v>
      </c>
      <c r="C420" s="8" t="str">
        <f>'Data cleaning and validation(3)'!C408</f>
        <v>jvasquezba@dion.ne.jp</v>
      </c>
      <c r="D420" s="8" t="str">
        <f>'Data cleaning and validation(3)'!D408</f>
        <v>M</v>
      </c>
      <c r="E420" s="8" t="str">
        <f>'Data cleaning and validation(3)'!E408</f>
        <v>Baby</v>
      </c>
      <c r="F420" s="15">
        <f>'Data cleaning and validation(3)'!F408</f>
        <v>41373</v>
      </c>
      <c r="G420" s="8">
        <f>'Data cleaning and validation(3)'!G408</f>
        <v>8</v>
      </c>
      <c r="H420" s="19">
        <f>'Data cleaning and validation(3)'!H408</f>
        <v>54704</v>
      </c>
      <c r="I420" s="8" t="str">
        <f>'Data cleaning and validation(3)'!I408</f>
        <v>Analog Circuit Design manager</v>
      </c>
      <c r="J420" s="8" t="str">
        <f>'Data cleaning and validation(3)'!J408</f>
        <v>Northwest</v>
      </c>
      <c r="K420" s="8" t="str">
        <f>'Data cleaning and validation(3)'!K408</f>
        <v>USA</v>
      </c>
      <c r="L420" s="8" t="str">
        <f>'Data cleaning and validation(3)'!L408</f>
        <v>Domestic</v>
      </c>
      <c r="M420" s="8" t="str">
        <f>'Data cleaning and validation(3)'!M408</f>
        <v>Active</v>
      </c>
      <c r="N420" s="17">
        <f>'Data cleaning and validation(3)'!N408</f>
        <v>656448</v>
      </c>
      <c r="O420" s="18">
        <f>'Data cleaning and validation(3)'!O408</f>
        <v>5470.4000000000005</v>
      </c>
    </row>
    <row r="421" spans="1:15" x14ac:dyDescent="0.35">
      <c r="A421" s="8">
        <f>'Data cleaning and validation(3)'!A409</f>
        <v>408</v>
      </c>
      <c r="B421" s="8" t="str">
        <f>'Data cleaning and validation(3)'!B409</f>
        <v>Moore</v>
      </c>
      <c r="C421" s="8" t="str">
        <f>'Data cleaning and validation(3)'!C409</f>
        <v>jmoorebb@liveinternet.ru</v>
      </c>
      <c r="D421" s="8" t="str">
        <f>'Data cleaning and validation(3)'!D409</f>
        <v>F</v>
      </c>
      <c r="E421" s="8" t="str">
        <f>'Data cleaning and validation(3)'!E409</f>
        <v>Computers</v>
      </c>
      <c r="F421" s="15">
        <f>'Data cleaning and validation(3)'!F409</f>
        <v>44148</v>
      </c>
      <c r="G421" s="8">
        <f>'Data cleaning and validation(3)'!G409</f>
        <v>14</v>
      </c>
      <c r="H421" s="19">
        <f>'Data cleaning and validation(3)'!H409</f>
        <v>93954</v>
      </c>
      <c r="I421" s="8" t="str">
        <f>'Data cleaning and validation(3)'!I409</f>
        <v>Project Manager</v>
      </c>
      <c r="J421" s="8" t="str">
        <f>'Data cleaning and validation(3)'!J409</f>
        <v>British Columbia</v>
      </c>
      <c r="K421" s="8" t="str">
        <f>'Data cleaning and validation(3)'!K409</f>
        <v>Canada</v>
      </c>
      <c r="L421" s="8" t="str">
        <f>'Data cleaning and validation(3)'!L409</f>
        <v>Electronic Equipment</v>
      </c>
      <c r="M421" s="8" t="str">
        <f>'Data cleaning and validation(3)'!M409</f>
        <v>Active</v>
      </c>
      <c r="N421" s="17">
        <f>'Data cleaning and validation(3)'!N409</f>
        <v>1127448</v>
      </c>
      <c r="O421" s="18">
        <f>'Data cleaning and validation(3)'!O409</f>
        <v>9395.4</v>
      </c>
    </row>
    <row r="422" spans="1:15" x14ac:dyDescent="0.35">
      <c r="A422" s="8">
        <f>'Data cleaning and validation(3)'!A410</f>
        <v>409</v>
      </c>
      <c r="B422" s="8" t="str">
        <f>'Data cleaning and validation(3)'!B410</f>
        <v>Williams</v>
      </c>
      <c r="C422" s="8" t="str">
        <f>'Data cleaning and validation(3)'!C410</f>
        <v>swilliamsbc@bing.com</v>
      </c>
      <c r="D422" s="8" t="str">
        <f>'Data cleaning and validation(3)'!D410</f>
        <v>F</v>
      </c>
      <c r="E422" s="8" t="str">
        <f>'Data cleaning and validation(3)'!E410</f>
        <v>Home</v>
      </c>
      <c r="F422" s="15">
        <f>'Data cleaning and validation(3)'!F410</f>
        <v>43943</v>
      </c>
      <c r="G422" s="8">
        <f>'Data cleaning and validation(3)'!G410</f>
        <v>14</v>
      </c>
      <c r="H422" s="19">
        <f>'Data cleaning and validation(3)'!H410</f>
        <v>58235</v>
      </c>
      <c r="I422" s="8" t="str">
        <f>'Data cleaning and validation(3)'!I410</f>
        <v>Analog Circuit Design manager</v>
      </c>
      <c r="J422" s="8" t="str">
        <f>'Data cleaning and validation(3)'!J410</f>
        <v>Quebec</v>
      </c>
      <c r="K422" s="8" t="str">
        <f>'Data cleaning and validation(3)'!K410</f>
        <v>Canada</v>
      </c>
      <c r="L422" s="8" t="str">
        <f>'Data cleaning and validation(3)'!L410</f>
        <v>Domestic</v>
      </c>
      <c r="M422" s="8" t="str">
        <f>'Data cleaning and validation(3)'!M410</f>
        <v>Active</v>
      </c>
      <c r="N422" s="17">
        <f>'Data cleaning and validation(3)'!N410</f>
        <v>698820</v>
      </c>
      <c r="O422" s="18">
        <f>'Data cleaning and validation(3)'!O410</f>
        <v>5823.5</v>
      </c>
    </row>
    <row r="423" spans="1:15" x14ac:dyDescent="0.35">
      <c r="A423" s="8">
        <f>'Data cleaning and validation(3)'!A411</f>
        <v>410</v>
      </c>
      <c r="B423" s="8" t="str">
        <f>'Data cleaning and validation(3)'!B411</f>
        <v>Harris</v>
      </c>
      <c r="C423" s="8" t="str">
        <f>'Data cleaning and validation(3)'!C411</f>
        <v>lharrisbd@ow.ly</v>
      </c>
      <c r="D423" s="8" t="str">
        <f>'Data cleaning and validation(3)'!D411</f>
        <v>F</v>
      </c>
      <c r="E423" s="8" t="str">
        <f>'Data cleaning and validation(3)'!E411</f>
        <v>Tools</v>
      </c>
      <c r="F423" s="15">
        <f>'Data cleaning and validation(3)'!F411</f>
        <v>45664</v>
      </c>
      <c r="G423" s="8">
        <f>'Data cleaning and validation(3)'!G411</f>
        <v>9</v>
      </c>
      <c r="H423" s="19">
        <f>'Data cleaning and validation(3)'!H411</f>
        <v>148940</v>
      </c>
      <c r="I423" s="8" t="str">
        <f>'Data cleaning and validation(3)'!I411</f>
        <v>Senior Financial Analyst</v>
      </c>
      <c r="J423" s="8" t="str">
        <f>'Data cleaning and validation(3)'!J411</f>
        <v>Quebec</v>
      </c>
      <c r="K423" s="8" t="str">
        <f>'Data cleaning and validation(3)'!K411</f>
        <v>Canada</v>
      </c>
      <c r="L423" s="8" t="str">
        <f>'Data cleaning and validation(3)'!L411</f>
        <v>Auto &amp; Hardware</v>
      </c>
      <c r="M423" s="8" t="str">
        <f>'Data cleaning and validation(3)'!M411</f>
        <v>Active</v>
      </c>
      <c r="N423" s="17">
        <f>'Data cleaning and validation(3)'!N411</f>
        <v>1787280</v>
      </c>
      <c r="O423" s="18">
        <f>'Data cleaning and validation(3)'!O411</f>
        <v>14894</v>
      </c>
    </row>
    <row r="424" spans="1:15" x14ac:dyDescent="0.35">
      <c r="A424" s="8">
        <f>'Data cleaning and validation(3)'!A412</f>
        <v>411</v>
      </c>
      <c r="B424" s="8" t="str">
        <f>'Data cleaning and validation(3)'!B412</f>
        <v>Hayes</v>
      </c>
      <c r="C424" s="8" t="str">
        <f>'Data cleaning and validation(3)'!C412</f>
        <v>chayesbe@usnews.com</v>
      </c>
      <c r="D424" s="8" t="str">
        <f>'Data cleaning and validation(3)'!D412</f>
        <v>M</v>
      </c>
      <c r="E424" s="8" t="str">
        <f>'Data cleaning and validation(3)'!E412</f>
        <v>Kids</v>
      </c>
      <c r="F424" s="15">
        <f>'Data cleaning and validation(3)'!F412</f>
        <v>37720</v>
      </c>
      <c r="G424" s="8">
        <f>'Data cleaning and validation(3)'!G412</f>
        <v>18</v>
      </c>
      <c r="H424" s="19">
        <f>'Data cleaning and validation(3)'!H412</f>
        <v>110615</v>
      </c>
      <c r="I424" s="8" t="str">
        <f>'Data cleaning and validation(3)'!I412</f>
        <v>Paralegal</v>
      </c>
      <c r="J424" s="8" t="str">
        <f>'Data cleaning and validation(3)'!J412</f>
        <v>Quebec</v>
      </c>
      <c r="K424" s="8" t="str">
        <f>'Data cleaning and validation(3)'!K412</f>
        <v>Canada</v>
      </c>
      <c r="L424" s="8" t="str">
        <f>'Data cleaning and validation(3)'!L412</f>
        <v>Domestic</v>
      </c>
      <c r="M424" s="8" t="str">
        <f>'Data cleaning and validation(3)'!M412</f>
        <v>Active</v>
      </c>
      <c r="N424" s="17">
        <f>'Data cleaning and validation(3)'!N412</f>
        <v>1327380</v>
      </c>
      <c r="O424" s="18">
        <f>'Data cleaning and validation(3)'!O412</f>
        <v>11061.5</v>
      </c>
    </row>
    <row r="425" spans="1:15" x14ac:dyDescent="0.35">
      <c r="A425" s="8">
        <f>'Data cleaning and validation(3)'!A413</f>
        <v>412</v>
      </c>
      <c r="B425" s="8" t="str">
        <f>'Data cleaning and validation(3)'!B413</f>
        <v>Vasquez</v>
      </c>
      <c r="C425" s="8" t="str">
        <f>'Data cleaning and validation(3)'!C413</f>
        <v>jvasquezbf@dailymail.co.uk</v>
      </c>
      <c r="D425" s="8" t="str">
        <f>'Data cleaning and validation(3)'!D413</f>
        <v>M</v>
      </c>
      <c r="E425" s="8" t="str">
        <f>'Data cleaning and validation(3)'!E413</f>
        <v>Jewelery</v>
      </c>
      <c r="F425" s="15">
        <f>'Data cleaning and validation(3)'!F413</f>
        <v>40922</v>
      </c>
      <c r="G425" s="8">
        <f>'Data cleaning and validation(3)'!G413</f>
        <v>9</v>
      </c>
      <c r="H425" s="19">
        <f>'Data cleaning and validation(3)'!H413</f>
        <v>94596</v>
      </c>
      <c r="I425" s="8" t="str">
        <f>'Data cleaning and validation(3)'!I413</f>
        <v>Web Developer I</v>
      </c>
      <c r="J425" s="8" t="str">
        <f>'Data cleaning and validation(3)'!J413</f>
        <v>Northeast</v>
      </c>
      <c r="K425" s="8" t="str">
        <f>'Data cleaning and validation(3)'!K413</f>
        <v>USA</v>
      </c>
      <c r="L425" s="8" t="str">
        <f>'Data cleaning and validation(3)'!L413</f>
        <v>Fashion</v>
      </c>
      <c r="M425" s="8" t="str">
        <f>'Data cleaning and validation(3)'!M413</f>
        <v>Active</v>
      </c>
      <c r="N425" s="17">
        <f>'Data cleaning and validation(3)'!N413</f>
        <v>1135152</v>
      </c>
      <c r="O425" s="18">
        <f>'Data cleaning and validation(3)'!O413</f>
        <v>9459.6</v>
      </c>
    </row>
    <row r="426" spans="1:15" x14ac:dyDescent="0.35">
      <c r="A426" s="8">
        <f>'Data cleaning and validation(3)'!A414</f>
        <v>413</v>
      </c>
      <c r="B426" s="8" t="str">
        <f>'Data cleaning and validation(3)'!B414</f>
        <v>Brooks</v>
      </c>
      <c r="C426" s="8" t="str">
        <f>'Data cleaning and validation(3)'!C414</f>
        <v>lbrooksbg@storify.com</v>
      </c>
      <c r="D426" s="8" t="str">
        <f>'Data cleaning and validation(3)'!D414</f>
        <v>F</v>
      </c>
      <c r="E426" s="8" t="str">
        <f>'Data cleaning and validation(3)'!E414</f>
        <v>Health</v>
      </c>
      <c r="F426" s="15">
        <f>'Data cleaning and validation(3)'!F414</f>
        <v>44458</v>
      </c>
      <c r="G426" s="8">
        <f>'Data cleaning and validation(3)'!G414</f>
        <v>13</v>
      </c>
      <c r="H426" s="19">
        <f>'Data cleaning and validation(3)'!H414</f>
        <v>94502</v>
      </c>
      <c r="I426" s="8" t="str">
        <f>'Data cleaning and validation(3)'!I414</f>
        <v>Executive Secretary</v>
      </c>
      <c r="J426" s="8" t="str">
        <f>'Data cleaning and validation(3)'!J414</f>
        <v>Northeast</v>
      </c>
      <c r="K426" s="8" t="str">
        <f>'Data cleaning and validation(3)'!K414</f>
        <v>USA</v>
      </c>
      <c r="L426" s="8" t="str">
        <f>'Data cleaning and validation(3)'!L414</f>
        <v>Domestic</v>
      </c>
      <c r="M426" s="8" t="str">
        <f>'Data cleaning and validation(3)'!M414</f>
        <v>Active</v>
      </c>
      <c r="N426" s="17">
        <f>'Data cleaning and validation(3)'!N414</f>
        <v>1134024</v>
      </c>
      <c r="O426" s="18">
        <f>'Data cleaning and validation(3)'!O414</f>
        <v>9450.2000000000007</v>
      </c>
    </row>
    <row r="427" spans="1:15" x14ac:dyDescent="0.35">
      <c r="A427" s="8">
        <f>'Data cleaning and validation(3)'!A415</f>
        <v>414</v>
      </c>
      <c r="B427" s="8" t="str">
        <f>'Data cleaning and validation(3)'!B415</f>
        <v>Peterson</v>
      </c>
      <c r="C427" s="8" t="str">
        <f>'Data cleaning and validation(3)'!C415</f>
        <v>epetersonbh@reverbnation.com</v>
      </c>
      <c r="D427" s="8" t="str">
        <f>'Data cleaning and validation(3)'!D415</f>
        <v>M</v>
      </c>
      <c r="E427" s="8" t="str">
        <f>'Data cleaning and validation(3)'!E415</f>
        <v>Games</v>
      </c>
      <c r="F427" s="15">
        <f>'Data cleaning and validation(3)'!F415</f>
        <v>40765</v>
      </c>
      <c r="G427" s="8">
        <f>'Data cleaning and validation(3)'!G415</f>
        <v>10</v>
      </c>
      <c r="H427" s="19">
        <f>'Data cleaning and validation(3)'!H415</f>
        <v>72505</v>
      </c>
      <c r="I427" s="8" t="str">
        <f>'Data cleaning and validation(3)'!I415</f>
        <v>Registered Nurse</v>
      </c>
      <c r="J427" s="8" t="str">
        <f>'Data cleaning and validation(3)'!J415</f>
        <v>Northwest</v>
      </c>
      <c r="K427" s="8" t="str">
        <f>'Data cleaning and validation(3)'!K415</f>
        <v>USA</v>
      </c>
      <c r="L427" s="8" t="str">
        <f>'Data cleaning and validation(3)'!L415</f>
        <v>Domestic</v>
      </c>
      <c r="M427" s="8" t="str">
        <f>'Data cleaning and validation(3)'!M415</f>
        <v>Active</v>
      </c>
      <c r="N427" s="17">
        <f>'Data cleaning and validation(3)'!N415</f>
        <v>870060</v>
      </c>
      <c r="O427" s="18">
        <f>'Data cleaning and validation(3)'!O415</f>
        <v>7250.5</v>
      </c>
    </row>
    <row r="428" spans="1:15" x14ac:dyDescent="0.35">
      <c r="A428" s="8">
        <f>'Data cleaning and validation(3)'!A416</f>
        <v>415</v>
      </c>
      <c r="B428" s="8" t="str">
        <f>'Data cleaning and validation(3)'!B416</f>
        <v>Holmes</v>
      </c>
      <c r="C428" s="8" t="str">
        <f>'Data cleaning and validation(3)'!C416</f>
        <v>dholmesbi@jugem.jp</v>
      </c>
      <c r="D428" s="8" t="str">
        <f>'Data cleaning and validation(3)'!D416</f>
        <v>M</v>
      </c>
      <c r="E428" s="8" t="str">
        <f>'Data cleaning and validation(3)'!E416</f>
        <v>Toys</v>
      </c>
      <c r="F428" s="15">
        <f>'Data cleaning and validation(3)'!F416</f>
        <v>37060</v>
      </c>
      <c r="G428" s="8">
        <f>'Data cleaning and validation(3)'!G416</f>
        <v>20</v>
      </c>
      <c r="H428" s="19">
        <f>'Data cleaning and validation(3)'!H416</f>
        <v>147150</v>
      </c>
      <c r="I428" s="8" t="str">
        <f>'Data cleaning and validation(3)'!I416</f>
        <v>Analog Circuit Design manager</v>
      </c>
      <c r="J428" s="8" t="str">
        <f>'Data cleaning and validation(3)'!J416</f>
        <v>Quebec</v>
      </c>
      <c r="K428" s="8" t="str">
        <f>'Data cleaning and validation(3)'!K416</f>
        <v>Canada</v>
      </c>
      <c r="L428" s="8" t="str">
        <f>'Data cleaning and validation(3)'!L416</f>
        <v>Games &amp; Sports</v>
      </c>
      <c r="M428" s="8" t="str">
        <f>'Data cleaning and validation(3)'!M416</f>
        <v>Active</v>
      </c>
      <c r="N428" s="17">
        <f>'Data cleaning and validation(3)'!N416</f>
        <v>1765800</v>
      </c>
      <c r="O428" s="18">
        <f>'Data cleaning and validation(3)'!O416</f>
        <v>14715</v>
      </c>
    </row>
    <row r="429" spans="1:15" x14ac:dyDescent="0.35">
      <c r="A429" s="8">
        <f>'Data cleaning and validation(3)'!A417</f>
        <v>416</v>
      </c>
      <c r="B429" s="8" t="str">
        <f>'Data cleaning and validation(3)'!B417</f>
        <v>Butler</v>
      </c>
      <c r="C429" s="8" t="str">
        <f>'Data cleaning and validation(3)'!C417</f>
        <v>dbutlerbj@wix.com</v>
      </c>
      <c r="D429" s="8" t="str">
        <f>'Data cleaning and validation(3)'!D417</f>
        <v>F</v>
      </c>
      <c r="E429" s="8" t="str">
        <f>'Data cleaning and validation(3)'!E417</f>
        <v>Beauty</v>
      </c>
      <c r="F429" s="15">
        <f>'Data cleaning and validation(3)'!F417</f>
        <v>37296</v>
      </c>
      <c r="G429" s="8">
        <f>'Data cleaning and validation(3)'!G417</f>
        <v>19</v>
      </c>
      <c r="H429" s="19">
        <f>'Data cleaning and validation(3)'!H417</f>
        <v>66313</v>
      </c>
      <c r="I429" s="8" t="str">
        <f>'Data cleaning and validation(3)'!I417</f>
        <v>Food Chemist</v>
      </c>
      <c r="J429" s="8" t="str">
        <f>'Data cleaning and validation(3)'!J417</f>
        <v>British Columbia</v>
      </c>
      <c r="K429" s="8" t="str">
        <f>'Data cleaning and validation(3)'!K417</f>
        <v>Canada</v>
      </c>
      <c r="L429" s="8" t="str">
        <f>'Data cleaning and validation(3)'!L417</f>
        <v>Domestic</v>
      </c>
      <c r="M429" s="8" t="str">
        <f>'Data cleaning and validation(3)'!M417</f>
        <v>Active</v>
      </c>
      <c r="N429" s="17">
        <f>'Data cleaning and validation(3)'!N417</f>
        <v>795756</v>
      </c>
      <c r="O429" s="18">
        <f>'Data cleaning and validation(3)'!O417</f>
        <v>6631.3</v>
      </c>
    </row>
    <row r="430" spans="1:15" x14ac:dyDescent="0.35">
      <c r="A430" s="8">
        <f>'Data cleaning and validation(3)'!A418</f>
        <v>417</v>
      </c>
      <c r="B430" s="8" t="str">
        <f>'Data cleaning and validation(3)'!B418</f>
        <v>Hanson</v>
      </c>
      <c r="C430" s="8" t="str">
        <f>'Data cleaning and validation(3)'!C418</f>
        <v>shansonbk@ted.com</v>
      </c>
      <c r="D430" s="8" t="str">
        <f>'Data cleaning and validation(3)'!D418</f>
        <v>M</v>
      </c>
      <c r="E430" s="8" t="str">
        <f>'Data cleaning and validation(3)'!E418</f>
        <v>Electronics</v>
      </c>
      <c r="F430" s="15">
        <f>'Data cleaning and validation(3)'!F418</f>
        <v>37564</v>
      </c>
      <c r="G430" s="8">
        <f>'Data cleaning and validation(3)'!G418</f>
        <v>19</v>
      </c>
      <c r="H430" s="19">
        <f>'Data cleaning and validation(3)'!H418</f>
        <v>97372</v>
      </c>
      <c r="I430" s="8" t="str">
        <f>'Data cleaning and validation(3)'!I418</f>
        <v>Systems Administrator I</v>
      </c>
      <c r="J430" s="8" t="str">
        <f>'Data cleaning and validation(3)'!J418</f>
        <v>Quebec</v>
      </c>
      <c r="K430" s="8" t="str">
        <f>'Data cleaning and validation(3)'!K418</f>
        <v>Canada</v>
      </c>
      <c r="L430" s="8" t="str">
        <f>'Data cleaning and validation(3)'!L418</f>
        <v>Electronic Equipment</v>
      </c>
      <c r="M430" s="8" t="str">
        <f>'Data cleaning and validation(3)'!M418</f>
        <v>Active</v>
      </c>
      <c r="N430" s="17">
        <f>'Data cleaning and validation(3)'!N418</f>
        <v>1168464</v>
      </c>
      <c r="O430" s="18">
        <f>'Data cleaning and validation(3)'!O418</f>
        <v>9737.2000000000007</v>
      </c>
    </row>
    <row r="431" spans="1:15" x14ac:dyDescent="0.35">
      <c r="A431" s="8">
        <f>'Data cleaning and validation(3)'!A419</f>
        <v>418</v>
      </c>
      <c r="B431" s="8" t="str">
        <f>'Data cleaning and validation(3)'!B419</f>
        <v>Morales</v>
      </c>
      <c r="C431" s="8" t="str">
        <f>'Data cleaning and validation(3)'!C419</f>
        <v>dmoralesbl@mit.edu</v>
      </c>
      <c r="D431" s="8" t="str">
        <f>'Data cleaning and validation(3)'!D419</f>
        <v>F</v>
      </c>
      <c r="E431" s="8" t="str">
        <f>'Data cleaning and validation(3)'!E419</f>
        <v>Home</v>
      </c>
      <c r="F431" s="15">
        <f>'Data cleaning and validation(3)'!F419</f>
        <v>46297</v>
      </c>
      <c r="G431" s="8">
        <f>'Data cleaning and validation(3)'!G419</f>
        <v>8</v>
      </c>
      <c r="H431" s="19">
        <f>'Data cleaning and validation(3)'!H419</f>
        <v>149598</v>
      </c>
      <c r="I431" s="8" t="str">
        <f>'Data cleaning and validation(3)'!I419</f>
        <v>VP Product Management</v>
      </c>
      <c r="J431" s="8" t="str">
        <f>'Data cleaning and validation(3)'!J419</f>
        <v>Northwest</v>
      </c>
      <c r="K431" s="8" t="str">
        <f>'Data cleaning and validation(3)'!K419</f>
        <v>USA</v>
      </c>
      <c r="L431" s="8" t="str">
        <f>'Data cleaning and validation(3)'!L419</f>
        <v>Domestic</v>
      </c>
      <c r="M431" s="8" t="str">
        <f>'Data cleaning and validation(3)'!M419</f>
        <v>Active</v>
      </c>
      <c r="N431" s="17">
        <f>'Data cleaning and validation(3)'!N419</f>
        <v>1795176</v>
      </c>
      <c r="O431" s="18">
        <f>'Data cleaning and validation(3)'!O419</f>
        <v>14959.800000000001</v>
      </c>
    </row>
    <row r="432" spans="1:15" x14ac:dyDescent="0.35">
      <c r="A432" s="8">
        <f>'Data cleaning and validation(3)'!A420</f>
        <v>419</v>
      </c>
      <c r="B432" s="8" t="str">
        <f>'Data cleaning and validation(3)'!B420</f>
        <v>Dixon</v>
      </c>
      <c r="C432" s="8" t="str">
        <f>'Data cleaning and validation(3)'!C420</f>
        <v>jdixonbm@indiatimes.com</v>
      </c>
      <c r="D432" s="8" t="str">
        <f>'Data cleaning and validation(3)'!D420</f>
        <v>M</v>
      </c>
      <c r="E432" s="8" t="str">
        <f>'Data cleaning and validation(3)'!E420</f>
        <v>Health</v>
      </c>
      <c r="F432" s="15">
        <f>'Data cleaning and validation(3)'!F420</f>
        <v>39500</v>
      </c>
      <c r="G432" s="8">
        <f>'Data cleaning and validation(3)'!G420</f>
        <v>13</v>
      </c>
      <c r="H432" s="19">
        <f>'Data cleaning and validation(3)'!H420</f>
        <v>104224</v>
      </c>
      <c r="I432" s="8" t="str">
        <f>'Data cleaning and validation(3)'!I420</f>
        <v>Clinical Specialist</v>
      </c>
      <c r="J432" s="8" t="str">
        <f>'Data cleaning and validation(3)'!J420</f>
        <v>British Columbia</v>
      </c>
      <c r="K432" s="8" t="str">
        <f>'Data cleaning and validation(3)'!K420</f>
        <v>Canada</v>
      </c>
      <c r="L432" s="8" t="str">
        <f>'Data cleaning and validation(3)'!L420</f>
        <v>Domestic</v>
      </c>
      <c r="M432" s="8" t="str">
        <f>'Data cleaning and validation(3)'!M420</f>
        <v>Active</v>
      </c>
      <c r="N432" s="17">
        <f>'Data cleaning and validation(3)'!N420</f>
        <v>1250688</v>
      </c>
      <c r="O432" s="18">
        <f>'Data cleaning and validation(3)'!O420</f>
        <v>10422.400000000001</v>
      </c>
    </row>
    <row r="433" spans="1:15" x14ac:dyDescent="0.35">
      <c r="A433" s="8">
        <f>'Data cleaning and validation(3)'!A421</f>
        <v>420</v>
      </c>
      <c r="B433" s="8" t="str">
        <f>'Data cleaning and validation(3)'!B421</f>
        <v>Henry</v>
      </c>
      <c r="C433" s="8" t="str">
        <f>'Data cleaning and validation(3)'!C421</f>
        <v>hhenrybn@privacy.gov.au</v>
      </c>
      <c r="D433" s="8" t="str">
        <f>'Data cleaning and validation(3)'!D421</f>
        <v>F</v>
      </c>
      <c r="E433" s="8" t="str">
        <f>'Data cleaning and validation(3)'!E421</f>
        <v>Tools</v>
      </c>
      <c r="F433" s="15">
        <f>'Data cleaning and validation(3)'!F421</f>
        <v>44098</v>
      </c>
      <c r="G433" s="8">
        <f>'Data cleaning and validation(3)'!G421</f>
        <v>14</v>
      </c>
      <c r="H433" s="19">
        <f>'Data cleaning and validation(3)'!H421</f>
        <v>95583</v>
      </c>
      <c r="I433" s="8" t="str">
        <f>'Data cleaning and validation(3)'!I421</f>
        <v>Civil Engineer</v>
      </c>
      <c r="J433" s="8" t="str">
        <f>'Data cleaning and validation(3)'!J421</f>
        <v>Southeast</v>
      </c>
      <c r="K433" s="8" t="str">
        <f>'Data cleaning and validation(3)'!K421</f>
        <v>USA</v>
      </c>
      <c r="L433" s="8" t="str">
        <f>'Data cleaning and validation(3)'!L421</f>
        <v>Auto &amp; Hardware</v>
      </c>
      <c r="M433" s="8" t="str">
        <f>'Data cleaning and validation(3)'!M421</f>
        <v>Active</v>
      </c>
      <c r="N433" s="17">
        <f>'Data cleaning and validation(3)'!N421</f>
        <v>1146996</v>
      </c>
      <c r="O433" s="18">
        <f>'Data cleaning and validation(3)'!O421</f>
        <v>9558.3000000000011</v>
      </c>
    </row>
    <row r="434" spans="1:15" x14ac:dyDescent="0.35">
      <c r="A434" s="8">
        <f>'Data cleaning and validation(3)'!A422</f>
        <v>421</v>
      </c>
      <c r="B434" s="8" t="str">
        <f>'Data cleaning and validation(3)'!B422</f>
        <v>Harper</v>
      </c>
      <c r="C434" s="8" t="str">
        <f>'Data cleaning and validation(3)'!C422</f>
        <v>rharperbo@webeden.co.uk</v>
      </c>
      <c r="D434" s="8" t="str">
        <f>'Data cleaning and validation(3)'!D422</f>
        <v>F</v>
      </c>
      <c r="E434" s="8" t="str">
        <f>'Data cleaning and validation(3)'!E422</f>
        <v>Music</v>
      </c>
      <c r="F434" s="15">
        <f>'Data cleaning and validation(3)'!F422</f>
        <v>36896</v>
      </c>
      <c r="G434" s="8">
        <f>'Data cleaning and validation(3)'!G422</f>
        <v>20</v>
      </c>
      <c r="H434" s="19">
        <f>'Data cleaning and validation(3)'!H422</f>
        <v>92043</v>
      </c>
      <c r="I434" s="8" t="str">
        <f>'Data cleaning and validation(3)'!I422</f>
        <v>Assistant Manager</v>
      </c>
      <c r="J434" s="8" t="str">
        <f>'Data cleaning and validation(3)'!J422</f>
        <v>Northwest</v>
      </c>
      <c r="K434" s="8" t="str">
        <f>'Data cleaning and validation(3)'!K422</f>
        <v>USA</v>
      </c>
      <c r="L434" s="8" t="str">
        <f>'Data cleaning and validation(3)'!L422</f>
        <v>Entertainment</v>
      </c>
      <c r="M434" s="8" t="str">
        <f>'Data cleaning and validation(3)'!M422</f>
        <v>Active</v>
      </c>
      <c r="N434" s="17">
        <f>'Data cleaning and validation(3)'!N422</f>
        <v>1104516</v>
      </c>
      <c r="O434" s="18">
        <f>'Data cleaning and validation(3)'!O422</f>
        <v>9204.3000000000011</v>
      </c>
    </row>
    <row r="435" spans="1:15" x14ac:dyDescent="0.35">
      <c r="A435" s="8">
        <f>'Data cleaning and validation(3)'!A423</f>
        <v>422</v>
      </c>
      <c r="B435" s="8" t="str">
        <f>'Data cleaning and validation(3)'!B423</f>
        <v>Torres</v>
      </c>
      <c r="C435" s="8" t="str">
        <f>'Data cleaning and validation(3)'!C423</f>
        <v>ctorresbp@yahoo.com</v>
      </c>
      <c r="D435" s="8" t="str">
        <f>'Data cleaning and validation(3)'!D423</f>
        <v>F</v>
      </c>
      <c r="E435" s="8" t="str">
        <f>'Data cleaning and validation(3)'!E423</f>
        <v>Computers</v>
      </c>
      <c r="F435" s="15">
        <f>'Data cleaning and validation(3)'!F423</f>
        <v>44821</v>
      </c>
      <c r="G435" s="8">
        <f>'Data cleaning and validation(3)'!G423</f>
        <v>12</v>
      </c>
      <c r="H435" s="19">
        <f>'Data cleaning and validation(3)'!H423</f>
        <v>118307</v>
      </c>
      <c r="I435" s="8" t="str">
        <f>'Data cleaning and validation(3)'!I423</f>
        <v>Staff Accountant II</v>
      </c>
      <c r="J435" s="8" t="str">
        <f>'Data cleaning and validation(3)'!J423</f>
        <v>Northeast</v>
      </c>
      <c r="K435" s="8" t="str">
        <f>'Data cleaning and validation(3)'!K423</f>
        <v>USA</v>
      </c>
      <c r="L435" s="8" t="str">
        <f>'Data cleaning and validation(3)'!L423</f>
        <v>Electronic Equipment</v>
      </c>
      <c r="M435" s="8" t="str">
        <f>'Data cleaning and validation(3)'!M423</f>
        <v>Active</v>
      </c>
      <c r="N435" s="17">
        <f>'Data cleaning and validation(3)'!N423</f>
        <v>1419684</v>
      </c>
      <c r="O435" s="18">
        <f>'Data cleaning and validation(3)'!O423</f>
        <v>11830.7</v>
      </c>
    </row>
    <row r="436" spans="1:15" x14ac:dyDescent="0.35">
      <c r="A436" s="8">
        <f>'Data cleaning and validation(3)'!A424</f>
        <v>423</v>
      </c>
      <c r="B436" s="8" t="str">
        <f>'Data cleaning and validation(3)'!B424</f>
        <v>Walker</v>
      </c>
      <c r="C436" s="8" t="str">
        <f>'Data cleaning and validation(3)'!C424</f>
        <v>awalkerbq@wsj.com</v>
      </c>
      <c r="D436" s="8" t="str">
        <f>'Data cleaning and validation(3)'!D424</f>
        <v>F</v>
      </c>
      <c r="E436" s="8" t="str">
        <f>'Data cleaning and validation(3)'!E424</f>
        <v>Jewelery</v>
      </c>
      <c r="F436" s="15">
        <f>'Data cleaning and validation(3)'!F424</f>
        <v>45423</v>
      </c>
      <c r="G436" s="8">
        <f>'Data cleaning and validation(3)'!G424</f>
        <v>10</v>
      </c>
      <c r="H436" s="19">
        <f>'Data cleaning and validation(3)'!H424</f>
        <v>145281</v>
      </c>
      <c r="I436" s="8" t="str">
        <f>'Data cleaning and validation(3)'!I424</f>
        <v>VP Accounting</v>
      </c>
      <c r="J436" s="8" t="str">
        <f>'Data cleaning and validation(3)'!J424</f>
        <v>Southwest</v>
      </c>
      <c r="K436" s="8" t="str">
        <f>'Data cleaning and validation(3)'!K424</f>
        <v>USA</v>
      </c>
      <c r="L436" s="8" t="str">
        <f>'Data cleaning and validation(3)'!L424</f>
        <v>Fashion</v>
      </c>
      <c r="M436" s="8" t="str">
        <f>'Data cleaning and validation(3)'!M424</f>
        <v>Active</v>
      </c>
      <c r="N436" s="17">
        <f>'Data cleaning and validation(3)'!N424</f>
        <v>1743372</v>
      </c>
      <c r="O436" s="18">
        <f>'Data cleaning and validation(3)'!O424</f>
        <v>14528.1</v>
      </c>
    </row>
    <row r="437" spans="1:15" x14ac:dyDescent="0.35">
      <c r="A437" s="8">
        <f>'Data cleaning and validation(3)'!A425</f>
        <v>424</v>
      </c>
      <c r="B437" s="8" t="str">
        <f>'Data cleaning and validation(3)'!B425</f>
        <v>Berry</v>
      </c>
      <c r="C437" s="8" t="str">
        <f>'Data cleaning and validation(3)'!C425</f>
        <v>jberrybr@discuz.net</v>
      </c>
      <c r="D437" s="8" t="str">
        <f>'Data cleaning and validation(3)'!D425</f>
        <v>F</v>
      </c>
      <c r="E437" s="8" t="str">
        <f>'Data cleaning and validation(3)'!E425</f>
        <v>Home</v>
      </c>
      <c r="F437" s="15">
        <f>'Data cleaning and validation(3)'!F425</f>
        <v>46254</v>
      </c>
      <c r="G437" s="8">
        <f>'Data cleaning and validation(3)'!G425</f>
        <v>8</v>
      </c>
      <c r="H437" s="19">
        <f>'Data cleaning and validation(3)'!H425</f>
        <v>148640</v>
      </c>
      <c r="I437" s="8" t="str">
        <f>'Data cleaning and validation(3)'!I425</f>
        <v>Internal Auditor</v>
      </c>
      <c r="J437" s="8" t="str">
        <f>'Data cleaning and validation(3)'!J425</f>
        <v>Southwest</v>
      </c>
      <c r="K437" s="8" t="str">
        <f>'Data cleaning and validation(3)'!K425</f>
        <v>USA</v>
      </c>
      <c r="L437" s="8" t="str">
        <f>'Data cleaning and validation(3)'!L425</f>
        <v>Domestic</v>
      </c>
      <c r="M437" s="8" t="str">
        <f>'Data cleaning and validation(3)'!M425</f>
        <v>Active</v>
      </c>
      <c r="N437" s="17">
        <f>'Data cleaning and validation(3)'!N425</f>
        <v>1783680</v>
      </c>
      <c r="O437" s="18">
        <f>'Data cleaning and validation(3)'!O425</f>
        <v>14864</v>
      </c>
    </row>
    <row r="438" spans="1:15" x14ac:dyDescent="0.35">
      <c r="A438" s="8">
        <f>'Data cleaning and validation(3)'!A426</f>
        <v>425</v>
      </c>
      <c r="B438" s="8" t="str">
        <f>'Data cleaning and validation(3)'!B426</f>
        <v>Carpenter</v>
      </c>
      <c r="C438" s="8" t="str">
        <f>'Data cleaning and validation(3)'!C426</f>
        <v>lcarpenterbs@xrea.com</v>
      </c>
      <c r="D438" s="8" t="str">
        <f>'Data cleaning and validation(3)'!D426</f>
        <v>F</v>
      </c>
      <c r="E438" s="8" t="str">
        <f>'Data cleaning and validation(3)'!E426</f>
        <v>Computers</v>
      </c>
      <c r="F438" s="15">
        <f>'Data cleaning and validation(3)'!F426</f>
        <v>36776</v>
      </c>
      <c r="G438" s="8">
        <f>'Data cleaning and validation(3)'!G426</f>
        <v>21</v>
      </c>
      <c r="H438" s="19">
        <f>'Data cleaning and validation(3)'!H426</f>
        <v>125523</v>
      </c>
      <c r="I438" s="8" t="str">
        <f>'Data cleaning and validation(3)'!I426</f>
        <v>Financial Advisor</v>
      </c>
      <c r="J438" s="8" t="str">
        <f>'Data cleaning and validation(3)'!J426</f>
        <v>Nova Scotia</v>
      </c>
      <c r="K438" s="8" t="str">
        <f>'Data cleaning and validation(3)'!K426</f>
        <v>Canada</v>
      </c>
      <c r="L438" s="8" t="str">
        <f>'Data cleaning and validation(3)'!L426</f>
        <v>Electronic Equipment</v>
      </c>
      <c r="M438" s="8" t="str">
        <f>'Data cleaning and validation(3)'!M426</f>
        <v>Active</v>
      </c>
      <c r="N438" s="17">
        <f>'Data cleaning and validation(3)'!N426</f>
        <v>1506276</v>
      </c>
      <c r="O438" s="18">
        <f>'Data cleaning and validation(3)'!O426</f>
        <v>12552.300000000001</v>
      </c>
    </row>
    <row r="439" spans="1:15" x14ac:dyDescent="0.35">
      <c r="A439" s="8">
        <f>'Data cleaning and validation(3)'!A427</f>
        <v>426</v>
      </c>
      <c r="B439" s="8" t="str">
        <f>'Data cleaning and validation(3)'!B427</f>
        <v>Graham</v>
      </c>
      <c r="C439" s="8" t="str">
        <f>'Data cleaning and validation(3)'!C427</f>
        <v>tgrahambt@mediafire.com</v>
      </c>
      <c r="D439" s="8" t="str">
        <f>'Data cleaning and validation(3)'!D427</f>
        <v>M</v>
      </c>
      <c r="E439" s="8" t="str">
        <f>'Data cleaning and validation(3)'!E427</f>
        <v>Kids</v>
      </c>
      <c r="F439" s="15">
        <f>'Data cleaning and validation(3)'!F427</f>
        <v>39825</v>
      </c>
      <c r="G439" s="8">
        <f>'Data cleaning and validation(3)'!G427</f>
        <v>12</v>
      </c>
      <c r="H439" s="19">
        <f>'Data cleaning and validation(3)'!H427</f>
        <v>49503</v>
      </c>
      <c r="I439" s="8" t="str">
        <f>'Data cleaning and validation(3)'!I427</f>
        <v>Occupational Therapist</v>
      </c>
      <c r="J439" s="8" t="str">
        <f>'Data cleaning and validation(3)'!J427</f>
        <v>British Columbia</v>
      </c>
      <c r="K439" s="8" t="str">
        <f>'Data cleaning and validation(3)'!K427</f>
        <v>Canada</v>
      </c>
      <c r="L439" s="8" t="str">
        <f>'Data cleaning and validation(3)'!L427</f>
        <v>Domestic</v>
      </c>
      <c r="M439" s="8" t="str">
        <f>'Data cleaning and validation(3)'!M427</f>
        <v>Active</v>
      </c>
      <c r="N439" s="17">
        <f>'Data cleaning and validation(3)'!N427</f>
        <v>594036</v>
      </c>
      <c r="O439" s="18">
        <f>'Data cleaning and validation(3)'!O427</f>
        <v>4950.3</v>
      </c>
    </row>
    <row r="440" spans="1:15" x14ac:dyDescent="0.35">
      <c r="A440" s="8">
        <f>'Data cleaning and validation(3)'!A428</f>
        <v>427</v>
      </c>
      <c r="B440" s="8" t="str">
        <f>'Data cleaning and validation(3)'!B428</f>
        <v>Clark</v>
      </c>
      <c r="C440" s="8" t="str">
        <f>'Data cleaning and validation(3)'!C428</f>
        <v>aclarkbu@npr.org</v>
      </c>
      <c r="D440" s="8" t="str">
        <f>'Data cleaning and validation(3)'!D428</f>
        <v>F</v>
      </c>
      <c r="E440" s="8" t="str">
        <f>'Data cleaning and validation(3)'!E428</f>
        <v>Sports</v>
      </c>
      <c r="F440" s="15">
        <f>'Data cleaning and validation(3)'!F428</f>
        <v>36779</v>
      </c>
      <c r="G440" s="8">
        <f>'Data cleaning and validation(3)'!G428</f>
        <v>21</v>
      </c>
      <c r="H440" s="19">
        <f>'Data cleaning and validation(3)'!H428</f>
        <v>146611</v>
      </c>
      <c r="I440" s="8" t="str">
        <f>'Data cleaning and validation(3)'!I428</f>
        <v>Systems Administrator III</v>
      </c>
      <c r="J440" s="8" t="str">
        <f>'Data cleaning and validation(3)'!J428</f>
        <v>Nova Scotia</v>
      </c>
      <c r="K440" s="8" t="str">
        <f>'Data cleaning and validation(3)'!K428</f>
        <v>Canada</v>
      </c>
      <c r="L440" s="8" t="str">
        <f>'Data cleaning and validation(3)'!L428</f>
        <v>Games &amp; Sports</v>
      </c>
      <c r="M440" s="8" t="str">
        <f>'Data cleaning and validation(3)'!M428</f>
        <v>Active</v>
      </c>
      <c r="N440" s="17">
        <f>'Data cleaning and validation(3)'!N428</f>
        <v>1759332</v>
      </c>
      <c r="O440" s="18">
        <f>'Data cleaning and validation(3)'!O428</f>
        <v>14661.1</v>
      </c>
    </row>
    <row r="441" spans="1:15" x14ac:dyDescent="0.35">
      <c r="A441" s="8">
        <f>'Data cleaning and validation(3)'!A429</f>
        <v>428</v>
      </c>
      <c r="B441" s="8" t="str">
        <f>'Data cleaning and validation(3)'!B429</f>
        <v>Schmidt</v>
      </c>
      <c r="C441" s="8" t="str">
        <f>'Data cleaning and validation(3)'!C429</f>
        <v>rschmidtbv@tumblr.com</v>
      </c>
      <c r="D441" s="8" t="str">
        <f>'Data cleaning and validation(3)'!D429</f>
        <v>F</v>
      </c>
      <c r="E441" s="8" t="str">
        <f>'Data cleaning and validation(3)'!E429</f>
        <v>Sports</v>
      </c>
      <c r="F441" s="15">
        <f>'Data cleaning and validation(3)'!F429</f>
        <v>45696</v>
      </c>
      <c r="G441" s="8">
        <f>'Data cleaning and validation(3)'!G429</f>
        <v>9</v>
      </c>
      <c r="H441" s="19">
        <f>'Data cleaning and validation(3)'!H429</f>
        <v>125465</v>
      </c>
      <c r="I441" s="8" t="str">
        <f>'Data cleaning and validation(3)'!I429</f>
        <v>Teacher</v>
      </c>
      <c r="J441" s="8" t="str">
        <f>'Data cleaning and validation(3)'!J429</f>
        <v>Northeast</v>
      </c>
      <c r="K441" s="8" t="str">
        <f>'Data cleaning and validation(3)'!K429</f>
        <v>USA</v>
      </c>
      <c r="L441" s="8" t="str">
        <f>'Data cleaning and validation(3)'!L429</f>
        <v>Games &amp; Sports</v>
      </c>
      <c r="M441" s="8" t="str">
        <f>'Data cleaning and validation(3)'!M429</f>
        <v>Active</v>
      </c>
      <c r="N441" s="17">
        <f>'Data cleaning and validation(3)'!N429</f>
        <v>1505580</v>
      </c>
      <c r="O441" s="18">
        <f>'Data cleaning and validation(3)'!O429</f>
        <v>12546.5</v>
      </c>
    </row>
    <row r="442" spans="1:15" x14ac:dyDescent="0.35">
      <c r="A442" s="8">
        <f>'Data cleaning and validation(3)'!A430</f>
        <v>429</v>
      </c>
      <c r="B442" s="8" t="str">
        <f>'Data cleaning and validation(3)'!B430</f>
        <v>Ortiz</v>
      </c>
      <c r="C442" s="8" t="str">
        <f>'Data cleaning and validation(3)'!C430</f>
        <v>jortizbw@t.co</v>
      </c>
      <c r="D442" s="8" t="str">
        <f>'Data cleaning and validation(3)'!D430</f>
        <v>F</v>
      </c>
      <c r="E442" s="8" t="str">
        <f>'Data cleaning and validation(3)'!E430</f>
        <v>Clothing</v>
      </c>
      <c r="F442" s="15">
        <f>'Data cleaning and validation(3)'!F430</f>
        <v>37644</v>
      </c>
      <c r="G442" s="8">
        <f>'Data cleaning and validation(3)'!G430</f>
        <v>18</v>
      </c>
      <c r="H442" s="19">
        <f>'Data cleaning and validation(3)'!H430</f>
        <v>75024</v>
      </c>
      <c r="I442" s="8" t="str">
        <f>'Data cleaning and validation(3)'!I430</f>
        <v>Structural Analysis Engineer</v>
      </c>
      <c r="J442" s="8" t="str">
        <f>'Data cleaning and validation(3)'!J430</f>
        <v>Quebec</v>
      </c>
      <c r="K442" s="8" t="str">
        <f>'Data cleaning and validation(3)'!K430</f>
        <v>Canada</v>
      </c>
      <c r="L442" s="8" t="str">
        <f>'Data cleaning and validation(3)'!L430</f>
        <v>Domestic</v>
      </c>
      <c r="M442" s="8" t="str">
        <f>'Data cleaning and validation(3)'!M430</f>
        <v>Active</v>
      </c>
      <c r="N442" s="17">
        <f>'Data cleaning and validation(3)'!N430</f>
        <v>900288</v>
      </c>
      <c r="O442" s="18">
        <f>'Data cleaning and validation(3)'!O430</f>
        <v>7502.4000000000005</v>
      </c>
    </row>
    <row r="443" spans="1:15" x14ac:dyDescent="0.35">
      <c r="A443" s="8">
        <f>'Data cleaning and validation(3)'!A431</f>
        <v>430</v>
      </c>
      <c r="B443" s="8" t="str">
        <f>'Data cleaning and validation(3)'!B431</f>
        <v>Hall</v>
      </c>
      <c r="C443" s="8" t="str">
        <f>'Data cleaning and validation(3)'!C431</f>
        <v>ehallbx@google.com.br</v>
      </c>
      <c r="D443" s="8" t="str">
        <f>'Data cleaning and validation(3)'!D431</f>
        <v>M</v>
      </c>
      <c r="E443" s="8" t="str">
        <f>'Data cleaning and validation(3)'!E431</f>
        <v>Sports</v>
      </c>
      <c r="F443" s="15">
        <f>'Data cleaning and validation(3)'!F431</f>
        <v>40841</v>
      </c>
      <c r="G443" s="8">
        <f>'Data cleaning and validation(3)'!G431</f>
        <v>10</v>
      </c>
      <c r="H443" s="19">
        <f>'Data cleaning and validation(3)'!H431</f>
        <v>60793</v>
      </c>
      <c r="I443" s="8" t="str">
        <f>'Data cleaning and validation(3)'!I431</f>
        <v>Registered Nurse</v>
      </c>
      <c r="J443" s="8" t="str">
        <f>'Data cleaning and validation(3)'!J431</f>
        <v>Nova Scotia</v>
      </c>
      <c r="K443" s="8" t="str">
        <f>'Data cleaning and validation(3)'!K431</f>
        <v>Canada</v>
      </c>
      <c r="L443" s="8" t="str">
        <f>'Data cleaning and validation(3)'!L431</f>
        <v>Games &amp; Sports</v>
      </c>
      <c r="M443" s="8" t="str">
        <f>'Data cleaning and validation(3)'!M431</f>
        <v>Active</v>
      </c>
      <c r="N443" s="17">
        <f>'Data cleaning and validation(3)'!N431</f>
        <v>729516</v>
      </c>
      <c r="O443" s="18">
        <f>'Data cleaning and validation(3)'!O431</f>
        <v>6079.3</v>
      </c>
    </row>
    <row r="444" spans="1:15" x14ac:dyDescent="0.35">
      <c r="A444" s="8">
        <f>'Data cleaning and validation(3)'!A432</f>
        <v>431</v>
      </c>
      <c r="B444" s="8" t="str">
        <f>'Data cleaning and validation(3)'!B432</f>
        <v>Bishop</v>
      </c>
      <c r="C444" s="8" t="str">
        <f>'Data cleaning and validation(3)'!C432</f>
        <v>kbishopby@loc.gov</v>
      </c>
      <c r="D444" s="8" t="str">
        <f>'Data cleaning and validation(3)'!D432</f>
        <v>F</v>
      </c>
      <c r="E444" s="8" t="str">
        <f>'Data cleaning and validation(3)'!E432</f>
        <v>Tools</v>
      </c>
      <c r="F444" s="15">
        <f>'Data cleaning and validation(3)'!F432</f>
        <v>45083</v>
      </c>
      <c r="G444" s="8">
        <f>'Data cleaning and validation(3)'!G432</f>
        <v>11</v>
      </c>
      <c r="H444" s="19">
        <f>'Data cleaning and validation(3)'!H432</f>
        <v>110744</v>
      </c>
      <c r="I444" s="8" t="str">
        <f>'Data cleaning and validation(3)'!I432</f>
        <v>Accountant I</v>
      </c>
      <c r="J444" s="8" t="str">
        <f>'Data cleaning and validation(3)'!J432</f>
        <v>Southeast</v>
      </c>
      <c r="K444" s="8" t="str">
        <f>'Data cleaning and validation(3)'!K432</f>
        <v>USA</v>
      </c>
      <c r="L444" s="8" t="str">
        <f>'Data cleaning and validation(3)'!L432</f>
        <v>Auto &amp; Hardware</v>
      </c>
      <c r="M444" s="8" t="str">
        <f>'Data cleaning and validation(3)'!M432</f>
        <v>Active</v>
      </c>
      <c r="N444" s="17">
        <f>'Data cleaning and validation(3)'!N432</f>
        <v>1328928</v>
      </c>
      <c r="O444" s="18">
        <f>'Data cleaning and validation(3)'!O432</f>
        <v>11074.400000000001</v>
      </c>
    </row>
    <row r="445" spans="1:15" x14ac:dyDescent="0.35">
      <c r="A445" s="8">
        <f>'Data cleaning and validation(3)'!A433</f>
        <v>432</v>
      </c>
      <c r="B445" s="8" t="str">
        <f>'Data cleaning and validation(3)'!B433</f>
        <v>Murphy</v>
      </c>
      <c r="C445" s="8" t="str">
        <f>'Data cleaning and validation(3)'!C433</f>
        <v>nmurphybz@jiathis.com</v>
      </c>
      <c r="D445" s="8" t="str">
        <f>'Data cleaning and validation(3)'!D433</f>
        <v>F</v>
      </c>
      <c r="E445" s="8" t="str">
        <f>'Data cleaning and validation(3)'!E433</f>
        <v>Jewelery</v>
      </c>
      <c r="F445" s="15">
        <f>'Data cleaning and validation(3)'!F433</f>
        <v>38950</v>
      </c>
      <c r="G445" s="8">
        <f>'Data cleaning and validation(3)'!G433</f>
        <v>15</v>
      </c>
      <c r="H445" s="19">
        <f>'Data cleaning and validation(3)'!H433</f>
        <v>46653</v>
      </c>
      <c r="I445" s="8" t="str">
        <f>'Data cleaning and validation(3)'!I433</f>
        <v>Registered Nurse</v>
      </c>
      <c r="J445" s="8" t="str">
        <f>'Data cleaning and validation(3)'!J433</f>
        <v>Southwest</v>
      </c>
      <c r="K445" s="8" t="str">
        <f>'Data cleaning and validation(3)'!K433</f>
        <v>USA</v>
      </c>
      <c r="L445" s="8" t="str">
        <f>'Data cleaning and validation(3)'!L433</f>
        <v>Fashion</v>
      </c>
      <c r="M445" s="8" t="str">
        <f>'Data cleaning and validation(3)'!M433</f>
        <v>Active</v>
      </c>
      <c r="N445" s="17">
        <f>'Data cleaning and validation(3)'!N433</f>
        <v>559836</v>
      </c>
      <c r="O445" s="18">
        <f>'Data cleaning and validation(3)'!O433</f>
        <v>4665.3</v>
      </c>
    </row>
    <row r="446" spans="1:15" x14ac:dyDescent="0.35">
      <c r="A446" s="8">
        <f>'Data cleaning and validation(3)'!A434</f>
        <v>433</v>
      </c>
      <c r="B446" s="8" t="str">
        <f>'Data cleaning and validation(3)'!B434</f>
        <v>Parker</v>
      </c>
      <c r="C446" s="8" t="str">
        <f>'Data cleaning and validation(3)'!C434</f>
        <v>dparkerc0@webeden.co.uk</v>
      </c>
      <c r="D446" s="8" t="str">
        <f>'Data cleaning and validation(3)'!D434</f>
        <v>M</v>
      </c>
      <c r="E446" s="8" t="str">
        <f>'Data cleaning and validation(3)'!E434</f>
        <v>Games</v>
      </c>
      <c r="F446" s="15">
        <f>'Data cleaning and validation(3)'!F434</f>
        <v>41763</v>
      </c>
      <c r="G446" s="8">
        <f>'Data cleaning and validation(3)'!G434</f>
        <v>7</v>
      </c>
      <c r="H446" s="19">
        <f>'Data cleaning and validation(3)'!H434</f>
        <v>114919</v>
      </c>
      <c r="I446" s="8" t="str">
        <f>'Data cleaning and validation(3)'!I434</f>
        <v>Database Administrator III</v>
      </c>
      <c r="J446" s="8" t="str">
        <f>'Data cleaning and validation(3)'!J434</f>
        <v>Nova Scotia</v>
      </c>
      <c r="K446" s="8" t="str">
        <f>'Data cleaning and validation(3)'!K434</f>
        <v>Canada</v>
      </c>
      <c r="L446" s="8" t="str">
        <f>'Data cleaning and validation(3)'!L434</f>
        <v>Domestic</v>
      </c>
      <c r="M446" s="8" t="str">
        <f>'Data cleaning and validation(3)'!M434</f>
        <v>Active</v>
      </c>
      <c r="N446" s="17">
        <f>'Data cleaning and validation(3)'!N434</f>
        <v>1379028</v>
      </c>
      <c r="O446" s="18">
        <f>'Data cleaning and validation(3)'!O434</f>
        <v>11491.900000000001</v>
      </c>
    </row>
    <row r="447" spans="1:15" x14ac:dyDescent="0.35">
      <c r="A447" s="8">
        <f>'Data cleaning and validation(3)'!A435</f>
        <v>434</v>
      </c>
      <c r="B447" s="8" t="str">
        <f>'Data cleaning and validation(3)'!B435</f>
        <v>Lee</v>
      </c>
      <c r="C447" s="8" t="str">
        <f>'Data cleaning and validation(3)'!C435</f>
        <v>rleec1@ibm.com</v>
      </c>
      <c r="D447" s="8" t="str">
        <f>'Data cleaning and validation(3)'!D435</f>
        <v>F</v>
      </c>
      <c r="E447" s="8" t="str">
        <f>'Data cleaning and validation(3)'!E435</f>
        <v>Computers</v>
      </c>
      <c r="F447" s="15">
        <f>'Data cleaning and validation(3)'!F435</f>
        <v>36731</v>
      </c>
      <c r="G447" s="8">
        <f>'Data cleaning and validation(3)'!G435</f>
        <v>21</v>
      </c>
      <c r="H447" s="19">
        <f>'Data cleaning and validation(3)'!H435</f>
        <v>98733</v>
      </c>
      <c r="I447" s="8" t="str">
        <f>'Data cleaning and validation(3)'!I435</f>
        <v>Payment Adjustment Coordinator</v>
      </c>
      <c r="J447" s="8" t="str">
        <f>'Data cleaning and validation(3)'!J435</f>
        <v>Southwest</v>
      </c>
      <c r="K447" s="8" t="str">
        <f>'Data cleaning and validation(3)'!K435</f>
        <v>USA</v>
      </c>
      <c r="L447" s="8" t="str">
        <f>'Data cleaning and validation(3)'!L435</f>
        <v>Electronic Equipment</v>
      </c>
      <c r="M447" s="8" t="str">
        <f>'Data cleaning and validation(3)'!M435</f>
        <v>Active</v>
      </c>
      <c r="N447" s="17">
        <f>'Data cleaning and validation(3)'!N435</f>
        <v>1184796</v>
      </c>
      <c r="O447" s="18">
        <f>'Data cleaning and validation(3)'!O435</f>
        <v>9873.3000000000011</v>
      </c>
    </row>
    <row r="448" spans="1:15" x14ac:dyDescent="0.35">
      <c r="A448" s="8">
        <f>'Data cleaning and validation(3)'!A436</f>
        <v>435</v>
      </c>
      <c r="B448" s="8" t="str">
        <f>'Data cleaning and validation(3)'!B436</f>
        <v>Ellis</v>
      </c>
      <c r="C448" s="8" t="str">
        <f>'Data cleaning and validation(3)'!C436</f>
        <v>kellisc2@cafepress.com</v>
      </c>
      <c r="D448" s="8" t="str">
        <f>'Data cleaning and validation(3)'!D436</f>
        <v>F</v>
      </c>
      <c r="E448" s="8" t="str">
        <f>'Data cleaning and validation(3)'!E436</f>
        <v>Health</v>
      </c>
      <c r="F448" s="15">
        <f>'Data cleaning and validation(3)'!F436</f>
        <v>44431</v>
      </c>
      <c r="G448" s="8">
        <f>'Data cleaning and validation(3)'!G436</f>
        <v>13</v>
      </c>
      <c r="H448" s="19">
        <f>'Data cleaning and validation(3)'!H436</f>
        <v>139775</v>
      </c>
      <c r="I448" s="8" t="str">
        <f>'Data cleaning and validation(3)'!I436</f>
        <v>Chemical Engineer</v>
      </c>
      <c r="J448" s="8" t="str">
        <f>'Data cleaning and validation(3)'!J436</f>
        <v>Northeast</v>
      </c>
      <c r="K448" s="8" t="str">
        <f>'Data cleaning and validation(3)'!K436</f>
        <v>USA</v>
      </c>
      <c r="L448" s="8" t="str">
        <f>'Data cleaning and validation(3)'!L436</f>
        <v>Domestic</v>
      </c>
      <c r="M448" s="8" t="str">
        <f>'Data cleaning and validation(3)'!M436</f>
        <v>Active</v>
      </c>
      <c r="N448" s="17">
        <f>'Data cleaning and validation(3)'!N436</f>
        <v>1677300</v>
      </c>
      <c r="O448" s="18">
        <f>'Data cleaning and validation(3)'!O436</f>
        <v>13977.5</v>
      </c>
    </row>
    <row r="449" spans="1:15" x14ac:dyDescent="0.35">
      <c r="A449" s="8">
        <f>'Data cleaning and validation(3)'!A437</f>
        <v>436</v>
      </c>
      <c r="B449" s="8" t="str">
        <f>'Data cleaning and validation(3)'!B437</f>
        <v>Bishop</v>
      </c>
      <c r="C449" s="8" t="str">
        <f>'Data cleaning and validation(3)'!C437</f>
        <v>abishopc3@e-recht24.de</v>
      </c>
      <c r="D449" s="8" t="str">
        <f>'Data cleaning and validation(3)'!D437</f>
        <v>F</v>
      </c>
      <c r="E449" s="8" t="str">
        <f>'Data cleaning and validation(3)'!E437</f>
        <v>Jewelery</v>
      </c>
      <c r="F449" s="15">
        <f>'Data cleaning and validation(3)'!F437</f>
        <v>38482</v>
      </c>
      <c r="G449" s="8">
        <f>'Data cleaning and validation(3)'!G437</f>
        <v>16</v>
      </c>
      <c r="H449" s="19">
        <f>'Data cleaning and validation(3)'!H437</f>
        <v>69559</v>
      </c>
      <c r="I449" s="8" t="str">
        <f>'Data cleaning and validation(3)'!I437</f>
        <v>Programmer Analyst III</v>
      </c>
      <c r="J449" s="8" t="str">
        <f>'Data cleaning and validation(3)'!J437</f>
        <v>Northwest</v>
      </c>
      <c r="K449" s="8" t="str">
        <f>'Data cleaning and validation(3)'!K437</f>
        <v>USA</v>
      </c>
      <c r="L449" s="8" t="str">
        <f>'Data cleaning and validation(3)'!L437</f>
        <v>Fashion</v>
      </c>
      <c r="M449" s="8" t="str">
        <f>'Data cleaning and validation(3)'!M437</f>
        <v>Active</v>
      </c>
      <c r="N449" s="17">
        <f>'Data cleaning and validation(3)'!N437</f>
        <v>834708</v>
      </c>
      <c r="O449" s="18">
        <f>'Data cleaning and validation(3)'!O437</f>
        <v>6955.9000000000005</v>
      </c>
    </row>
    <row r="450" spans="1:15" x14ac:dyDescent="0.35">
      <c r="A450" s="8">
        <f>'Data cleaning and validation(3)'!A438</f>
        <v>437</v>
      </c>
      <c r="B450" s="8" t="str">
        <f>'Data cleaning and validation(3)'!B438</f>
        <v>Roberts</v>
      </c>
      <c r="C450" s="8" t="str">
        <f>'Data cleaning and validation(3)'!C438</f>
        <v>arobertsc4@businessweek.com</v>
      </c>
      <c r="D450" s="8" t="str">
        <f>'Data cleaning and validation(3)'!D438</f>
        <v>M</v>
      </c>
      <c r="E450" s="8" t="str">
        <f>'Data cleaning and validation(3)'!E438</f>
        <v>Movies</v>
      </c>
      <c r="F450" s="15">
        <f>'Data cleaning and validation(3)'!F438</f>
        <v>39273</v>
      </c>
      <c r="G450" s="8">
        <f>'Data cleaning and validation(3)'!G438</f>
        <v>14</v>
      </c>
      <c r="H450" s="19">
        <f>'Data cleaning and validation(3)'!H438</f>
        <v>48934</v>
      </c>
      <c r="I450" s="8" t="str">
        <f>'Data cleaning and validation(3)'!I438</f>
        <v>Electrical Engineer</v>
      </c>
      <c r="J450" s="8" t="str">
        <f>'Data cleaning and validation(3)'!J438</f>
        <v>Quebec</v>
      </c>
      <c r="K450" s="8" t="str">
        <f>'Data cleaning and validation(3)'!K438</f>
        <v>Canada</v>
      </c>
      <c r="L450" s="8" t="str">
        <f>'Data cleaning and validation(3)'!L438</f>
        <v>Entertainment</v>
      </c>
      <c r="M450" s="8" t="str">
        <f>'Data cleaning and validation(3)'!M438</f>
        <v>Active</v>
      </c>
      <c r="N450" s="17">
        <f>'Data cleaning and validation(3)'!N438</f>
        <v>587208</v>
      </c>
      <c r="O450" s="18">
        <f>'Data cleaning and validation(3)'!O438</f>
        <v>4893.4000000000005</v>
      </c>
    </row>
    <row r="451" spans="1:15" x14ac:dyDescent="0.35">
      <c r="A451" s="8">
        <f>'Data cleaning and validation(3)'!A439</f>
        <v>438</v>
      </c>
      <c r="B451" s="8" t="str">
        <f>'Data cleaning and validation(3)'!B439</f>
        <v>Moreno</v>
      </c>
      <c r="C451" s="8" t="str">
        <f>'Data cleaning and validation(3)'!C439</f>
        <v>bmorenoc5@addtoany.com</v>
      </c>
      <c r="D451" s="8" t="str">
        <f>'Data cleaning and validation(3)'!D439</f>
        <v>M</v>
      </c>
      <c r="E451" s="8" t="str">
        <f>'Data cleaning and validation(3)'!E439</f>
        <v>Grocery</v>
      </c>
      <c r="F451" s="15">
        <f>'Data cleaning and validation(3)'!F439</f>
        <v>41754</v>
      </c>
      <c r="G451" s="8">
        <f>'Data cleaning and validation(3)'!G439</f>
        <v>7</v>
      </c>
      <c r="H451" s="19">
        <f>'Data cleaning and validation(3)'!H439</f>
        <v>79980</v>
      </c>
      <c r="I451" s="8" t="str">
        <f>'Data cleaning and validation(3)'!I439</f>
        <v>Recruiter</v>
      </c>
      <c r="J451" s="8" t="str">
        <f>'Data cleaning and validation(3)'!J439</f>
        <v>British Columbia</v>
      </c>
      <c r="K451" s="8" t="str">
        <f>'Data cleaning and validation(3)'!K439</f>
        <v>Canada</v>
      </c>
      <c r="L451" s="8" t="str">
        <f>'Data cleaning and validation(3)'!L439</f>
        <v>Domestic</v>
      </c>
      <c r="M451" s="8" t="str">
        <f>'Data cleaning and validation(3)'!M439</f>
        <v>Active</v>
      </c>
      <c r="N451" s="17">
        <f>'Data cleaning and validation(3)'!N439</f>
        <v>959760</v>
      </c>
      <c r="O451" s="18">
        <f>'Data cleaning and validation(3)'!O439</f>
        <v>7998</v>
      </c>
    </row>
    <row r="452" spans="1:15" x14ac:dyDescent="0.35">
      <c r="A452" s="8">
        <f>'Data cleaning and validation(3)'!A440</f>
        <v>439</v>
      </c>
      <c r="B452" s="8" t="str">
        <f>'Data cleaning and validation(3)'!B440</f>
        <v>Boyd</v>
      </c>
      <c r="C452" s="8" t="str">
        <f>'Data cleaning and validation(3)'!C440</f>
        <v>eboydc6@unc.edu</v>
      </c>
      <c r="D452" s="8" t="str">
        <f>'Data cleaning and validation(3)'!D440</f>
        <v>M</v>
      </c>
      <c r="E452" s="8" t="str">
        <f>'Data cleaning and validation(3)'!E440</f>
        <v>Clothing</v>
      </c>
      <c r="F452" s="15">
        <f>'Data cleaning and validation(3)'!F440</f>
        <v>37347</v>
      </c>
      <c r="G452" s="8">
        <f>'Data cleaning and validation(3)'!G440</f>
        <v>19</v>
      </c>
      <c r="H452" s="19">
        <f>'Data cleaning and validation(3)'!H440</f>
        <v>108854</v>
      </c>
      <c r="I452" s="8" t="str">
        <f>'Data cleaning and validation(3)'!I440</f>
        <v>Senior Editor</v>
      </c>
      <c r="J452" s="8" t="str">
        <f>'Data cleaning and validation(3)'!J440</f>
        <v>Southwest</v>
      </c>
      <c r="K452" s="8" t="str">
        <f>'Data cleaning and validation(3)'!K440</f>
        <v>USA</v>
      </c>
      <c r="L452" s="8" t="str">
        <f>'Data cleaning and validation(3)'!L440</f>
        <v>Domestic</v>
      </c>
      <c r="M452" s="8" t="str">
        <f>'Data cleaning and validation(3)'!M440</f>
        <v>Active</v>
      </c>
      <c r="N452" s="17">
        <f>'Data cleaning and validation(3)'!N440</f>
        <v>1306248</v>
      </c>
      <c r="O452" s="18">
        <f>'Data cleaning and validation(3)'!O440</f>
        <v>10885.400000000001</v>
      </c>
    </row>
    <row r="453" spans="1:15" x14ac:dyDescent="0.35">
      <c r="A453" s="8">
        <f>'Data cleaning and validation(3)'!A441</f>
        <v>440</v>
      </c>
      <c r="B453" s="8" t="str">
        <f>'Data cleaning and validation(3)'!B441</f>
        <v>Murphy</v>
      </c>
      <c r="C453" s="8" t="str">
        <f>'Data cleaning and validation(3)'!C441</f>
        <v>amurphyc7@wikia.com</v>
      </c>
      <c r="D453" s="8" t="str">
        <f>'Data cleaning and validation(3)'!D441</f>
        <v>M</v>
      </c>
      <c r="E453" s="8" t="str">
        <f>'Data cleaning and validation(3)'!E441</f>
        <v>Books</v>
      </c>
      <c r="F453" s="15">
        <f>'Data cleaning and validation(3)'!F441</f>
        <v>39105</v>
      </c>
      <c r="G453" s="8">
        <f>'Data cleaning and validation(3)'!G441</f>
        <v>14</v>
      </c>
      <c r="H453" s="19">
        <f>'Data cleaning and validation(3)'!H441</f>
        <v>128105</v>
      </c>
      <c r="I453" s="8" t="str">
        <f>'Data cleaning and validation(3)'!I441</f>
        <v>Help Desk Technician</v>
      </c>
      <c r="J453" s="8" t="str">
        <f>'Data cleaning and validation(3)'!J441</f>
        <v>Nova Scotia</v>
      </c>
      <c r="K453" s="8" t="str">
        <f>'Data cleaning and validation(3)'!K441</f>
        <v>Canada</v>
      </c>
      <c r="L453" s="8" t="str">
        <f>'Data cleaning and validation(3)'!L441</f>
        <v>Library</v>
      </c>
      <c r="M453" s="8" t="str">
        <f>'Data cleaning and validation(3)'!M441</f>
        <v>Active</v>
      </c>
      <c r="N453" s="17">
        <f>'Data cleaning and validation(3)'!N441</f>
        <v>1537260</v>
      </c>
      <c r="O453" s="18">
        <f>'Data cleaning and validation(3)'!O441</f>
        <v>12810.5</v>
      </c>
    </row>
    <row r="454" spans="1:15" x14ac:dyDescent="0.35">
      <c r="A454" s="8">
        <f>'Data cleaning and validation(3)'!A442</f>
        <v>441</v>
      </c>
      <c r="B454" s="8" t="str">
        <f>'Data cleaning and validation(3)'!B442</f>
        <v>Bailey</v>
      </c>
      <c r="C454" s="8" t="str">
        <f>'Data cleaning and validation(3)'!C442</f>
        <v>jbaileyc8@newsvine.com</v>
      </c>
      <c r="D454" s="8" t="str">
        <f>'Data cleaning and validation(3)'!D442</f>
        <v>M</v>
      </c>
      <c r="E454" s="8" t="str">
        <f>'Data cleaning and validation(3)'!E442</f>
        <v>Books</v>
      </c>
      <c r="F454" s="15">
        <f>'Data cleaning and validation(3)'!F442</f>
        <v>39609</v>
      </c>
      <c r="G454" s="8">
        <f>'Data cleaning and validation(3)'!G442</f>
        <v>13</v>
      </c>
      <c r="H454" s="19">
        <f>'Data cleaning and validation(3)'!H442</f>
        <v>71676</v>
      </c>
      <c r="I454" s="8" t="str">
        <f>'Data cleaning and validation(3)'!I442</f>
        <v>GIS Technical Architect</v>
      </c>
      <c r="J454" s="8" t="str">
        <f>'Data cleaning and validation(3)'!J442</f>
        <v>Southwest</v>
      </c>
      <c r="K454" s="8" t="str">
        <f>'Data cleaning and validation(3)'!K442</f>
        <v>USA</v>
      </c>
      <c r="L454" s="8" t="str">
        <f>'Data cleaning and validation(3)'!L442</f>
        <v>Library</v>
      </c>
      <c r="M454" s="8" t="str">
        <f>'Data cleaning and validation(3)'!M442</f>
        <v>Active</v>
      </c>
      <c r="N454" s="17">
        <f>'Data cleaning and validation(3)'!N442</f>
        <v>860112</v>
      </c>
      <c r="O454" s="18">
        <f>'Data cleaning and validation(3)'!O442</f>
        <v>7167.6</v>
      </c>
    </row>
    <row r="455" spans="1:15" x14ac:dyDescent="0.35">
      <c r="A455" s="8">
        <f>'Data cleaning and validation(3)'!A443</f>
        <v>442</v>
      </c>
      <c r="B455" s="8" t="str">
        <f>'Data cleaning and validation(3)'!B443</f>
        <v>Bryant</v>
      </c>
      <c r="C455" s="8" t="str">
        <f>'Data cleaning and validation(3)'!C443</f>
        <v>jbryantc9@zdnet.com</v>
      </c>
      <c r="D455" s="8" t="str">
        <f>'Data cleaning and validation(3)'!D443</f>
        <v>F</v>
      </c>
      <c r="E455" s="8" t="str">
        <f>'Data cleaning and validation(3)'!E443</f>
        <v>Music</v>
      </c>
      <c r="F455" s="15">
        <f>'Data cleaning and validation(3)'!F443</f>
        <v>44085</v>
      </c>
      <c r="G455" s="8">
        <f>'Data cleaning and validation(3)'!G443</f>
        <v>14</v>
      </c>
      <c r="H455" s="19">
        <f>'Data cleaning and validation(3)'!H443</f>
        <v>139347</v>
      </c>
      <c r="I455" s="8" t="str">
        <f>'Data cleaning and validation(3)'!I443</f>
        <v>Data Coordiator</v>
      </c>
      <c r="J455" s="8" t="str">
        <f>'Data cleaning and validation(3)'!J443</f>
        <v>Northeast</v>
      </c>
      <c r="K455" s="8" t="str">
        <f>'Data cleaning and validation(3)'!K443</f>
        <v>USA</v>
      </c>
      <c r="L455" s="8" t="str">
        <f>'Data cleaning and validation(3)'!L443</f>
        <v>Entertainment</v>
      </c>
      <c r="M455" s="8" t="str">
        <f>'Data cleaning and validation(3)'!M443</f>
        <v>Active</v>
      </c>
      <c r="N455" s="17">
        <f>'Data cleaning and validation(3)'!N443</f>
        <v>1672164</v>
      </c>
      <c r="O455" s="18">
        <f>'Data cleaning and validation(3)'!O443</f>
        <v>13934.7</v>
      </c>
    </row>
    <row r="456" spans="1:15" x14ac:dyDescent="0.35">
      <c r="A456" s="8">
        <f>'Data cleaning and validation(3)'!A444</f>
        <v>443</v>
      </c>
      <c r="B456" s="8" t="str">
        <f>'Data cleaning and validation(3)'!B444</f>
        <v>Powell</v>
      </c>
      <c r="C456" s="8" t="str">
        <f>'Data cleaning and validation(3)'!C444</f>
        <v>cpowellca@samsung.com</v>
      </c>
      <c r="D456" s="8" t="str">
        <f>'Data cleaning and validation(3)'!D444</f>
        <v>F</v>
      </c>
      <c r="E456" s="8" t="str">
        <f>'Data cleaning and validation(3)'!E444</f>
        <v>Industrial</v>
      </c>
      <c r="F456" s="15">
        <f>'Data cleaning and validation(3)'!F444</f>
        <v>37315</v>
      </c>
      <c r="G456" s="8">
        <f>'Data cleaning and validation(3)'!G444</f>
        <v>19</v>
      </c>
      <c r="H456" s="19">
        <f>'Data cleaning and validation(3)'!H444</f>
        <v>80491</v>
      </c>
      <c r="I456" s="8" t="str">
        <f>'Data cleaning and validation(3)'!I444</f>
        <v>GIS Technical Architect</v>
      </c>
      <c r="J456" s="8" t="str">
        <f>'Data cleaning and validation(3)'!J444</f>
        <v>Nova Scotia</v>
      </c>
      <c r="K456" s="8" t="str">
        <f>'Data cleaning and validation(3)'!K444</f>
        <v>Canada</v>
      </c>
      <c r="L456" s="8" t="str">
        <f>'Data cleaning and validation(3)'!L444</f>
        <v>Auto &amp; Hardware</v>
      </c>
      <c r="M456" s="8" t="str">
        <f>'Data cleaning and validation(3)'!M444</f>
        <v>Active</v>
      </c>
      <c r="N456" s="17">
        <f>'Data cleaning and validation(3)'!N444</f>
        <v>965892</v>
      </c>
      <c r="O456" s="18">
        <f>'Data cleaning and validation(3)'!O444</f>
        <v>8049.1</v>
      </c>
    </row>
    <row r="457" spans="1:15" x14ac:dyDescent="0.35">
      <c r="A457" s="8">
        <f>'Data cleaning and validation(3)'!A445</f>
        <v>444</v>
      </c>
      <c r="B457" s="8" t="str">
        <f>'Data cleaning and validation(3)'!B445</f>
        <v>Ferguson</v>
      </c>
      <c r="C457" s="8" t="str">
        <f>'Data cleaning and validation(3)'!C445</f>
        <v>jfergusoncb@sphinn.com</v>
      </c>
      <c r="D457" s="8" t="str">
        <f>'Data cleaning and validation(3)'!D445</f>
        <v>F</v>
      </c>
      <c r="E457" s="8" t="str">
        <f>'Data cleaning and validation(3)'!E445</f>
        <v>Tools</v>
      </c>
      <c r="F457" s="15">
        <f>'Data cleaning and validation(3)'!F445</f>
        <v>45290</v>
      </c>
      <c r="G457" s="8">
        <f>'Data cleaning and validation(3)'!G445</f>
        <v>11</v>
      </c>
      <c r="H457" s="19">
        <f>'Data cleaning and validation(3)'!H445</f>
        <v>119385</v>
      </c>
      <c r="I457" s="8" t="str">
        <f>'Data cleaning and validation(3)'!I445</f>
        <v>Assistant Media Planner</v>
      </c>
      <c r="J457" s="8" t="str">
        <f>'Data cleaning and validation(3)'!J445</f>
        <v>Southwest</v>
      </c>
      <c r="K457" s="8" t="str">
        <f>'Data cleaning and validation(3)'!K445</f>
        <v>USA</v>
      </c>
      <c r="L457" s="8" t="str">
        <f>'Data cleaning and validation(3)'!L445</f>
        <v>Auto &amp; Hardware</v>
      </c>
      <c r="M457" s="8" t="str">
        <f>'Data cleaning and validation(3)'!M445</f>
        <v>Active</v>
      </c>
      <c r="N457" s="17">
        <f>'Data cleaning and validation(3)'!N445</f>
        <v>1432620</v>
      </c>
      <c r="O457" s="18">
        <f>'Data cleaning and validation(3)'!O445</f>
        <v>11938.5</v>
      </c>
    </row>
    <row r="458" spans="1:15" x14ac:dyDescent="0.35">
      <c r="A458" s="8">
        <f>'Data cleaning and validation(3)'!A446</f>
        <v>445</v>
      </c>
      <c r="B458" s="8" t="str">
        <f>'Data cleaning and validation(3)'!B446</f>
        <v>Greene</v>
      </c>
      <c r="C458" s="8" t="str">
        <f>'Data cleaning and validation(3)'!C446</f>
        <v>dgreenecc@reuters.com</v>
      </c>
      <c r="D458" s="8" t="str">
        <f>'Data cleaning and validation(3)'!D446</f>
        <v>M</v>
      </c>
      <c r="E458" s="8" t="str">
        <f>'Data cleaning and validation(3)'!E446</f>
        <v>Toys</v>
      </c>
      <c r="F458" s="15">
        <f>'Data cleaning and validation(3)'!F446</f>
        <v>37338</v>
      </c>
      <c r="G458" s="8">
        <f>'Data cleaning and validation(3)'!G446</f>
        <v>19</v>
      </c>
      <c r="H458" s="19">
        <f>'Data cleaning and validation(3)'!H446</f>
        <v>149835</v>
      </c>
      <c r="I458" s="8" t="str">
        <f>'Data cleaning and validation(3)'!I446</f>
        <v>Geologist III</v>
      </c>
      <c r="J458" s="8" t="str">
        <f>'Data cleaning and validation(3)'!J446</f>
        <v>Northeast</v>
      </c>
      <c r="K458" s="8" t="str">
        <f>'Data cleaning and validation(3)'!K446</f>
        <v>USA</v>
      </c>
      <c r="L458" s="8" t="str">
        <f>'Data cleaning and validation(3)'!L446</f>
        <v>Games &amp; Sports</v>
      </c>
      <c r="M458" s="8" t="str">
        <f>'Data cleaning and validation(3)'!M446</f>
        <v>Active</v>
      </c>
      <c r="N458" s="17">
        <f>'Data cleaning and validation(3)'!N446</f>
        <v>1798020</v>
      </c>
      <c r="O458" s="18">
        <f>'Data cleaning and validation(3)'!O446</f>
        <v>14983.5</v>
      </c>
    </row>
    <row r="459" spans="1:15" x14ac:dyDescent="0.35">
      <c r="A459" s="8">
        <f>'Data cleaning and validation(3)'!A447</f>
        <v>446</v>
      </c>
      <c r="B459" s="8" t="str">
        <f>'Data cleaning and validation(3)'!B447</f>
        <v>Kennedy</v>
      </c>
      <c r="C459" s="8" t="str">
        <f>'Data cleaning and validation(3)'!C447</f>
        <v>pkennedycd@google.cn</v>
      </c>
      <c r="D459" s="8" t="str">
        <f>'Data cleaning and validation(3)'!D447</f>
        <v>F</v>
      </c>
      <c r="E459" s="8" t="str">
        <f>'Data cleaning and validation(3)'!E447</f>
        <v>Health</v>
      </c>
      <c r="F459" s="15">
        <f>'Data cleaning and validation(3)'!F447</f>
        <v>44532</v>
      </c>
      <c r="G459" s="8">
        <f>'Data cleaning and validation(3)'!G447</f>
        <v>13</v>
      </c>
      <c r="H459" s="19">
        <f>'Data cleaning and validation(3)'!H447</f>
        <v>80137</v>
      </c>
      <c r="I459" s="8" t="str">
        <f>'Data cleaning and validation(3)'!I447</f>
        <v>Business Systems Development Analyst</v>
      </c>
      <c r="J459" s="8" t="str">
        <f>'Data cleaning and validation(3)'!J447</f>
        <v>Southeast</v>
      </c>
      <c r="K459" s="8" t="str">
        <f>'Data cleaning and validation(3)'!K447</f>
        <v>USA</v>
      </c>
      <c r="L459" s="8" t="str">
        <f>'Data cleaning and validation(3)'!L447</f>
        <v>Domestic</v>
      </c>
      <c r="M459" s="8" t="str">
        <f>'Data cleaning and validation(3)'!M447</f>
        <v>Active</v>
      </c>
      <c r="N459" s="17">
        <f>'Data cleaning and validation(3)'!N447</f>
        <v>961644</v>
      </c>
      <c r="O459" s="18">
        <f>'Data cleaning and validation(3)'!O447</f>
        <v>8013.7000000000007</v>
      </c>
    </row>
    <row r="460" spans="1:15" x14ac:dyDescent="0.35">
      <c r="A460" s="8">
        <f>'Data cleaning and validation(3)'!A448</f>
        <v>447</v>
      </c>
      <c r="B460" s="8" t="str">
        <f>'Data cleaning and validation(3)'!B448</f>
        <v>Brooks</v>
      </c>
      <c r="C460" s="8" t="str">
        <f>'Data cleaning and validation(3)'!C448</f>
        <v>cbrooksce@washingtonpost.com</v>
      </c>
      <c r="D460" s="8" t="str">
        <f>'Data cleaning and validation(3)'!D448</f>
        <v>M</v>
      </c>
      <c r="E460" s="8" t="str">
        <f>'Data cleaning and validation(3)'!E448</f>
        <v>Home</v>
      </c>
      <c r="F460" s="15">
        <f>'Data cleaning and validation(3)'!F448</f>
        <v>36763</v>
      </c>
      <c r="G460" s="8">
        <f>'Data cleaning and validation(3)'!G448</f>
        <v>21</v>
      </c>
      <c r="H460" s="19">
        <f>'Data cleaning and validation(3)'!H448</f>
        <v>79724</v>
      </c>
      <c r="I460" s="8" t="str">
        <f>'Data cleaning and validation(3)'!I448</f>
        <v>Developer IV</v>
      </c>
      <c r="J460" s="8" t="str">
        <f>'Data cleaning and validation(3)'!J448</f>
        <v>Nova Scotia</v>
      </c>
      <c r="K460" s="8" t="str">
        <f>'Data cleaning and validation(3)'!K448</f>
        <v>Canada</v>
      </c>
      <c r="L460" s="8" t="str">
        <f>'Data cleaning and validation(3)'!L448</f>
        <v>Domestic</v>
      </c>
      <c r="M460" s="8" t="str">
        <f>'Data cleaning and validation(3)'!M448</f>
        <v>Active</v>
      </c>
      <c r="N460" s="17">
        <f>'Data cleaning and validation(3)'!N448</f>
        <v>956688</v>
      </c>
      <c r="O460" s="18">
        <f>'Data cleaning and validation(3)'!O448</f>
        <v>7972.4000000000005</v>
      </c>
    </row>
    <row r="461" spans="1:15" x14ac:dyDescent="0.35">
      <c r="A461" s="8">
        <f>'Data cleaning and validation(3)'!A449</f>
        <v>448</v>
      </c>
      <c r="B461" s="8" t="str">
        <f>'Data cleaning and validation(3)'!B449</f>
        <v>Brooks</v>
      </c>
      <c r="C461" s="8" t="str">
        <f>'Data cleaning and validation(3)'!C449</f>
        <v>jbrookscf@ucla.edu</v>
      </c>
      <c r="D461" s="8" t="str">
        <f>'Data cleaning and validation(3)'!D449</f>
        <v>M</v>
      </c>
      <c r="E461" s="8" t="str">
        <f>'Data cleaning and validation(3)'!E449</f>
        <v>Books</v>
      </c>
      <c r="F461" s="15">
        <f>'Data cleaning and validation(3)'!F449</f>
        <v>39989</v>
      </c>
      <c r="G461" s="8">
        <f>'Data cleaning and validation(3)'!G449</f>
        <v>12</v>
      </c>
      <c r="H461" s="19">
        <f>'Data cleaning and validation(3)'!H449</f>
        <v>102458</v>
      </c>
      <c r="I461" s="8" t="str">
        <f>'Data cleaning and validation(3)'!I449</f>
        <v>Occupational Therapist</v>
      </c>
      <c r="J461" s="8" t="str">
        <f>'Data cleaning and validation(3)'!J449</f>
        <v>Northeast</v>
      </c>
      <c r="K461" s="8" t="str">
        <f>'Data cleaning and validation(3)'!K449</f>
        <v>USA</v>
      </c>
      <c r="L461" s="8" t="str">
        <f>'Data cleaning and validation(3)'!L449</f>
        <v>Library</v>
      </c>
      <c r="M461" s="8" t="str">
        <f>'Data cleaning and validation(3)'!M449</f>
        <v>Active</v>
      </c>
      <c r="N461" s="17">
        <f>'Data cleaning and validation(3)'!N449</f>
        <v>1229496</v>
      </c>
      <c r="O461" s="18">
        <f>'Data cleaning and validation(3)'!O449</f>
        <v>10245.800000000001</v>
      </c>
    </row>
    <row r="462" spans="1:15" x14ac:dyDescent="0.35">
      <c r="A462" s="8">
        <f>'Data cleaning and validation(3)'!A450</f>
        <v>449</v>
      </c>
      <c r="B462" s="8" t="str">
        <f>'Data cleaning and validation(3)'!B450</f>
        <v>Gray</v>
      </c>
      <c r="C462" s="8" t="str">
        <f>'Data cleaning and validation(3)'!C450</f>
        <v>tgraycg@fotki.com</v>
      </c>
      <c r="D462" s="8" t="str">
        <f>'Data cleaning and validation(3)'!D450</f>
        <v>F</v>
      </c>
      <c r="E462" s="8" t="str">
        <f>'Data cleaning and validation(3)'!E450</f>
        <v>Clothing</v>
      </c>
      <c r="F462" s="15">
        <f>'Data cleaning and validation(3)'!F450</f>
        <v>46497</v>
      </c>
      <c r="G462" s="8">
        <f>'Data cleaning and validation(3)'!G450</f>
        <v>7</v>
      </c>
      <c r="H462" s="19">
        <f>'Data cleaning and validation(3)'!H450</f>
        <v>134205</v>
      </c>
      <c r="I462" s="8" t="str">
        <f>'Data cleaning and validation(3)'!I450</f>
        <v>Biostatistician I</v>
      </c>
      <c r="J462" s="8" t="str">
        <f>'Data cleaning and validation(3)'!J450</f>
        <v>Southwest</v>
      </c>
      <c r="K462" s="8" t="str">
        <f>'Data cleaning and validation(3)'!K450</f>
        <v>USA</v>
      </c>
      <c r="L462" s="8" t="str">
        <f>'Data cleaning and validation(3)'!L450</f>
        <v>Domestic</v>
      </c>
      <c r="M462" s="8" t="str">
        <f>'Data cleaning and validation(3)'!M450</f>
        <v>Active</v>
      </c>
      <c r="N462" s="17">
        <f>'Data cleaning and validation(3)'!N450</f>
        <v>1610460</v>
      </c>
      <c r="O462" s="18">
        <f>'Data cleaning and validation(3)'!O450</f>
        <v>13420.5</v>
      </c>
    </row>
    <row r="463" spans="1:15" x14ac:dyDescent="0.35">
      <c r="A463" s="8">
        <f>'Data cleaning and validation(3)'!A451</f>
        <v>450</v>
      </c>
      <c r="B463" s="8" t="str">
        <f>'Data cleaning and validation(3)'!B451</f>
        <v>Morgan</v>
      </c>
      <c r="C463" s="8" t="str">
        <f>'Data cleaning and validation(3)'!C451</f>
        <v>kmorganch@reddit.com</v>
      </c>
      <c r="D463" s="8" t="str">
        <f>'Data cleaning and validation(3)'!D451</f>
        <v>F</v>
      </c>
      <c r="E463" s="8" t="str">
        <f>'Data cleaning and validation(3)'!E451</f>
        <v>Beauty</v>
      </c>
      <c r="F463" s="15">
        <f>'Data cleaning and validation(3)'!F451</f>
        <v>38128</v>
      </c>
      <c r="G463" s="8">
        <f>'Data cleaning and validation(3)'!G451</f>
        <v>17</v>
      </c>
      <c r="H463" s="19">
        <f>'Data cleaning and validation(3)'!H451</f>
        <v>76052</v>
      </c>
      <c r="I463" s="8" t="str">
        <f>'Data cleaning and validation(3)'!I451</f>
        <v>Technical Writer</v>
      </c>
      <c r="J463" s="8" t="str">
        <f>'Data cleaning and validation(3)'!J451</f>
        <v>British Columbia</v>
      </c>
      <c r="K463" s="8" t="str">
        <f>'Data cleaning and validation(3)'!K451</f>
        <v>Canada</v>
      </c>
      <c r="L463" s="8" t="str">
        <f>'Data cleaning and validation(3)'!L451</f>
        <v>Domestic</v>
      </c>
      <c r="M463" s="8" t="str">
        <f>'Data cleaning and validation(3)'!M451</f>
        <v>Active</v>
      </c>
      <c r="N463" s="17">
        <f>'Data cleaning and validation(3)'!N451</f>
        <v>912624</v>
      </c>
      <c r="O463" s="18">
        <f>'Data cleaning and validation(3)'!O451</f>
        <v>7605.2000000000007</v>
      </c>
    </row>
    <row r="464" spans="1:15" x14ac:dyDescent="0.35">
      <c r="A464" s="8">
        <f>'Data cleaning and validation(3)'!A452</f>
        <v>451</v>
      </c>
      <c r="B464" s="8" t="str">
        <f>'Data cleaning and validation(3)'!B452</f>
        <v>Robinson</v>
      </c>
      <c r="C464" s="8" t="str">
        <f>'Data cleaning and validation(3)'!C452</f>
        <v>arobinsonci@mapy.cz</v>
      </c>
      <c r="D464" s="8" t="str">
        <f>'Data cleaning and validation(3)'!D452</f>
        <v>F</v>
      </c>
      <c r="E464" s="8" t="str">
        <f>'Data cleaning and validation(3)'!E452</f>
        <v>Music</v>
      </c>
      <c r="F464" s="15">
        <f>'Data cleaning and validation(3)'!F452</f>
        <v>38308</v>
      </c>
      <c r="G464" s="8">
        <f>'Data cleaning and validation(3)'!G452</f>
        <v>17</v>
      </c>
      <c r="H464" s="19">
        <f>'Data cleaning and validation(3)'!H452</f>
        <v>144608</v>
      </c>
      <c r="I464" s="8" t="str">
        <f>'Data cleaning and validation(3)'!I452</f>
        <v>Research Associate</v>
      </c>
      <c r="J464" s="8" t="str">
        <f>'Data cleaning and validation(3)'!J452</f>
        <v>Southwest</v>
      </c>
      <c r="K464" s="8" t="str">
        <f>'Data cleaning and validation(3)'!K452</f>
        <v>USA</v>
      </c>
      <c r="L464" s="8" t="str">
        <f>'Data cleaning and validation(3)'!L452</f>
        <v>Entertainment</v>
      </c>
      <c r="M464" s="8" t="str">
        <f>'Data cleaning and validation(3)'!M452</f>
        <v>Active</v>
      </c>
      <c r="N464" s="17">
        <f>'Data cleaning and validation(3)'!N452</f>
        <v>1735296</v>
      </c>
      <c r="O464" s="18">
        <f>'Data cleaning and validation(3)'!O452</f>
        <v>14460.800000000001</v>
      </c>
    </row>
    <row r="465" spans="1:15" x14ac:dyDescent="0.35">
      <c r="A465" s="8">
        <f>'Data cleaning and validation(3)'!A453</f>
        <v>452</v>
      </c>
      <c r="B465" s="8" t="str">
        <f>'Data cleaning and validation(3)'!B453</f>
        <v>Kennedy</v>
      </c>
      <c r="C465" s="8" t="str">
        <f>'Data cleaning and validation(3)'!C453</f>
        <v>ckennedycj@boston.com</v>
      </c>
      <c r="D465" s="8" t="str">
        <f>'Data cleaning and validation(3)'!D453</f>
        <v>F</v>
      </c>
      <c r="E465" s="8" t="str">
        <f>'Data cleaning and validation(3)'!E453</f>
        <v>Toys</v>
      </c>
      <c r="F465" s="15">
        <f>'Data cleaning and validation(3)'!F453</f>
        <v>36656</v>
      </c>
      <c r="G465" s="8">
        <f>'Data cleaning and validation(3)'!G453</f>
        <v>21</v>
      </c>
      <c r="H465" s="19">
        <f>'Data cleaning and validation(3)'!H453</f>
        <v>111072</v>
      </c>
      <c r="I465" s="8" t="str">
        <f>'Data cleaning and validation(3)'!I453</f>
        <v>Senior Quality Engineer</v>
      </c>
      <c r="J465" s="8" t="str">
        <f>'Data cleaning and validation(3)'!J453</f>
        <v>Southwest</v>
      </c>
      <c r="K465" s="8" t="str">
        <f>'Data cleaning and validation(3)'!K453</f>
        <v>USA</v>
      </c>
      <c r="L465" s="8" t="str">
        <f>'Data cleaning and validation(3)'!L453</f>
        <v>Games &amp; Sports</v>
      </c>
      <c r="M465" s="8" t="str">
        <f>'Data cleaning and validation(3)'!M453</f>
        <v>Active</v>
      </c>
      <c r="N465" s="17">
        <f>'Data cleaning and validation(3)'!N453</f>
        <v>1332864</v>
      </c>
      <c r="O465" s="18">
        <f>'Data cleaning and validation(3)'!O453</f>
        <v>11107.2</v>
      </c>
    </row>
    <row r="466" spans="1:15" x14ac:dyDescent="0.35">
      <c r="A466" s="8">
        <f>'Data cleaning and validation(3)'!A454</f>
        <v>453</v>
      </c>
      <c r="B466" s="8" t="str">
        <f>'Data cleaning and validation(3)'!B454</f>
        <v>Anderson</v>
      </c>
      <c r="C466" s="8" t="str">
        <f>'Data cleaning and validation(3)'!C454</f>
        <v>aandersonck@whitehouse.gov</v>
      </c>
      <c r="D466" s="8" t="str">
        <f>'Data cleaning and validation(3)'!D454</f>
        <v>M</v>
      </c>
      <c r="E466" s="8" t="str">
        <f>'Data cleaning and validation(3)'!E454</f>
        <v>Automotive</v>
      </c>
      <c r="F466" s="15">
        <f>'Data cleaning and validation(3)'!F454</f>
        <v>40202</v>
      </c>
      <c r="G466" s="8">
        <f>'Data cleaning and validation(3)'!G454</f>
        <v>11</v>
      </c>
      <c r="H466" s="19">
        <f>'Data cleaning and validation(3)'!H454</f>
        <v>126485</v>
      </c>
      <c r="I466" s="8" t="str">
        <f>'Data cleaning and validation(3)'!I454</f>
        <v>Computer Systems Analyst I</v>
      </c>
      <c r="J466" s="8" t="str">
        <f>'Data cleaning and validation(3)'!J454</f>
        <v>Quebec</v>
      </c>
      <c r="K466" s="8" t="str">
        <f>'Data cleaning and validation(3)'!K454</f>
        <v>Canada</v>
      </c>
      <c r="L466" s="8" t="str">
        <f>'Data cleaning and validation(3)'!L454</f>
        <v>Auto &amp; Hardware</v>
      </c>
      <c r="M466" s="8" t="str">
        <f>'Data cleaning and validation(3)'!M454</f>
        <v>Active</v>
      </c>
      <c r="N466" s="17">
        <f>'Data cleaning and validation(3)'!N454</f>
        <v>1517820</v>
      </c>
      <c r="O466" s="18">
        <f>'Data cleaning and validation(3)'!O454</f>
        <v>12648.5</v>
      </c>
    </row>
    <row r="467" spans="1:15" x14ac:dyDescent="0.35">
      <c r="A467" s="8">
        <f>'Data cleaning and validation(3)'!A455</f>
        <v>454</v>
      </c>
      <c r="B467" s="8" t="str">
        <f>'Data cleaning and validation(3)'!B455</f>
        <v>Price</v>
      </c>
      <c r="C467" s="8" t="str">
        <f>'Data cleaning and validation(3)'!C455</f>
        <v>jpricecl@liveinternet.ru</v>
      </c>
      <c r="D467" s="8" t="str">
        <f>'Data cleaning and validation(3)'!D455</f>
        <v>F</v>
      </c>
      <c r="E467" s="8" t="str">
        <f>'Data cleaning and validation(3)'!E455</f>
        <v>Baby</v>
      </c>
      <c r="F467" s="15">
        <f>'Data cleaning and validation(3)'!F455</f>
        <v>38982</v>
      </c>
      <c r="G467" s="8">
        <f>'Data cleaning and validation(3)'!G455</f>
        <v>15</v>
      </c>
      <c r="H467" s="19">
        <f>'Data cleaning and validation(3)'!H455</f>
        <v>96388</v>
      </c>
      <c r="I467" s="8" t="str">
        <f>'Data cleaning and validation(3)'!I455</f>
        <v>Graphic Designer</v>
      </c>
      <c r="J467" s="8" t="str">
        <f>'Data cleaning and validation(3)'!J455</f>
        <v>Quebec</v>
      </c>
      <c r="K467" s="8" t="str">
        <f>'Data cleaning and validation(3)'!K455</f>
        <v>Canada</v>
      </c>
      <c r="L467" s="8" t="str">
        <f>'Data cleaning and validation(3)'!L455</f>
        <v>Domestic</v>
      </c>
      <c r="M467" s="8" t="str">
        <f>'Data cleaning and validation(3)'!M455</f>
        <v>Active</v>
      </c>
      <c r="N467" s="17">
        <f>'Data cleaning and validation(3)'!N455</f>
        <v>1156656</v>
      </c>
      <c r="O467" s="18">
        <f>'Data cleaning and validation(3)'!O455</f>
        <v>9638.8000000000011</v>
      </c>
    </row>
    <row r="468" spans="1:15" x14ac:dyDescent="0.35">
      <c r="A468" s="8">
        <f>'Data cleaning and validation(3)'!A456</f>
        <v>455</v>
      </c>
      <c r="B468" s="8" t="str">
        <f>'Data cleaning and validation(3)'!B456</f>
        <v>Hawkins</v>
      </c>
      <c r="C468" s="8" t="str">
        <f>'Data cleaning and validation(3)'!C456</f>
        <v>jhawkinscm@furl.net</v>
      </c>
      <c r="D468" s="8" t="str">
        <f>'Data cleaning and validation(3)'!D456</f>
        <v>F</v>
      </c>
      <c r="E468" s="8" t="str">
        <f>'Data cleaning and validation(3)'!E456</f>
        <v>Automotive</v>
      </c>
      <c r="F468" s="15">
        <f>'Data cleaning and validation(3)'!F456</f>
        <v>37420</v>
      </c>
      <c r="G468" s="8">
        <f>'Data cleaning and validation(3)'!G456</f>
        <v>19</v>
      </c>
      <c r="H468" s="19">
        <f>'Data cleaning and validation(3)'!H456</f>
        <v>115506</v>
      </c>
      <c r="I468" s="8" t="str">
        <f>'Data cleaning and validation(3)'!I456</f>
        <v>Product Engineer</v>
      </c>
      <c r="J468" s="8" t="str">
        <f>'Data cleaning and validation(3)'!J456</f>
        <v>Southeast</v>
      </c>
      <c r="K468" s="8" t="str">
        <f>'Data cleaning and validation(3)'!K456</f>
        <v>USA</v>
      </c>
      <c r="L468" s="8" t="str">
        <f>'Data cleaning and validation(3)'!L456</f>
        <v>Auto &amp; Hardware</v>
      </c>
      <c r="M468" s="8" t="str">
        <f>'Data cleaning and validation(3)'!M456</f>
        <v>Active</v>
      </c>
      <c r="N468" s="17">
        <f>'Data cleaning and validation(3)'!N456</f>
        <v>1386072</v>
      </c>
      <c r="O468" s="18">
        <f>'Data cleaning and validation(3)'!O456</f>
        <v>11550.6</v>
      </c>
    </row>
    <row r="469" spans="1:15" x14ac:dyDescent="0.35">
      <c r="A469" s="8">
        <f>'Data cleaning and validation(3)'!A457</f>
        <v>456</v>
      </c>
      <c r="B469" s="8" t="str">
        <f>'Data cleaning and validation(3)'!B457</f>
        <v>Watson</v>
      </c>
      <c r="C469" s="8" t="str">
        <f>'Data cleaning and validation(3)'!C457</f>
        <v>swatsoncn@wufoo.com</v>
      </c>
      <c r="D469" s="8" t="str">
        <f>'Data cleaning and validation(3)'!D457</f>
        <v>F</v>
      </c>
      <c r="E469" s="8" t="str">
        <f>'Data cleaning and validation(3)'!E457</f>
        <v>Industrial</v>
      </c>
      <c r="F469" s="15">
        <f>'Data cleaning and validation(3)'!F457</f>
        <v>45726</v>
      </c>
      <c r="G469" s="8">
        <f>'Data cleaning and validation(3)'!G457</f>
        <v>9</v>
      </c>
      <c r="H469" s="19">
        <f>'Data cleaning and validation(3)'!H457</f>
        <v>115679</v>
      </c>
      <c r="I469" s="8" t="str">
        <f>'Data cleaning and validation(3)'!I457</f>
        <v>Editor</v>
      </c>
      <c r="J469" s="8" t="str">
        <f>'Data cleaning and validation(3)'!J457</f>
        <v>Southeast</v>
      </c>
      <c r="K469" s="8" t="str">
        <f>'Data cleaning and validation(3)'!K457</f>
        <v>USA</v>
      </c>
      <c r="L469" s="8" t="str">
        <f>'Data cleaning and validation(3)'!L457</f>
        <v>Auto &amp; Hardware</v>
      </c>
      <c r="M469" s="8" t="str">
        <f>'Data cleaning and validation(3)'!M457</f>
        <v>Active</v>
      </c>
      <c r="N469" s="17">
        <f>'Data cleaning and validation(3)'!N457</f>
        <v>1388148</v>
      </c>
      <c r="O469" s="18">
        <f>'Data cleaning and validation(3)'!O457</f>
        <v>11567.900000000001</v>
      </c>
    </row>
    <row r="470" spans="1:15" x14ac:dyDescent="0.35">
      <c r="A470" s="8">
        <f>'Data cleaning and validation(3)'!A458</f>
        <v>457</v>
      </c>
      <c r="B470" s="8" t="str">
        <f>'Data cleaning and validation(3)'!B458</f>
        <v>Cole</v>
      </c>
      <c r="C470" s="8" t="str">
        <f>'Data cleaning and validation(3)'!C458</f>
        <v>bcoleco@parallels.com</v>
      </c>
      <c r="D470" s="8" t="str">
        <f>'Data cleaning and validation(3)'!D458</f>
        <v>F</v>
      </c>
      <c r="E470" s="8" t="str">
        <f>'Data cleaning and validation(3)'!E458</f>
        <v>Jewelery</v>
      </c>
      <c r="F470" s="15">
        <f>'Data cleaning and validation(3)'!F458</f>
        <v>37236</v>
      </c>
      <c r="G470" s="8">
        <f>'Data cleaning and validation(3)'!G458</f>
        <v>20</v>
      </c>
      <c r="H470" s="19">
        <f>'Data cleaning and validation(3)'!H458</f>
        <v>133040</v>
      </c>
      <c r="I470" s="8" t="str">
        <f>'Data cleaning and validation(3)'!I458</f>
        <v>Research Associate</v>
      </c>
      <c r="J470" s="8" t="str">
        <f>'Data cleaning and validation(3)'!J458</f>
        <v>Quebec</v>
      </c>
      <c r="K470" s="8" t="str">
        <f>'Data cleaning and validation(3)'!K458</f>
        <v>Canada</v>
      </c>
      <c r="L470" s="8" t="str">
        <f>'Data cleaning and validation(3)'!L458</f>
        <v>Fashion</v>
      </c>
      <c r="M470" s="8" t="str">
        <f>'Data cleaning and validation(3)'!M458</f>
        <v>Active</v>
      </c>
      <c r="N470" s="17">
        <f>'Data cleaning and validation(3)'!N458</f>
        <v>1596480</v>
      </c>
      <c r="O470" s="18">
        <f>'Data cleaning and validation(3)'!O458</f>
        <v>13304</v>
      </c>
    </row>
    <row r="471" spans="1:15" x14ac:dyDescent="0.35">
      <c r="A471" s="8">
        <f>'Data cleaning and validation(3)'!A459</f>
        <v>458</v>
      </c>
      <c r="B471" s="8" t="str">
        <f>'Data cleaning and validation(3)'!B459</f>
        <v>Little</v>
      </c>
      <c r="C471" s="8" t="str">
        <f>'Data cleaning and validation(3)'!C459</f>
        <v>dlittlecp@usatoday.com</v>
      </c>
      <c r="D471" s="8" t="str">
        <f>'Data cleaning and validation(3)'!D459</f>
        <v>F</v>
      </c>
      <c r="E471" s="8" t="str">
        <f>'Data cleaning and validation(3)'!E459</f>
        <v>Movies</v>
      </c>
      <c r="F471" s="15">
        <f>'Data cleaning and validation(3)'!F459</f>
        <v>36660</v>
      </c>
      <c r="G471" s="8">
        <f>'Data cleaning and validation(3)'!G459</f>
        <v>21</v>
      </c>
      <c r="H471" s="19">
        <f>'Data cleaning and validation(3)'!H459</f>
        <v>91660</v>
      </c>
      <c r="I471" s="8" t="str">
        <f>'Data cleaning and validation(3)'!I459</f>
        <v>Research Assistant I</v>
      </c>
      <c r="J471" s="8" t="str">
        <f>'Data cleaning and validation(3)'!J459</f>
        <v>British Columbia</v>
      </c>
      <c r="K471" s="8" t="str">
        <f>'Data cleaning and validation(3)'!K459</f>
        <v>Canada</v>
      </c>
      <c r="L471" s="8" t="str">
        <f>'Data cleaning and validation(3)'!L459</f>
        <v>Entertainment</v>
      </c>
      <c r="M471" s="8" t="str">
        <f>'Data cleaning and validation(3)'!M459</f>
        <v>Active</v>
      </c>
      <c r="N471" s="17">
        <f>'Data cleaning and validation(3)'!N459</f>
        <v>1099920</v>
      </c>
      <c r="O471" s="18">
        <f>'Data cleaning and validation(3)'!O459</f>
        <v>9166</v>
      </c>
    </row>
    <row r="472" spans="1:15" x14ac:dyDescent="0.35">
      <c r="A472" s="8">
        <f>'Data cleaning and validation(3)'!A460</f>
        <v>459</v>
      </c>
      <c r="B472" s="8" t="str">
        <f>'Data cleaning and validation(3)'!B460</f>
        <v>Robertson</v>
      </c>
      <c r="C472" s="8" t="str">
        <f>'Data cleaning and validation(3)'!C460</f>
        <v>erobertsoncq@prweb.com</v>
      </c>
      <c r="D472" s="8" t="str">
        <f>'Data cleaning and validation(3)'!D460</f>
        <v>F</v>
      </c>
      <c r="E472" s="8" t="str">
        <f>'Data cleaning and validation(3)'!E460</f>
        <v>Computers</v>
      </c>
      <c r="F472" s="15">
        <f>'Data cleaning and validation(3)'!F460</f>
        <v>44824</v>
      </c>
      <c r="G472" s="8">
        <f>'Data cleaning and validation(3)'!G460</f>
        <v>12</v>
      </c>
      <c r="H472" s="19">
        <f>'Data cleaning and validation(3)'!H460</f>
        <v>136406</v>
      </c>
      <c r="I472" s="8" t="str">
        <f>'Data cleaning and validation(3)'!I460</f>
        <v>Chemical Engineer</v>
      </c>
      <c r="J472" s="8" t="str">
        <f>'Data cleaning and validation(3)'!J460</f>
        <v>Nova Scotia</v>
      </c>
      <c r="K472" s="8" t="str">
        <f>'Data cleaning and validation(3)'!K460</f>
        <v>Canada</v>
      </c>
      <c r="L472" s="8" t="str">
        <f>'Data cleaning and validation(3)'!L460</f>
        <v>Electronic Equipment</v>
      </c>
      <c r="M472" s="8" t="str">
        <f>'Data cleaning and validation(3)'!M460</f>
        <v>Active</v>
      </c>
      <c r="N472" s="17">
        <f>'Data cleaning and validation(3)'!N460</f>
        <v>1636872</v>
      </c>
      <c r="O472" s="18">
        <f>'Data cleaning and validation(3)'!O460</f>
        <v>13640.6</v>
      </c>
    </row>
    <row r="473" spans="1:15" x14ac:dyDescent="0.35">
      <c r="A473" s="8">
        <f>'Data cleaning and validation(3)'!A461</f>
        <v>460</v>
      </c>
      <c r="B473" s="8" t="str">
        <f>'Data cleaning and validation(3)'!B461</f>
        <v>Sanchez</v>
      </c>
      <c r="C473" s="8" t="str">
        <f>'Data cleaning and validation(3)'!C461</f>
        <v>lsanchezcr@rediff.com</v>
      </c>
      <c r="D473" s="8" t="str">
        <f>'Data cleaning and validation(3)'!D461</f>
        <v>M</v>
      </c>
      <c r="E473" s="8" t="str">
        <f>'Data cleaning and validation(3)'!E461</f>
        <v>Automotive</v>
      </c>
      <c r="F473" s="15">
        <f>'Data cleaning and validation(3)'!F461</f>
        <v>38470</v>
      </c>
      <c r="G473" s="8">
        <f>'Data cleaning and validation(3)'!G461</f>
        <v>16</v>
      </c>
      <c r="H473" s="19">
        <f>'Data cleaning and validation(3)'!H461</f>
        <v>146167</v>
      </c>
      <c r="I473" s="8" t="str">
        <f>'Data cleaning and validation(3)'!I461</f>
        <v>Assistant Professor</v>
      </c>
      <c r="J473" s="8" t="str">
        <f>'Data cleaning and validation(3)'!J461</f>
        <v>British Columbia</v>
      </c>
      <c r="K473" s="8" t="str">
        <f>'Data cleaning and validation(3)'!K461</f>
        <v>Canada</v>
      </c>
      <c r="L473" s="8" t="str">
        <f>'Data cleaning and validation(3)'!L461</f>
        <v>Auto &amp; Hardware</v>
      </c>
      <c r="M473" s="8" t="str">
        <f>'Data cleaning and validation(3)'!M461</f>
        <v>Active</v>
      </c>
      <c r="N473" s="17">
        <f>'Data cleaning and validation(3)'!N461</f>
        <v>1754004</v>
      </c>
      <c r="O473" s="18">
        <f>'Data cleaning and validation(3)'!O461</f>
        <v>14616.7</v>
      </c>
    </row>
    <row r="474" spans="1:15" x14ac:dyDescent="0.35">
      <c r="A474" s="8">
        <f>'Data cleaning and validation(3)'!A462</f>
        <v>461</v>
      </c>
      <c r="B474" s="8" t="str">
        <f>'Data cleaning and validation(3)'!B462</f>
        <v>Lane</v>
      </c>
      <c r="C474" s="8" t="str">
        <f>'Data cleaning and validation(3)'!C462</f>
        <v>llanecs@free.fr</v>
      </c>
      <c r="D474" s="8" t="str">
        <f>'Data cleaning and validation(3)'!D462</f>
        <v>F</v>
      </c>
      <c r="E474" s="8" t="str">
        <f>'Data cleaning and validation(3)'!E462</f>
        <v>Books</v>
      </c>
      <c r="F474" s="15">
        <f>'Data cleaning and validation(3)'!F462</f>
        <v>37715</v>
      </c>
      <c r="G474" s="8">
        <f>'Data cleaning and validation(3)'!G462</f>
        <v>18</v>
      </c>
      <c r="H474" s="19">
        <f>'Data cleaning and validation(3)'!H462</f>
        <v>94299</v>
      </c>
      <c r="I474" s="8" t="str">
        <f>'Data cleaning and validation(3)'!I462</f>
        <v>Media Manager III</v>
      </c>
      <c r="J474" s="8" t="str">
        <f>'Data cleaning and validation(3)'!J462</f>
        <v>Southwest</v>
      </c>
      <c r="K474" s="8" t="str">
        <f>'Data cleaning and validation(3)'!K462</f>
        <v>USA</v>
      </c>
      <c r="L474" s="8" t="str">
        <f>'Data cleaning and validation(3)'!L462</f>
        <v>Library</v>
      </c>
      <c r="M474" s="8" t="str">
        <f>'Data cleaning and validation(3)'!M462</f>
        <v>Active</v>
      </c>
      <c r="N474" s="17">
        <f>'Data cleaning and validation(3)'!N462</f>
        <v>1131588</v>
      </c>
      <c r="O474" s="18">
        <f>'Data cleaning and validation(3)'!O462</f>
        <v>9429.9</v>
      </c>
    </row>
    <row r="475" spans="1:15" x14ac:dyDescent="0.35">
      <c r="A475" s="8">
        <f>'Data cleaning and validation(3)'!A463</f>
        <v>462</v>
      </c>
      <c r="B475" s="8" t="str">
        <f>'Data cleaning and validation(3)'!B463</f>
        <v>Perry</v>
      </c>
      <c r="C475" s="8" t="str">
        <f>'Data cleaning and validation(3)'!C463</f>
        <v>rperryct@answers.com</v>
      </c>
      <c r="D475" s="8" t="str">
        <f>'Data cleaning and validation(3)'!D463</f>
        <v>M</v>
      </c>
      <c r="E475" s="8" t="str">
        <f>'Data cleaning and validation(3)'!E463</f>
        <v>Industrial</v>
      </c>
      <c r="F475" s="15">
        <f>'Data cleaning and validation(3)'!F463</f>
        <v>38199</v>
      </c>
      <c r="G475" s="8">
        <f>'Data cleaning and validation(3)'!G463</f>
        <v>17</v>
      </c>
      <c r="H475" s="19">
        <f>'Data cleaning and validation(3)'!H463</f>
        <v>56382</v>
      </c>
      <c r="I475" s="8" t="str">
        <f>'Data cleaning and validation(3)'!I463</f>
        <v>Executive Secretary</v>
      </c>
      <c r="J475" s="8" t="str">
        <f>'Data cleaning and validation(3)'!J463</f>
        <v>Northwest</v>
      </c>
      <c r="K475" s="8" t="str">
        <f>'Data cleaning and validation(3)'!K463</f>
        <v>USA</v>
      </c>
      <c r="L475" s="8" t="str">
        <f>'Data cleaning and validation(3)'!L463</f>
        <v>Auto &amp; Hardware</v>
      </c>
      <c r="M475" s="8" t="str">
        <f>'Data cleaning and validation(3)'!M463</f>
        <v>Active</v>
      </c>
      <c r="N475" s="17">
        <f>'Data cleaning and validation(3)'!N463</f>
        <v>676584</v>
      </c>
      <c r="O475" s="18">
        <f>'Data cleaning and validation(3)'!O463</f>
        <v>5638.2000000000007</v>
      </c>
    </row>
    <row r="476" spans="1:15" x14ac:dyDescent="0.35">
      <c r="A476" s="8">
        <f>'Data cleaning and validation(3)'!A464</f>
        <v>463</v>
      </c>
      <c r="B476" s="8" t="str">
        <f>'Data cleaning and validation(3)'!B464</f>
        <v>Mason</v>
      </c>
      <c r="C476" s="8" t="str">
        <f>'Data cleaning and validation(3)'!C464</f>
        <v>dmasoncu@about.com</v>
      </c>
      <c r="D476" s="8" t="str">
        <f>'Data cleaning and validation(3)'!D464</f>
        <v>M</v>
      </c>
      <c r="E476" s="8" t="str">
        <f>'Data cleaning and validation(3)'!E464</f>
        <v>Tools</v>
      </c>
      <c r="F476" s="15">
        <f>'Data cleaning and validation(3)'!F464</f>
        <v>40533</v>
      </c>
      <c r="G476" s="8">
        <f>'Data cleaning and validation(3)'!G464</f>
        <v>11</v>
      </c>
      <c r="H476" s="19">
        <f>'Data cleaning and validation(3)'!H464</f>
        <v>120160</v>
      </c>
      <c r="I476" s="8" t="str">
        <f>'Data cleaning and validation(3)'!I464</f>
        <v>Database Administrator II</v>
      </c>
      <c r="J476" s="8" t="str">
        <f>'Data cleaning and validation(3)'!J464</f>
        <v>Northwest</v>
      </c>
      <c r="K476" s="8" t="str">
        <f>'Data cleaning and validation(3)'!K464</f>
        <v>USA</v>
      </c>
      <c r="L476" s="8" t="str">
        <f>'Data cleaning and validation(3)'!L464</f>
        <v>Auto &amp; Hardware</v>
      </c>
      <c r="M476" s="8" t="str">
        <f>'Data cleaning and validation(3)'!M464</f>
        <v>Active</v>
      </c>
      <c r="N476" s="17">
        <f>'Data cleaning and validation(3)'!N464</f>
        <v>1441920</v>
      </c>
      <c r="O476" s="18">
        <f>'Data cleaning and validation(3)'!O464</f>
        <v>12016</v>
      </c>
    </row>
    <row r="477" spans="1:15" x14ac:dyDescent="0.35">
      <c r="A477" s="8">
        <f>'Data cleaning and validation(3)'!A465</f>
        <v>464</v>
      </c>
      <c r="B477" s="8" t="str">
        <f>'Data cleaning and validation(3)'!B465</f>
        <v>Brooks</v>
      </c>
      <c r="C477" s="8" t="str">
        <f>'Data cleaning and validation(3)'!C465</f>
        <v>dbrookscv@biblegateway.com</v>
      </c>
      <c r="D477" s="8" t="str">
        <f>'Data cleaning and validation(3)'!D465</f>
        <v>F</v>
      </c>
      <c r="E477" s="8" t="str">
        <f>'Data cleaning and validation(3)'!E465</f>
        <v>Shoes</v>
      </c>
      <c r="F477" s="15">
        <f>'Data cleaning and validation(3)'!F465</f>
        <v>44309</v>
      </c>
      <c r="G477" s="8">
        <f>'Data cleaning and validation(3)'!G465</f>
        <v>13</v>
      </c>
      <c r="H477" s="19">
        <f>'Data cleaning and validation(3)'!H465</f>
        <v>77060</v>
      </c>
      <c r="I477" s="8" t="str">
        <f>'Data cleaning and validation(3)'!I465</f>
        <v>Marketing Manager</v>
      </c>
      <c r="J477" s="8" t="str">
        <f>'Data cleaning and validation(3)'!J465</f>
        <v>Northwest</v>
      </c>
      <c r="K477" s="8" t="str">
        <f>'Data cleaning and validation(3)'!K465</f>
        <v>USA</v>
      </c>
      <c r="L477" s="8" t="str">
        <f>'Data cleaning and validation(3)'!L465</f>
        <v>Domestic</v>
      </c>
      <c r="M477" s="8" t="str">
        <f>'Data cleaning and validation(3)'!M465</f>
        <v>Active</v>
      </c>
      <c r="N477" s="17">
        <f>'Data cleaning and validation(3)'!N465</f>
        <v>924720</v>
      </c>
      <c r="O477" s="18">
        <f>'Data cleaning and validation(3)'!O465</f>
        <v>7706</v>
      </c>
    </row>
    <row r="478" spans="1:15" x14ac:dyDescent="0.35">
      <c r="A478" s="8">
        <f>'Data cleaning and validation(3)'!A466</f>
        <v>465</v>
      </c>
      <c r="B478" s="8" t="str">
        <f>'Data cleaning and validation(3)'!B466</f>
        <v>White</v>
      </c>
      <c r="C478" s="8" t="str">
        <f>'Data cleaning and validation(3)'!C466</f>
        <v>dwhitecw@exblog.jp</v>
      </c>
      <c r="D478" s="8" t="str">
        <f>'Data cleaning and validation(3)'!D466</f>
        <v>M</v>
      </c>
      <c r="E478" s="8" t="str">
        <f>'Data cleaning and validation(3)'!E466</f>
        <v>Computers</v>
      </c>
      <c r="F478" s="15">
        <f>'Data cleaning and validation(3)'!F466</f>
        <v>39372</v>
      </c>
      <c r="G478" s="8">
        <f>'Data cleaning and validation(3)'!G466</f>
        <v>14</v>
      </c>
      <c r="H478" s="19">
        <f>'Data cleaning and validation(3)'!H466</f>
        <v>122540</v>
      </c>
      <c r="I478" s="8" t="str">
        <f>'Data cleaning and validation(3)'!I466</f>
        <v>Administrative Officer</v>
      </c>
      <c r="J478" s="8" t="str">
        <f>'Data cleaning and validation(3)'!J466</f>
        <v>Southeast</v>
      </c>
      <c r="K478" s="8" t="str">
        <f>'Data cleaning and validation(3)'!K466</f>
        <v>USA</v>
      </c>
      <c r="L478" s="8" t="str">
        <f>'Data cleaning and validation(3)'!L466</f>
        <v>Electronic Equipment</v>
      </c>
      <c r="M478" s="8" t="str">
        <f>'Data cleaning and validation(3)'!M466</f>
        <v>Active</v>
      </c>
      <c r="N478" s="17">
        <f>'Data cleaning and validation(3)'!N466</f>
        <v>1470480</v>
      </c>
      <c r="O478" s="18">
        <f>'Data cleaning and validation(3)'!O466</f>
        <v>12254</v>
      </c>
    </row>
    <row r="479" spans="1:15" x14ac:dyDescent="0.35">
      <c r="A479" s="8">
        <f>'Data cleaning and validation(3)'!A467</f>
        <v>466</v>
      </c>
      <c r="B479" s="8" t="str">
        <f>'Data cleaning and validation(3)'!B467</f>
        <v>Carroll</v>
      </c>
      <c r="C479" s="8" t="str">
        <f>'Data cleaning and validation(3)'!C467</f>
        <v>fcarrollcx@ucoz.ru</v>
      </c>
      <c r="D479" s="8" t="str">
        <f>'Data cleaning and validation(3)'!D467</f>
        <v>F</v>
      </c>
      <c r="E479" s="8" t="str">
        <f>'Data cleaning and validation(3)'!E467</f>
        <v>Games</v>
      </c>
      <c r="F479" s="15">
        <f>'Data cleaning and validation(3)'!F467</f>
        <v>44345</v>
      </c>
      <c r="G479" s="8">
        <f>'Data cleaning and validation(3)'!G467</f>
        <v>13</v>
      </c>
      <c r="H479" s="19">
        <f>'Data cleaning and validation(3)'!H467</f>
        <v>128562</v>
      </c>
      <c r="I479" s="8" t="str">
        <f>'Data cleaning and validation(3)'!I467</f>
        <v>Senior Developer</v>
      </c>
      <c r="J479" s="8" t="str">
        <f>'Data cleaning and validation(3)'!J467</f>
        <v>Nova Scotia</v>
      </c>
      <c r="K479" s="8" t="str">
        <f>'Data cleaning and validation(3)'!K467</f>
        <v>Canada</v>
      </c>
      <c r="L479" s="8" t="str">
        <f>'Data cleaning and validation(3)'!L467</f>
        <v>Domestic</v>
      </c>
      <c r="M479" s="8" t="str">
        <f>'Data cleaning and validation(3)'!M467</f>
        <v>Active</v>
      </c>
      <c r="N479" s="17">
        <f>'Data cleaning and validation(3)'!N467</f>
        <v>1542744</v>
      </c>
      <c r="O479" s="18">
        <f>'Data cleaning and validation(3)'!O467</f>
        <v>12856.2</v>
      </c>
    </row>
    <row r="480" spans="1:15" x14ac:dyDescent="0.35">
      <c r="A480" s="8">
        <f>'Data cleaning and validation(3)'!A468</f>
        <v>467</v>
      </c>
      <c r="B480" s="8" t="str">
        <f>'Data cleaning and validation(3)'!B468</f>
        <v>Ford</v>
      </c>
      <c r="C480" s="8" t="str">
        <f>'Data cleaning and validation(3)'!C468</f>
        <v>efordcy@elpais.com</v>
      </c>
      <c r="D480" s="8" t="str">
        <f>'Data cleaning and validation(3)'!D468</f>
        <v>F</v>
      </c>
      <c r="E480" s="8" t="str">
        <f>'Data cleaning and validation(3)'!E468</f>
        <v>Sports</v>
      </c>
      <c r="F480" s="15">
        <f>'Data cleaning and validation(3)'!F468</f>
        <v>37330</v>
      </c>
      <c r="G480" s="8">
        <f>'Data cleaning and validation(3)'!G468</f>
        <v>19</v>
      </c>
      <c r="H480" s="19">
        <f>'Data cleaning and validation(3)'!H468</f>
        <v>60674</v>
      </c>
      <c r="I480" s="8" t="str">
        <f>'Data cleaning and validation(3)'!I468</f>
        <v>Software Engineer I</v>
      </c>
      <c r="J480" s="8" t="str">
        <f>'Data cleaning and validation(3)'!J468</f>
        <v>Northwest</v>
      </c>
      <c r="K480" s="8" t="str">
        <f>'Data cleaning and validation(3)'!K468</f>
        <v>USA</v>
      </c>
      <c r="L480" s="8" t="str">
        <f>'Data cleaning and validation(3)'!L468</f>
        <v>Games &amp; Sports</v>
      </c>
      <c r="M480" s="8" t="str">
        <f>'Data cleaning and validation(3)'!M468</f>
        <v>Active</v>
      </c>
      <c r="N480" s="17">
        <f>'Data cleaning and validation(3)'!N468</f>
        <v>728088</v>
      </c>
      <c r="O480" s="18">
        <f>'Data cleaning and validation(3)'!O468</f>
        <v>6067.4000000000005</v>
      </c>
    </row>
    <row r="481" spans="1:15" x14ac:dyDescent="0.35">
      <c r="A481" s="8">
        <f>'Data cleaning and validation(3)'!A469</f>
        <v>468</v>
      </c>
      <c r="B481" s="8" t="str">
        <f>'Data cleaning and validation(3)'!B469</f>
        <v>Ross</v>
      </c>
      <c r="C481" s="8" t="str">
        <f>'Data cleaning and validation(3)'!C469</f>
        <v>grosscz@blogtalkradio.com</v>
      </c>
      <c r="D481" s="8" t="str">
        <f>'Data cleaning and validation(3)'!D469</f>
        <v>M</v>
      </c>
      <c r="E481" s="8" t="str">
        <f>'Data cleaning and validation(3)'!E469</f>
        <v>Jewelery</v>
      </c>
      <c r="F481" s="15">
        <f>'Data cleaning and validation(3)'!F469</f>
        <v>38458</v>
      </c>
      <c r="G481" s="8">
        <f>'Data cleaning and validation(3)'!G469</f>
        <v>16</v>
      </c>
      <c r="H481" s="19">
        <f>'Data cleaning and validation(3)'!H469</f>
        <v>93609</v>
      </c>
      <c r="I481" s="8" t="str">
        <f>'Data cleaning and validation(3)'!I469</f>
        <v>Environmental Specialist</v>
      </c>
      <c r="J481" s="8" t="str">
        <f>'Data cleaning and validation(3)'!J469</f>
        <v>Quebec</v>
      </c>
      <c r="K481" s="8" t="str">
        <f>'Data cleaning and validation(3)'!K469</f>
        <v>Canada</v>
      </c>
      <c r="L481" s="8" t="str">
        <f>'Data cleaning and validation(3)'!L469</f>
        <v>Fashion</v>
      </c>
      <c r="M481" s="8" t="str">
        <f>'Data cleaning and validation(3)'!M469</f>
        <v>Active</v>
      </c>
      <c r="N481" s="17">
        <f>'Data cleaning and validation(3)'!N469</f>
        <v>1123308</v>
      </c>
      <c r="O481" s="18">
        <f>'Data cleaning and validation(3)'!O469</f>
        <v>9360.9</v>
      </c>
    </row>
    <row r="482" spans="1:15" x14ac:dyDescent="0.35">
      <c r="A482" s="8">
        <f>'Data cleaning and validation(3)'!A470</f>
        <v>469</v>
      </c>
      <c r="B482" s="8" t="str">
        <f>'Data cleaning and validation(3)'!B470</f>
        <v>Hicks</v>
      </c>
      <c r="C482" s="8" t="str">
        <f>'Data cleaning and validation(3)'!C470</f>
        <v>rhicksd0@histats.com</v>
      </c>
      <c r="D482" s="8" t="str">
        <f>'Data cleaning and validation(3)'!D470</f>
        <v>F</v>
      </c>
      <c r="E482" s="8" t="str">
        <f>'Data cleaning and validation(3)'!E470</f>
        <v>Kids</v>
      </c>
      <c r="F482" s="15">
        <f>'Data cleaning and validation(3)'!F470</f>
        <v>45146</v>
      </c>
      <c r="G482" s="8">
        <f>'Data cleaning and validation(3)'!G470</f>
        <v>11</v>
      </c>
      <c r="H482" s="19">
        <f>'Data cleaning and validation(3)'!H470</f>
        <v>97913</v>
      </c>
      <c r="I482" s="8" t="str">
        <f>'Data cleaning and validation(3)'!I470</f>
        <v>Occupational Therapist</v>
      </c>
      <c r="J482" s="8" t="str">
        <f>'Data cleaning and validation(3)'!J470</f>
        <v>Northwest</v>
      </c>
      <c r="K482" s="8" t="str">
        <f>'Data cleaning and validation(3)'!K470</f>
        <v>USA</v>
      </c>
      <c r="L482" s="8" t="str">
        <f>'Data cleaning and validation(3)'!L470</f>
        <v>Domestic</v>
      </c>
      <c r="M482" s="8" t="str">
        <f>'Data cleaning and validation(3)'!M470</f>
        <v>Active</v>
      </c>
      <c r="N482" s="17">
        <f>'Data cleaning and validation(3)'!N470</f>
        <v>1174956</v>
      </c>
      <c r="O482" s="18">
        <f>'Data cleaning and validation(3)'!O470</f>
        <v>9791.3000000000011</v>
      </c>
    </row>
    <row r="483" spans="1:15" x14ac:dyDescent="0.35">
      <c r="A483" s="8">
        <f>'Data cleaning and validation(3)'!A471</f>
        <v>470</v>
      </c>
      <c r="B483" s="8" t="str">
        <f>'Data cleaning and validation(3)'!B471</f>
        <v>Rice</v>
      </c>
      <c r="C483" s="8" t="str">
        <f>'Data cleaning and validation(3)'!C471</f>
        <v>triced1@examiner.com</v>
      </c>
      <c r="D483" s="8" t="str">
        <f>'Data cleaning and validation(3)'!D471</f>
        <v>F</v>
      </c>
      <c r="E483" s="8" t="str">
        <f>'Data cleaning and validation(3)'!E471</f>
        <v>Grocery</v>
      </c>
      <c r="F483" s="15">
        <f>'Data cleaning and validation(3)'!F471</f>
        <v>38577</v>
      </c>
      <c r="G483" s="8">
        <f>'Data cleaning and validation(3)'!G471</f>
        <v>16</v>
      </c>
      <c r="H483" s="19">
        <f>'Data cleaning and validation(3)'!H471</f>
        <v>108380</v>
      </c>
      <c r="I483" s="8" t="str">
        <f>'Data cleaning and validation(3)'!I471</f>
        <v>Data Coordiator</v>
      </c>
      <c r="J483" s="8" t="str">
        <f>'Data cleaning and validation(3)'!J471</f>
        <v>British Columbia</v>
      </c>
      <c r="K483" s="8" t="str">
        <f>'Data cleaning and validation(3)'!K471</f>
        <v>Canada</v>
      </c>
      <c r="L483" s="8" t="str">
        <f>'Data cleaning and validation(3)'!L471</f>
        <v>Domestic</v>
      </c>
      <c r="M483" s="8" t="str">
        <f>'Data cleaning and validation(3)'!M471</f>
        <v>Active</v>
      </c>
      <c r="N483" s="17">
        <f>'Data cleaning and validation(3)'!N471</f>
        <v>1300560</v>
      </c>
      <c r="O483" s="18">
        <f>'Data cleaning and validation(3)'!O471</f>
        <v>10838</v>
      </c>
    </row>
    <row r="484" spans="1:15" x14ac:dyDescent="0.35">
      <c r="A484" s="8">
        <f>'Data cleaning and validation(3)'!A472</f>
        <v>471</v>
      </c>
      <c r="B484" s="8" t="str">
        <f>'Data cleaning and validation(3)'!B472</f>
        <v>Lewis</v>
      </c>
      <c r="C484" s="8" t="str">
        <f>'Data cleaning and validation(3)'!C472</f>
        <v>plewisd2@businessinsider.com</v>
      </c>
      <c r="D484" s="8" t="str">
        <f>'Data cleaning and validation(3)'!D472</f>
        <v>F</v>
      </c>
      <c r="E484" s="8" t="str">
        <f>'Data cleaning and validation(3)'!E472</f>
        <v>Baby</v>
      </c>
      <c r="F484" s="15">
        <f>'Data cleaning and validation(3)'!F472</f>
        <v>44151</v>
      </c>
      <c r="G484" s="8">
        <f>'Data cleaning and validation(3)'!G472</f>
        <v>14</v>
      </c>
      <c r="H484" s="19">
        <f>'Data cleaning and validation(3)'!H472</f>
        <v>50448</v>
      </c>
      <c r="I484" s="8" t="str">
        <f>'Data cleaning and validation(3)'!I472</f>
        <v>Database Administrator III</v>
      </c>
      <c r="J484" s="8" t="str">
        <f>'Data cleaning and validation(3)'!J472</f>
        <v>Southwest</v>
      </c>
      <c r="K484" s="8" t="str">
        <f>'Data cleaning and validation(3)'!K472</f>
        <v>USA</v>
      </c>
      <c r="L484" s="8" t="str">
        <f>'Data cleaning and validation(3)'!L472</f>
        <v>Domestic</v>
      </c>
      <c r="M484" s="8" t="str">
        <f>'Data cleaning and validation(3)'!M472</f>
        <v>Active</v>
      </c>
      <c r="N484" s="17">
        <f>'Data cleaning and validation(3)'!N472</f>
        <v>605376</v>
      </c>
      <c r="O484" s="18">
        <f>'Data cleaning and validation(3)'!O472</f>
        <v>5044.8</v>
      </c>
    </row>
    <row r="485" spans="1:15" x14ac:dyDescent="0.35">
      <c r="A485" s="8">
        <f>'Data cleaning and validation(3)'!A473</f>
        <v>472</v>
      </c>
      <c r="B485" s="8" t="str">
        <f>'Data cleaning and validation(3)'!B473</f>
        <v>Arnold</v>
      </c>
      <c r="C485" s="8" t="str">
        <f>'Data cleaning and validation(3)'!C473</f>
        <v>larnoldd3@webeden.co.uk</v>
      </c>
      <c r="D485" s="8" t="str">
        <f>'Data cleaning and validation(3)'!D473</f>
        <v>F</v>
      </c>
      <c r="E485" s="8" t="str">
        <f>'Data cleaning and validation(3)'!E473</f>
        <v>Books</v>
      </c>
      <c r="F485" s="15">
        <f>'Data cleaning and validation(3)'!F473</f>
        <v>45713</v>
      </c>
      <c r="G485" s="8">
        <f>'Data cleaning and validation(3)'!G473</f>
        <v>9</v>
      </c>
      <c r="H485" s="19">
        <f>'Data cleaning and validation(3)'!H473</f>
        <v>133781</v>
      </c>
      <c r="I485" s="8" t="str">
        <f>'Data cleaning and validation(3)'!I473</f>
        <v>Office Assistant I</v>
      </c>
      <c r="J485" s="8" t="str">
        <f>'Data cleaning and validation(3)'!J473</f>
        <v>Southwest</v>
      </c>
      <c r="K485" s="8" t="str">
        <f>'Data cleaning and validation(3)'!K473</f>
        <v>USA</v>
      </c>
      <c r="L485" s="8" t="str">
        <f>'Data cleaning and validation(3)'!L473</f>
        <v>Library</v>
      </c>
      <c r="M485" s="8" t="str">
        <f>'Data cleaning and validation(3)'!M473</f>
        <v>Active</v>
      </c>
      <c r="N485" s="17">
        <f>'Data cleaning and validation(3)'!N473</f>
        <v>1605372</v>
      </c>
      <c r="O485" s="18">
        <f>'Data cleaning and validation(3)'!O473</f>
        <v>13378.1</v>
      </c>
    </row>
    <row r="486" spans="1:15" x14ac:dyDescent="0.35">
      <c r="A486" s="8">
        <f>'Data cleaning and validation(3)'!A474</f>
        <v>473</v>
      </c>
      <c r="B486" s="8" t="str">
        <f>'Data cleaning and validation(3)'!B474</f>
        <v>Jordan</v>
      </c>
      <c r="C486" s="8" t="str">
        <f>'Data cleaning and validation(3)'!C474</f>
        <v>djordand4@trellian.com</v>
      </c>
      <c r="D486" s="8" t="str">
        <f>'Data cleaning and validation(3)'!D474</f>
        <v>F</v>
      </c>
      <c r="E486" s="8" t="str">
        <f>'Data cleaning and validation(3)'!E474</f>
        <v>Books</v>
      </c>
      <c r="F486" s="15">
        <f>'Data cleaning and validation(3)'!F474</f>
        <v>44879</v>
      </c>
      <c r="G486" s="8">
        <f>'Data cleaning and validation(3)'!G474</f>
        <v>12</v>
      </c>
      <c r="H486" s="19">
        <f>'Data cleaning and validation(3)'!H474</f>
        <v>90409</v>
      </c>
      <c r="I486" s="8" t="str">
        <f>'Data cleaning and validation(3)'!I474</f>
        <v>Research Assistant II</v>
      </c>
      <c r="J486" s="8" t="str">
        <f>'Data cleaning and validation(3)'!J474</f>
        <v>Northwest</v>
      </c>
      <c r="K486" s="8" t="str">
        <f>'Data cleaning and validation(3)'!K474</f>
        <v>USA</v>
      </c>
      <c r="L486" s="8" t="str">
        <f>'Data cleaning and validation(3)'!L474</f>
        <v>Library</v>
      </c>
      <c r="M486" s="8" t="str">
        <f>'Data cleaning and validation(3)'!M474</f>
        <v>Active</v>
      </c>
      <c r="N486" s="17">
        <f>'Data cleaning and validation(3)'!N474</f>
        <v>1084908</v>
      </c>
      <c r="O486" s="18">
        <f>'Data cleaning and validation(3)'!O474</f>
        <v>9040.9</v>
      </c>
    </row>
    <row r="487" spans="1:15" x14ac:dyDescent="0.35">
      <c r="A487" s="8">
        <f>'Data cleaning and validation(3)'!A475</f>
        <v>474</v>
      </c>
      <c r="B487" s="8" t="str">
        <f>'Data cleaning and validation(3)'!B475</f>
        <v>Reed</v>
      </c>
      <c r="C487" s="8" t="str">
        <f>'Data cleaning and validation(3)'!C475</f>
        <v>creedd5@bloglines.com</v>
      </c>
      <c r="D487" s="8" t="str">
        <f>'Data cleaning and validation(3)'!D475</f>
        <v>M</v>
      </c>
      <c r="E487" s="8" t="str">
        <f>'Data cleaning and validation(3)'!E475</f>
        <v>Garden</v>
      </c>
      <c r="F487" s="15">
        <f>'Data cleaning and validation(3)'!F475</f>
        <v>37993</v>
      </c>
      <c r="G487" s="8">
        <f>'Data cleaning and validation(3)'!G475</f>
        <v>17</v>
      </c>
      <c r="H487" s="19">
        <f>'Data cleaning and validation(3)'!H475</f>
        <v>144953</v>
      </c>
      <c r="I487" s="8" t="str">
        <f>'Data cleaning and validation(3)'!I475</f>
        <v>Registered Nurse</v>
      </c>
      <c r="J487" s="8" t="str">
        <f>'Data cleaning and validation(3)'!J475</f>
        <v>Nova Scotia</v>
      </c>
      <c r="K487" s="8" t="str">
        <f>'Data cleaning and validation(3)'!K475</f>
        <v>Canada</v>
      </c>
      <c r="L487" s="8" t="str">
        <f>'Data cleaning and validation(3)'!L475</f>
        <v>Outdoors &amp; Garden</v>
      </c>
      <c r="M487" s="8" t="str">
        <f>'Data cleaning and validation(3)'!M475</f>
        <v>Active</v>
      </c>
      <c r="N487" s="17">
        <f>'Data cleaning and validation(3)'!N475</f>
        <v>1739436</v>
      </c>
      <c r="O487" s="18">
        <f>'Data cleaning and validation(3)'!O475</f>
        <v>14495.300000000001</v>
      </c>
    </row>
    <row r="488" spans="1:15" x14ac:dyDescent="0.35">
      <c r="A488" s="8">
        <f>'Data cleaning and validation(3)'!A476</f>
        <v>475</v>
      </c>
      <c r="B488" s="8" t="str">
        <f>'Data cleaning and validation(3)'!B476</f>
        <v>Jenkins</v>
      </c>
      <c r="C488" s="8" t="str">
        <f>'Data cleaning and validation(3)'!C476</f>
        <v>sjenkinsd6@bloglovin.com</v>
      </c>
      <c r="D488" s="8" t="str">
        <f>'Data cleaning and validation(3)'!D476</f>
        <v>M</v>
      </c>
      <c r="E488" s="8" t="str">
        <f>'Data cleaning and validation(3)'!E476</f>
        <v>Outdoors</v>
      </c>
      <c r="F488" s="15">
        <f>'Data cleaning and validation(3)'!F476</f>
        <v>37247</v>
      </c>
      <c r="G488" s="8">
        <f>'Data cleaning and validation(3)'!G476</f>
        <v>20</v>
      </c>
      <c r="H488" s="19">
        <f>'Data cleaning and validation(3)'!H476</f>
        <v>46072</v>
      </c>
      <c r="I488" s="8" t="str">
        <f>'Data cleaning and validation(3)'!I476</f>
        <v>Nurse</v>
      </c>
      <c r="J488" s="8" t="str">
        <f>'Data cleaning and validation(3)'!J476</f>
        <v>Southeast</v>
      </c>
      <c r="K488" s="8" t="str">
        <f>'Data cleaning and validation(3)'!K476</f>
        <v>USA</v>
      </c>
      <c r="L488" s="8" t="str">
        <f>'Data cleaning and validation(3)'!L476</f>
        <v>Outdoors &amp; Garden</v>
      </c>
      <c r="M488" s="8" t="str">
        <f>'Data cleaning and validation(3)'!M476</f>
        <v>Active</v>
      </c>
      <c r="N488" s="17">
        <f>'Data cleaning and validation(3)'!N476</f>
        <v>552864</v>
      </c>
      <c r="O488" s="18">
        <f>'Data cleaning and validation(3)'!O476</f>
        <v>4607.2</v>
      </c>
    </row>
    <row r="489" spans="1:15" x14ac:dyDescent="0.35">
      <c r="A489" s="8">
        <f>'Data cleaning and validation(3)'!A477</f>
        <v>476</v>
      </c>
      <c r="B489" s="8" t="str">
        <f>'Data cleaning and validation(3)'!B477</f>
        <v>Matthews</v>
      </c>
      <c r="C489" s="8" t="str">
        <f>'Data cleaning and validation(3)'!C477</f>
        <v>jmatthewsd7@economist.com</v>
      </c>
      <c r="D489" s="8" t="str">
        <f>'Data cleaning and validation(3)'!D477</f>
        <v>M</v>
      </c>
      <c r="E489" s="8" t="str">
        <f>'Data cleaning and validation(3)'!E477</f>
        <v>Books</v>
      </c>
      <c r="F489" s="15">
        <f>'Data cleaning and validation(3)'!F477</f>
        <v>40940</v>
      </c>
      <c r="G489" s="8">
        <f>'Data cleaning and validation(3)'!G477</f>
        <v>9</v>
      </c>
      <c r="H489" s="19">
        <f>'Data cleaning and validation(3)'!H477</f>
        <v>119602</v>
      </c>
      <c r="I489" s="8" t="str">
        <f>'Data cleaning and validation(3)'!I477</f>
        <v>Actuary</v>
      </c>
      <c r="J489" s="8" t="str">
        <f>'Data cleaning and validation(3)'!J477</f>
        <v>British Columbia</v>
      </c>
      <c r="K489" s="8" t="str">
        <f>'Data cleaning and validation(3)'!K477</f>
        <v>Canada</v>
      </c>
      <c r="L489" s="8" t="str">
        <f>'Data cleaning and validation(3)'!L477</f>
        <v>Library</v>
      </c>
      <c r="M489" s="8" t="str">
        <f>'Data cleaning and validation(3)'!M477</f>
        <v>Active</v>
      </c>
      <c r="N489" s="17">
        <f>'Data cleaning and validation(3)'!N477</f>
        <v>1435224</v>
      </c>
      <c r="O489" s="18">
        <f>'Data cleaning and validation(3)'!O477</f>
        <v>11960.2</v>
      </c>
    </row>
    <row r="490" spans="1:15" x14ac:dyDescent="0.35">
      <c r="A490" s="8">
        <f>'Data cleaning and validation(3)'!A478</f>
        <v>477</v>
      </c>
      <c r="B490" s="8" t="str">
        <f>'Data cleaning and validation(3)'!B478</f>
        <v>Gonzalez</v>
      </c>
      <c r="C490" s="8" t="str">
        <f>'Data cleaning and validation(3)'!C478</f>
        <v>lgonzalezd8@fastcompany.com</v>
      </c>
      <c r="D490" s="8" t="str">
        <f>'Data cleaning and validation(3)'!D478</f>
        <v>M</v>
      </c>
      <c r="E490" s="8" t="str">
        <f>'Data cleaning and validation(3)'!E478</f>
        <v>Computers</v>
      </c>
      <c r="F490" s="15">
        <f>'Data cleaning and validation(3)'!F478</f>
        <v>40468</v>
      </c>
      <c r="G490" s="8">
        <f>'Data cleaning and validation(3)'!G478</f>
        <v>11</v>
      </c>
      <c r="H490" s="19">
        <f>'Data cleaning and validation(3)'!H478</f>
        <v>122231</v>
      </c>
      <c r="I490" s="8" t="str">
        <f>'Data cleaning and validation(3)'!I478</f>
        <v>Director of Sales</v>
      </c>
      <c r="J490" s="8" t="str">
        <f>'Data cleaning and validation(3)'!J478</f>
        <v>British Columbia</v>
      </c>
      <c r="K490" s="8" t="str">
        <f>'Data cleaning and validation(3)'!K478</f>
        <v>Canada</v>
      </c>
      <c r="L490" s="8" t="str">
        <f>'Data cleaning and validation(3)'!L478</f>
        <v>Electronic Equipment</v>
      </c>
      <c r="M490" s="8" t="str">
        <f>'Data cleaning and validation(3)'!M478</f>
        <v>Active</v>
      </c>
      <c r="N490" s="17">
        <f>'Data cleaning and validation(3)'!N478</f>
        <v>1466772</v>
      </c>
      <c r="O490" s="18">
        <f>'Data cleaning and validation(3)'!O478</f>
        <v>12223.1</v>
      </c>
    </row>
    <row r="491" spans="1:15" x14ac:dyDescent="0.35">
      <c r="A491" s="8">
        <f>'Data cleaning and validation(3)'!A479</f>
        <v>478</v>
      </c>
      <c r="B491" s="8" t="str">
        <f>'Data cleaning and validation(3)'!B479</f>
        <v>Mason</v>
      </c>
      <c r="C491" s="8" t="str">
        <f>'Data cleaning and validation(3)'!C479</f>
        <v>jmasond9@networkadvertising.org</v>
      </c>
      <c r="D491" s="8" t="str">
        <f>'Data cleaning and validation(3)'!D479</f>
        <v>M</v>
      </c>
      <c r="E491" s="8" t="str">
        <f>'Data cleaning and validation(3)'!E479</f>
        <v>Sports</v>
      </c>
      <c r="F491" s="15">
        <f>'Data cleaning and validation(3)'!F479</f>
        <v>37727</v>
      </c>
      <c r="G491" s="8">
        <f>'Data cleaning and validation(3)'!G479</f>
        <v>18</v>
      </c>
      <c r="H491" s="19">
        <f>'Data cleaning and validation(3)'!H479</f>
        <v>147166</v>
      </c>
      <c r="I491" s="8" t="str">
        <f>'Data cleaning and validation(3)'!I479</f>
        <v>Systems Administrator I</v>
      </c>
      <c r="J491" s="8" t="str">
        <f>'Data cleaning and validation(3)'!J479</f>
        <v>Quebec</v>
      </c>
      <c r="K491" s="8" t="str">
        <f>'Data cleaning and validation(3)'!K479</f>
        <v>Canada</v>
      </c>
      <c r="L491" s="8" t="str">
        <f>'Data cleaning and validation(3)'!L479</f>
        <v>Games &amp; Sports</v>
      </c>
      <c r="M491" s="8" t="str">
        <f>'Data cleaning and validation(3)'!M479</f>
        <v>Active</v>
      </c>
      <c r="N491" s="17">
        <f>'Data cleaning and validation(3)'!N479</f>
        <v>1765992</v>
      </c>
      <c r="O491" s="18">
        <f>'Data cleaning and validation(3)'!O479</f>
        <v>14716.6</v>
      </c>
    </row>
    <row r="492" spans="1:15" x14ac:dyDescent="0.35">
      <c r="A492" s="8">
        <f>'Data cleaning and validation(3)'!A480</f>
        <v>479</v>
      </c>
      <c r="B492" s="8" t="str">
        <f>'Data cleaning and validation(3)'!B480</f>
        <v>Nelson</v>
      </c>
      <c r="C492" s="8" t="str">
        <f>'Data cleaning and validation(3)'!C480</f>
        <v>lnelsonda@example.com</v>
      </c>
      <c r="D492" s="8" t="str">
        <f>'Data cleaning and validation(3)'!D480</f>
        <v>M</v>
      </c>
      <c r="E492" s="8" t="str">
        <f>'Data cleaning and validation(3)'!E480</f>
        <v>Grocery</v>
      </c>
      <c r="F492" s="15">
        <f>'Data cleaning and validation(3)'!F480</f>
        <v>40064</v>
      </c>
      <c r="G492" s="8">
        <f>'Data cleaning and validation(3)'!G480</f>
        <v>12</v>
      </c>
      <c r="H492" s="19">
        <f>'Data cleaning and validation(3)'!H480</f>
        <v>56465</v>
      </c>
      <c r="I492" s="8" t="str">
        <f>'Data cleaning and validation(3)'!I480</f>
        <v>Programmer IV</v>
      </c>
      <c r="J492" s="8" t="str">
        <f>'Data cleaning and validation(3)'!J480</f>
        <v>Quebec</v>
      </c>
      <c r="K492" s="8" t="str">
        <f>'Data cleaning and validation(3)'!K480</f>
        <v>Canada</v>
      </c>
      <c r="L492" s="8" t="str">
        <f>'Data cleaning and validation(3)'!L480</f>
        <v>Domestic</v>
      </c>
      <c r="M492" s="8" t="str">
        <f>'Data cleaning and validation(3)'!M480</f>
        <v>Active</v>
      </c>
      <c r="N492" s="17">
        <f>'Data cleaning and validation(3)'!N480</f>
        <v>677580</v>
      </c>
      <c r="O492" s="18">
        <f>'Data cleaning and validation(3)'!O480</f>
        <v>5646.5</v>
      </c>
    </row>
    <row r="493" spans="1:15" x14ac:dyDescent="0.35">
      <c r="A493" s="8">
        <f>'Data cleaning and validation(3)'!A481</f>
        <v>480</v>
      </c>
      <c r="B493" s="8" t="str">
        <f>'Data cleaning and validation(3)'!B481</f>
        <v>Miller</v>
      </c>
      <c r="C493" s="8" t="str">
        <f>'Data cleaning and validation(3)'!C481</f>
        <v>amillerdb@reddit.com</v>
      </c>
      <c r="D493" s="8" t="str">
        <f>'Data cleaning and validation(3)'!D481</f>
        <v>M</v>
      </c>
      <c r="E493" s="8" t="str">
        <f>'Data cleaning and validation(3)'!E481</f>
        <v>Electronics</v>
      </c>
      <c r="F493" s="15">
        <f>'Data cleaning and validation(3)'!F481</f>
        <v>36929</v>
      </c>
      <c r="G493" s="8">
        <f>'Data cleaning and validation(3)'!G481</f>
        <v>20</v>
      </c>
      <c r="H493" s="19">
        <f>'Data cleaning and validation(3)'!H481</f>
        <v>78158</v>
      </c>
      <c r="I493" s="8" t="str">
        <f>'Data cleaning and validation(3)'!I481</f>
        <v>Programmer Analyst I</v>
      </c>
      <c r="J493" s="8" t="str">
        <f>'Data cleaning and validation(3)'!J481</f>
        <v>British Columbia</v>
      </c>
      <c r="K493" s="8" t="str">
        <f>'Data cleaning and validation(3)'!K481</f>
        <v>Canada</v>
      </c>
      <c r="L493" s="8" t="str">
        <f>'Data cleaning and validation(3)'!L481</f>
        <v>Electronic Equipment</v>
      </c>
      <c r="M493" s="8" t="str">
        <f>'Data cleaning and validation(3)'!M481</f>
        <v>Active</v>
      </c>
      <c r="N493" s="17">
        <f>'Data cleaning and validation(3)'!N481</f>
        <v>937896</v>
      </c>
      <c r="O493" s="18">
        <f>'Data cleaning and validation(3)'!O481</f>
        <v>7815.8</v>
      </c>
    </row>
    <row r="494" spans="1:15" x14ac:dyDescent="0.35">
      <c r="A494" s="8">
        <f>'Data cleaning and validation(3)'!A482</f>
        <v>481</v>
      </c>
      <c r="B494" s="8" t="str">
        <f>'Data cleaning and validation(3)'!B482</f>
        <v>Moore</v>
      </c>
      <c r="C494" s="8" t="str">
        <f>'Data cleaning and validation(3)'!C482</f>
        <v>kmooredc@simplemachines.org</v>
      </c>
      <c r="D494" s="8" t="str">
        <f>'Data cleaning and validation(3)'!D482</f>
        <v>M</v>
      </c>
      <c r="E494" s="8" t="str">
        <f>'Data cleaning and validation(3)'!E482</f>
        <v>Jewelery</v>
      </c>
      <c r="F494" s="15">
        <f>'Data cleaning and validation(3)'!F482</f>
        <v>41430</v>
      </c>
      <c r="G494" s="8">
        <f>'Data cleaning and validation(3)'!G482</f>
        <v>8</v>
      </c>
      <c r="H494" s="19">
        <f>'Data cleaning and validation(3)'!H482</f>
        <v>62815</v>
      </c>
      <c r="I494" s="8" t="str">
        <f>'Data cleaning and validation(3)'!I482</f>
        <v>Compensation Analyst</v>
      </c>
      <c r="J494" s="8" t="str">
        <f>'Data cleaning and validation(3)'!J482</f>
        <v>Southwest</v>
      </c>
      <c r="K494" s="8" t="str">
        <f>'Data cleaning and validation(3)'!K482</f>
        <v>USA</v>
      </c>
      <c r="L494" s="8" t="str">
        <f>'Data cleaning and validation(3)'!L482</f>
        <v>Fashion</v>
      </c>
      <c r="M494" s="8" t="str">
        <f>'Data cleaning and validation(3)'!M482</f>
        <v>Active</v>
      </c>
      <c r="N494" s="17">
        <f>'Data cleaning and validation(3)'!N482</f>
        <v>753780</v>
      </c>
      <c r="O494" s="18">
        <f>'Data cleaning and validation(3)'!O482</f>
        <v>6281.5</v>
      </c>
    </row>
    <row r="495" spans="1:15" x14ac:dyDescent="0.35">
      <c r="A495" s="8">
        <f>'Data cleaning and validation(3)'!A483</f>
        <v>482</v>
      </c>
      <c r="B495" s="8" t="str">
        <f>'Data cleaning and validation(3)'!B483</f>
        <v>Harris</v>
      </c>
      <c r="C495" s="8" t="str">
        <f>'Data cleaning and validation(3)'!C483</f>
        <v>rharrisdd@paypal.com</v>
      </c>
      <c r="D495" s="8" t="str">
        <f>'Data cleaning and validation(3)'!D483</f>
        <v>M</v>
      </c>
      <c r="E495" s="8" t="str">
        <f>'Data cleaning and validation(3)'!E483</f>
        <v>Toys</v>
      </c>
      <c r="F495" s="15">
        <f>'Data cleaning and validation(3)'!F483</f>
        <v>39243</v>
      </c>
      <c r="G495" s="8">
        <f>'Data cleaning and validation(3)'!G483</f>
        <v>14</v>
      </c>
      <c r="H495" s="19">
        <f>'Data cleaning and validation(3)'!H483</f>
        <v>126468</v>
      </c>
      <c r="I495" s="8" t="str">
        <f>'Data cleaning and validation(3)'!I483</f>
        <v>Budget/Accounting Analyst III</v>
      </c>
      <c r="J495" s="8" t="str">
        <f>'Data cleaning and validation(3)'!J483</f>
        <v>Southwest</v>
      </c>
      <c r="K495" s="8" t="str">
        <f>'Data cleaning and validation(3)'!K483</f>
        <v>USA</v>
      </c>
      <c r="L495" s="8" t="str">
        <f>'Data cleaning and validation(3)'!L483</f>
        <v>Games &amp; Sports</v>
      </c>
      <c r="M495" s="8" t="str">
        <f>'Data cleaning and validation(3)'!M483</f>
        <v>Active</v>
      </c>
      <c r="N495" s="17">
        <f>'Data cleaning and validation(3)'!N483</f>
        <v>1517616</v>
      </c>
      <c r="O495" s="18">
        <f>'Data cleaning and validation(3)'!O483</f>
        <v>12646.800000000001</v>
      </c>
    </row>
    <row r="496" spans="1:15" x14ac:dyDescent="0.35">
      <c r="A496" s="8">
        <f>'Data cleaning and validation(3)'!A484</f>
        <v>483</v>
      </c>
      <c r="B496" s="8" t="str">
        <f>'Data cleaning and validation(3)'!B484</f>
        <v>Brown</v>
      </c>
      <c r="C496" s="8" t="str">
        <f>'Data cleaning and validation(3)'!C484</f>
        <v>mbrownde@bizjournals.com</v>
      </c>
      <c r="D496" s="8" t="str">
        <f>'Data cleaning and validation(3)'!D484</f>
        <v>F</v>
      </c>
      <c r="E496" s="8" t="str">
        <f>'Data cleaning and validation(3)'!E484</f>
        <v>Beauty</v>
      </c>
      <c r="F496" s="15">
        <f>'Data cleaning and validation(3)'!F484</f>
        <v>45787</v>
      </c>
      <c r="G496" s="8">
        <f>'Data cleaning and validation(3)'!G484</f>
        <v>9</v>
      </c>
      <c r="H496" s="19">
        <f>'Data cleaning and validation(3)'!H484</f>
        <v>79419</v>
      </c>
      <c r="I496" s="8" t="str">
        <f>'Data cleaning and validation(3)'!I484</f>
        <v>Senior Developer</v>
      </c>
      <c r="J496" s="8" t="str">
        <f>'Data cleaning and validation(3)'!J484</f>
        <v>Northwest</v>
      </c>
      <c r="K496" s="8" t="str">
        <f>'Data cleaning and validation(3)'!K484</f>
        <v>USA</v>
      </c>
      <c r="L496" s="8" t="str">
        <f>'Data cleaning and validation(3)'!L484</f>
        <v>Domestic</v>
      </c>
      <c r="M496" s="8" t="str">
        <f>'Data cleaning and validation(3)'!M484</f>
        <v>Active</v>
      </c>
      <c r="N496" s="17">
        <f>'Data cleaning and validation(3)'!N484</f>
        <v>953028</v>
      </c>
      <c r="O496" s="18">
        <f>'Data cleaning and validation(3)'!O484</f>
        <v>7941.9000000000005</v>
      </c>
    </row>
    <row r="497" spans="1:15" x14ac:dyDescent="0.35">
      <c r="A497" s="8">
        <f>'Data cleaning and validation(3)'!A485</f>
        <v>484</v>
      </c>
      <c r="B497" s="8" t="str">
        <f>'Data cleaning and validation(3)'!B485</f>
        <v>Little</v>
      </c>
      <c r="C497" s="8" t="str">
        <f>'Data cleaning and validation(3)'!C485</f>
        <v>glittledf@xrea.com</v>
      </c>
      <c r="D497" s="8" t="str">
        <f>'Data cleaning and validation(3)'!D485</f>
        <v>M</v>
      </c>
      <c r="E497" s="8" t="str">
        <f>'Data cleaning and validation(3)'!E485</f>
        <v>Computers</v>
      </c>
      <c r="F497" s="15">
        <f>'Data cleaning and validation(3)'!F485</f>
        <v>39895</v>
      </c>
      <c r="G497" s="8">
        <f>'Data cleaning and validation(3)'!G485</f>
        <v>12</v>
      </c>
      <c r="H497" s="19">
        <f>'Data cleaning and validation(3)'!H485</f>
        <v>83093</v>
      </c>
      <c r="I497" s="8" t="str">
        <f>'Data cleaning and validation(3)'!I485</f>
        <v>Registered Nurse</v>
      </c>
      <c r="J497" s="8" t="str">
        <f>'Data cleaning and validation(3)'!J485</f>
        <v>Northeast</v>
      </c>
      <c r="K497" s="8" t="str">
        <f>'Data cleaning and validation(3)'!K485</f>
        <v>USA</v>
      </c>
      <c r="L497" s="8" t="str">
        <f>'Data cleaning and validation(3)'!L485</f>
        <v>Electronic Equipment</v>
      </c>
      <c r="M497" s="8" t="str">
        <f>'Data cleaning and validation(3)'!M485</f>
        <v>Active</v>
      </c>
      <c r="N497" s="17">
        <f>'Data cleaning and validation(3)'!N485</f>
        <v>997116</v>
      </c>
      <c r="O497" s="18">
        <f>'Data cleaning and validation(3)'!O485</f>
        <v>8309.3000000000011</v>
      </c>
    </row>
    <row r="498" spans="1:15" x14ac:dyDescent="0.35">
      <c r="A498" s="8">
        <f>'Data cleaning and validation(3)'!A486</f>
        <v>485</v>
      </c>
      <c r="B498" s="8" t="str">
        <f>'Data cleaning and validation(3)'!B486</f>
        <v>Austin</v>
      </c>
      <c r="C498" s="8" t="str">
        <f>'Data cleaning and validation(3)'!C486</f>
        <v>caustindg@pen.io</v>
      </c>
      <c r="D498" s="8" t="str">
        <f>'Data cleaning and validation(3)'!D486</f>
        <v>F</v>
      </c>
      <c r="E498" s="8" t="str">
        <f>'Data cleaning and validation(3)'!E486</f>
        <v>Kids</v>
      </c>
      <c r="F498" s="15">
        <f>'Data cleaning and validation(3)'!F486</f>
        <v>46694</v>
      </c>
      <c r="G498" s="8">
        <f>'Data cleaning and validation(3)'!G486</f>
        <v>7</v>
      </c>
      <c r="H498" s="19">
        <f>'Data cleaning and validation(3)'!H486</f>
        <v>90797</v>
      </c>
      <c r="I498" s="8" t="str">
        <f>'Data cleaning and validation(3)'!I486</f>
        <v>Help Desk Operator</v>
      </c>
      <c r="J498" s="8" t="str">
        <f>'Data cleaning and validation(3)'!J486</f>
        <v>Northeast</v>
      </c>
      <c r="K498" s="8" t="str">
        <f>'Data cleaning and validation(3)'!K486</f>
        <v>USA</v>
      </c>
      <c r="L498" s="8" t="str">
        <f>'Data cleaning and validation(3)'!L486</f>
        <v>Domestic</v>
      </c>
      <c r="M498" s="8" t="str">
        <f>'Data cleaning and validation(3)'!M486</f>
        <v>Active</v>
      </c>
      <c r="N498" s="17">
        <f>'Data cleaning and validation(3)'!N486</f>
        <v>1089564</v>
      </c>
      <c r="O498" s="18">
        <f>'Data cleaning and validation(3)'!O486</f>
        <v>9079.7000000000007</v>
      </c>
    </row>
    <row r="499" spans="1:15" x14ac:dyDescent="0.35">
      <c r="A499" s="8">
        <f>'Data cleaning and validation(3)'!A487</f>
        <v>486</v>
      </c>
      <c r="B499" s="8" t="str">
        <f>'Data cleaning and validation(3)'!B487</f>
        <v>Young</v>
      </c>
      <c r="C499" s="8" t="str">
        <f>'Data cleaning and validation(3)'!C487</f>
        <v>fyoungdh@npr.org</v>
      </c>
      <c r="D499" s="8" t="str">
        <f>'Data cleaning and validation(3)'!D487</f>
        <v>F</v>
      </c>
      <c r="E499" s="8" t="str">
        <f>'Data cleaning and validation(3)'!E487</f>
        <v>Kids</v>
      </c>
      <c r="F499" s="15">
        <f>'Data cleaning and validation(3)'!F487</f>
        <v>44383</v>
      </c>
      <c r="G499" s="8">
        <f>'Data cleaning and validation(3)'!G487</f>
        <v>13</v>
      </c>
      <c r="H499" s="19">
        <f>'Data cleaning and validation(3)'!H487</f>
        <v>78755</v>
      </c>
      <c r="I499" s="8" t="str">
        <f>'Data cleaning and validation(3)'!I487</f>
        <v>Desktop Support Technician</v>
      </c>
      <c r="J499" s="8" t="str">
        <f>'Data cleaning and validation(3)'!J487</f>
        <v>British Columbia</v>
      </c>
      <c r="K499" s="8" t="str">
        <f>'Data cleaning and validation(3)'!K487</f>
        <v>Canada</v>
      </c>
      <c r="L499" s="8" t="str">
        <f>'Data cleaning and validation(3)'!L487</f>
        <v>Domestic</v>
      </c>
      <c r="M499" s="8" t="str">
        <f>'Data cleaning and validation(3)'!M487</f>
        <v>Active</v>
      </c>
      <c r="N499" s="17">
        <f>'Data cleaning and validation(3)'!N487</f>
        <v>945060</v>
      </c>
      <c r="O499" s="18">
        <f>'Data cleaning and validation(3)'!O487</f>
        <v>7875.5</v>
      </c>
    </row>
    <row r="500" spans="1:15" x14ac:dyDescent="0.35">
      <c r="A500" s="8">
        <f>'Data cleaning and validation(3)'!A488</f>
        <v>487</v>
      </c>
      <c r="B500" s="8" t="str">
        <f>'Data cleaning and validation(3)'!B488</f>
        <v>Fox</v>
      </c>
      <c r="C500" s="8" t="str">
        <f>'Data cleaning and validation(3)'!C488</f>
        <v>hfoxdi@acquirethisname.com</v>
      </c>
      <c r="D500" s="8" t="str">
        <f>'Data cleaning and validation(3)'!D488</f>
        <v>F</v>
      </c>
      <c r="E500" s="8" t="str">
        <f>'Data cleaning and validation(3)'!E488</f>
        <v>Kids</v>
      </c>
      <c r="F500" s="15">
        <f>'Data cleaning and validation(3)'!F488</f>
        <v>37729</v>
      </c>
      <c r="G500" s="8">
        <f>'Data cleaning and validation(3)'!G488</f>
        <v>18</v>
      </c>
      <c r="H500" s="19">
        <f>'Data cleaning and validation(3)'!H488</f>
        <v>128726</v>
      </c>
      <c r="I500" s="8" t="str">
        <f>'Data cleaning and validation(3)'!I488</f>
        <v>Business Systems Development Analyst</v>
      </c>
      <c r="J500" s="8" t="str">
        <f>'Data cleaning and validation(3)'!J488</f>
        <v>Northwest</v>
      </c>
      <c r="K500" s="8" t="str">
        <f>'Data cleaning and validation(3)'!K488</f>
        <v>USA</v>
      </c>
      <c r="L500" s="8" t="str">
        <f>'Data cleaning and validation(3)'!L488</f>
        <v>Domestic</v>
      </c>
      <c r="M500" s="8" t="str">
        <f>'Data cleaning and validation(3)'!M488</f>
        <v>Active</v>
      </c>
      <c r="N500" s="17">
        <f>'Data cleaning and validation(3)'!N488</f>
        <v>1544712</v>
      </c>
      <c r="O500" s="18">
        <f>'Data cleaning and validation(3)'!O488</f>
        <v>12872.6</v>
      </c>
    </row>
    <row r="501" spans="1:15" x14ac:dyDescent="0.35">
      <c r="A501" s="8">
        <f>'Data cleaning and validation(3)'!A489</f>
        <v>488</v>
      </c>
      <c r="B501" s="8" t="str">
        <f>'Data cleaning and validation(3)'!B489</f>
        <v>Brooks</v>
      </c>
      <c r="C501" s="8" t="str">
        <f>'Data cleaning and validation(3)'!C489</f>
        <v>ebrooksdj@berkeley.edu</v>
      </c>
      <c r="D501" s="8" t="str">
        <f>'Data cleaning and validation(3)'!D489</f>
        <v>M</v>
      </c>
      <c r="E501" s="8" t="str">
        <f>'Data cleaning and validation(3)'!E489</f>
        <v>Music</v>
      </c>
      <c r="F501" s="15">
        <f>'Data cleaning and validation(3)'!F489</f>
        <v>40892</v>
      </c>
      <c r="G501" s="8">
        <f>'Data cleaning and validation(3)'!G489</f>
        <v>10</v>
      </c>
      <c r="H501" s="19">
        <f>'Data cleaning and validation(3)'!H489</f>
        <v>69026</v>
      </c>
      <c r="I501" s="8" t="str">
        <f>'Data cleaning and validation(3)'!I489</f>
        <v>Nuclear Power Engineer</v>
      </c>
      <c r="J501" s="8" t="str">
        <f>'Data cleaning and validation(3)'!J489</f>
        <v>Quebec</v>
      </c>
      <c r="K501" s="8" t="str">
        <f>'Data cleaning and validation(3)'!K489</f>
        <v>Canada</v>
      </c>
      <c r="L501" s="8" t="str">
        <f>'Data cleaning and validation(3)'!L489</f>
        <v>Entertainment</v>
      </c>
      <c r="M501" s="8" t="str">
        <f>'Data cleaning and validation(3)'!M489</f>
        <v>Active</v>
      </c>
      <c r="N501" s="17">
        <f>'Data cleaning and validation(3)'!N489</f>
        <v>828312</v>
      </c>
      <c r="O501" s="18">
        <f>'Data cleaning and validation(3)'!O489</f>
        <v>6902.6</v>
      </c>
    </row>
    <row r="502" spans="1:15" x14ac:dyDescent="0.35">
      <c r="A502" s="8">
        <f>'Data cleaning and validation(3)'!A490</f>
        <v>489</v>
      </c>
      <c r="B502" s="8" t="str">
        <f>'Data cleaning and validation(3)'!B490</f>
        <v>Parker</v>
      </c>
      <c r="C502" s="8" t="str">
        <f>'Data cleaning and validation(3)'!C490</f>
        <v>lparkerdk@salon.com</v>
      </c>
      <c r="D502" s="8" t="str">
        <f>'Data cleaning and validation(3)'!D490</f>
        <v>F</v>
      </c>
      <c r="E502" s="8" t="str">
        <f>'Data cleaning and validation(3)'!E490</f>
        <v>Garden</v>
      </c>
      <c r="F502" s="15">
        <f>'Data cleaning and validation(3)'!F490</f>
        <v>46403</v>
      </c>
      <c r="G502" s="8">
        <f>'Data cleaning and validation(3)'!G490</f>
        <v>7</v>
      </c>
      <c r="H502" s="19">
        <f>'Data cleaning and validation(3)'!H490</f>
        <v>78109</v>
      </c>
      <c r="I502" s="8" t="str">
        <f>'Data cleaning and validation(3)'!I490</f>
        <v>Research Nurse</v>
      </c>
      <c r="J502" s="8" t="str">
        <f>'Data cleaning and validation(3)'!J490</f>
        <v>British Columbia</v>
      </c>
      <c r="K502" s="8" t="str">
        <f>'Data cleaning and validation(3)'!K490</f>
        <v>Canada</v>
      </c>
      <c r="L502" s="8" t="str">
        <f>'Data cleaning and validation(3)'!L490</f>
        <v>Outdoors &amp; Garden</v>
      </c>
      <c r="M502" s="8" t="str">
        <f>'Data cleaning and validation(3)'!M490</f>
        <v>Active</v>
      </c>
      <c r="N502" s="17">
        <f>'Data cleaning and validation(3)'!N490</f>
        <v>937308</v>
      </c>
      <c r="O502" s="18">
        <f>'Data cleaning and validation(3)'!O490</f>
        <v>7810.9000000000005</v>
      </c>
    </row>
    <row r="503" spans="1:15" x14ac:dyDescent="0.35">
      <c r="A503" s="8">
        <f>'Data cleaning and validation(3)'!A491</f>
        <v>490</v>
      </c>
      <c r="B503" s="8" t="str">
        <f>'Data cleaning and validation(3)'!B491</f>
        <v>Griffin</v>
      </c>
      <c r="C503" s="8" t="str">
        <f>'Data cleaning and validation(3)'!C491</f>
        <v>bgriffindl@pbs.org</v>
      </c>
      <c r="D503" s="8" t="str">
        <f>'Data cleaning and validation(3)'!D491</f>
        <v>M</v>
      </c>
      <c r="E503" s="8" t="str">
        <f>'Data cleaning and validation(3)'!E491</f>
        <v>Movies</v>
      </c>
      <c r="F503" s="15">
        <f>'Data cleaning and validation(3)'!F491</f>
        <v>36624</v>
      </c>
      <c r="G503" s="8">
        <f>'Data cleaning and validation(3)'!G491</f>
        <v>21</v>
      </c>
      <c r="H503" s="19">
        <f>'Data cleaning and validation(3)'!H491</f>
        <v>116480</v>
      </c>
      <c r="I503" s="8" t="str">
        <f>'Data cleaning and validation(3)'!I491</f>
        <v>Nurse Practicioner</v>
      </c>
      <c r="J503" s="8" t="str">
        <f>'Data cleaning and validation(3)'!J491</f>
        <v>British Columbia</v>
      </c>
      <c r="K503" s="8" t="str">
        <f>'Data cleaning and validation(3)'!K491</f>
        <v>Canada</v>
      </c>
      <c r="L503" s="8" t="str">
        <f>'Data cleaning and validation(3)'!L491</f>
        <v>Entertainment</v>
      </c>
      <c r="M503" s="8" t="str">
        <f>'Data cleaning and validation(3)'!M491</f>
        <v>Active</v>
      </c>
      <c r="N503" s="17">
        <f>'Data cleaning and validation(3)'!N491</f>
        <v>1397760</v>
      </c>
      <c r="O503" s="18">
        <f>'Data cleaning and validation(3)'!O491</f>
        <v>11648</v>
      </c>
    </row>
    <row r="504" spans="1:15" x14ac:dyDescent="0.35">
      <c r="A504" s="8">
        <f>'Data cleaning and validation(3)'!A492</f>
        <v>491</v>
      </c>
      <c r="B504" s="8" t="str">
        <f>'Data cleaning and validation(3)'!B492</f>
        <v>Stevens</v>
      </c>
      <c r="C504" s="8" t="str">
        <f>'Data cleaning and validation(3)'!C492</f>
        <v>bstevensdm@aol.com</v>
      </c>
      <c r="D504" s="8" t="str">
        <f>'Data cleaning and validation(3)'!D492</f>
        <v>F</v>
      </c>
      <c r="E504" s="8" t="str">
        <f>'Data cleaning and validation(3)'!E492</f>
        <v>Toys</v>
      </c>
      <c r="F504" s="15">
        <f>'Data cleaning and validation(3)'!F492</f>
        <v>38151</v>
      </c>
      <c r="G504" s="8">
        <f>'Data cleaning and validation(3)'!G492</f>
        <v>17</v>
      </c>
      <c r="H504" s="19">
        <f>'Data cleaning and validation(3)'!H492</f>
        <v>108444</v>
      </c>
      <c r="I504" s="8" t="str">
        <f>'Data cleaning and validation(3)'!I492</f>
        <v>Environmental Tech</v>
      </c>
      <c r="J504" s="8" t="str">
        <f>'Data cleaning and validation(3)'!J492</f>
        <v>Nova Scotia</v>
      </c>
      <c r="K504" s="8" t="str">
        <f>'Data cleaning and validation(3)'!K492</f>
        <v>Canada</v>
      </c>
      <c r="L504" s="8" t="str">
        <f>'Data cleaning and validation(3)'!L492</f>
        <v>Games &amp; Sports</v>
      </c>
      <c r="M504" s="8" t="str">
        <f>'Data cleaning and validation(3)'!M492</f>
        <v>Active</v>
      </c>
      <c r="N504" s="17">
        <f>'Data cleaning and validation(3)'!N492</f>
        <v>1301328</v>
      </c>
      <c r="O504" s="18">
        <f>'Data cleaning and validation(3)'!O492</f>
        <v>10844.400000000001</v>
      </c>
    </row>
    <row r="505" spans="1:15" x14ac:dyDescent="0.35">
      <c r="A505" s="8">
        <f>'Data cleaning and validation(3)'!A493</f>
        <v>492</v>
      </c>
      <c r="B505" s="8" t="str">
        <f>'Data cleaning and validation(3)'!B493</f>
        <v>Evans</v>
      </c>
      <c r="C505" s="8" t="str">
        <f>'Data cleaning and validation(3)'!C493</f>
        <v>levansdn@house.gov</v>
      </c>
      <c r="D505" s="8" t="str">
        <f>'Data cleaning and validation(3)'!D493</f>
        <v>M</v>
      </c>
      <c r="E505" s="8" t="str">
        <f>'Data cleaning and validation(3)'!E493</f>
        <v>Computers</v>
      </c>
      <c r="F505" s="15">
        <f>'Data cleaning and validation(3)'!F493</f>
        <v>40217</v>
      </c>
      <c r="G505" s="8">
        <f>'Data cleaning and validation(3)'!G493</f>
        <v>11</v>
      </c>
      <c r="H505" s="19">
        <f>'Data cleaning and validation(3)'!H493</f>
        <v>106535</v>
      </c>
      <c r="I505" s="8" t="str">
        <f>'Data cleaning and validation(3)'!I493</f>
        <v>Staff Scientist</v>
      </c>
      <c r="J505" s="8" t="str">
        <f>'Data cleaning and validation(3)'!J493</f>
        <v>Northeast</v>
      </c>
      <c r="K505" s="8" t="str">
        <f>'Data cleaning and validation(3)'!K493</f>
        <v>USA</v>
      </c>
      <c r="L505" s="8" t="str">
        <f>'Data cleaning and validation(3)'!L493</f>
        <v>Electronic Equipment</v>
      </c>
      <c r="M505" s="8" t="str">
        <f>'Data cleaning and validation(3)'!M493</f>
        <v>Active</v>
      </c>
      <c r="N505" s="17">
        <f>'Data cleaning and validation(3)'!N493</f>
        <v>1278420</v>
      </c>
      <c r="O505" s="18">
        <f>'Data cleaning and validation(3)'!O493</f>
        <v>10653.5</v>
      </c>
    </row>
    <row r="506" spans="1:15" x14ac:dyDescent="0.35">
      <c r="A506" s="8">
        <f>'Data cleaning and validation(3)'!A494</f>
        <v>493</v>
      </c>
      <c r="B506" s="8" t="str">
        <f>'Data cleaning and validation(3)'!B494</f>
        <v>Banks</v>
      </c>
      <c r="C506" s="8" t="str">
        <f>'Data cleaning and validation(3)'!C494</f>
        <v>bbanksdo@bravesites.com</v>
      </c>
      <c r="D506" s="8" t="str">
        <f>'Data cleaning and validation(3)'!D494</f>
        <v>M</v>
      </c>
      <c r="E506" s="8" t="str">
        <f>'Data cleaning and validation(3)'!E494</f>
        <v>Computers</v>
      </c>
      <c r="F506" s="15">
        <f>'Data cleaning and validation(3)'!F494</f>
        <v>39623</v>
      </c>
      <c r="G506" s="8">
        <f>'Data cleaning and validation(3)'!G494</f>
        <v>13</v>
      </c>
      <c r="H506" s="19">
        <f>'Data cleaning and validation(3)'!H494</f>
        <v>137025</v>
      </c>
      <c r="I506" s="8" t="str">
        <f>'Data cleaning and validation(3)'!I494</f>
        <v>Research Nurse</v>
      </c>
      <c r="J506" s="8" t="str">
        <f>'Data cleaning and validation(3)'!J494</f>
        <v>British Columbia</v>
      </c>
      <c r="K506" s="8" t="str">
        <f>'Data cleaning and validation(3)'!K494</f>
        <v>Canada</v>
      </c>
      <c r="L506" s="8" t="str">
        <f>'Data cleaning and validation(3)'!L494</f>
        <v>Electronic Equipment</v>
      </c>
      <c r="M506" s="8" t="str">
        <f>'Data cleaning and validation(3)'!M494</f>
        <v>Active</v>
      </c>
      <c r="N506" s="17">
        <f>'Data cleaning and validation(3)'!N494</f>
        <v>1644300</v>
      </c>
      <c r="O506" s="18">
        <f>'Data cleaning and validation(3)'!O494</f>
        <v>13702.5</v>
      </c>
    </row>
    <row r="507" spans="1:15" x14ac:dyDescent="0.35">
      <c r="A507" s="8">
        <f>'Data cleaning and validation(3)'!A495</f>
        <v>494</v>
      </c>
      <c r="B507" s="8" t="str">
        <f>'Data cleaning and validation(3)'!B495</f>
        <v>Sullivan</v>
      </c>
      <c r="C507" s="8" t="str">
        <f>'Data cleaning and validation(3)'!C495</f>
        <v>ksullivandp@ucoz.com</v>
      </c>
      <c r="D507" s="8" t="str">
        <f>'Data cleaning and validation(3)'!D495</f>
        <v>M</v>
      </c>
      <c r="E507" s="8" t="str">
        <f>'Data cleaning and validation(3)'!E495</f>
        <v>Industrial</v>
      </c>
      <c r="F507" s="15">
        <f>'Data cleaning and validation(3)'!F495</f>
        <v>38414</v>
      </c>
      <c r="G507" s="8">
        <f>'Data cleaning and validation(3)'!G495</f>
        <v>16</v>
      </c>
      <c r="H507" s="19">
        <f>'Data cleaning and validation(3)'!H495</f>
        <v>71663</v>
      </c>
      <c r="I507" s="8" t="str">
        <f>'Data cleaning and validation(3)'!I495</f>
        <v>Analog Circuit Design manager</v>
      </c>
      <c r="J507" s="8" t="str">
        <f>'Data cleaning and validation(3)'!J495</f>
        <v>Northwest</v>
      </c>
      <c r="K507" s="8" t="str">
        <f>'Data cleaning and validation(3)'!K495</f>
        <v>USA</v>
      </c>
      <c r="L507" s="8" t="str">
        <f>'Data cleaning and validation(3)'!L495</f>
        <v>Auto &amp; Hardware</v>
      </c>
      <c r="M507" s="8" t="str">
        <f>'Data cleaning and validation(3)'!M495</f>
        <v>Active</v>
      </c>
      <c r="N507" s="17">
        <f>'Data cleaning and validation(3)'!N495</f>
        <v>859956</v>
      </c>
      <c r="O507" s="18">
        <f>'Data cleaning and validation(3)'!O495</f>
        <v>7166.3</v>
      </c>
    </row>
    <row r="508" spans="1:15" x14ac:dyDescent="0.35">
      <c r="A508" s="8">
        <f>'Data cleaning and validation(3)'!A496</f>
        <v>495</v>
      </c>
      <c r="B508" s="8" t="str">
        <f>'Data cleaning and validation(3)'!B496</f>
        <v>Black</v>
      </c>
      <c r="C508" s="8" t="str">
        <f>'Data cleaning and validation(3)'!C496</f>
        <v>eblackdq@ihg.com</v>
      </c>
      <c r="D508" s="8" t="str">
        <f>'Data cleaning and validation(3)'!D496</f>
        <v>F</v>
      </c>
      <c r="E508" s="8" t="str">
        <f>'Data cleaning and validation(3)'!E496</f>
        <v>Books</v>
      </c>
      <c r="F508" s="15">
        <f>'Data cleaning and validation(3)'!F496</f>
        <v>38268</v>
      </c>
      <c r="G508" s="8">
        <f>'Data cleaning and validation(3)'!G496</f>
        <v>17</v>
      </c>
      <c r="H508" s="19">
        <f>'Data cleaning and validation(3)'!H496</f>
        <v>80073</v>
      </c>
      <c r="I508" s="8" t="str">
        <f>'Data cleaning and validation(3)'!I496</f>
        <v>Senior Developer</v>
      </c>
      <c r="J508" s="8" t="str">
        <f>'Data cleaning and validation(3)'!J496</f>
        <v>Northwest</v>
      </c>
      <c r="K508" s="8" t="str">
        <f>'Data cleaning and validation(3)'!K496</f>
        <v>USA</v>
      </c>
      <c r="L508" s="8" t="str">
        <f>'Data cleaning and validation(3)'!L496</f>
        <v>Library</v>
      </c>
      <c r="M508" s="8" t="str">
        <f>'Data cleaning and validation(3)'!M496</f>
        <v>Active</v>
      </c>
      <c r="N508" s="17">
        <f>'Data cleaning and validation(3)'!N496</f>
        <v>960876</v>
      </c>
      <c r="O508" s="18">
        <f>'Data cleaning and validation(3)'!O496</f>
        <v>8007.3</v>
      </c>
    </row>
    <row r="509" spans="1:15" x14ac:dyDescent="0.35">
      <c r="A509" s="8">
        <f>'Data cleaning and validation(3)'!A497</f>
        <v>496</v>
      </c>
      <c r="B509" s="8" t="str">
        <f>'Data cleaning and validation(3)'!B497</f>
        <v>Andrews</v>
      </c>
      <c r="C509" s="8" t="str">
        <f>'Data cleaning and validation(3)'!C497</f>
        <v>dandrewsdr@patch.com</v>
      </c>
      <c r="D509" s="8" t="str">
        <f>'Data cleaning and validation(3)'!D497</f>
        <v>M</v>
      </c>
      <c r="E509" s="8" t="str">
        <f>'Data cleaning and validation(3)'!E497</f>
        <v>Beauty</v>
      </c>
      <c r="F509" s="15">
        <f>'Data cleaning and validation(3)'!F497</f>
        <v>39521</v>
      </c>
      <c r="G509" s="8">
        <f>'Data cleaning and validation(3)'!G497</f>
        <v>13</v>
      </c>
      <c r="H509" s="19">
        <f>'Data cleaning and validation(3)'!H497</f>
        <v>40254</v>
      </c>
      <c r="I509" s="8" t="str">
        <f>'Data cleaning and validation(3)'!I497</f>
        <v>Quality Control Specialist</v>
      </c>
      <c r="J509" s="8" t="str">
        <f>'Data cleaning and validation(3)'!J497</f>
        <v>British Columbia</v>
      </c>
      <c r="K509" s="8" t="str">
        <f>'Data cleaning and validation(3)'!K497</f>
        <v>Canada</v>
      </c>
      <c r="L509" s="8" t="str">
        <f>'Data cleaning and validation(3)'!L497</f>
        <v>Domestic</v>
      </c>
      <c r="M509" s="8" t="str">
        <f>'Data cleaning and validation(3)'!M497</f>
        <v>Active</v>
      </c>
      <c r="N509" s="17">
        <f>'Data cleaning and validation(3)'!N497</f>
        <v>483048</v>
      </c>
      <c r="O509" s="18">
        <f>'Data cleaning and validation(3)'!O497</f>
        <v>4025.4</v>
      </c>
    </row>
    <row r="510" spans="1:15" x14ac:dyDescent="0.35">
      <c r="A510" s="8">
        <f>'Data cleaning and validation(3)'!A498</f>
        <v>497</v>
      </c>
      <c r="B510" s="8" t="str">
        <f>'Data cleaning and validation(3)'!B498</f>
        <v>Jenkins</v>
      </c>
      <c r="C510" s="8" t="str">
        <f>'Data cleaning and validation(3)'!C498</f>
        <v>bjenkinsds@kickstarter.com</v>
      </c>
      <c r="D510" s="8" t="str">
        <f>'Data cleaning and validation(3)'!D498</f>
        <v>F</v>
      </c>
      <c r="E510" s="8" t="str">
        <f>'Data cleaning and validation(3)'!E498</f>
        <v>Grocery</v>
      </c>
      <c r="F510" s="15">
        <f>'Data cleaning and validation(3)'!F498</f>
        <v>45361</v>
      </c>
      <c r="G510" s="8">
        <f>'Data cleaning and validation(3)'!G498</f>
        <v>10</v>
      </c>
      <c r="H510" s="19">
        <f>'Data cleaning and validation(3)'!H498</f>
        <v>80027</v>
      </c>
      <c r="I510" s="8" t="str">
        <f>'Data cleaning and validation(3)'!I498</f>
        <v>VP Sales</v>
      </c>
      <c r="J510" s="8" t="str">
        <f>'Data cleaning and validation(3)'!J498</f>
        <v>Northwest</v>
      </c>
      <c r="K510" s="8" t="str">
        <f>'Data cleaning and validation(3)'!K498</f>
        <v>USA</v>
      </c>
      <c r="L510" s="8" t="str">
        <f>'Data cleaning and validation(3)'!L498</f>
        <v>Domestic</v>
      </c>
      <c r="M510" s="8" t="str">
        <f>'Data cleaning and validation(3)'!M498</f>
        <v>Active</v>
      </c>
      <c r="N510" s="17">
        <f>'Data cleaning and validation(3)'!N498</f>
        <v>960324</v>
      </c>
      <c r="O510" s="18">
        <f>'Data cleaning and validation(3)'!O498</f>
        <v>8002.7000000000007</v>
      </c>
    </row>
    <row r="511" spans="1:15" x14ac:dyDescent="0.35">
      <c r="A511" s="8">
        <f>'Data cleaning and validation(3)'!A499</f>
        <v>498</v>
      </c>
      <c r="B511" s="8" t="str">
        <f>'Data cleaning and validation(3)'!B499</f>
        <v>Gutierrez</v>
      </c>
      <c r="C511" s="8" t="str">
        <f>'Data cleaning and validation(3)'!C499</f>
        <v>jgutierrezdt@woothemes.com</v>
      </c>
      <c r="D511" s="8" t="str">
        <f>'Data cleaning and validation(3)'!D499</f>
        <v>F</v>
      </c>
      <c r="E511" s="8" t="str">
        <f>'Data cleaning and validation(3)'!E499</f>
        <v>Garden</v>
      </c>
      <c r="F511" s="15">
        <f>'Data cleaning and validation(3)'!F499</f>
        <v>37125</v>
      </c>
      <c r="G511" s="8">
        <f>'Data cleaning and validation(3)'!G499</f>
        <v>20</v>
      </c>
      <c r="H511" s="19">
        <f>'Data cleaning and validation(3)'!H499</f>
        <v>106994</v>
      </c>
      <c r="I511" s="8" t="str">
        <f>'Data cleaning and validation(3)'!I499</f>
        <v>Technical Writer</v>
      </c>
      <c r="J511" s="8" t="str">
        <f>'Data cleaning and validation(3)'!J499</f>
        <v>Northwest</v>
      </c>
      <c r="K511" s="8" t="str">
        <f>'Data cleaning and validation(3)'!K499</f>
        <v>USA</v>
      </c>
      <c r="L511" s="8" t="str">
        <f>'Data cleaning and validation(3)'!L499</f>
        <v>Outdoors &amp; Garden</v>
      </c>
      <c r="M511" s="8" t="str">
        <f>'Data cleaning and validation(3)'!M499</f>
        <v>Active</v>
      </c>
      <c r="N511" s="17">
        <f>'Data cleaning and validation(3)'!N499</f>
        <v>1283928</v>
      </c>
      <c r="O511" s="18">
        <f>'Data cleaning and validation(3)'!O499</f>
        <v>10699.400000000001</v>
      </c>
    </row>
    <row r="512" spans="1:15" x14ac:dyDescent="0.35">
      <c r="A512" s="8">
        <f>'Data cleaning and validation(3)'!A500</f>
        <v>499</v>
      </c>
      <c r="B512" s="8" t="str">
        <f>'Data cleaning and validation(3)'!B500</f>
        <v>Hansen</v>
      </c>
      <c r="C512" s="8" t="str">
        <f>'Data cleaning and validation(3)'!C500</f>
        <v>jhansendu@timesonline.co.uk</v>
      </c>
      <c r="D512" s="8" t="str">
        <f>'Data cleaning and validation(3)'!D500</f>
        <v>M</v>
      </c>
      <c r="E512" s="8" t="str">
        <f>'Data cleaning and validation(3)'!E500</f>
        <v>Toys</v>
      </c>
      <c r="F512" s="15">
        <f>'Data cleaning and validation(3)'!F500</f>
        <v>37010</v>
      </c>
      <c r="G512" s="8">
        <f>'Data cleaning and validation(3)'!G500</f>
        <v>20</v>
      </c>
      <c r="H512" s="19">
        <f>'Data cleaning and validation(3)'!H500</f>
        <v>145559</v>
      </c>
      <c r="I512" s="8" t="str">
        <f>'Data cleaning and validation(3)'!I500</f>
        <v>Office Assistant III</v>
      </c>
      <c r="J512" s="8" t="str">
        <f>'Data cleaning and validation(3)'!J500</f>
        <v>Southeast</v>
      </c>
      <c r="K512" s="8" t="str">
        <f>'Data cleaning and validation(3)'!K500</f>
        <v>USA</v>
      </c>
      <c r="L512" s="8" t="str">
        <f>'Data cleaning and validation(3)'!L500</f>
        <v>Games &amp; Sports</v>
      </c>
      <c r="M512" s="8" t="str">
        <f>'Data cleaning and validation(3)'!M500</f>
        <v>Active</v>
      </c>
      <c r="N512" s="17">
        <f>'Data cleaning and validation(3)'!N500</f>
        <v>1746708</v>
      </c>
      <c r="O512" s="18">
        <f>'Data cleaning and validation(3)'!O500</f>
        <v>14555.900000000001</v>
      </c>
    </row>
    <row r="513" spans="1:15" x14ac:dyDescent="0.35">
      <c r="A513" s="8">
        <f>'Data cleaning and validation(3)'!A501</f>
        <v>500</v>
      </c>
      <c r="B513" s="8" t="str">
        <f>'Data cleaning and validation(3)'!B501</f>
        <v>Rodriguez</v>
      </c>
      <c r="C513" s="8" t="str">
        <f>'Data cleaning and validation(3)'!C501</f>
        <v>drodriguezdv@histats.com</v>
      </c>
      <c r="D513" s="8" t="str">
        <f>'Data cleaning and validation(3)'!D501</f>
        <v>M</v>
      </c>
      <c r="E513" s="8" t="str">
        <f>'Data cleaning and validation(3)'!E501</f>
        <v>Industrial</v>
      </c>
      <c r="F513" s="15">
        <f>'Data cleaning and validation(3)'!F501</f>
        <v>36971</v>
      </c>
      <c r="G513" s="8">
        <f>'Data cleaning and validation(3)'!G501</f>
        <v>20</v>
      </c>
      <c r="H513" s="19">
        <f>'Data cleaning and validation(3)'!H501</f>
        <v>91994</v>
      </c>
      <c r="I513" s="8" t="str">
        <f>'Data cleaning and validation(3)'!I501</f>
        <v>Actuary</v>
      </c>
      <c r="J513" s="8" t="str">
        <f>'Data cleaning and validation(3)'!J501</f>
        <v>British Columbia</v>
      </c>
      <c r="K513" s="8" t="str">
        <f>'Data cleaning and validation(3)'!K501</f>
        <v>Canada</v>
      </c>
      <c r="L513" s="8" t="str">
        <f>'Data cleaning and validation(3)'!L501</f>
        <v>Auto &amp; Hardware</v>
      </c>
      <c r="M513" s="8" t="str">
        <f>'Data cleaning and validation(3)'!M501</f>
        <v>Active</v>
      </c>
      <c r="N513" s="17">
        <f>'Data cleaning and validation(3)'!N501</f>
        <v>1103928</v>
      </c>
      <c r="O513" s="18">
        <f>'Data cleaning and validation(3)'!O501</f>
        <v>9199.4</v>
      </c>
    </row>
    <row r="514" spans="1:15" x14ac:dyDescent="0.35">
      <c r="A514" s="8">
        <f>'Data cleaning and validation(3)'!A502</f>
        <v>501</v>
      </c>
      <c r="B514" s="8" t="str">
        <f>'Data cleaning and validation(3)'!B502</f>
        <v>Bailey</v>
      </c>
      <c r="C514" s="8" t="str">
        <f>'Data cleaning and validation(3)'!C502</f>
        <v>hbaileydw@networksolutions.com</v>
      </c>
      <c r="D514" s="8" t="str">
        <f>'Data cleaning and validation(3)'!D502</f>
        <v>M</v>
      </c>
      <c r="E514" s="8" t="str">
        <f>'Data cleaning and validation(3)'!E502</f>
        <v>Music</v>
      </c>
      <c r="F514" s="15">
        <f>'Data cleaning and validation(3)'!F502</f>
        <v>37108</v>
      </c>
      <c r="G514" s="8">
        <f>'Data cleaning and validation(3)'!G502</f>
        <v>20</v>
      </c>
      <c r="H514" s="19">
        <f>'Data cleaning and validation(3)'!H502</f>
        <v>138540</v>
      </c>
      <c r="I514" s="8" t="str">
        <f>'Data cleaning and validation(3)'!I502</f>
        <v>Geologist IV</v>
      </c>
      <c r="J514" s="8" t="str">
        <f>'Data cleaning and validation(3)'!J502</f>
        <v>Nova Scotia</v>
      </c>
      <c r="K514" s="8" t="str">
        <f>'Data cleaning and validation(3)'!K502</f>
        <v>Canada</v>
      </c>
      <c r="L514" s="8" t="str">
        <f>'Data cleaning and validation(3)'!L502</f>
        <v>Entertainment</v>
      </c>
      <c r="M514" s="8" t="str">
        <f>'Data cleaning and validation(3)'!M502</f>
        <v>Active</v>
      </c>
      <c r="N514" s="17">
        <f>'Data cleaning and validation(3)'!N502</f>
        <v>1662480</v>
      </c>
      <c r="O514" s="18">
        <f>'Data cleaning and validation(3)'!O502</f>
        <v>13854</v>
      </c>
    </row>
    <row r="515" spans="1:15" x14ac:dyDescent="0.35">
      <c r="A515" s="8">
        <f>'Data cleaning and validation(3)'!A503</f>
        <v>502</v>
      </c>
      <c r="B515" s="8" t="str">
        <f>'Data cleaning and validation(3)'!B503</f>
        <v>Banks</v>
      </c>
      <c r="C515" s="8" t="str">
        <f>'Data cleaning and validation(3)'!C503</f>
        <v>gbanksdx@berkeley.edu</v>
      </c>
      <c r="D515" s="8" t="str">
        <f>'Data cleaning and validation(3)'!D503</f>
        <v>F</v>
      </c>
      <c r="E515" s="8" t="str">
        <f>'Data cleaning and validation(3)'!E503</f>
        <v>Computers</v>
      </c>
      <c r="F515" s="15">
        <f>'Data cleaning and validation(3)'!F503</f>
        <v>45216</v>
      </c>
      <c r="G515" s="8">
        <f>'Data cleaning and validation(3)'!G503</f>
        <v>11</v>
      </c>
      <c r="H515" s="19">
        <f>'Data cleaning and validation(3)'!H503</f>
        <v>136034</v>
      </c>
      <c r="I515" s="8" t="str">
        <f>'Data cleaning and validation(3)'!I503</f>
        <v>Product Engineer</v>
      </c>
      <c r="J515" s="8" t="str">
        <f>'Data cleaning and validation(3)'!J503</f>
        <v>Southwest</v>
      </c>
      <c r="K515" s="8" t="str">
        <f>'Data cleaning and validation(3)'!K503</f>
        <v>USA</v>
      </c>
      <c r="L515" s="8" t="str">
        <f>'Data cleaning and validation(3)'!L503</f>
        <v>Electronic Equipment</v>
      </c>
      <c r="M515" s="8" t="str">
        <f>'Data cleaning and validation(3)'!M503</f>
        <v>Active</v>
      </c>
      <c r="N515" s="17">
        <f>'Data cleaning and validation(3)'!N503</f>
        <v>1632408</v>
      </c>
      <c r="O515" s="18">
        <f>'Data cleaning and validation(3)'!O503</f>
        <v>13603.400000000001</v>
      </c>
    </row>
    <row r="516" spans="1:15" x14ac:dyDescent="0.35">
      <c r="A516" s="8">
        <f>'Data cleaning and validation(3)'!A504</f>
        <v>503</v>
      </c>
      <c r="B516" s="8" t="str">
        <f>'Data cleaning and validation(3)'!B504</f>
        <v>Rose</v>
      </c>
      <c r="C516" s="8" t="str">
        <f>'Data cleaning and validation(3)'!C504</f>
        <v>jrosedy@squarespace.com</v>
      </c>
      <c r="D516" s="8" t="str">
        <f>'Data cleaning and validation(3)'!D504</f>
        <v>F</v>
      </c>
      <c r="E516" s="8" t="str">
        <f>'Data cleaning and validation(3)'!E504</f>
        <v>Baby</v>
      </c>
      <c r="F516" s="15">
        <f>'Data cleaning and validation(3)'!F504</f>
        <v>38005</v>
      </c>
      <c r="G516" s="8">
        <f>'Data cleaning and validation(3)'!G504</f>
        <v>17</v>
      </c>
      <c r="H516" s="19">
        <f>'Data cleaning and validation(3)'!H504</f>
        <v>127291</v>
      </c>
      <c r="I516" s="8" t="str">
        <f>'Data cleaning and validation(3)'!I504</f>
        <v>Accounting Assistant III</v>
      </c>
      <c r="J516" s="8" t="str">
        <f>'Data cleaning and validation(3)'!J504</f>
        <v>Nova Scotia</v>
      </c>
      <c r="K516" s="8" t="str">
        <f>'Data cleaning and validation(3)'!K504</f>
        <v>Canada</v>
      </c>
      <c r="L516" s="8" t="str">
        <f>'Data cleaning and validation(3)'!L504</f>
        <v>Domestic</v>
      </c>
      <c r="M516" s="8" t="str">
        <f>'Data cleaning and validation(3)'!M504</f>
        <v>Active</v>
      </c>
      <c r="N516" s="17">
        <f>'Data cleaning and validation(3)'!N504</f>
        <v>1527492</v>
      </c>
      <c r="O516" s="18">
        <f>'Data cleaning and validation(3)'!O504</f>
        <v>12729.1</v>
      </c>
    </row>
    <row r="517" spans="1:15" x14ac:dyDescent="0.35">
      <c r="A517" s="8">
        <f>'Data cleaning and validation(3)'!A505</f>
        <v>504</v>
      </c>
      <c r="B517" s="8" t="str">
        <f>'Data cleaning and validation(3)'!B505</f>
        <v>Weaver</v>
      </c>
      <c r="C517" s="8" t="str">
        <f>'Data cleaning and validation(3)'!C505</f>
        <v>mweaverdz@ft.com</v>
      </c>
      <c r="D517" s="8" t="str">
        <f>'Data cleaning and validation(3)'!D505</f>
        <v>M</v>
      </c>
      <c r="E517" s="8" t="str">
        <f>'Data cleaning and validation(3)'!E505</f>
        <v>Industrial</v>
      </c>
      <c r="F517" s="15">
        <f>'Data cleaning and validation(3)'!F505</f>
        <v>36604</v>
      </c>
      <c r="G517" s="8">
        <f>'Data cleaning and validation(3)'!G505</f>
        <v>21</v>
      </c>
      <c r="H517" s="19">
        <f>'Data cleaning and validation(3)'!H505</f>
        <v>131283</v>
      </c>
      <c r="I517" s="8" t="str">
        <f>'Data cleaning and validation(3)'!I505</f>
        <v>Staff Scientist</v>
      </c>
      <c r="J517" s="8" t="str">
        <f>'Data cleaning and validation(3)'!J505</f>
        <v>Southwest</v>
      </c>
      <c r="K517" s="8" t="str">
        <f>'Data cleaning and validation(3)'!K505</f>
        <v>USA</v>
      </c>
      <c r="L517" s="8" t="str">
        <f>'Data cleaning and validation(3)'!L505</f>
        <v>Auto &amp; Hardware</v>
      </c>
      <c r="M517" s="8" t="str">
        <f>'Data cleaning and validation(3)'!M505</f>
        <v>Active</v>
      </c>
      <c r="N517" s="17">
        <f>'Data cleaning and validation(3)'!N505</f>
        <v>1575396</v>
      </c>
      <c r="O517" s="18">
        <f>'Data cleaning and validation(3)'!O505</f>
        <v>13128.300000000001</v>
      </c>
    </row>
    <row r="518" spans="1:15" x14ac:dyDescent="0.35">
      <c r="A518" s="8">
        <f>'Data cleaning and validation(3)'!A506</f>
        <v>505</v>
      </c>
      <c r="B518" s="8" t="str">
        <f>'Data cleaning and validation(3)'!B506</f>
        <v>Walker</v>
      </c>
      <c r="C518" s="8" t="str">
        <f>'Data cleaning and validation(3)'!C506</f>
        <v>jwalkere0@oakley.com</v>
      </c>
      <c r="D518" s="8" t="str">
        <f>'Data cleaning and validation(3)'!D506</f>
        <v>M</v>
      </c>
      <c r="E518" s="8" t="str">
        <f>'Data cleaning and validation(3)'!E506</f>
        <v>Computers</v>
      </c>
      <c r="F518" s="15">
        <f>'Data cleaning and validation(3)'!F506</f>
        <v>38523</v>
      </c>
      <c r="G518" s="8">
        <f>'Data cleaning and validation(3)'!G506</f>
        <v>16</v>
      </c>
      <c r="H518" s="19">
        <f>'Data cleaning and validation(3)'!H506</f>
        <v>122108</v>
      </c>
      <c r="I518" s="8" t="str">
        <f>'Data cleaning and validation(3)'!I506</f>
        <v>Analog Circuit Design manager</v>
      </c>
      <c r="J518" s="8" t="str">
        <f>'Data cleaning and validation(3)'!J506</f>
        <v>Nova Scotia</v>
      </c>
      <c r="K518" s="8" t="str">
        <f>'Data cleaning and validation(3)'!K506</f>
        <v>Canada</v>
      </c>
      <c r="L518" s="8" t="str">
        <f>'Data cleaning and validation(3)'!L506</f>
        <v>Electronic Equipment</v>
      </c>
      <c r="M518" s="8" t="str">
        <f>'Data cleaning and validation(3)'!M506</f>
        <v>Active</v>
      </c>
      <c r="N518" s="17">
        <f>'Data cleaning and validation(3)'!N506</f>
        <v>1465296</v>
      </c>
      <c r="O518" s="18">
        <f>'Data cleaning and validation(3)'!O506</f>
        <v>12210.800000000001</v>
      </c>
    </row>
    <row r="519" spans="1:15" x14ac:dyDescent="0.35">
      <c r="A519" s="8">
        <f>'Data cleaning and validation(3)'!A507</f>
        <v>506</v>
      </c>
      <c r="B519" s="8" t="str">
        <f>'Data cleaning and validation(3)'!B507</f>
        <v>Cox</v>
      </c>
      <c r="C519" s="8" t="str">
        <f>'Data cleaning and validation(3)'!C507</f>
        <v>ncoxe1@1und1.de</v>
      </c>
      <c r="D519" s="8" t="str">
        <f>'Data cleaning and validation(3)'!D507</f>
        <v>F</v>
      </c>
      <c r="E519" s="8" t="str">
        <f>'Data cleaning and validation(3)'!E507</f>
        <v>Home</v>
      </c>
      <c r="F519" s="15">
        <f>'Data cleaning and validation(3)'!F507</f>
        <v>44197</v>
      </c>
      <c r="G519" s="8">
        <f>'Data cleaning and validation(3)'!G507</f>
        <v>13</v>
      </c>
      <c r="H519" s="19">
        <f>'Data cleaning and validation(3)'!H507</f>
        <v>49048</v>
      </c>
      <c r="I519" s="8" t="str">
        <f>'Data cleaning and validation(3)'!I507</f>
        <v>Sales Associate</v>
      </c>
      <c r="J519" s="8" t="str">
        <f>'Data cleaning and validation(3)'!J507</f>
        <v>Northeast</v>
      </c>
      <c r="K519" s="8" t="str">
        <f>'Data cleaning and validation(3)'!K507</f>
        <v>USA</v>
      </c>
      <c r="L519" s="8" t="str">
        <f>'Data cleaning and validation(3)'!L507</f>
        <v>Domestic</v>
      </c>
      <c r="M519" s="8" t="str">
        <f>'Data cleaning and validation(3)'!M507</f>
        <v>Active</v>
      </c>
      <c r="N519" s="17">
        <f>'Data cleaning and validation(3)'!N507</f>
        <v>588576</v>
      </c>
      <c r="O519" s="18">
        <f>'Data cleaning and validation(3)'!O507</f>
        <v>4904.8</v>
      </c>
    </row>
    <row r="520" spans="1:15" x14ac:dyDescent="0.35">
      <c r="A520" s="8">
        <f>'Data cleaning and validation(3)'!A508</f>
        <v>507</v>
      </c>
      <c r="B520" s="8" t="str">
        <f>'Data cleaning and validation(3)'!B508</f>
        <v>Reed</v>
      </c>
      <c r="C520" s="8" t="str">
        <f>'Data cleaning and validation(3)'!C508</f>
        <v>preede2@who.int</v>
      </c>
      <c r="D520" s="8" t="str">
        <f>'Data cleaning and validation(3)'!D508</f>
        <v>F</v>
      </c>
      <c r="E520" s="8" t="str">
        <f>'Data cleaning and validation(3)'!E508</f>
        <v>Baby</v>
      </c>
      <c r="F520" s="15">
        <f>'Data cleaning and validation(3)'!F508</f>
        <v>45962</v>
      </c>
      <c r="G520" s="8">
        <f>'Data cleaning and validation(3)'!G508</f>
        <v>9</v>
      </c>
      <c r="H520" s="19">
        <f>'Data cleaning and validation(3)'!H508</f>
        <v>97427</v>
      </c>
      <c r="I520" s="8" t="str">
        <f>'Data cleaning and validation(3)'!I508</f>
        <v>Occupational Therapist</v>
      </c>
      <c r="J520" s="8" t="str">
        <f>'Data cleaning and validation(3)'!J508</f>
        <v>Quebec</v>
      </c>
      <c r="K520" s="8" t="str">
        <f>'Data cleaning and validation(3)'!K508</f>
        <v>Canada</v>
      </c>
      <c r="L520" s="8" t="str">
        <f>'Data cleaning and validation(3)'!L508</f>
        <v>Domestic</v>
      </c>
      <c r="M520" s="8" t="str">
        <f>'Data cleaning and validation(3)'!M508</f>
        <v>Active</v>
      </c>
      <c r="N520" s="17">
        <f>'Data cleaning and validation(3)'!N508</f>
        <v>1169124</v>
      </c>
      <c r="O520" s="18">
        <f>'Data cleaning and validation(3)'!O508</f>
        <v>9742.7000000000007</v>
      </c>
    </row>
    <row r="521" spans="1:15" x14ac:dyDescent="0.35">
      <c r="A521" s="8">
        <f>'Data cleaning and validation(3)'!A509</f>
        <v>508</v>
      </c>
      <c r="B521" s="8" t="str">
        <f>'Data cleaning and validation(3)'!B509</f>
        <v>Marshall</v>
      </c>
      <c r="C521" s="8" t="str">
        <f>'Data cleaning and validation(3)'!C509</f>
        <v>dmarshalle3@about.me</v>
      </c>
      <c r="D521" s="8" t="str">
        <f>'Data cleaning and validation(3)'!D509</f>
        <v>M</v>
      </c>
      <c r="E521" s="8" t="str">
        <f>'Data cleaning and validation(3)'!E509</f>
        <v>Computers</v>
      </c>
      <c r="F521" s="15">
        <f>'Data cleaning and validation(3)'!F509</f>
        <v>39216</v>
      </c>
      <c r="G521" s="8">
        <f>'Data cleaning and validation(3)'!G509</f>
        <v>14</v>
      </c>
      <c r="H521" s="19">
        <f>'Data cleaning and validation(3)'!H509</f>
        <v>90960</v>
      </c>
      <c r="I521" s="8" t="str">
        <f>'Data cleaning and validation(3)'!I509</f>
        <v>Software Test Engineer II</v>
      </c>
      <c r="J521" s="8" t="str">
        <f>'Data cleaning and validation(3)'!J509</f>
        <v>Nova Scotia</v>
      </c>
      <c r="K521" s="8" t="str">
        <f>'Data cleaning and validation(3)'!K509</f>
        <v>Canada</v>
      </c>
      <c r="L521" s="8" t="str">
        <f>'Data cleaning and validation(3)'!L509</f>
        <v>Electronic Equipment</v>
      </c>
      <c r="M521" s="8" t="str">
        <f>'Data cleaning and validation(3)'!M509</f>
        <v>Active</v>
      </c>
      <c r="N521" s="17">
        <f>'Data cleaning and validation(3)'!N509</f>
        <v>1091520</v>
      </c>
      <c r="O521" s="18">
        <f>'Data cleaning and validation(3)'!O509</f>
        <v>9096</v>
      </c>
    </row>
    <row r="522" spans="1:15" x14ac:dyDescent="0.35">
      <c r="A522" s="8">
        <f>'Data cleaning and validation(3)'!A510</f>
        <v>509</v>
      </c>
      <c r="B522" s="8" t="str">
        <f>'Data cleaning and validation(3)'!B510</f>
        <v>Gonzalez</v>
      </c>
      <c r="C522" s="8" t="str">
        <f>'Data cleaning and validation(3)'!C510</f>
        <v>rgonzaleze4@furl.net</v>
      </c>
      <c r="D522" s="8" t="str">
        <f>'Data cleaning and validation(3)'!D510</f>
        <v>M</v>
      </c>
      <c r="E522" s="8" t="str">
        <f>'Data cleaning and validation(3)'!E510</f>
        <v>Health</v>
      </c>
      <c r="F522" s="15">
        <f>'Data cleaning and validation(3)'!F510</f>
        <v>40907</v>
      </c>
      <c r="G522" s="8">
        <f>'Data cleaning and validation(3)'!G510</f>
        <v>10</v>
      </c>
      <c r="H522" s="19">
        <f>'Data cleaning and validation(3)'!H510</f>
        <v>43986</v>
      </c>
      <c r="I522" s="8" t="str">
        <f>'Data cleaning and validation(3)'!I510</f>
        <v>Geologist IV</v>
      </c>
      <c r="J522" s="8" t="str">
        <f>'Data cleaning and validation(3)'!J510</f>
        <v>Northwest</v>
      </c>
      <c r="K522" s="8" t="str">
        <f>'Data cleaning and validation(3)'!K510</f>
        <v>USA</v>
      </c>
      <c r="L522" s="8" t="str">
        <f>'Data cleaning and validation(3)'!L510</f>
        <v>Domestic</v>
      </c>
      <c r="M522" s="8" t="str">
        <f>'Data cleaning and validation(3)'!M510</f>
        <v>Active</v>
      </c>
      <c r="N522" s="17">
        <f>'Data cleaning and validation(3)'!N510</f>
        <v>527832</v>
      </c>
      <c r="O522" s="18">
        <f>'Data cleaning and validation(3)'!O510</f>
        <v>4398.6000000000004</v>
      </c>
    </row>
    <row r="523" spans="1:15" x14ac:dyDescent="0.35">
      <c r="A523" s="8">
        <f>'Data cleaning and validation(3)'!A511</f>
        <v>510</v>
      </c>
      <c r="B523" s="8" t="str">
        <f>'Data cleaning and validation(3)'!B511</f>
        <v>Lawrence</v>
      </c>
      <c r="C523" s="8" t="str">
        <f>'Data cleaning and validation(3)'!C511</f>
        <v>rlawrencee5@hhs.gov</v>
      </c>
      <c r="D523" s="8" t="str">
        <f>'Data cleaning and validation(3)'!D511</f>
        <v>M</v>
      </c>
      <c r="E523" s="8" t="str">
        <f>'Data cleaning and validation(3)'!E511</f>
        <v>Outdoors</v>
      </c>
      <c r="F523" s="15">
        <f>'Data cleaning and validation(3)'!F511</f>
        <v>41964</v>
      </c>
      <c r="G523" s="8">
        <f>'Data cleaning and validation(3)'!G511</f>
        <v>7</v>
      </c>
      <c r="H523" s="19">
        <f>'Data cleaning and validation(3)'!H511</f>
        <v>108748</v>
      </c>
      <c r="I523" s="8" t="str">
        <f>'Data cleaning and validation(3)'!I511</f>
        <v>Senior Editor</v>
      </c>
      <c r="J523" s="8" t="str">
        <f>'Data cleaning and validation(3)'!J511</f>
        <v>Southwest</v>
      </c>
      <c r="K523" s="8" t="str">
        <f>'Data cleaning and validation(3)'!K511</f>
        <v>USA</v>
      </c>
      <c r="L523" s="8" t="str">
        <f>'Data cleaning and validation(3)'!L511</f>
        <v>Outdoors &amp; Garden</v>
      </c>
      <c r="M523" s="8" t="str">
        <f>'Data cleaning and validation(3)'!M511</f>
        <v>Active</v>
      </c>
      <c r="N523" s="17">
        <f>'Data cleaning and validation(3)'!N511</f>
        <v>1304976</v>
      </c>
      <c r="O523" s="18">
        <f>'Data cleaning and validation(3)'!O511</f>
        <v>10874.800000000001</v>
      </c>
    </row>
    <row r="524" spans="1:15" x14ac:dyDescent="0.35">
      <c r="A524" s="8">
        <f>'Data cleaning and validation(3)'!A512</f>
        <v>511</v>
      </c>
      <c r="B524" s="8" t="str">
        <f>'Data cleaning and validation(3)'!B512</f>
        <v>Medina</v>
      </c>
      <c r="C524" s="8" t="str">
        <f>'Data cleaning and validation(3)'!C512</f>
        <v>tmedinae6@g.co</v>
      </c>
      <c r="D524" s="8" t="str">
        <f>'Data cleaning and validation(3)'!D512</f>
        <v>F</v>
      </c>
      <c r="E524" s="8" t="str">
        <f>'Data cleaning and validation(3)'!E512</f>
        <v>Industrial</v>
      </c>
      <c r="F524" s="15">
        <f>'Data cleaning and validation(3)'!F512</f>
        <v>39054</v>
      </c>
      <c r="G524" s="8">
        <f>'Data cleaning and validation(3)'!G512</f>
        <v>15</v>
      </c>
      <c r="H524" s="19">
        <f>'Data cleaning and validation(3)'!H512</f>
        <v>102149</v>
      </c>
      <c r="I524" s="8" t="str">
        <f>'Data cleaning and validation(3)'!I512</f>
        <v>Sales Representative</v>
      </c>
      <c r="J524" s="8" t="str">
        <f>'Data cleaning and validation(3)'!J512</f>
        <v>British Columbia</v>
      </c>
      <c r="K524" s="8" t="str">
        <f>'Data cleaning and validation(3)'!K512</f>
        <v>Canada</v>
      </c>
      <c r="L524" s="8" t="str">
        <f>'Data cleaning and validation(3)'!L512</f>
        <v>Auto &amp; Hardware</v>
      </c>
      <c r="M524" s="8" t="str">
        <f>'Data cleaning and validation(3)'!M512</f>
        <v>Active</v>
      </c>
      <c r="N524" s="17">
        <f>'Data cleaning and validation(3)'!N512</f>
        <v>1225788</v>
      </c>
      <c r="O524" s="18">
        <f>'Data cleaning and validation(3)'!O512</f>
        <v>10214.900000000001</v>
      </c>
    </row>
    <row r="525" spans="1:15" x14ac:dyDescent="0.35">
      <c r="A525" s="8">
        <f>'Data cleaning and validation(3)'!A513</f>
        <v>512</v>
      </c>
      <c r="B525" s="8" t="str">
        <f>'Data cleaning and validation(3)'!B513</f>
        <v>Carpenter</v>
      </c>
      <c r="C525" s="8" t="str">
        <f>'Data cleaning and validation(3)'!C513</f>
        <v>rcarpentere7@blog.com</v>
      </c>
      <c r="D525" s="8" t="str">
        <f>'Data cleaning and validation(3)'!D513</f>
        <v>M</v>
      </c>
      <c r="E525" s="8" t="str">
        <f>'Data cleaning and validation(3)'!E513</f>
        <v>Outdoors</v>
      </c>
      <c r="F525" s="15">
        <f>'Data cleaning and validation(3)'!F513</f>
        <v>39612</v>
      </c>
      <c r="G525" s="8">
        <f>'Data cleaning and validation(3)'!G513</f>
        <v>13</v>
      </c>
      <c r="H525" s="19">
        <f>'Data cleaning and validation(3)'!H513</f>
        <v>133360</v>
      </c>
      <c r="I525" s="8" t="str">
        <f>'Data cleaning and validation(3)'!I513</f>
        <v>Research Nurse</v>
      </c>
      <c r="J525" s="8" t="str">
        <f>'Data cleaning and validation(3)'!J513</f>
        <v>Nova Scotia</v>
      </c>
      <c r="K525" s="8" t="str">
        <f>'Data cleaning and validation(3)'!K513</f>
        <v>Canada</v>
      </c>
      <c r="L525" s="8" t="str">
        <f>'Data cleaning and validation(3)'!L513</f>
        <v>Outdoors &amp; Garden</v>
      </c>
      <c r="M525" s="8" t="str">
        <f>'Data cleaning and validation(3)'!M513</f>
        <v>Active</v>
      </c>
      <c r="N525" s="17">
        <f>'Data cleaning and validation(3)'!N513</f>
        <v>1600320</v>
      </c>
      <c r="O525" s="18">
        <f>'Data cleaning and validation(3)'!O513</f>
        <v>13336</v>
      </c>
    </row>
    <row r="526" spans="1:15" x14ac:dyDescent="0.35">
      <c r="A526" s="8">
        <f>'Data cleaning and validation(3)'!A514</f>
        <v>513</v>
      </c>
      <c r="B526" s="8" t="str">
        <f>'Data cleaning and validation(3)'!B514</f>
        <v>Carter</v>
      </c>
      <c r="C526" s="8" t="str">
        <f>'Data cleaning and validation(3)'!C514</f>
        <v>mcartere8@twitpic.com</v>
      </c>
      <c r="D526" s="8" t="str">
        <f>'Data cleaning and validation(3)'!D514</f>
        <v>F</v>
      </c>
      <c r="E526" s="8" t="str">
        <f>'Data cleaning and validation(3)'!E514</f>
        <v>Garden</v>
      </c>
      <c r="F526" s="15">
        <f>'Data cleaning and validation(3)'!F514</f>
        <v>38177</v>
      </c>
      <c r="G526" s="8">
        <f>'Data cleaning and validation(3)'!G514</f>
        <v>17</v>
      </c>
      <c r="H526" s="19">
        <f>'Data cleaning and validation(3)'!H514</f>
        <v>70814</v>
      </c>
      <c r="I526" s="8" t="str">
        <f>'Data cleaning and validation(3)'!I514</f>
        <v>Account Representative I</v>
      </c>
      <c r="J526" s="8" t="str">
        <f>'Data cleaning and validation(3)'!J514</f>
        <v>Southwest</v>
      </c>
      <c r="K526" s="8" t="str">
        <f>'Data cleaning and validation(3)'!K514</f>
        <v>USA</v>
      </c>
      <c r="L526" s="8" t="str">
        <f>'Data cleaning and validation(3)'!L514</f>
        <v>Outdoors &amp; Garden</v>
      </c>
      <c r="M526" s="8" t="str">
        <f>'Data cleaning and validation(3)'!M514</f>
        <v>Active</v>
      </c>
      <c r="N526" s="17">
        <f>'Data cleaning and validation(3)'!N514</f>
        <v>849768</v>
      </c>
      <c r="O526" s="18">
        <f>'Data cleaning and validation(3)'!O514</f>
        <v>7081.4000000000005</v>
      </c>
    </row>
    <row r="527" spans="1:15" x14ac:dyDescent="0.35">
      <c r="A527" s="8">
        <f>'Data cleaning and validation(3)'!A515</f>
        <v>514</v>
      </c>
      <c r="B527" s="8" t="str">
        <f>'Data cleaning and validation(3)'!B515</f>
        <v>Peters</v>
      </c>
      <c r="C527" s="8" t="str">
        <f>'Data cleaning and validation(3)'!C515</f>
        <v>gpeterse9@people.com.cn</v>
      </c>
      <c r="D527" s="8" t="str">
        <f>'Data cleaning and validation(3)'!D515</f>
        <v>M</v>
      </c>
      <c r="E527" s="8" t="str">
        <f>'Data cleaning and validation(3)'!E515</f>
        <v>Grocery</v>
      </c>
      <c r="F527" s="15">
        <f>'Data cleaning and validation(3)'!F515</f>
        <v>40530</v>
      </c>
      <c r="G527" s="8">
        <f>'Data cleaning and validation(3)'!G515</f>
        <v>11</v>
      </c>
      <c r="H527" s="19">
        <f>'Data cleaning and validation(3)'!H515</f>
        <v>132037</v>
      </c>
      <c r="I527" s="8" t="str">
        <f>'Data cleaning and validation(3)'!I515</f>
        <v>Web Developer IV</v>
      </c>
      <c r="J527" s="8" t="str">
        <f>'Data cleaning and validation(3)'!J515</f>
        <v>Quebec</v>
      </c>
      <c r="K527" s="8" t="str">
        <f>'Data cleaning and validation(3)'!K515</f>
        <v>Canada</v>
      </c>
      <c r="L527" s="8" t="str">
        <f>'Data cleaning and validation(3)'!L515</f>
        <v>Domestic</v>
      </c>
      <c r="M527" s="8" t="str">
        <f>'Data cleaning and validation(3)'!M515</f>
        <v>Active</v>
      </c>
      <c r="N527" s="17">
        <f>'Data cleaning and validation(3)'!N515</f>
        <v>1584444</v>
      </c>
      <c r="O527" s="18">
        <f>'Data cleaning and validation(3)'!O515</f>
        <v>13203.7</v>
      </c>
    </row>
    <row r="528" spans="1:15" x14ac:dyDescent="0.35">
      <c r="A528" s="8">
        <f>'Data cleaning and validation(3)'!A516</f>
        <v>515</v>
      </c>
      <c r="B528" s="8" t="str">
        <f>'Data cleaning and validation(3)'!B516</f>
        <v>Gomez</v>
      </c>
      <c r="C528" s="8" t="str">
        <f>'Data cleaning and validation(3)'!C516</f>
        <v>kgomezea@bloglovin.com</v>
      </c>
      <c r="D528" s="8" t="str">
        <f>'Data cleaning and validation(3)'!D516</f>
        <v>M</v>
      </c>
      <c r="E528" s="8" t="str">
        <f>'Data cleaning and validation(3)'!E516</f>
        <v>Clothing</v>
      </c>
      <c r="F528" s="15">
        <f>'Data cleaning and validation(3)'!F516</f>
        <v>37377</v>
      </c>
      <c r="G528" s="8">
        <f>'Data cleaning and validation(3)'!G516</f>
        <v>19</v>
      </c>
      <c r="H528" s="19">
        <f>'Data cleaning and validation(3)'!H516</f>
        <v>55747</v>
      </c>
      <c r="I528" s="8" t="str">
        <f>'Data cleaning and validation(3)'!I516</f>
        <v>Human Resources Assistant I</v>
      </c>
      <c r="J528" s="8" t="str">
        <f>'Data cleaning and validation(3)'!J516</f>
        <v>Northeast</v>
      </c>
      <c r="K528" s="8" t="str">
        <f>'Data cleaning and validation(3)'!K516</f>
        <v>USA</v>
      </c>
      <c r="L528" s="8" t="str">
        <f>'Data cleaning and validation(3)'!L516</f>
        <v>Domestic</v>
      </c>
      <c r="M528" s="8" t="str">
        <f>'Data cleaning and validation(3)'!M516</f>
        <v>Active</v>
      </c>
      <c r="N528" s="17">
        <f>'Data cleaning and validation(3)'!N516</f>
        <v>668964</v>
      </c>
      <c r="O528" s="18">
        <f>'Data cleaning and validation(3)'!O516</f>
        <v>5574.7000000000007</v>
      </c>
    </row>
    <row r="529" spans="1:15" x14ac:dyDescent="0.35">
      <c r="A529" s="8">
        <f>'Data cleaning and validation(3)'!A517</f>
        <v>516</v>
      </c>
      <c r="B529" s="8" t="str">
        <f>'Data cleaning and validation(3)'!B517</f>
        <v>Stanley</v>
      </c>
      <c r="C529" s="8" t="str">
        <f>'Data cleaning and validation(3)'!C517</f>
        <v>rstanleyeb@alibaba.com</v>
      </c>
      <c r="D529" s="8" t="str">
        <f>'Data cleaning and validation(3)'!D517</f>
        <v>F</v>
      </c>
      <c r="E529" s="8" t="str">
        <f>'Data cleaning and validation(3)'!E517</f>
        <v>Toys</v>
      </c>
      <c r="F529" s="15">
        <f>'Data cleaning and validation(3)'!F517</f>
        <v>38877</v>
      </c>
      <c r="G529" s="8">
        <f>'Data cleaning and validation(3)'!G517</f>
        <v>15</v>
      </c>
      <c r="H529" s="19">
        <f>'Data cleaning and validation(3)'!H517</f>
        <v>89324</v>
      </c>
      <c r="I529" s="8" t="str">
        <f>'Data cleaning and validation(3)'!I517</f>
        <v>Systems Administrator IV</v>
      </c>
      <c r="J529" s="8" t="str">
        <f>'Data cleaning and validation(3)'!J517</f>
        <v>Northwest</v>
      </c>
      <c r="K529" s="8" t="str">
        <f>'Data cleaning and validation(3)'!K517</f>
        <v>USA</v>
      </c>
      <c r="L529" s="8" t="str">
        <f>'Data cleaning and validation(3)'!L517</f>
        <v>Games &amp; Sports</v>
      </c>
      <c r="M529" s="8" t="str">
        <f>'Data cleaning and validation(3)'!M517</f>
        <v>Active</v>
      </c>
      <c r="N529" s="17">
        <f>'Data cleaning and validation(3)'!N517</f>
        <v>1071888</v>
      </c>
      <c r="O529" s="18">
        <f>'Data cleaning and validation(3)'!O517</f>
        <v>8932.4</v>
      </c>
    </row>
    <row r="530" spans="1:15" x14ac:dyDescent="0.35">
      <c r="A530" s="8">
        <f>'Data cleaning and validation(3)'!A518</f>
        <v>517</v>
      </c>
      <c r="B530" s="8" t="str">
        <f>'Data cleaning and validation(3)'!B518</f>
        <v>Carpenter</v>
      </c>
      <c r="C530" s="8" t="str">
        <f>'Data cleaning and validation(3)'!C518</f>
        <v>lcarpenterec@technorati.com</v>
      </c>
      <c r="D530" s="8" t="str">
        <f>'Data cleaning and validation(3)'!D518</f>
        <v>M</v>
      </c>
      <c r="E530" s="8" t="str">
        <f>'Data cleaning and validation(3)'!E518</f>
        <v>Computers</v>
      </c>
      <c r="F530" s="15">
        <f>'Data cleaning and validation(3)'!F518</f>
        <v>40582</v>
      </c>
      <c r="G530" s="8">
        <f>'Data cleaning and validation(3)'!G518</f>
        <v>10</v>
      </c>
      <c r="H530" s="19">
        <f>'Data cleaning and validation(3)'!H518</f>
        <v>124418</v>
      </c>
      <c r="I530" s="8" t="str">
        <f>'Data cleaning and validation(3)'!I518</f>
        <v>Chief Design Engineer</v>
      </c>
      <c r="J530" s="8" t="str">
        <f>'Data cleaning and validation(3)'!J518</f>
        <v>Nova Scotia</v>
      </c>
      <c r="K530" s="8" t="str">
        <f>'Data cleaning and validation(3)'!K518</f>
        <v>Canada</v>
      </c>
      <c r="L530" s="8" t="str">
        <f>'Data cleaning and validation(3)'!L518</f>
        <v>Electronic Equipment</v>
      </c>
      <c r="M530" s="8" t="str">
        <f>'Data cleaning and validation(3)'!M518</f>
        <v>Active</v>
      </c>
      <c r="N530" s="17">
        <f>'Data cleaning and validation(3)'!N518</f>
        <v>1493016</v>
      </c>
      <c r="O530" s="18">
        <f>'Data cleaning and validation(3)'!O518</f>
        <v>12441.800000000001</v>
      </c>
    </row>
    <row r="531" spans="1:15" x14ac:dyDescent="0.35">
      <c r="A531" s="8">
        <f>'Data cleaning and validation(3)'!A519</f>
        <v>518</v>
      </c>
      <c r="B531" s="8" t="str">
        <f>'Data cleaning and validation(3)'!B519</f>
        <v>Peters</v>
      </c>
      <c r="C531" s="8" t="str">
        <f>'Data cleaning and validation(3)'!C519</f>
        <v>cpetersed@goo.ne.jp</v>
      </c>
      <c r="D531" s="8" t="str">
        <f>'Data cleaning and validation(3)'!D519</f>
        <v>F</v>
      </c>
      <c r="E531" s="8" t="str">
        <f>'Data cleaning and validation(3)'!E519</f>
        <v>Grocery</v>
      </c>
      <c r="F531" s="15">
        <f>'Data cleaning and validation(3)'!F519</f>
        <v>38711</v>
      </c>
      <c r="G531" s="8">
        <f>'Data cleaning and validation(3)'!G519</f>
        <v>16</v>
      </c>
      <c r="H531" s="19">
        <f>'Data cleaning and validation(3)'!H519</f>
        <v>138093</v>
      </c>
      <c r="I531" s="8" t="str">
        <f>'Data cleaning and validation(3)'!I519</f>
        <v>Human Resources Assistant I</v>
      </c>
      <c r="J531" s="8" t="str">
        <f>'Data cleaning and validation(3)'!J519</f>
        <v>Northwest</v>
      </c>
      <c r="K531" s="8" t="str">
        <f>'Data cleaning and validation(3)'!K519</f>
        <v>USA</v>
      </c>
      <c r="L531" s="8" t="str">
        <f>'Data cleaning and validation(3)'!L519</f>
        <v>Domestic</v>
      </c>
      <c r="M531" s="8" t="str">
        <f>'Data cleaning and validation(3)'!M519</f>
        <v>Active</v>
      </c>
      <c r="N531" s="17">
        <f>'Data cleaning and validation(3)'!N519</f>
        <v>1657116</v>
      </c>
      <c r="O531" s="18">
        <f>'Data cleaning and validation(3)'!O519</f>
        <v>13809.300000000001</v>
      </c>
    </row>
    <row r="532" spans="1:15" x14ac:dyDescent="0.35">
      <c r="A532" s="8">
        <f>'Data cleaning and validation(3)'!A520</f>
        <v>519</v>
      </c>
      <c r="B532" s="8" t="str">
        <f>'Data cleaning and validation(3)'!B520</f>
        <v>Hamilton</v>
      </c>
      <c r="C532" s="8" t="str">
        <f>'Data cleaning and validation(3)'!C520</f>
        <v>chamiltonee@google.es</v>
      </c>
      <c r="D532" s="8" t="str">
        <f>'Data cleaning and validation(3)'!D520</f>
        <v>M</v>
      </c>
      <c r="E532" s="8" t="str">
        <f>'Data cleaning and validation(3)'!E520</f>
        <v>Electronics</v>
      </c>
      <c r="F532" s="15">
        <f>'Data cleaning and validation(3)'!F520</f>
        <v>37859</v>
      </c>
      <c r="G532" s="8">
        <f>'Data cleaning and validation(3)'!G520</f>
        <v>18</v>
      </c>
      <c r="H532" s="19">
        <f>'Data cleaning and validation(3)'!H520</f>
        <v>141340</v>
      </c>
      <c r="I532" s="8" t="str">
        <f>'Data cleaning and validation(3)'!I520</f>
        <v>Budget/Accounting Analyst III</v>
      </c>
      <c r="J532" s="8" t="str">
        <f>'Data cleaning and validation(3)'!J520</f>
        <v>Southwest</v>
      </c>
      <c r="K532" s="8" t="str">
        <f>'Data cleaning and validation(3)'!K520</f>
        <v>USA</v>
      </c>
      <c r="L532" s="8" t="str">
        <f>'Data cleaning and validation(3)'!L520</f>
        <v>Electronic Equipment</v>
      </c>
      <c r="M532" s="8" t="str">
        <f>'Data cleaning and validation(3)'!M520</f>
        <v>Active</v>
      </c>
      <c r="N532" s="17">
        <f>'Data cleaning and validation(3)'!N520</f>
        <v>1696080</v>
      </c>
      <c r="O532" s="18">
        <f>'Data cleaning and validation(3)'!O520</f>
        <v>14134</v>
      </c>
    </row>
    <row r="533" spans="1:15" x14ac:dyDescent="0.35">
      <c r="A533" s="8">
        <f>'Data cleaning and validation(3)'!A521</f>
        <v>520</v>
      </c>
      <c r="B533" s="8" t="str">
        <f>'Data cleaning and validation(3)'!B521</f>
        <v>Owens</v>
      </c>
      <c r="C533" s="8" t="str">
        <f>'Data cleaning and validation(3)'!C521</f>
        <v>sowensef@ted.com</v>
      </c>
      <c r="D533" s="8" t="str">
        <f>'Data cleaning and validation(3)'!D521</f>
        <v>M</v>
      </c>
      <c r="E533" s="8" t="str">
        <f>'Data cleaning and validation(3)'!E521</f>
        <v>Industrial</v>
      </c>
      <c r="F533" s="15">
        <f>'Data cleaning and validation(3)'!F521</f>
        <v>38870</v>
      </c>
      <c r="G533" s="8">
        <f>'Data cleaning and validation(3)'!G521</f>
        <v>15</v>
      </c>
      <c r="H533" s="19">
        <f>'Data cleaning and validation(3)'!H521</f>
        <v>54672</v>
      </c>
      <c r="I533" s="8" t="str">
        <f>'Data cleaning and validation(3)'!I521</f>
        <v>Structural Engineer</v>
      </c>
      <c r="J533" s="8" t="str">
        <f>'Data cleaning and validation(3)'!J521</f>
        <v>Southwest</v>
      </c>
      <c r="K533" s="8" t="str">
        <f>'Data cleaning and validation(3)'!K521</f>
        <v>USA</v>
      </c>
      <c r="L533" s="8" t="str">
        <f>'Data cleaning and validation(3)'!L521</f>
        <v>Auto &amp; Hardware</v>
      </c>
      <c r="M533" s="8" t="str">
        <f>'Data cleaning and validation(3)'!M521</f>
        <v>Active</v>
      </c>
      <c r="N533" s="17">
        <f>'Data cleaning and validation(3)'!N521</f>
        <v>656064</v>
      </c>
      <c r="O533" s="18">
        <f>'Data cleaning and validation(3)'!O521</f>
        <v>5467.2000000000007</v>
      </c>
    </row>
    <row r="534" spans="1:15" x14ac:dyDescent="0.35">
      <c r="A534" s="8">
        <f>'Data cleaning and validation(3)'!A522</f>
        <v>521</v>
      </c>
      <c r="B534" s="8" t="str">
        <f>'Data cleaning and validation(3)'!B522</f>
        <v>Williamson</v>
      </c>
      <c r="C534" s="8" t="str">
        <f>'Data cleaning and validation(3)'!C522</f>
        <v>dwilliamsoneg@creativecommons.org</v>
      </c>
      <c r="D534" s="8" t="str">
        <f>'Data cleaning and validation(3)'!D522</f>
        <v>M</v>
      </c>
      <c r="E534" s="8" t="str">
        <f>'Data cleaning and validation(3)'!E522</f>
        <v>Clothing</v>
      </c>
      <c r="F534" s="15">
        <f>'Data cleaning and validation(3)'!F522</f>
        <v>37900</v>
      </c>
      <c r="G534" s="8">
        <f>'Data cleaning and validation(3)'!G522</f>
        <v>18</v>
      </c>
      <c r="H534" s="19">
        <f>'Data cleaning and validation(3)'!H522</f>
        <v>118602</v>
      </c>
      <c r="I534" s="8" t="str">
        <f>'Data cleaning and validation(3)'!I522</f>
        <v>Director of Sales</v>
      </c>
      <c r="J534" s="8" t="str">
        <f>'Data cleaning and validation(3)'!J522</f>
        <v>British Columbia</v>
      </c>
      <c r="K534" s="8" t="str">
        <f>'Data cleaning and validation(3)'!K522</f>
        <v>Canada</v>
      </c>
      <c r="L534" s="8" t="str">
        <f>'Data cleaning and validation(3)'!L522</f>
        <v>Domestic</v>
      </c>
      <c r="M534" s="8" t="str">
        <f>'Data cleaning and validation(3)'!M522</f>
        <v>Active</v>
      </c>
      <c r="N534" s="17">
        <f>'Data cleaning and validation(3)'!N522</f>
        <v>1423224</v>
      </c>
      <c r="O534" s="18">
        <f>'Data cleaning and validation(3)'!O522</f>
        <v>11860.2</v>
      </c>
    </row>
    <row r="535" spans="1:15" x14ac:dyDescent="0.35">
      <c r="A535" s="8">
        <f>'Data cleaning and validation(3)'!A523</f>
        <v>522</v>
      </c>
      <c r="B535" s="8" t="str">
        <f>'Data cleaning and validation(3)'!B523</f>
        <v>Flores</v>
      </c>
      <c r="C535" s="8" t="str">
        <f>'Data cleaning and validation(3)'!C523</f>
        <v>lfloreseh@tinyurl.com</v>
      </c>
      <c r="D535" s="8" t="str">
        <f>'Data cleaning and validation(3)'!D523</f>
        <v>M</v>
      </c>
      <c r="E535" s="8" t="str">
        <f>'Data cleaning and validation(3)'!E523</f>
        <v>Jewelery</v>
      </c>
      <c r="F535" s="15">
        <f>'Data cleaning and validation(3)'!F523</f>
        <v>36560</v>
      </c>
      <c r="G535" s="8">
        <f>'Data cleaning and validation(3)'!G523</f>
        <v>21</v>
      </c>
      <c r="H535" s="19">
        <f>'Data cleaning and validation(3)'!H523</f>
        <v>97745</v>
      </c>
      <c r="I535" s="8" t="str">
        <f>'Data cleaning and validation(3)'!I523</f>
        <v>Electrical Engineer</v>
      </c>
      <c r="J535" s="8" t="str">
        <f>'Data cleaning and validation(3)'!J523</f>
        <v>Nova Scotia</v>
      </c>
      <c r="K535" s="8" t="str">
        <f>'Data cleaning and validation(3)'!K523</f>
        <v>Canada</v>
      </c>
      <c r="L535" s="8" t="str">
        <f>'Data cleaning and validation(3)'!L523</f>
        <v>Fashion</v>
      </c>
      <c r="M535" s="8" t="str">
        <f>'Data cleaning and validation(3)'!M523</f>
        <v>Active</v>
      </c>
      <c r="N535" s="17">
        <f>'Data cleaning and validation(3)'!N523</f>
        <v>1172940</v>
      </c>
      <c r="O535" s="18">
        <f>'Data cleaning and validation(3)'!O523</f>
        <v>9774.5</v>
      </c>
    </row>
    <row r="536" spans="1:15" x14ac:dyDescent="0.35">
      <c r="A536" s="8">
        <f>'Data cleaning and validation(3)'!A524</f>
        <v>523</v>
      </c>
      <c r="B536" s="8" t="str">
        <f>'Data cleaning and validation(3)'!B524</f>
        <v>Johnston</v>
      </c>
      <c r="C536" s="8" t="str">
        <f>'Data cleaning and validation(3)'!C524</f>
        <v>ajohnstonei@php.net</v>
      </c>
      <c r="D536" s="8" t="str">
        <f>'Data cleaning and validation(3)'!D524</f>
        <v>F</v>
      </c>
      <c r="E536" s="8" t="str">
        <f>'Data cleaning and validation(3)'!E524</f>
        <v>Health</v>
      </c>
      <c r="F536" s="15">
        <f>'Data cleaning and validation(3)'!F524</f>
        <v>45818</v>
      </c>
      <c r="G536" s="8">
        <f>'Data cleaning and validation(3)'!G524</f>
        <v>9</v>
      </c>
      <c r="H536" s="19">
        <f>'Data cleaning and validation(3)'!H524</f>
        <v>143855</v>
      </c>
      <c r="I536" s="8" t="str">
        <f>'Data cleaning and validation(3)'!I524</f>
        <v>Internal Auditor</v>
      </c>
      <c r="J536" s="8" t="str">
        <f>'Data cleaning and validation(3)'!J524</f>
        <v>British Columbia</v>
      </c>
      <c r="K536" s="8" t="str">
        <f>'Data cleaning and validation(3)'!K524</f>
        <v>Canada</v>
      </c>
      <c r="L536" s="8" t="str">
        <f>'Data cleaning and validation(3)'!L524</f>
        <v>Domestic</v>
      </c>
      <c r="M536" s="8" t="str">
        <f>'Data cleaning and validation(3)'!M524</f>
        <v>Active</v>
      </c>
      <c r="N536" s="17">
        <f>'Data cleaning and validation(3)'!N524</f>
        <v>1726260</v>
      </c>
      <c r="O536" s="18">
        <f>'Data cleaning and validation(3)'!O524</f>
        <v>14385.5</v>
      </c>
    </row>
    <row r="537" spans="1:15" x14ac:dyDescent="0.35">
      <c r="A537" s="8">
        <f>'Data cleaning and validation(3)'!A525</f>
        <v>524</v>
      </c>
      <c r="B537" s="8" t="str">
        <f>'Data cleaning and validation(3)'!B525</f>
        <v>Edwards</v>
      </c>
      <c r="C537" s="8" t="str">
        <f>'Data cleaning and validation(3)'!C525</f>
        <v>pedwardsej@businessinsider.com</v>
      </c>
      <c r="D537" s="8" t="str">
        <f>'Data cleaning and validation(3)'!D525</f>
        <v>F</v>
      </c>
      <c r="E537" s="8" t="str">
        <f>'Data cleaning and validation(3)'!E525</f>
        <v>Health</v>
      </c>
      <c r="F537" s="15">
        <f>'Data cleaning and validation(3)'!F525</f>
        <v>44727</v>
      </c>
      <c r="G537" s="8">
        <f>'Data cleaning and validation(3)'!G525</f>
        <v>12</v>
      </c>
      <c r="H537" s="19">
        <f>'Data cleaning and validation(3)'!H525</f>
        <v>43431</v>
      </c>
      <c r="I537" s="8" t="str">
        <f>'Data cleaning and validation(3)'!I525</f>
        <v>Physical Therapy Assistant</v>
      </c>
      <c r="J537" s="8" t="str">
        <f>'Data cleaning and validation(3)'!J525</f>
        <v>Quebec</v>
      </c>
      <c r="K537" s="8" t="str">
        <f>'Data cleaning and validation(3)'!K525</f>
        <v>Canada</v>
      </c>
      <c r="L537" s="8" t="str">
        <f>'Data cleaning and validation(3)'!L525</f>
        <v>Domestic</v>
      </c>
      <c r="M537" s="8" t="str">
        <f>'Data cleaning and validation(3)'!M525</f>
        <v>Active</v>
      </c>
      <c r="N537" s="17">
        <f>'Data cleaning and validation(3)'!N525</f>
        <v>521172</v>
      </c>
      <c r="O537" s="18">
        <f>'Data cleaning and validation(3)'!O525</f>
        <v>4343.1000000000004</v>
      </c>
    </row>
    <row r="538" spans="1:15" x14ac:dyDescent="0.35">
      <c r="A538" s="8">
        <f>'Data cleaning and validation(3)'!A526</f>
        <v>525</v>
      </c>
      <c r="B538" s="8" t="str">
        <f>'Data cleaning and validation(3)'!B526</f>
        <v>Payne</v>
      </c>
      <c r="C538" s="8" t="str">
        <f>'Data cleaning and validation(3)'!C526</f>
        <v>tpayneek@newyorker.com</v>
      </c>
      <c r="D538" s="8" t="str">
        <f>'Data cleaning and validation(3)'!D526</f>
        <v>F</v>
      </c>
      <c r="E538" s="8" t="str">
        <f>'Data cleaning and validation(3)'!E526</f>
        <v>Tools</v>
      </c>
      <c r="F538" s="15">
        <f>'Data cleaning and validation(3)'!F526</f>
        <v>37316</v>
      </c>
      <c r="G538" s="8">
        <f>'Data cleaning and validation(3)'!G526</f>
        <v>19</v>
      </c>
      <c r="H538" s="19">
        <f>'Data cleaning and validation(3)'!H526</f>
        <v>94016</v>
      </c>
      <c r="I538" s="8" t="str">
        <f>'Data cleaning and validation(3)'!I526</f>
        <v>VP Quality Control</v>
      </c>
      <c r="J538" s="8" t="str">
        <f>'Data cleaning and validation(3)'!J526</f>
        <v>Southeast</v>
      </c>
      <c r="K538" s="8" t="str">
        <f>'Data cleaning and validation(3)'!K526</f>
        <v>USA</v>
      </c>
      <c r="L538" s="8" t="str">
        <f>'Data cleaning and validation(3)'!L526</f>
        <v>Auto &amp; Hardware</v>
      </c>
      <c r="M538" s="8" t="str">
        <f>'Data cleaning and validation(3)'!M526</f>
        <v>Active</v>
      </c>
      <c r="N538" s="17">
        <f>'Data cleaning and validation(3)'!N526</f>
        <v>1128192</v>
      </c>
      <c r="O538" s="18">
        <f>'Data cleaning and validation(3)'!O526</f>
        <v>9401.6</v>
      </c>
    </row>
    <row r="539" spans="1:15" x14ac:dyDescent="0.35">
      <c r="A539" s="8">
        <f>'Data cleaning and validation(3)'!A527</f>
        <v>526</v>
      </c>
      <c r="B539" s="8" t="str">
        <f>'Data cleaning and validation(3)'!B527</f>
        <v>Allen</v>
      </c>
      <c r="C539" s="8" t="str">
        <f>'Data cleaning and validation(3)'!C527</f>
        <v>lallenel@nyu.edu</v>
      </c>
      <c r="D539" s="8" t="str">
        <f>'Data cleaning and validation(3)'!D527</f>
        <v>F</v>
      </c>
      <c r="E539" s="8" t="str">
        <f>'Data cleaning and validation(3)'!E527</f>
        <v>Baby</v>
      </c>
      <c r="F539" s="15">
        <f>'Data cleaning and validation(3)'!F527</f>
        <v>45544</v>
      </c>
      <c r="G539" s="8">
        <f>'Data cleaning and validation(3)'!G527</f>
        <v>10</v>
      </c>
      <c r="H539" s="19">
        <f>'Data cleaning and validation(3)'!H527</f>
        <v>66847</v>
      </c>
      <c r="I539" s="8" t="str">
        <f>'Data cleaning and validation(3)'!I527</f>
        <v>Assistant Media Planner</v>
      </c>
      <c r="J539" s="8" t="str">
        <f>'Data cleaning and validation(3)'!J527</f>
        <v>Southeast</v>
      </c>
      <c r="K539" s="8" t="str">
        <f>'Data cleaning and validation(3)'!K527</f>
        <v>USA</v>
      </c>
      <c r="L539" s="8" t="str">
        <f>'Data cleaning and validation(3)'!L527</f>
        <v>Domestic</v>
      </c>
      <c r="M539" s="8" t="str">
        <f>'Data cleaning and validation(3)'!M527</f>
        <v>Active</v>
      </c>
      <c r="N539" s="17">
        <f>'Data cleaning and validation(3)'!N527</f>
        <v>802164</v>
      </c>
      <c r="O539" s="18">
        <f>'Data cleaning and validation(3)'!O527</f>
        <v>6684.7000000000007</v>
      </c>
    </row>
    <row r="540" spans="1:15" x14ac:dyDescent="0.35">
      <c r="A540" s="8">
        <f>'Data cleaning and validation(3)'!A528</f>
        <v>527</v>
      </c>
      <c r="B540" s="8" t="str">
        <f>'Data cleaning and validation(3)'!B528</f>
        <v>Richards</v>
      </c>
      <c r="C540" s="8" t="str">
        <f>'Data cleaning and validation(3)'!C528</f>
        <v>jrichardsem@1688.com</v>
      </c>
      <c r="D540" s="8" t="str">
        <f>'Data cleaning and validation(3)'!D528</f>
        <v>M</v>
      </c>
      <c r="E540" s="8" t="str">
        <f>'Data cleaning and validation(3)'!E528</f>
        <v>Clothing</v>
      </c>
      <c r="F540" s="15">
        <f>'Data cleaning and validation(3)'!F528</f>
        <v>38462</v>
      </c>
      <c r="G540" s="8">
        <f>'Data cleaning and validation(3)'!G528</f>
        <v>16</v>
      </c>
      <c r="H540" s="19">
        <f>'Data cleaning and validation(3)'!H528</f>
        <v>69705</v>
      </c>
      <c r="I540" s="8" t="str">
        <f>'Data cleaning and validation(3)'!I528</f>
        <v>Senior Developer</v>
      </c>
      <c r="J540" s="8" t="str">
        <f>'Data cleaning and validation(3)'!J528</f>
        <v>Northwest</v>
      </c>
      <c r="K540" s="8" t="str">
        <f>'Data cleaning and validation(3)'!K528</f>
        <v>USA</v>
      </c>
      <c r="L540" s="8" t="str">
        <f>'Data cleaning and validation(3)'!L528</f>
        <v>Domestic</v>
      </c>
      <c r="M540" s="8" t="str">
        <f>'Data cleaning and validation(3)'!M528</f>
        <v>Active</v>
      </c>
      <c r="N540" s="17">
        <f>'Data cleaning and validation(3)'!N528</f>
        <v>836460</v>
      </c>
      <c r="O540" s="18">
        <f>'Data cleaning and validation(3)'!O528</f>
        <v>6970.5</v>
      </c>
    </row>
    <row r="541" spans="1:15" x14ac:dyDescent="0.35">
      <c r="A541" s="8">
        <f>'Data cleaning and validation(3)'!A529</f>
        <v>528</v>
      </c>
      <c r="B541" s="8" t="str">
        <f>'Data cleaning and validation(3)'!B529</f>
        <v>Cole</v>
      </c>
      <c r="C541" s="8" t="str">
        <f>'Data cleaning and validation(3)'!C529</f>
        <v>fcoleen@msn.com</v>
      </c>
      <c r="D541" s="8" t="str">
        <f>'Data cleaning and validation(3)'!D529</f>
        <v>M</v>
      </c>
      <c r="E541" s="8" t="str">
        <f>'Data cleaning and validation(3)'!E529</f>
        <v>Sports</v>
      </c>
      <c r="F541" s="15">
        <f>'Data cleaning and validation(3)'!F529</f>
        <v>40947</v>
      </c>
      <c r="G541" s="8">
        <f>'Data cleaning and validation(3)'!G529</f>
        <v>9</v>
      </c>
      <c r="H541" s="19">
        <f>'Data cleaning and validation(3)'!H529</f>
        <v>96739</v>
      </c>
      <c r="I541" s="8" t="str">
        <f>'Data cleaning and validation(3)'!I529</f>
        <v>Product Engineer</v>
      </c>
      <c r="J541" s="8" t="str">
        <f>'Data cleaning and validation(3)'!J529</f>
        <v>Southeast</v>
      </c>
      <c r="K541" s="8" t="str">
        <f>'Data cleaning and validation(3)'!K529</f>
        <v>USA</v>
      </c>
      <c r="L541" s="8" t="str">
        <f>'Data cleaning and validation(3)'!L529</f>
        <v>Games &amp; Sports</v>
      </c>
      <c r="M541" s="8" t="str">
        <f>'Data cleaning and validation(3)'!M529</f>
        <v>Active</v>
      </c>
      <c r="N541" s="17">
        <f>'Data cleaning and validation(3)'!N529</f>
        <v>1160868</v>
      </c>
      <c r="O541" s="18">
        <f>'Data cleaning and validation(3)'!O529</f>
        <v>9673.9</v>
      </c>
    </row>
    <row r="542" spans="1:15" x14ac:dyDescent="0.35">
      <c r="A542" s="8">
        <f>'Data cleaning and validation(3)'!A530</f>
        <v>529</v>
      </c>
      <c r="B542" s="8" t="str">
        <f>'Data cleaning and validation(3)'!B530</f>
        <v>Meyer</v>
      </c>
      <c r="C542" s="8" t="str">
        <f>'Data cleaning and validation(3)'!C530</f>
        <v>lmeyereo@storify.com</v>
      </c>
      <c r="D542" s="8" t="str">
        <f>'Data cleaning and validation(3)'!D530</f>
        <v>F</v>
      </c>
      <c r="E542" s="8" t="str">
        <f>'Data cleaning and validation(3)'!E530</f>
        <v>Garden</v>
      </c>
      <c r="F542" s="15">
        <f>'Data cleaning and validation(3)'!F530</f>
        <v>38961</v>
      </c>
      <c r="G542" s="8">
        <f>'Data cleaning and validation(3)'!G530</f>
        <v>15</v>
      </c>
      <c r="H542" s="19">
        <f>'Data cleaning and validation(3)'!H530</f>
        <v>52956</v>
      </c>
      <c r="I542" s="8" t="str">
        <f>'Data cleaning and validation(3)'!I530</f>
        <v>Senior Developer</v>
      </c>
      <c r="J542" s="8" t="str">
        <f>'Data cleaning and validation(3)'!J530</f>
        <v>Northwest</v>
      </c>
      <c r="K542" s="8" t="str">
        <f>'Data cleaning and validation(3)'!K530</f>
        <v>USA</v>
      </c>
      <c r="L542" s="8" t="str">
        <f>'Data cleaning and validation(3)'!L530</f>
        <v>Outdoors &amp; Garden</v>
      </c>
      <c r="M542" s="8" t="str">
        <f>'Data cleaning and validation(3)'!M530</f>
        <v>Active</v>
      </c>
      <c r="N542" s="17">
        <f>'Data cleaning and validation(3)'!N530</f>
        <v>635472</v>
      </c>
      <c r="O542" s="18">
        <f>'Data cleaning and validation(3)'!O530</f>
        <v>5295.6</v>
      </c>
    </row>
    <row r="543" spans="1:15" x14ac:dyDescent="0.35">
      <c r="A543" s="8">
        <f>'Data cleaning and validation(3)'!A531</f>
        <v>530</v>
      </c>
      <c r="B543" s="8" t="str">
        <f>'Data cleaning and validation(3)'!B531</f>
        <v>Reyes</v>
      </c>
      <c r="C543" s="8" t="str">
        <f>'Data cleaning and validation(3)'!C531</f>
        <v>lreyesep@foxnews.com</v>
      </c>
      <c r="D543" s="8" t="str">
        <f>'Data cleaning and validation(3)'!D531</f>
        <v>F</v>
      </c>
      <c r="E543" s="8" t="str">
        <f>'Data cleaning and validation(3)'!E531</f>
        <v>Computers</v>
      </c>
      <c r="F543" s="15">
        <f>'Data cleaning and validation(3)'!F531</f>
        <v>46005</v>
      </c>
      <c r="G543" s="8">
        <f>'Data cleaning and validation(3)'!G531</f>
        <v>9</v>
      </c>
      <c r="H543" s="19">
        <f>'Data cleaning and validation(3)'!H531</f>
        <v>71559</v>
      </c>
      <c r="I543" s="8" t="str">
        <f>'Data cleaning and validation(3)'!I531</f>
        <v>Librarian</v>
      </c>
      <c r="J543" s="8" t="str">
        <f>'Data cleaning and validation(3)'!J531</f>
        <v>Northeast</v>
      </c>
      <c r="K543" s="8" t="str">
        <f>'Data cleaning and validation(3)'!K531</f>
        <v>USA</v>
      </c>
      <c r="L543" s="8" t="str">
        <f>'Data cleaning and validation(3)'!L531</f>
        <v>Electronic Equipment</v>
      </c>
      <c r="M543" s="8" t="str">
        <f>'Data cleaning and validation(3)'!M531</f>
        <v>Active</v>
      </c>
      <c r="N543" s="17">
        <f>'Data cleaning and validation(3)'!N531</f>
        <v>858708</v>
      </c>
      <c r="O543" s="18">
        <f>'Data cleaning and validation(3)'!O531</f>
        <v>7155.9000000000005</v>
      </c>
    </row>
    <row r="544" spans="1:15" x14ac:dyDescent="0.35">
      <c r="A544" s="8">
        <f>'Data cleaning and validation(3)'!A532</f>
        <v>531</v>
      </c>
      <c r="B544" s="8" t="str">
        <f>'Data cleaning and validation(3)'!B532</f>
        <v>Hudson</v>
      </c>
      <c r="C544" s="8" t="str">
        <f>'Data cleaning and validation(3)'!C532</f>
        <v>rhudsoneq@fotki.com</v>
      </c>
      <c r="D544" s="8" t="str">
        <f>'Data cleaning and validation(3)'!D532</f>
        <v>M</v>
      </c>
      <c r="E544" s="8" t="str">
        <f>'Data cleaning and validation(3)'!E532</f>
        <v>Home</v>
      </c>
      <c r="F544" s="15">
        <f>'Data cleaning and validation(3)'!F532</f>
        <v>40499</v>
      </c>
      <c r="G544" s="8">
        <f>'Data cleaning and validation(3)'!G532</f>
        <v>11</v>
      </c>
      <c r="H544" s="19">
        <f>'Data cleaning and validation(3)'!H532</f>
        <v>143226</v>
      </c>
      <c r="I544" s="8" t="str">
        <f>'Data cleaning and validation(3)'!I532</f>
        <v>Food Chemist</v>
      </c>
      <c r="J544" s="8" t="str">
        <f>'Data cleaning and validation(3)'!J532</f>
        <v>Nova Scotia</v>
      </c>
      <c r="K544" s="8" t="str">
        <f>'Data cleaning and validation(3)'!K532</f>
        <v>Canada</v>
      </c>
      <c r="L544" s="8" t="str">
        <f>'Data cleaning and validation(3)'!L532</f>
        <v>Domestic</v>
      </c>
      <c r="M544" s="8" t="str">
        <f>'Data cleaning and validation(3)'!M532</f>
        <v>Active</v>
      </c>
      <c r="N544" s="17">
        <f>'Data cleaning and validation(3)'!N532</f>
        <v>1718712</v>
      </c>
      <c r="O544" s="18">
        <f>'Data cleaning and validation(3)'!O532</f>
        <v>14322.6</v>
      </c>
    </row>
    <row r="545" spans="1:15" x14ac:dyDescent="0.35">
      <c r="A545" s="8">
        <f>'Data cleaning and validation(3)'!A533</f>
        <v>532</v>
      </c>
      <c r="B545" s="8" t="str">
        <f>'Data cleaning and validation(3)'!B533</f>
        <v>Rice</v>
      </c>
      <c r="C545" s="8" t="str">
        <f>'Data cleaning and validation(3)'!C533</f>
        <v>rriceer@wired.com</v>
      </c>
      <c r="D545" s="8" t="str">
        <f>'Data cleaning and validation(3)'!D533</f>
        <v>M</v>
      </c>
      <c r="E545" s="8" t="str">
        <f>'Data cleaning and validation(3)'!E533</f>
        <v>Books</v>
      </c>
      <c r="F545" s="15">
        <f>'Data cleaning and validation(3)'!F533</f>
        <v>40588</v>
      </c>
      <c r="G545" s="8">
        <f>'Data cleaning and validation(3)'!G533</f>
        <v>10</v>
      </c>
      <c r="H545" s="19">
        <f>'Data cleaning and validation(3)'!H533</f>
        <v>145747</v>
      </c>
      <c r="I545" s="8" t="str">
        <f>'Data cleaning and validation(3)'!I533</f>
        <v>Financial Advisor</v>
      </c>
      <c r="J545" s="8" t="str">
        <f>'Data cleaning and validation(3)'!J533</f>
        <v>Northwest</v>
      </c>
      <c r="K545" s="8" t="str">
        <f>'Data cleaning and validation(3)'!K533</f>
        <v>USA</v>
      </c>
      <c r="L545" s="8" t="str">
        <f>'Data cleaning and validation(3)'!L533</f>
        <v>Library</v>
      </c>
      <c r="M545" s="8" t="str">
        <f>'Data cleaning and validation(3)'!M533</f>
        <v>Active</v>
      </c>
      <c r="N545" s="17">
        <f>'Data cleaning and validation(3)'!N533</f>
        <v>1748964</v>
      </c>
      <c r="O545" s="18">
        <f>'Data cleaning and validation(3)'!O533</f>
        <v>14574.7</v>
      </c>
    </row>
    <row r="546" spans="1:15" x14ac:dyDescent="0.35">
      <c r="A546" s="8">
        <f>'Data cleaning and validation(3)'!A534</f>
        <v>533</v>
      </c>
      <c r="B546" s="8" t="str">
        <f>'Data cleaning and validation(3)'!B534</f>
        <v>Castillo</v>
      </c>
      <c r="C546" s="8" t="str">
        <f>'Data cleaning and validation(3)'!C534</f>
        <v>dcastilloes@cocolog-nifty.com</v>
      </c>
      <c r="D546" s="8" t="str">
        <f>'Data cleaning and validation(3)'!D534</f>
        <v>F</v>
      </c>
      <c r="E546" s="8" t="str">
        <f>'Data cleaning and validation(3)'!E534</f>
        <v>Industrial</v>
      </c>
      <c r="F546" s="15">
        <f>'Data cleaning and validation(3)'!F534</f>
        <v>46310</v>
      </c>
      <c r="G546" s="8">
        <f>'Data cleaning and validation(3)'!G534</f>
        <v>8</v>
      </c>
      <c r="H546" s="19">
        <f>'Data cleaning and validation(3)'!H534</f>
        <v>72001</v>
      </c>
      <c r="I546" s="8" t="str">
        <f>'Data cleaning and validation(3)'!I534</f>
        <v>Automation Specialist IV</v>
      </c>
      <c r="J546" s="8" t="str">
        <f>'Data cleaning and validation(3)'!J534</f>
        <v>Southeast</v>
      </c>
      <c r="K546" s="8" t="str">
        <f>'Data cleaning and validation(3)'!K534</f>
        <v>USA</v>
      </c>
      <c r="L546" s="8" t="str">
        <f>'Data cleaning and validation(3)'!L534</f>
        <v>Auto &amp; Hardware</v>
      </c>
      <c r="M546" s="8" t="str">
        <f>'Data cleaning and validation(3)'!M534</f>
        <v>Active</v>
      </c>
      <c r="N546" s="17">
        <f>'Data cleaning and validation(3)'!N534</f>
        <v>864012</v>
      </c>
      <c r="O546" s="18">
        <f>'Data cleaning and validation(3)'!O534</f>
        <v>7200.1</v>
      </c>
    </row>
    <row r="547" spans="1:15" x14ac:dyDescent="0.35">
      <c r="A547" s="8">
        <f>'Data cleaning and validation(3)'!A535</f>
        <v>534</v>
      </c>
      <c r="B547" s="8" t="str">
        <f>'Data cleaning and validation(3)'!B535</f>
        <v>Harrison</v>
      </c>
      <c r="C547" s="8" t="str">
        <f>'Data cleaning and validation(3)'!C535</f>
        <v>jharrisonet@mapquest.com</v>
      </c>
      <c r="D547" s="8" t="str">
        <f>'Data cleaning and validation(3)'!D535</f>
        <v>F</v>
      </c>
      <c r="E547" s="8" t="str">
        <f>'Data cleaning and validation(3)'!E535</f>
        <v>Music</v>
      </c>
      <c r="F547" s="15">
        <f>'Data cleaning and validation(3)'!F535</f>
        <v>36789</v>
      </c>
      <c r="G547" s="8">
        <f>'Data cleaning and validation(3)'!G535</f>
        <v>21</v>
      </c>
      <c r="H547" s="19">
        <f>'Data cleaning and validation(3)'!H535</f>
        <v>50308</v>
      </c>
      <c r="I547" s="8" t="str">
        <f>'Data cleaning and validation(3)'!I535</f>
        <v>Compensation Analyst</v>
      </c>
      <c r="J547" s="8" t="str">
        <f>'Data cleaning and validation(3)'!J535</f>
        <v>Quebec</v>
      </c>
      <c r="K547" s="8" t="str">
        <f>'Data cleaning and validation(3)'!K535</f>
        <v>Canada</v>
      </c>
      <c r="L547" s="8" t="str">
        <f>'Data cleaning and validation(3)'!L535</f>
        <v>Entertainment</v>
      </c>
      <c r="M547" s="8" t="str">
        <f>'Data cleaning and validation(3)'!M535</f>
        <v>Active</v>
      </c>
      <c r="N547" s="17">
        <f>'Data cleaning and validation(3)'!N535</f>
        <v>603696</v>
      </c>
      <c r="O547" s="18">
        <f>'Data cleaning and validation(3)'!O535</f>
        <v>5030.8</v>
      </c>
    </row>
    <row r="548" spans="1:15" x14ac:dyDescent="0.35">
      <c r="A548" s="8">
        <f>'Data cleaning and validation(3)'!A536</f>
        <v>535</v>
      </c>
      <c r="B548" s="8" t="str">
        <f>'Data cleaning and validation(3)'!B536</f>
        <v>Morris</v>
      </c>
      <c r="C548" s="8" t="str">
        <f>'Data cleaning and validation(3)'!C536</f>
        <v>rmorriseu@yahoo.com</v>
      </c>
      <c r="D548" s="8" t="str">
        <f>'Data cleaning and validation(3)'!D536</f>
        <v>F</v>
      </c>
      <c r="E548" s="8" t="str">
        <f>'Data cleaning and validation(3)'!E536</f>
        <v>Home</v>
      </c>
      <c r="F548" s="15">
        <f>'Data cleaning and validation(3)'!F536</f>
        <v>44037</v>
      </c>
      <c r="G548" s="8">
        <f>'Data cleaning and validation(3)'!G536</f>
        <v>14</v>
      </c>
      <c r="H548" s="19">
        <f>'Data cleaning and validation(3)'!H536</f>
        <v>131662</v>
      </c>
      <c r="I548" s="8" t="str">
        <f>'Data cleaning and validation(3)'!I536</f>
        <v>Help Desk Operator</v>
      </c>
      <c r="J548" s="8" t="str">
        <f>'Data cleaning and validation(3)'!J536</f>
        <v>Northwest</v>
      </c>
      <c r="K548" s="8" t="str">
        <f>'Data cleaning and validation(3)'!K536</f>
        <v>USA</v>
      </c>
      <c r="L548" s="8" t="str">
        <f>'Data cleaning and validation(3)'!L536</f>
        <v>Domestic</v>
      </c>
      <c r="M548" s="8" t="str">
        <f>'Data cleaning and validation(3)'!M536</f>
        <v>Active</v>
      </c>
      <c r="N548" s="17">
        <f>'Data cleaning and validation(3)'!N536</f>
        <v>1579944</v>
      </c>
      <c r="O548" s="18">
        <f>'Data cleaning and validation(3)'!O536</f>
        <v>13166.2</v>
      </c>
    </row>
    <row r="549" spans="1:15" x14ac:dyDescent="0.35">
      <c r="A549" s="8">
        <f>'Data cleaning and validation(3)'!A537</f>
        <v>536</v>
      </c>
      <c r="B549" s="8" t="str">
        <f>'Data cleaning and validation(3)'!B537</f>
        <v>Castillo</v>
      </c>
      <c r="C549" s="8" t="str">
        <f>'Data cleaning and validation(3)'!C537</f>
        <v>acastilloev@cnet.com</v>
      </c>
      <c r="D549" s="8" t="str">
        <f>'Data cleaning and validation(3)'!D537</f>
        <v>F</v>
      </c>
      <c r="E549" s="8" t="str">
        <f>'Data cleaning and validation(3)'!E537</f>
        <v>Kids</v>
      </c>
      <c r="F549" s="15">
        <f>'Data cleaning and validation(3)'!F537</f>
        <v>45431</v>
      </c>
      <c r="G549" s="8">
        <f>'Data cleaning and validation(3)'!G537</f>
        <v>10</v>
      </c>
      <c r="H549" s="19">
        <f>'Data cleaning and validation(3)'!H537</f>
        <v>55730</v>
      </c>
      <c r="I549" s="8" t="str">
        <f>'Data cleaning and validation(3)'!I537</f>
        <v>Speech Pathologist</v>
      </c>
      <c r="J549" s="8" t="str">
        <f>'Data cleaning and validation(3)'!J537</f>
        <v>Nova Scotia</v>
      </c>
      <c r="K549" s="8" t="str">
        <f>'Data cleaning and validation(3)'!K537</f>
        <v>Canada</v>
      </c>
      <c r="L549" s="8" t="str">
        <f>'Data cleaning and validation(3)'!L537</f>
        <v>Domestic</v>
      </c>
      <c r="M549" s="8" t="str">
        <f>'Data cleaning and validation(3)'!M537</f>
        <v>Active</v>
      </c>
      <c r="N549" s="17">
        <f>'Data cleaning and validation(3)'!N537</f>
        <v>668760</v>
      </c>
      <c r="O549" s="18">
        <f>'Data cleaning and validation(3)'!O537</f>
        <v>5573</v>
      </c>
    </row>
    <row r="550" spans="1:15" x14ac:dyDescent="0.35">
      <c r="A550" s="8">
        <f>'Data cleaning and validation(3)'!A538</f>
        <v>537</v>
      </c>
      <c r="B550" s="8" t="str">
        <f>'Data cleaning and validation(3)'!B538</f>
        <v>Webb</v>
      </c>
      <c r="C550" s="8" t="str">
        <f>'Data cleaning and validation(3)'!C538</f>
        <v>rwebbew@twitter.com</v>
      </c>
      <c r="D550" s="8" t="str">
        <f>'Data cleaning and validation(3)'!D538</f>
        <v>F</v>
      </c>
      <c r="E550" s="8" t="str">
        <f>'Data cleaning and validation(3)'!E538</f>
        <v>Games</v>
      </c>
      <c r="F550" s="15">
        <f>'Data cleaning and validation(3)'!F538</f>
        <v>38395</v>
      </c>
      <c r="G550" s="8">
        <f>'Data cleaning and validation(3)'!G538</f>
        <v>16</v>
      </c>
      <c r="H550" s="19">
        <f>'Data cleaning and validation(3)'!H538</f>
        <v>63836</v>
      </c>
      <c r="I550" s="8" t="str">
        <f>'Data cleaning and validation(3)'!I538</f>
        <v>Occupational Therapist</v>
      </c>
      <c r="J550" s="8" t="str">
        <f>'Data cleaning and validation(3)'!J538</f>
        <v>Northeast</v>
      </c>
      <c r="K550" s="8" t="str">
        <f>'Data cleaning and validation(3)'!K538</f>
        <v>USA</v>
      </c>
      <c r="L550" s="8" t="str">
        <f>'Data cleaning and validation(3)'!L538</f>
        <v>Domestic</v>
      </c>
      <c r="M550" s="8" t="str">
        <f>'Data cleaning and validation(3)'!M538</f>
        <v>Active</v>
      </c>
      <c r="N550" s="17">
        <f>'Data cleaning and validation(3)'!N538</f>
        <v>766032</v>
      </c>
      <c r="O550" s="18">
        <f>'Data cleaning and validation(3)'!O538</f>
        <v>6383.6</v>
      </c>
    </row>
    <row r="551" spans="1:15" x14ac:dyDescent="0.35">
      <c r="A551" s="8">
        <f>'Data cleaning and validation(3)'!A539</f>
        <v>538</v>
      </c>
      <c r="B551" s="8" t="str">
        <f>'Data cleaning and validation(3)'!B539</f>
        <v>Freeman</v>
      </c>
      <c r="C551" s="8" t="str">
        <f>'Data cleaning and validation(3)'!C539</f>
        <v>gfreemanex@nps.gov</v>
      </c>
      <c r="D551" s="8" t="str">
        <f>'Data cleaning and validation(3)'!D539</f>
        <v>M</v>
      </c>
      <c r="E551" s="8" t="str">
        <f>'Data cleaning and validation(3)'!E539</f>
        <v>Shoes</v>
      </c>
      <c r="F551" s="15">
        <f>'Data cleaning and validation(3)'!F539</f>
        <v>38649</v>
      </c>
      <c r="G551" s="8">
        <f>'Data cleaning and validation(3)'!G539</f>
        <v>16</v>
      </c>
      <c r="H551" s="19">
        <f>'Data cleaning and validation(3)'!H539</f>
        <v>121296</v>
      </c>
      <c r="I551" s="8" t="str">
        <f>'Data cleaning and validation(3)'!I539</f>
        <v>Civil Engineer</v>
      </c>
      <c r="J551" s="8" t="str">
        <f>'Data cleaning and validation(3)'!J539</f>
        <v>Southeast</v>
      </c>
      <c r="K551" s="8" t="str">
        <f>'Data cleaning and validation(3)'!K539</f>
        <v>USA</v>
      </c>
      <c r="L551" s="8" t="str">
        <f>'Data cleaning and validation(3)'!L539</f>
        <v>Domestic</v>
      </c>
      <c r="M551" s="8" t="str">
        <f>'Data cleaning and validation(3)'!M539</f>
        <v>Active</v>
      </c>
      <c r="N551" s="17">
        <f>'Data cleaning and validation(3)'!N539</f>
        <v>1455552</v>
      </c>
      <c r="O551" s="18">
        <f>'Data cleaning and validation(3)'!O539</f>
        <v>12129.6</v>
      </c>
    </row>
    <row r="552" spans="1:15" x14ac:dyDescent="0.35">
      <c r="A552" s="8">
        <f>'Data cleaning and validation(3)'!A540</f>
        <v>539</v>
      </c>
      <c r="B552" s="8" t="str">
        <f>'Data cleaning and validation(3)'!B540</f>
        <v>Kelley</v>
      </c>
      <c r="C552" s="8" t="str">
        <f>'Data cleaning and validation(3)'!C540</f>
        <v>rkelleyey@feedburner.com</v>
      </c>
      <c r="D552" s="8" t="str">
        <f>'Data cleaning and validation(3)'!D540</f>
        <v>M</v>
      </c>
      <c r="E552" s="8" t="str">
        <f>'Data cleaning and validation(3)'!E540</f>
        <v>Movies</v>
      </c>
      <c r="F552" s="15">
        <f>'Data cleaning and validation(3)'!F540</f>
        <v>40988</v>
      </c>
      <c r="G552" s="8">
        <f>'Data cleaning and validation(3)'!G540</f>
        <v>9</v>
      </c>
      <c r="H552" s="19">
        <f>'Data cleaning and validation(3)'!H540</f>
        <v>110660</v>
      </c>
      <c r="I552" s="8" t="str">
        <f>'Data cleaning and validation(3)'!I540</f>
        <v>Senior Financial Analyst</v>
      </c>
      <c r="J552" s="8" t="str">
        <f>'Data cleaning and validation(3)'!J540</f>
        <v>Southwest</v>
      </c>
      <c r="K552" s="8" t="str">
        <f>'Data cleaning and validation(3)'!K540</f>
        <v>USA</v>
      </c>
      <c r="L552" s="8" t="str">
        <f>'Data cleaning and validation(3)'!L540</f>
        <v>Entertainment</v>
      </c>
      <c r="M552" s="8" t="str">
        <f>'Data cleaning and validation(3)'!M540</f>
        <v>Active</v>
      </c>
      <c r="N552" s="17">
        <f>'Data cleaning and validation(3)'!N540</f>
        <v>1327920</v>
      </c>
      <c r="O552" s="18">
        <f>'Data cleaning and validation(3)'!O540</f>
        <v>11066</v>
      </c>
    </row>
    <row r="553" spans="1:15" x14ac:dyDescent="0.35">
      <c r="A553" s="8">
        <f>'Data cleaning and validation(3)'!A541</f>
        <v>540</v>
      </c>
      <c r="B553" s="8" t="str">
        <f>'Data cleaning and validation(3)'!B541</f>
        <v>Matthews</v>
      </c>
      <c r="C553" s="8" t="str">
        <f>'Data cleaning and validation(3)'!C541</f>
        <v>lmatthewsez@edublogs.org</v>
      </c>
      <c r="D553" s="8" t="str">
        <f>'Data cleaning and validation(3)'!D541</f>
        <v>M</v>
      </c>
      <c r="E553" s="8" t="str">
        <f>'Data cleaning and validation(3)'!E541</f>
        <v>Games</v>
      </c>
      <c r="F553" s="15">
        <f>'Data cleaning and validation(3)'!F541</f>
        <v>37244</v>
      </c>
      <c r="G553" s="8">
        <f>'Data cleaning and validation(3)'!G541</f>
        <v>20</v>
      </c>
      <c r="H553" s="19">
        <f>'Data cleaning and validation(3)'!H541</f>
        <v>89114</v>
      </c>
      <c r="I553" s="8" t="str">
        <f>'Data cleaning and validation(3)'!I541</f>
        <v>GIS Technical Architect</v>
      </c>
      <c r="J553" s="8" t="str">
        <f>'Data cleaning and validation(3)'!J541</f>
        <v>British Columbia</v>
      </c>
      <c r="K553" s="8" t="str">
        <f>'Data cleaning and validation(3)'!K541</f>
        <v>Canada</v>
      </c>
      <c r="L553" s="8" t="str">
        <f>'Data cleaning and validation(3)'!L541</f>
        <v>Domestic</v>
      </c>
      <c r="M553" s="8" t="str">
        <f>'Data cleaning and validation(3)'!M541</f>
        <v>Active</v>
      </c>
      <c r="N553" s="17">
        <f>'Data cleaning and validation(3)'!N541</f>
        <v>1069368</v>
      </c>
      <c r="O553" s="18">
        <f>'Data cleaning and validation(3)'!O541</f>
        <v>8911.4</v>
      </c>
    </row>
    <row r="554" spans="1:15" x14ac:dyDescent="0.35">
      <c r="A554" s="8">
        <f>'Data cleaning and validation(3)'!A542</f>
        <v>541</v>
      </c>
      <c r="B554" s="8" t="str">
        <f>'Data cleaning and validation(3)'!B542</f>
        <v>Mendoza</v>
      </c>
      <c r="C554" s="8" t="str">
        <f>'Data cleaning and validation(3)'!C542</f>
        <v>tmendozaf0@google.nl</v>
      </c>
      <c r="D554" s="8" t="str">
        <f>'Data cleaning and validation(3)'!D542</f>
        <v>F</v>
      </c>
      <c r="E554" s="8" t="str">
        <f>'Data cleaning and validation(3)'!E542</f>
        <v>Music</v>
      </c>
      <c r="F554" s="15">
        <f>'Data cleaning and validation(3)'!F542</f>
        <v>44071</v>
      </c>
      <c r="G554" s="8">
        <f>'Data cleaning and validation(3)'!G542</f>
        <v>14</v>
      </c>
      <c r="H554" s="19">
        <f>'Data cleaning and validation(3)'!H542</f>
        <v>48769</v>
      </c>
      <c r="I554" s="8" t="str">
        <f>'Data cleaning and validation(3)'!I542</f>
        <v>Nurse</v>
      </c>
      <c r="J554" s="8" t="str">
        <f>'Data cleaning and validation(3)'!J542</f>
        <v>British Columbia</v>
      </c>
      <c r="K554" s="8" t="str">
        <f>'Data cleaning and validation(3)'!K542</f>
        <v>Canada</v>
      </c>
      <c r="L554" s="8" t="str">
        <f>'Data cleaning and validation(3)'!L542</f>
        <v>Entertainment</v>
      </c>
      <c r="M554" s="8" t="str">
        <f>'Data cleaning and validation(3)'!M542</f>
        <v>Active</v>
      </c>
      <c r="N554" s="17">
        <f>'Data cleaning and validation(3)'!N542</f>
        <v>585228</v>
      </c>
      <c r="O554" s="18">
        <f>'Data cleaning and validation(3)'!O542</f>
        <v>4876.9000000000005</v>
      </c>
    </row>
    <row r="555" spans="1:15" x14ac:dyDescent="0.35">
      <c r="A555" s="8">
        <f>'Data cleaning and validation(3)'!A543</f>
        <v>542</v>
      </c>
      <c r="B555" s="8" t="str">
        <f>'Data cleaning and validation(3)'!B543</f>
        <v>Rice</v>
      </c>
      <c r="C555" s="8" t="str">
        <f>'Data cleaning and validation(3)'!C543</f>
        <v>ericef1@cpanel.net</v>
      </c>
      <c r="D555" s="8" t="str">
        <f>'Data cleaning and validation(3)'!D543</f>
        <v>M</v>
      </c>
      <c r="E555" s="8" t="str">
        <f>'Data cleaning and validation(3)'!E543</f>
        <v>Music</v>
      </c>
      <c r="F555" s="15">
        <f>'Data cleaning and validation(3)'!F543</f>
        <v>39479</v>
      </c>
      <c r="G555" s="8">
        <f>'Data cleaning and validation(3)'!G543</f>
        <v>13</v>
      </c>
      <c r="H555" s="19">
        <f>'Data cleaning and validation(3)'!H543</f>
        <v>90069</v>
      </c>
      <c r="I555" s="8" t="str">
        <f>'Data cleaning and validation(3)'!I543</f>
        <v>Assistant Professor</v>
      </c>
      <c r="J555" s="8" t="str">
        <f>'Data cleaning and validation(3)'!J543</f>
        <v>British Columbia</v>
      </c>
      <c r="K555" s="8" t="str">
        <f>'Data cleaning and validation(3)'!K543</f>
        <v>Canada</v>
      </c>
      <c r="L555" s="8" t="str">
        <f>'Data cleaning and validation(3)'!L543</f>
        <v>Entertainment</v>
      </c>
      <c r="M555" s="8" t="str">
        <f>'Data cleaning and validation(3)'!M543</f>
        <v>Active</v>
      </c>
      <c r="N555" s="17">
        <f>'Data cleaning and validation(3)'!N543</f>
        <v>1080828</v>
      </c>
      <c r="O555" s="18">
        <f>'Data cleaning and validation(3)'!O543</f>
        <v>9006.9</v>
      </c>
    </row>
    <row r="556" spans="1:15" x14ac:dyDescent="0.35">
      <c r="A556" s="8">
        <f>'Data cleaning and validation(3)'!A544</f>
        <v>543</v>
      </c>
      <c r="B556" s="8" t="str">
        <f>'Data cleaning and validation(3)'!B544</f>
        <v>Walker</v>
      </c>
      <c r="C556" s="8" t="str">
        <f>'Data cleaning and validation(3)'!C544</f>
        <v>kwalkerf2@vinaora.com</v>
      </c>
      <c r="D556" s="8" t="str">
        <f>'Data cleaning and validation(3)'!D544</f>
        <v>F</v>
      </c>
      <c r="E556" s="8" t="str">
        <f>'Data cleaning and validation(3)'!E544</f>
        <v>Home</v>
      </c>
      <c r="F556" s="15">
        <f>'Data cleaning and validation(3)'!F544</f>
        <v>46272</v>
      </c>
      <c r="G556" s="8">
        <f>'Data cleaning and validation(3)'!G544</f>
        <v>8</v>
      </c>
      <c r="H556" s="19">
        <f>'Data cleaning and validation(3)'!H544</f>
        <v>120085</v>
      </c>
      <c r="I556" s="8" t="str">
        <f>'Data cleaning and validation(3)'!I544</f>
        <v>Human Resources Assistant III</v>
      </c>
      <c r="J556" s="8" t="str">
        <f>'Data cleaning and validation(3)'!J544</f>
        <v>Quebec</v>
      </c>
      <c r="K556" s="8" t="str">
        <f>'Data cleaning and validation(3)'!K544</f>
        <v>Canada</v>
      </c>
      <c r="L556" s="8" t="str">
        <f>'Data cleaning and validation(3)'!L544</f>
        <v>Domestic</v>
      </c>
      <c r="M556" s="8" t="str">
        <f>'Data cleaning and validation(3)'!M544</f>
        <v>Active</v>
      </c>
      <c r="N556" s="17">
        <f>'Data cleaning and validation(3)'!N544</f>
        <v>1441020</v>
      </c>
      <c r="O556" s="18">
        <f>'Data cleaning and validation(3)'!O544</f>
        <v>12008.5</v>
      </c>
    </row>
    <row r="557" spans="1:15" x14ac:dyDescent="0.35">
      <c r="A557" s="8">
        <f>'Data cleaning and validation(3)'!A545</f>
        <v>544</v>
      </c>
      <c r="B557" s="8" t="str">
        <f>'Data cleaning and validation(3)'!B545</f>
        <v>Moore</v>
      </c>
      <c r="C557" s="8" t="str">
        <f>'Data cleaning and validation(3)'!C545</f>
        <v>mmooref3@oakley.com</v>
      </c>
      <c r="D557" s="8" t="str">
        <f>'Data cleaning and validation(3)'!D545</f>
        <v>F</v>
      </c>
      <c r="E557" s="8" t="str">
        <f>'Data cleaning and validation(3)'!E545</f>
        <v>Electronics</v>
      </c>
      <c r="F557" s="15">
        <f>'Data cleaning and validation(3)'!F545</f>
        <v>44150</v>
      </c>
      <c r="G557" s="8">
        <f>'Data cleaning and validation(3)'!G545</f>
        <v>14</v>
      </c>
      <c r="H557" s="19">
        <f>'Data cleaning and validation(3)'!H545</f>
        <v>41697</v>
      </c>
      <c r="I557" s="8" t="str">
        <f>'Data cleaning and validation(3)'!I545</f>
        <v>Automation Specialist I</v>
      </c>
      <c r="J557" s="8" t="str">
        <f>'Data cleaning and validation(3)'!J545</f>
        <v>Nova Scotia</v>
      </c>
      <c r="K557" s="8" t="str">
        <f>'Data cleaning and validation(3)'!K545</f>
        <v>Canada</v>
      </c>
      <c r="L557" s="8" t="str">
        <f>'Data cleaning and validation(3)'!L545</f>
        <v>Electronic Equipment</v>
      </c>
      <c r="M557" s="8" t="str">
        <f>'Data cleaning and validation(3)'!M545</f>
        <v>Active</v>
      </c>
      <c r="N557" s="17">
        <f>'Data cleaning and validation(3)'!N545</f>
        <v>500364</v>
      </c>
      <c r="O557" s="18">
        <f>'Data cleaning and validation(3)'!O545</f>
        <v>4169.7</v>
      </c>
    </row>
    <row r="558" spans="1:15" x14ac:dyDescent="0.35">
      <c r="A558" s="8">
        <f>'Data cleaning and validation(3)'!A546</f>
        <v>545</v>
      </c>
      <c r="B558" s="8" t="str">
        <f>'Data cleaning and validation(3)'!B546</f>
        <v>Lynch</v>
      </c>
      <c r="C558" s="8" t="str">
        <f>'Data cleaning and validation(3)'!C546</f>
        <v>jlynchf4@jimdo.com</v>
      </c>
      <c r="D558" s="8" t="str">
        <f>'Data cleaning and validation(3)'!D546</f>
        <v>M</v>
      </c>
      <c r="E558" s="8" t="str">
        <f>'Data cleaning and validation(3)'!E546</f>
        <v>Kids</v>
      </c>
      <c r="F558" s="15">
        <f>'Data cleaning and validation(3)'!F546</f>
        <v>39937</v>
      </c>
      <c r="G558" s="8">
        <f>'Data cleaning and validation(3)'!G546</f>
        <v>12</v>
      </c>
      <c r="H558" s="19">
        <f>'Data cleaning and validation(3)'!H546</f>
        <v>44093</v>
      </c>
      <c r="I558" s="8" t="str">
        <f>'Data cleaning and validation(3)'!I546</f>
        <v>Health Coach IV</v>
      </c>
      <c r="J558" s="8" t="str">
        <f>'Data cleaning and validation(3)'!J546</f>
        <v>British Columbia</v>
      </c>
      <c r="K558" s="8" t="str">
        <f>'Data cleaning and validation(3)'!K546</f>
        <v>Canada</v>
      </c>
      <c r="L558" s="8" t="str">
        <f>'Data cleaning and validation(3)'!L546</f>
        <v>Domestic</v>
      </c>
      <c r="M558" s="8" t="str">
        <f>'Data cleaning and validation(3)'!M546</f>
        <v>Active</v>
      </c>
      <c r="N558" s="17">
        <f>'Data cleaning and validation(3)'!N546</f>
        <v>529116</v>
      </c>
      <c r="O558" s="18">
        <f>'Data cleaning and validation(3)'!O546</f>
        <v>4409.3</v>
      </c>
    </row>
    <row r="559" spans="1:15" x14ac:dyDescent="0.35">
      <c r="A559" s="8">
        <f>'Data cleaning and validation(3)'!A547</f>
        <v>546</v>
      </c>
      <c r="B559" s="8" t="str">
        <f>'Data cleaning and validation(3)'!B547</f>
        <v>Fox</v>
      </c>
      <c r="C559" s="8" t="str">
        <f>'Data cleaning and validation(3)'!C547</f>
        <v>mfoxf5@jimdo.com</v>
      </c>
      <c r="D559" s="8" t="str">
        <f>'Data cleaning and validation(3)'!D547</f>
        <v>F</v>
      </c>
      <c r="E559" s="8" t="str">
        <f>'Data cleaning and validation(3)'!E547</f>
        <v>Jewelery</v>
      </c>
      <c r="F559" s="15">
        <f>'Data cleaning and validation(3)'!F547</f>
        <v>39022</v>
      </c>
      <c r="G559" s="8">
        <f>'Data cleaning and validation(3)'!G547</f>
        <v>15</v>
      </c>
      <c r="H559" s="19">
        <f>'Data cleaning and validation(3)'!H547</f>
        <v>59294</v>
      </c>
      <c r="I559" s="8" t="str">
        <f>'Data cleaning and validation(3)'!I547</f>
        <v>Senior Editor</v>
      </c>
      <c r="J559" s="8" t="str">
        <f>'Data cleaning and validation(3)'!J547</f>
        <v>Quebec</v>
      </c>
      <c r="K559" s="8" t="str">
        <f>'Data cleaning and validation(3)'!K547</f>
        <v>Canada</v>
      </c>
      <c r="L559" s="8" t="str">
        <f>'Data cleaning and validation(3)'!L547</f>
        <v>Fashion</v>
      </c>
      <c r="M559" s="8" t="str">
        <f>'Data cleaning and validation(3)'!M547</f>
        <v>Active</v>
      </c>
      <c r="N559" s="17">
        <f>'Data cleaning and validation(3)'!N547</f>
        <v>711528</v>
      </c>
      <c r="O559" s="18">
        <f>'Data cleaning and validation(3)'!O547</f>
        <v>5929.4000000000005</v>
      </c>
    </row>
    <row r="560" spans="1:15" x14ac:dyDescent="0.35">
      <c r="A560" s="8">
        <f>'Data cleaning and validation(3)'!A548</f>
        <v>547</v>
      </c>
      <c r="B560" s="8" t="str">
        <f>'Data cleaning and validation(3)'!B548</f>
        <v>Moreno</v>
      </c>
      <c r="C560" s="8" t="str">
        <f>'Data cleaning and validation(3)'!C548</f>
        <v>bmorenof6@vkontakte.ru</v>
      </c>
      <c r="D560" s="8" t="str">
        <f>'Data cleaning and validation(3)'!D548</f>
        <v>M</v>
      </c>
      <c r="E560" s="8" t="str">
        <f>'Data cleaning and validation(3)'!E548</f>
        <v>Industrial</v>
      </c>
      <c r="F560" s="15">
        <f>'Data cleaning and validation(3)'!F548</f>
        <v>41507</v>
      </c>
      <c r="G560" s="8">
        <f>'Data cleaning and validation(3)'!G548</f>
        <v>8</v>
      </c>
      <c r="H560" s="19">
        <f>'Data cleaning and validation(3)'!H548</f>
        <v>140858</v>
      </c>
      <c r="I560" s="8" t="str">
        <f>'Data cleaning and validation(3)'!I548</f>
        <v>Cost Accountant</v>
      </c>
      <c r="J560" s="8" t="str">
        <f>'Data cleaning and validation(3)'!J548</f>
        <v>Nova Scotia</v>
      </c>
      <c r="K560" s="8" t="str">
        <f>'Data cleaning and validation(3)'!K548</f>
        <v>Canada</v>
      </c>
      <c r="L560" s="8" t="str">
        <f>'Data cleaning and validation(3)'!L548</f>
        <v>Auto &amp; Hardware</v>
      </c>
      <c r="M560" s="8" t="str">
        <f>'Data cleaning and validation(3)'!M548</f>
        <v>Active</v>
      </c>
      <c r="N560" s="17">
        <f>'Data cleaning and validation(3)'!N548</f>
        <v>1690296</v>
      </c>
      <c r="O560" s="18">
        <f>'Data cleaning and validation(3)'!O548</f>
        <v>14085.800000000001</v>
      </c>
    </row>
    <row r="561" spans="1:15" x14ac:dyDescent="0.35">
      <c r="A561" s="8">
        <f>'Data cleaning and validation(3)'!A549</f>
        <v>548</v>
      </c>
      <c r="B561" s="8" t="str">
        <f>'Data cleaning and validation(3)'!B549</f>
        <v>Simpson</v>
      </c>
      <c r="C561" s="8" t="str">
        <f>'Data cleaning and validation(3)'!C549</f>
        <v>dsimpsonf7@engadget.com</v>
      </c>
      <c r="D561" s="8" t="str">
        <f>'Data cleaning and validation(3)'!D549</f>
        <v>F</v>
      </c>
      <c r="E561" s="8" t="str">
        <f>'Data cleaning and validation(3)'!E549</f>
        <v>Toys</v>
      </c>
      <c r="F561" s="15">
        <f>'Data cleaning and validation(3)'!F549</f>
        <v>44571</v>
      </c>
      <c r="G561" s="8">
        <f>'Data cleaning and validation(3)'!G549</f>
        <v>12</v>
      </c>
      <c r="H561" s="19">
        <f>'Data cleaning and validation(3)'!H549</f>
        <v>46444</v>
      </c>
      <c r="I561" s="8" t="str">
        <f>'Data cleaning and validation(3)'!I549</f>
        <v>Desktop Support Technician</v>
      </c>
      <c r="J561" s="8" t="str">
        <f>'Data cleaning and validation(3)'!J549</f>
        <v>Quebec</v>
      </c>
      <c r="K561" s="8" t="str">
        <f>'Data cleaning and validation(3)'!K549</f>
        <v>Canada</v>
      </c>
      <c r="L561" s="8" t="str">
        <f>'Data cleaning and validation(3)'!L549</f>
        <v>Games &amp; Sports</v>
      </c>
      <c r="M561" s="8" t="str">
        <f>'Data cleaning and validation(3)'!M549</f>
        <v>Active</v>
      </c>
      <c r="N561" s="17">
        <f>'Data cleaning and validation(3)'!N549</f>
        <v>557328</v>
      </c>
      <c r="O561" s="18">
        <f>'Data cleaning and validation(3)'!O549</f>
        <v>4644.4000000000005</v>
      </c>
    </row>
    <row r="562" spans="1:15" x14ac:dyDescent="0.35">
      <c r="A562" s="8">
        <f>'Data cleaning and validation(3)'!A550</f>
        <v>549</v>
      </c>
      <c r="B562" s="8" t="str">
        <f>'Data cleaning and validation(3)'!B550</f>
        <v>Reynolds</v>
      </c>
      <c r="C562" s="8" t="str">
        <f>'Data cleaning and validation(3)'!C550</f>
        <v>kreynoldsf8@vistaprint.com</v>
      </c>
      <c r="D562" s="8" t="str">
        <f>'Data cleaning and validation(3)'!D550</f>
        <v>F</v>
      </c>
      <c r="E562" s="8" t="str">
        <f>'Data cleaning and validation(3)'!E550</f>
        <v>Books</v>
      </c>
      <c r="F562" s="15">
        <f>'Data cleaning and validation(3)'!F550</f>
        <v>45926</v>
      </c>
      <c r="G562" s="8">
        <f>'Data cleaning and validation(3)'!G550</f>
        <v>9</v>
      </c>
      <c r="H562" s="19">
        <f>'Data cleaning and validation(3)'!H550</f>
        <v>85855</v>
      </c>
      <c r="I562" s="8" t="str">
        <f>'Data cleaning and validation(3)'!I550</f>
        <v>Financial Advisor</v>
      </c>
      <c r="J562" s="8" t="str">
        <f>'Data cleaning and validation(3)'!J550</f>
        <v>Southwest</v>
      </c>
      <c r="K562" s="8" t="str">
        <f>'Data cleaning and validation(3)'!K550</f>
        <v>USA</v>
      </c>
      <c r="L562" s="8" t="str">
        <f>'Data cleaning and validation(3)'!L550</f>
        <v>Library</v>
      </c>
      <c r="M562" s="8" t="str">
        <f>'Data cleaning and validation(3)'!M550</f>
        <v>Active</v>
      </c>
      <c r="N562" s="17">
        <f>'Data cleaning and validation(3)'!N550</f>
        <v>1030260</v>
      </c>
      <c r="O562" s="18">
        <f>'Data cleaning and validation(3)'!O550</f>
        <v>8585.5</v>
      </c>
    </row>
    <row r="563" spans="1:15" x14ac:dyDescent="0.35">
      <c r="A563" s="8">
        <f>'Data cleaning and validation(3)'!A551</f>
        <v>550</v>
      </c>
      <c r="B563" s="8" t="str">
        <f>'Data cleaning and validation(3)'!B551</f>
        <v>Watson</v>
      </c>
      <c r="C563" s="8" t="str">
        <f>'Data cleaning and validation(3)'!C551</f>
        <v>lwatsonf9@alexa.com</v>
      </c>
      <c r="D563" s="8" t="str">
        <f>'Data cleaning and validation(3)'!D551</f>
        <v>M</v>
      </c>
      <c r="E563" s="8" t="str">
        <f>'Data cleaning and validation(3)'!E551</f>
        <v>Shoes</v>
      </c>
      <c r="F563" s="15">
        <f>'Data cleaning and validation(3)'!F551</f>
        <v>36647</v>
      </c>
      <c r="G563" s="8">
        <f>'Data cleaning and validation(3)'!G551</f>
        <v>21</v>
      </c>
      <c r="H563" s="19">
        <f>'Data cleaning and validation(3)'!H551</f>
        <v>72334</v>
      </c>
      <c r="I563" s="8" t="str">
        <f>'Data cleaning and validation(3)'!I551</f>
        <v>Developer IV</v>
      </c>
      <c r="J563" s="8" t="str">
        <f>'Data cleaning and validation(3)'!J551</f>
        <v>Northwest</v>
      </c>
      <c r="K563" s="8" t="str">
        <f>'Data cleaning and validation(3)'!K551</f>
        <v>USA</v>
      </c>
      <c r="L563" s="8" t="str">
        <f>'Data cleaning and validation(3)'!L551</f>
        <v>Domestic</v>
      </c>
      <c r="M563" s="8" t="str">
        <f>'Data cleaning and validation(3)'!M551</f>
        <v>Active</v>
      </c>
      <c r="N563" s="17">
        <f>'Data cleaning and validation(3)'!N551</f>
        <v>868008</v>
      </c>
      <c r="O563" s="18">
        <f>'Data cleaning and validation(3)'!O551</f>
        <v>7233.4000000000005</v>
      </c>
    </row>
    <row r="564" spans="1:15" x14ac:dyDescent="0.35">
      <c r="A564" s="8">
        <f>'Data cleaning and validation(3)'!A552</f>
        <v>551</v>
      </c>
      <c r="B564" s="8" t="str">
        <f>'Data cleaning and validation(3)'!B552</f>
        <v>Cruz</v>
      </c>
      <c r="C564" s="8" t="str">
        <f>'Data cleaning and validation(3)'!C552</f>
        <v>bcruzfa@nbcnews.com</v>
      </c>
      <c r="D564" s="8" t="str">
        <f>'Data cleaning and validation(3)'!D552</f>
        <v>M</v>
      </c>
      <c r="E564" s="8" t="str">
        <f>'Data cleaning and validation(3)'!E552</f>
        <v>Music</v>
      </c>
      <c r="F564" s="15">
        <f>'Data cleaning and validation(3)'!F552</f>
        <v>40820</v>
      </c>
      <c r="G564" s="8">
        <f>'Data cleaning and validation(3)'!G552</f>
        <v>10</v>
      </c>
      <c r="H564" s="19">
        <f>'Data cleaning and validation(3)'!H552</f>
        <v>69246</v>
      </c>
      <c r="I564" s="8" t="str">
        <f>'Data cleaning and validation(3)'!I552</f>
        <v>Web Developer III</v>
      </c>
      <c r="J564" s="8" t="str">
        <f>'Data cleaning and validation(3)'!J552</f>
        <v>Quebec</v>
      </c>
      <c r="K564" s="8" t="str">
        <f>'Data cleaning and validation(3)'!K552</f>
        <v>Canada</v>
      </c>
      <c r="L564" s="8" t="str">
        <f>'Data cleaning and validation(3)'!L552</f>
        <v>Entertainment</v>
      </c>
      <c r="M564" s="8" t="str">
        <f>'Data cleaning and validation(3)'!M552</f>
        <v>Active</v>
      </c>
      <c r="N564" s="17">
        <f>'Data cleaning and validation(3)'!N552</f>
        <v>830952</v>
      </c>
      <c r="O564" s="18">
        <f>'Data cleaning and validation(3)'!O552</f>
        <v>6924.6</v>
      </c>
    </row>
    <row r="565" spans="1:15" x14ac:dyDescent="0.35">
      <c r="A565" s="8">
        <f>'Data cleaning and validation(3)'!A553</f>
        <v>552</v>
      </c>
      <c r="B565" s="8" t="str">
        <f>'Data cleaning and validation(3)'!B553</f>
        <v>Gomez</v>
      </c>
      <c r="C565" s="8" t="str">
        <f>'Data cleaning and validation(3)'!C553</f>
        <v>cgomezfb@reddit.com</v>
      </c>
      <c r="D565" s="8" t="str">
        <f>'Data cleaning and validation(3)'!D553</f>
        <v>M</v>
      </c>
      <c r="E565" s="8" t="str">
        <f>'Data cleaning and validation(3)'!E553</f>
        <v>Beauty</v>
      </c>
      <c r="F565" s="15">
        <f>'Data cleaning and validation(3)'!F553</f>
        <v>40620</v>
      </c>
      <c r="G565" s="8">
        <f>'Data cleaning and validation(3)'!G553</f>
        <v>10</v>
      </c>
      <c r="H565" s="19">
        <f>'Data cleaning and validation(3)'!H553</f>
        <v>107389</v>
      </c>
      <c r="I565" s="8" t="str">
        <f>'Data cleaning and validation(3)'!I553</f>
        <v>Community Outreach Specialist</v>
      </c>
      <c r="J565" s="8" t="str">
        <f>'Data cleaning and validation(3)'!J553</f>
        <v>Southeast</v>
      </c>
      <c r="K565" s="8" t="str">
        <f>'Data cleaning and validation(3)'!K553</f>
        <v>USA</v>
      </c>
      <c r="L565" s="8" t="str">
        <f>'Data cleaning and validation(3)'!L553</f>
        <v>Domestic</v>
      </c>
      <c r="M565" s="8" t="str">
        <f>'Data cleaning and validation(3)'!M553</f>
        <v>Active</v>
      </c>
      <c r="N565" s="17">
        <f>'Data cleaning and validation(3)'!N553</f>
        <v>1288668</v>
      </c>
      <c r="O565" s="18">
        <f>'Data cleaning and validation(3)'!O553</f>
        <v>10738.900000000001</v>
      </c>
    </row>
    <row r="566" spans="1:15" x14ac:dyDescent="0.35">
      <c r="A566" s="8">
        <f>'Data cleaning and validation(3)'!A554</f>
        <v>553</v>
      </c>
      <c r="B566" s="8" t="str">
        <f>'Data cleaning and validation(3)'!B554</f>
        <v>George</v>
      </c>
      <c r="C566" s="8" t="str">
        <f>'Data cleaning and validation(3)'!C554</f>
        <v>rgeorgefc@youtube.com</v>
      </c>
      <c r="D566" s="8" t="str">
        <f>'Data cleaning and validation(3)'!D554</f>
        <v>M</v>
      </c>
      <c r="E566" s="8" t="str">
        <f>'Data cleaning and validation(3)'!E554</f>
        <v>Automotive</v>
      </c>
      <c r="F566" s="15">
        <f>'Data cleaning and validation(3)'!F554</f>
        <v>40163</v>
      </c>
      <c r="G566" s="8">
        <f>'Data cleaning and validation(3)'!G554</f>
        <v>12</v>
      </c>
      <c r="H566" s="19">
        <f>'Data cleaning and validation(3)'!H554</f>
        <v>141505</v>
      </c>
      <c r="I566" s="8" t="str">
        <f>'Data cleaning and validation(3)'!I554</f>
        <v>Associate Professor</v>
      </c>
      <c r="J566" s="8" t="str">
        <f>'Data cleaning and validation(3)'!J554</f>
        <v>Quebec</v>
      </c>
      <c r="K566" s="8" t="str">
        <f>'Data cleaning and validation(3)'!K554</f>
        <v>Canada</v>
      </c>
      <c r="L566" s="8" t="str">
        <f>'Data cleaning and validation(3)'!L554</f>
        <v>Auto &amp; Hardware</v>
      </c>
      <c r="M566" s="8" t="str">
        <f>'Data cleaning and validation(3)'!M554</f>
        <v>Active</v>
      </c>
      <c r="N566" s="17">
        <f>'Data cleaning and validation(3)'!N554</f>
        <v>1698060</v>
      </c>
      <c r="O566" s="18">
        <f>'Data cleaning and validation(3)'!O554</f>
        <v>14150.5</v>
      </c>
    </row>
    <row r="567" spans="1:15" x14ac:dyDescent="0.35">
      <c r="A567" s="8">
        <f>'Data cleaning and validation(3)'!A555</f>
        <v>554</v>
      </c>
      <c r="B567" s="8" t="str">
        <f>'Data cleaning and validation(3)'!B555</f>
        <v>Frazier</v>
      </c>
      <c r="C567" s="8" t="str">
        <f>'Data cleaning and validation(3)'!C555</f>
        <v>mfrazierfd@tripod.com</v>
      </c>
      <c r="D567" s="8" t="str">
        <f>'Data cleaning and validation(3)'!D555</f>
        <v>M</v>
      </c>
      <c r="E567" s="8" t="str">
        <f>'Data cleaning and validation(3)'!E555</f>
        <v>Toys</v>
      </c>
      <c r="F567" s="15">
        <f>'Data cleaning and validation(3)'!F555</f>
        <v>39453</v>
      </c>
      <c r="G567" s="8">
        <f>'Data cleaning and validation(3)'!G555</f>
        <v>13</v>
      </c>
      <c r="H567" s="19">
        <f>'Data cleaning and validation(3)'!H555</f>
        <v>60318</v>
      </c>
      <c r="I567" s="8" t="str">
        <f>'Data cleaning and validation(3)'!I555</f>
        <v>Engineer I</v>
      </c>
      <c r="J567" s="8" t="str">
        <f>'Data cleaning and validation(3)'!J555</f>
        <v>British Columbia</v>
      </c>
      <c r="K567" s="8" t="str">
        <f>'Data cleaning and validation(3)'!K555</f>
        <v>Canada</v>
      </c>
      <c r="L567" s="8" t="str">
        <f>'Data cleaning and validation(3)'!L555</f>
        <v>Games &amp; Sports</v>
      </c>
      <c r="M567" s="8" t="str">
        <f>'Data cleaning and validation(3)'!M555</f>
        <v>Active</v>
      </c>
      <c r="N567" s="17">
        <f>'Data cleaning and validation(3)'!N555</f>
        <v>723816</v>
      </c>
      <c r="O567" s="18">
        <f>'Data cleaning and validation(3)'!O555</f>
        <v>6031.8</v>
      </c>
    </row>
    <row r="568" spans="1:15" x14ac:dyDescent="0.35">
      <c r="A568" s="8">
        <f>'Data cleaning and validation(3)'!A556</f>
        <v>555</v>
      </c>
      <c r="B568" s="8" t="str">
        <f>'Data cleaning and validation(3)'!B556</f>
        <v>Bryant</v>
      </c>
      <c r="C568" s="8" t="str">
        <f>'Data cleaning and validation(3)'!C556</f>
        <v>cbryantfe@phpbb.com</v>
      </c>
      <c r="D568" s="8" t="str">
        <f>'Data cleaning and validation(3)'!D556</f>
        <v>F</v>
      </c>
      <c r="E568" s="8" t="str">
        <f>'Data cleaning and validation(3)'!E556</f>
        <v>Outdoors</v>
      </c>
      <c r="F568" s="15">
        <f>'Data cleaning and validation(3)'!F556</f>
        <v>46550</v>
      </c>
      <c r="G568" s="8">
        <f>'Data cleaning and validation(3)'!G556</f>
        <v>7</v>
      </c>
      <c r="H568" s="19">
        <f>'Data cleaning and validation(3)'!H556</f>
        <v>148260</v>
      </c>
      <c r="I568" s="8" t="str">
        <f>'Data cleaning and validation(3)'!I556</f>
        <v>Executive Secretary</v>
      </c>
      <c r="J568" s="8" t="str">
        <f>'Data cleaning and validation(3)'!J556</f>
        <v>Nova Scotia</v>
      </c>
      <c r="K568" s="8" t="str">
        <f>'Data cleaning and validation(3)'!K556</f>
        <v>Canada</v>
      </c>
      <c r="L568" s="8" t="str">
        <f>'Data cleaning and validation(3)'!L556</f>
        <v>Outdoors &amp; Garden</v>
      </c>
      <c r="M568" s="8" t="str">
        <f>'Data cleaning and validation(3)'!M556</f>
        <v>Active</v>
      </c>
      <c r="N568" s="17">
        <f>'Data cleaning and validation(3)'!N556</f>
        <v>1779120</v>
      </c>
      <c r="O568" s="18">
        <f>'Data cleaning and validation(3)'!O556</f>
        <v>14826</v>
      </c>
    </row>
    <row r="569" spans="1:15" x14ac:dyDescent="0.35">
      <c r="A569" s="8">
        <f>'Data cleaning and validation(3)'!A557</f>
        <v>556</v>
      </c>
      <c r="B569" s="8" t="str">
        <f>'Data cleaning and validation(3)'!B557</f>
        <v>Ferguson</v>
      </c>
      <c r="C569" s="8" t="str">
        <f>'Data cleaning and validation(3)'!C557</f>
        <v>mfergusonff@trellian.com</v>
      </c>
      <c r="D569" s="8" t="str">
        <f>'Data cleaning and validation(3)'!D557</f>
        <v>F</v>
      </c>
      <c r="E569" s="8" t="str">
        <f>'Data cleaning and validation(3)'!E557</f>
        <v>Electronics</v>
      </c>
      <c r="F569" s="15">
        <f>'Data cleaning and validation(3)'!F557</f>
        <v>39071</v>
      </c>
      <c r="G569" s="8">
        <f>'Data cleaning and validation(3)'!G557</f>
        <v>15</v>
      </c>
      <c r="H569" s="19">
        <f>'Data cleaning and validation(3)'!H557</f>
        <v>73199</v>
      </c>
      <c r="I569" s="8" t="str">
        <f>'Data cleaning and validation(3)'!I557</f>
        <v>Payment Adjustment Coordinator</v>
      </c>
      <c r="J569" s="8" t="str">
        <f>'Data cleaning and validation(3)'!J557</f>
        <v>Southeast</v>
      </c>
      <c r="K569" s="8" t="str">
        <f>'Data cleaning and validation(3)'!K557</f>
        <v>USA</v>
      </c>
      <c r="L569" s="8" t="str">
        <f>'Data cleaning and validation(3)'!L557</f>
        <v>Electronic Equipment</v>
      </c>
      <c r="M569" s="8" t="str">
        <f>'Data cleaning and validation(3)'!M557</f>
        <v>Active</v>
      </c>
      <c r="N569" s="17">
        <f>'Data cleaning and validation(3)'!N557</f>
        <v>878388</v>
      </c>
      <c r="O569" s="18">
        <f>'Data cleaning and validation(3)'!O557</f>
        <v>7319.9000000000005</v>
      </c>
    </row>
    <row r="570" spans="1:15" x14ac:dyDescent="0.35">
      <c r="A570" s="8">
        <f>'Data cleaning and validation(3)'!A558</f>
        <v>557</v>
      </c>
      <c r="B570" s="8" t="str">
        <f>'Data cleaning and validation(3)'!B558</f>
        <v>Frazier</v>
      </c>
      <c r="C570" s="8" t="str">
        <f>'Data cleaning and validation(3)'!C558</f>
        <v>dfrazierfg@twitter.com</v>
      </c>
      <c r="D570" s="8" t="str">
        <f>'Data cleaning and validation(3)'!D558</f>
        <v>M</v>
      </c>
      <c r="E570" s="8" t="str">
        <f>'Data cleaning and validation(3)'!E558</f>
        <v>Kids</v>
      </c>
      <c r="F570" s="15">
        <f>'Data cleaning and validation(3)'!F558</f>
        <v>37494</v>
      </c>
      <c r="G570" s="8">
        <f>'Data cleaning and validation(3)'!G558</f>
        <v>19</v>
      </c>
      <c r="H570" s="19">
        <f>'Data cleaning and validation(3)'!H558</f>
        <v>111244</v>
      </c>
      <c r="I570" s="8" t="str">
        <f>'Data cleaning and validation(3)'!I558</f>
        <v>Environmental Specialist</v>
      </c>
      <c r="J570" s="8" t="str">
        <f>'Data cleaning and validation(3)'!J558</f>
        <v>Quebec</v>
      </c>
      <c r="K570" s="8" t="str">
        <f>'Data cleaning and validation(3)'!K558</f>
        <v>Canada</v>
      </c>
      <c r="L570" s="8" t="str">
        <f>'Data cleaning and validation(3)'!L558</f>
        <v>Domestic</v>
      </c>
      <c r="M570" s="8" t="str">
        <f>'Data cleaning and validation(3)'!M558</f>
        <v>Active</v>
      </c>
      <c r="N570" s="17">
        <f>'Data cleaning and validation(3)'!N558</f>
        <v>1334928</v>
      </c>
      <c r="O570" s="18">
        <f>'Data cleaning and validation(3)'!O558</f>
        <v>11124.400000000001</v>
      </c>
    </row>
    <row r="571" spans="1:15" x14ac:dyDescent="0.35">
      <c r="A571" s="8">
        <f>'Data cleaning and validation(3)'!A559</f>
        <v>558</v>
      </c>
      <c r="B571" s="8" t="str">
        <f>'Data cleaning and validation(3)'!B559</f>
        <v>Hudson</v>
      </c>
      <c r="C571" s="8" t="str">
        <f>'Data cleaning and validation(3)'!C559</f>
        <v>jhudsonfh@soundcloud.com</v>
      </c>
      <c r="D571" s="8" t="str">
        <f>'Data cleaning and validation(3)'!D559</f>
        <v>M</v>
      </c>
      <c r="E571" s="8" t="str">
        <f>'Data cleaning and validation(3)'!E559</f>
        <v>Baby</v>
      </c>
      <c r="F571" s="15">
        <f>'Data cleaning and validation(3)'!F559</f>
        <v>40989</v>
      </c>
      <c r="G571" s="8">
        <f>'Data cleaning and validation(3)'!G559</f>
        <v>9</v>
      </c>
      <c r="H571" s="19">
        <f>'Data cleaning and validation(3)'!H559</f>
        <v>103845</v>
      </c>
      <c r="I571" s="8" t="str">
        <f>'Data cleaning and validation(3)'!I559</f>
        <v>Nurse Practicioner</v>
      </c>
      <c r="J571" s="8" t="str">
        <f>'Data cleaning and validation(3)'!J559</f>
        <v>Northeast</v>
      </c>
      <c r="K571" s="8" t="str">
        <f>'Data cleaning and validation(3)'!K559</f>
        <v>USA</v>
      </c>
      <c r="L571" s="8" t="str">
        <f>'Data cleaning and validation(3)'!L559</f>
        <v>Domestic</v>
      </c>
      <c r="M571" s="8" t="str">
        <f>'Data cleaning and validation(3)'!M559</f>
        <v>Active</v>
      </c>
      <c r="N571" s="17">
        <f>'Data cleaning and validation(3)'!N559</f>
        <v>1246140</v>
      </c>
      <c r="O571" s="18">
        <f>'Data cleaning and validation(3)'!O559</f>
        <v>10384.5</v>
      </c>
    </row>
    <row r="572" spans="1:15" x14ac:dyDescent="0.35">
      <c r="A572" s="8">
        <f>'Data cleaning and validation(3)'!A560</f>
        <v>559</v>
      </c>
      <c r="B572" s="8" t="str">
        <f>'Data cleaning and validation(3)'!B560</f>
        <v>Murphy</v>
      </c>
      <c r="C572" s="8" t="str">
        <f>'Data cleaning and validation(3)'!C560</f>
        <v>jmurphyfi@naver.com</v>
      </c>
      <c r="D572" s="8" t="str">
        <f>'Data cleaning and validation(3)'!D560</f>
        <v>F</v>
      </c>
      <c r="E572" s="8" t="str">
        <f>'Data cleaning and validation(3)'!E560</f>
        <v>Computers</v>
      </c>
      <c r="F572" s="15">
        <f>'Data cleaning and validation(3)'!F560</f>
        <v>44488</v>
      </c>
      <c r="G572" s="8">
        <f>'Data cleaning and validation(3)'!G560</f>
        <v>13</v>
      </c>
      <c r="H572" s="19">
        <f>'Data cleaning and validation(3)'!H560</f>
        <v>88666</v>
      </c>
      <c r="I572" s="8" t="str">
        <f>'Data cleaning and validation(3)'!I560</f>
        <v>Senior Editor</v>
      </c>
      <c r="J572" s="8" t="str">
        <f>'Data cleaning and validation(3)'!J560</f>
        <v>Nova Scotia</v>
      </c>
      <c r="K572" s="8" t="str">
        <f>'Data cleaning and validation(3)'!K560</f>
        <v>Canada</v>
      </c>
      <c r="L572" s="8" t="str">
        <f>'Data cleaning and validation(3)'!L560</f>
        <v>Electronic Equipment</v>
      </c>
      <c r="M572" s="8" t="str">
        <f>'Data cleaning and validation(3)'!M560</f>
        <v>Active</v>
      </c>
      <c r="N572" s="17">
        <f>'Data cleaning and validation(3)'!N560</f>
        <v>1063992</v>
      </c>
      <c r="O572" s="18">
        <f>'Data cleaning and validation(3)'!O560</f>
        <v>8866.6</v>
      </c>
    </row>
    <row r="573" spans="1:15" x14ac:dyDescent="0.35">
      <c r="A573" s="8">
        <f>'Data cleaning and validation(3)'!A561</f>
        <v>560</v>
      </c>
      <c r="B573" s="8" t="str">
        <f>'Data cleaning and validation(3)'!B561</f>
        <v>Kim</v>
      </c>
      <c r="C573" s="8" t="str">
        <f>'Data cleaning and validation(3)'!C561</f>
        <v>jkimfj@dropbox.com</v>
      </c>
      <c r="D573" s="8" t="str">
        <f>'Data cleaning and validation(3)'!D561</f>
        <v>M</v>
      </c>
      <c r="E573" s="8" t="str">
        <f>'Data cleaning and validation(3)'!E561</f>
        <v>Clothing</v>
      </c>
      <c r="F573" s="15">
        <f>'Data cleaning and validation(3)'!F561</f>
        <v>41661</v>
      </c>
      <c r="G573" s="8">
        <f>'Data cleaning and validation(3)'!G561</f>
        <v>7</v>
      </c>
      <c r="H573" s="19">
        <f>'Data cleaning and validation(3)'!H561</f>
        <v>67845</v>
      </c>
      <c r="I573" s="8" t="str">
        <f>'Data cleaning and validation(3)'!I561</f>
        <v>Administrative Officer</v>
      </c>
      <c r="J573" s="8" t="str">
        <f>'Data cleaning and validation(3)'!J561</f>
        <v>Nova Scotia</v>
      </c>
      <c r="K573" s="8" t="str">
        <f>'Data cleaning and validation(3)'!K561</f>
        <v>Canada</v>
      </c>
      <c r="L573" s="8" t="str">
        <f>'Data cleaning and validation(3)'!L561</f>
        <v>Domestic</v>
      </c>
      <c r="M573" s="8" t="str">
        <f>'Data cleaning and validation(3)'!M561</f>
        <v>Active</v>
      </c>
      <c r="N573" s="17">
        <f>'Data cleaning and validation(3)'!N561</f>
        <v>814140</v>
      </c>
      <c r="O573" s="18">
        <f>'Data cleaning and validation(3)'!O561</f>
        <v>6784.5</v>
      </c>
    </row>
    <row r="574" spans="1:15" x14ac:dyDescent="0.35">
      <c r="A574" s="8">
        <f>'Data cleaning and validation(3)'!A562</f>
        <v>561</v>
      </c>
      <c r="B574" s="8" t="str">
        <f>'Data cleaning and validation(3)'!B562</f>
        <v>Rodriguez</v>
      </c>
      <c r="C574" s="8" t="str">
        <f>'Data cleaning and validation(3)'!C562</f>
        <v>jrodriguezfk@cafepress.com</v>
      </c>
      <c r="D574" s="8" t="str">
        <f>'Data cleaning and validation(3)'!D562</f>
        <v>M</v>
      </c>
      <c r="E574" s="8" t="str">
        <f>'Data cleaning and validation(3)'!E562</f>
        <v>Sports</v>
      </c>
      <c r="F574" s="15">
        <f>'Data cleaning and validation(3)'!F562</f>
        <v>38085</v>
      </c>
      <c r="G574" s="8">
        <f>'Data cleaning and validation(3)'!G562</f>
        <v>17</v>
      </c>
      <c r="H574" s="19">
        <f>'Data cleaning and validation(3)'!H562</f>
        <v>62527</v>
      </c>
      <c r="I574" s="8" t="str">
        <f>'Data cleaning and validation(3)'!I562</f>
        <v>Recruiter</v>
      </c>
      <c r="J574" s="8" t="str">
        <f>'Data cleaning and validation(3)'!J562</f>
        <v>Northeast</v>
      </c>
      <c r="K574" s="8" t="str">
        <f>'Data cleaning and validation(3)'!K562</f>
        <v>USA</v>
      </c>
      <c r="L574" s="8" t="str">
        <f>'Data cleaning and validation(3)'!L562</f>
        <v>Games &amp; Sports</v>
      </c>
      <c r="M574" s="8" t="str">
        <f>'Data cleaning and validation(3)'!M562</f>
        <v>Active</v>
      </c>
      <c r="N574" s="17">
        <f>'Data cleaning and validation(3)'!N562</f>
        <v>750324</v>
      </c>
      <c r="O574" s="18">
        <f>'Data cleaning and validation(3)'!O562</f>
        <v>6252.7000000000007</v>
      </c>
    </row>
    <row r="575" spans="1:15" x14ac:dyDescent="0.35">
      <c r="A575" s="8">
        <f>'Data cleaning and validation(3)'!A563</f>
        <v>562</v>
      </c>
      <c r="B575" s="8" t="str">
        <f>'Data cleaning and validation(3)'!B563</f>
        <v>Perez</v>
      </c>
      <c r="C575" s="8" t="str">
        <f>'Data cleaning and validation(3)'!C563</f>
        <v>jperezfl@seesaa.net</v>
      </c>
      <c r="D575" s="8" t="str">
        <f>'Data cleaning and validation(3)'!D563</f>
        <v>M</v>
      </c>
      <c r="E575" s="8" t="str">
        <f>'Data cleaning and validation(3)'!E563</f>
        <v>Tools</v>
      </c>
      <c r="F575" s="15">
        <f>'Data cleaning and validation(3)'!F563</f>
        <v>37758</v>
      </c>
      <c r="G575" s="8">
        <f>'Data cleaning and validation(3)'!G563</f>
        <v>18</v>
      </c>
      <c r="H575" s="19">
        <f>'Data cleaning and validation(3)'!H563</f>
        <v>73412</v>
      </c>
      <c r="I575" s="8" t="str">
        <f>'Data cleaning and validation(3)'!I563</f>
        <v>Librarian</v>
      </c>
      <c r="J575" s="8" t="str">
        <f>'Data cleaning and validation(3)'!J563</f>
        <v>British Columbia</v>
      </c>
      <c r="K575" s="8" t="str">
        <f>'Data cleaning and validation(3)'!K563</f>
        <v>Canada</v>
      </c>
      <c r="L575" s="8" t="str">
        <f>'Data cleaning and validation(3)'!L563</f>
        <v>Auto &amp; Hardware</v>
      </c>
      <c r="M575" s="8" t="str">
        <f>'Data cleaning and validation(3)'!M563</f>
        <v>Active</v>
      </c>
      <c r="N575" s="17">
        <f>'Data cleaning and validation(3)'!N563</f>
        <v>880944</v>
      </c>
      <c r="O575" s="18">
        <f>'Data cleaning and validation(3)'!O563</f>
        <v>7341.2000000000007</v>
      </c>
    </row>
    <row r="576" spans="1:15" x14ac:dyDescent="0.35">
      <c r="A576" s="8">
        <f>'Data cleaning and validation(3)'!A564</f>
        <v>563</v>
      </c>
      <c r="B576" s="8" t="str">
        <f>'Data cleaning and validation(3)'!B564</f>
        <v>Graham</v>
      </c>
      <c r="C576" s="8" t="str">
        <f>'Data cleaning and validation(3)'!C564</f>
        <v>bgrahamfm@usatoday.com</v>
      </c>
      <c r="D576" s="8" t="str">
        <f>'Data cleaning and validation(3)'!D564</f>
        <v>M</v>
      </c>
      <c r="E576" s="8" t="str">
        <f>'Data cleaning and validation(3)'!E564</f>
        <v>Beauty</v>
      </c>
      <c r="F576" s="15">
        <f>'Data cleaning and validation(3)'!F564</f>
        <v>40654</v>
      </c>
      <c r="G576" s="8">
        <f>'Data cleaning and validation(3)'!G564</f>
        <v>10</v>
      </c>
      <c r="H576" s="19">
        <f>'Data cleaning and validation(3)'!H564</f>
        <v>123391</v>
      </c>
      <c r="I576" s="8" t="str">
        <f>'Data cleaning and validation(3)'!I564</f>
        <v>Financial Advisor</v>
      </c>
      <c r="J576" s="8" t="str">
        <f>'Data cleaning and validation(3)'!J564</f>
        <v>Nova Scotia</v>
      </c>
      <c r="K576" s="8" t="str">
        <f>'Data cleaning and validation(3)'!K564</f>
        <v>Canada</v>
      </c>
      <c r="L576" s="8" t="str">
        <f>'Data cleaning and validation(3)'!L564</f>
        <v>Domestic</v>
      </c>
      <c r="M576" s="8" t="str">
        <f>'Data cleaning and validation(3)'!M564</f>
        <v>Active</v>
      </c>
      <c r="N576" s="17">
        <f>'Data cleaning and validation(3)'!N564</f>
        <v>1480692</v>
      </c>
      <c r="O576" s="18">
        <f>'Data cleaning and validation(3)'!O564</f>
        <v>12339.1</v>
      </c>
    </row>
    <row r="577" spans="1:15" x14ac:dyDescent="0.35">
      <c r="A577" s="8">
        <f>'Data cleaning and validation(3)'!A565</f>
        <v>564</v>
      </c>
      <c r="B577" s="8" t="str">
        <f>'Data cleaning and validation(3)'!B565</f>
        <v>Martinez</v>
      </c>
      <c r="C577" s="8" t="str">
        <f>'Data cleaning and validation(3)'!C565</f>
        <v>amartinezfn@people.com.cn</v>
      </c>
      <c r="D577" s="8" t="str">
        <f>'Data cleaning and validation(3)'!D565</f>
        <v>F</v>
      </c>
      <c r="E577" s="8" t="str">
        <f>'Data cleaning and validation(3)'!E565</f>
        <v>Health</v>
      </c>
      <c r="F577" s="15">
        <f>'Data cleaning and validation(3)'!F565</f>
        <v>38406</v>
      </c>
      <c r="G577" s="8">
        <f>'Data cleaning and validation(3)'!G565</f>
        <v>16</v>
      </c>
      <c r="H577" s="19">
        <f>'Data cleaning and validation(3)'!H565</f>
        <v>99508</v>
      </c>
      <c r="I577" s="8" t="str">
        <f>'Data cleaning and validation(3)'!I565</f>
        <v>VP Quality Control</v>
      </c>
      <c r="J577" s="8" t="str">
        <f>'Data cleaning and validation(3)'!J565</f>
        <v>British Columbia</v>
      </c>
      <c r="K577" s="8" t="str">
        <f>'Data cleaning and validation(3)'!K565</f>
        <v>Canada</v>
      </c>
      <c r="L577" s="8" t="str">
        <f>'Data cleaning and validation(3)'!L565</f>
        <v>Domestic</v>
      </c>
      <c r="M577" s="8" t="str">
        <f>'Data cleaning and validation(3)'!M565</f>
        <v>Active</v>
      </c>
      <c r="N577" s="17">
        <f>'Data cleaning and validation(3)'!N565</f>
        <v>1194096</v>
      </c>
      <c r="O577" s="18">
        <f>'Data cleaning and validation(3)'!O565</f>
        <v>9950.8000000000011</v>
      </c>
    </row>
    <row r="578" spans="1:15" x14ac:dyDescent="0.35">
      <c r="A578" s="8">
        <f>'Data cleaning and validation(3)'!A566</f>
        <v>565</v>
      </c>
      <c r="B578" s="8" t="str">
        <f>'Data cleaning and validation(3)'!B566</f>
        <v>Pierce</v>
      </c>
      <c r="C578" s="8" t="str">
        <f>'Data cleaning and validation(3)'!C566</f>
        <v>jpiercefo@cnet.com</v>
      </c>
      <c r="D578" s="8" t="str">
        <f>'Data cleaning and validation(3)'!D566</f>
        <v>F</v>
      </c>
      <c r="E578" s="8" t="str">
        <f>'Data cleaning and validation(3)'!E566</f>
        <v>Jewelery</v>
      </c>
      <c r="F578" s="15">
        <f>'Data cleaning and validation(3)'!F566</f>
        <v>46494</v>
      </c>
      <c r="G578" s="8">
        <f>'Data cleaning and validation(3)'!G566</f>
        <v>7</v>
      </c>
      <c r="H578" s="19">
        <f>'Data cleaning and validation(3)'!H566</f>
        <v>55726</v>
      </c>
      <c r="I578" s="8" t="str">
        <f>'Data cleaning and validation(3)'!I566</f>
        <v>Geologist III</v>
      </c>
      <c r="J578" s="8" t="str">
        <f>'Data cleaning and validation(3)'!J566</f>
        <v>Nova Scotia</v>
      </c>
      <c r="K578" s="8" t="str">
        <f>'Data cleaning and validation(3)'!K566</f>
        <v>Canada</v>
      </c>
      <c r="L578" s="8" t="str">
        <f>'Data cleaning and validation(3)'!L566</f>
        <v>Fashion</v>
      </c>
      <c r="M578" s="8" t="str">
        <f>'Data cleaning and validation(3)'!M566</f>
        <v>Active</v>
      </c>
      <c r="N578" s="17">
        <f>'Data cleaning and validation(3)'!N566</f>
        <v>668712</v>
      </c>
      <c r="O578" s="18">
        <f>'Data cleaning and validation(3)'!O566</f>
        <v>5572.6</v>
      </c>
    </row>
    <row r="579" spans="1:15" x14ac:dyDescent="0.35">
      <c r="A579" s="8">
        <f>'Data cleaning and validation(3)'!A567</f>
        <v>566</v>
      </c>
      <c r="B579" s="8" t="str">
        <f>'Data cleaning and validation(3)'!B567</f>
        <v>Lynch</v>
      </c>
      <c r="C579" s="8" t="str">
        <f>'Data cleaning and validation(3)'!C567</f>
        <v>mlynchfp@reverbnation.com</v>
      </c>
      <c r="D579" s="8" t="str">
        <f>'Data cleaning and validation(3)'!D567</f>
        <v>M</v>
      </c>
      <c r="E579" s="8" t="str">
        <f>'Data cleaning and validation(3)'!E567</f>
        <v>Electronics</v>
      </c>
      <c r="F579" s="15">
        <f>'Data cleaning and validation(3)'!F567</f>
        <v>40887</v>
      </c>
      <c r="G579" s="8">
        <f>'Data cleaning and validation(3)'!G567</f>
        <v>10</v>
      </c>
      <c r="H579" s="19">
        <f>'Data cleaning and validation(3)'!H567</f>
        <v>67140</v>
      </c>
      <c r="I579" s="8" t="str">
        <f>'Data cleaning and validation(3)'!I567</f>
        <v>Systems Administrator III</v>
      </c>
      <c r="J579" s="8" t="str">
        <f>'Data cleaning and validation(3)'!J567</f>
        <v>Northwest</v>
      </c>
      <c r="K579" s="8" t="str">
        <f>'Data cleaning and validation(3)'!K567</f>
        <v>USA</v>
      </c>
      <c r="L579" s="8" t="str">
        <f>'Data cleaning and validation(3)'!L567</f>
        <v>Electronic Equipment</v>
      </c>
      <c r="M579" s="8" t="str">
        <f>'Data cleaning and validation(3)'!M567</f>
        <v>Active</v>
      </c>
      <c r="N579" s="17">
        <f>'Data cleaning and validation(3)'!N567</f>
        <v>805680</v>
      </c>
      <c r="O579" s="18">
        <f>'Data cleaning and validation(3)'!O567</f>
        <v>6714</v>
      </c>
    </row>
    <row r="580" spans="1:15" x14ac:dyDescent="0.35">
      <c r="A580" s="8">
        <f>'Data cleaning and validation(3)'!A568</f>
        <v>567</v>
      </c>
      <c r="B580" s="8" t="str">
        <f>'Data cleaning and validation(3)'!B568</f>
        <v>Myers</v>
      </c>
      <c r="C580" s="8" t="str">
        <f>'Data cleaning and validation(3)'!C568</f>
        <v>dmyersfq@amazon.com</v>
      </c>
      <c r="D580" s="8" t="str">
        <f>'Data cleaning and validation(3)'!D568</f>
        <v>F</v>
      </c>
      <c r="E580" s="8" t="str">
        <f>'Data cleaning and validation(3)'!E568</f>
        <v>Home</v>
      </c>
      <c r="F580" s="15">
        <f>'Data cleaning and validation(3)'!F568</f>
        <v>45073</v>
      </c>
      <c r="G580" s="8">
        <f>'Data cleaning and validation(3)'!G568</f>
        <v>11</v>
      </c>
      <c r="H580" s="19">
        <f>'Data cleaning and validation(3)'!H568</f>
        <v>139060</v>
      </c>
      <c r="I580" s="8" t="str">
        <f>'Data cleaning and validation(3)'!I568</f>
        <v>Assistant Professor</v>
      </c>
      <c r="J580" s="8" t="str">
        <f>'Data cleaning and validation(3)'!J568</f>
        <v>Nova Scotia</v>
      </c>
      <c r="K580" s="8" t="str">
        <f>'Data cleaning and validation(3)'!K568</f>
        <v>Canada</v>
      </c>
      <c r="L580" s="8" t="str">
        <f>'Data cleaning and validation(3)'!L568</f>
        <v>Domestic</v>
      </c>
      <c r="M580" s="8" t="str">
        <f>'Data cleaning and validation(3)'!M568</f>
        <v>Active</v>
      </c>
      <c r="N580" s="17">
        <f>'Data cleaning and validation(3)'!N568</f>
        <v>1668720</v>
      </c>
      <c r="O580" s="18">
        <f>'Data cleaning and validation(3)'!O568</f>
        <v>13906</v>
      </c>
    </row>
    <row r="581" spans="1:15" x14ac:dyDescent="0.35">
      <c r="A581" s="8">
        <f>'Data cleaning and validation(3)'!A569</f>
        <v>568</v>
      </c>
      <c r="B581" s="8" t="str">
        <f>'Data cleaning and validation(3)'!B569</f>
        <v>Day</v>
      </c>
      <c r="C581" s="8" t="str">
        <f>'Data cleaning and validation(3)'!C569</f>
        <v>kdayfr@wix.com</v>
      </c>
      <c r="D581" s="8" t="str">
        <f>'Data cleaning and validation(3)'!D569</f>
        <v>M</v>
      </c>
      <c r="E581" s="8" t="str">
        <f>'Data cleaning and validation(3)'!E569</f>
        <v>Home</v>
      </c>
      <c r="F581" s="15">
        <f>'Data cleaning and validation(3)'!F569</f>
        <v>38188</v>
      </c>
      <c r="G581" s="8">
        <f>'Data cleaning and validation(3)'!G569</f>
        <v>17</v>
      </c>
      <c r="H581" s="19">
        <f>'Data cleaning and validation(3)'!H569</f>
        <v>135993</v>
      </c>
      <c r="I581" s="8" t="str">
        <f>'Data cleaning and validation(3)'!I569</f>
        <v>Geologist IV</v>
      </c>
      <c r="J581" s="8" t="str">
        <f>'Data cleaning and validation(3)'!J569</f>
        <v>Southwest</v>
      </c>
      <c r="K581" s="8" t="str">
        <f>'Data cleaning and validation(3)'!K569</f>
        <v>USA</v>
      </c>
      <c r="L581" s="8" t="str">
        <f>'Data cleaning and validation(3)'!L569</f>
        <v>Domestic</v>
      </c>
      <c r="M581" s="8" t="str">
        <f>'Data cleaning and validation(3)'!M569</f>
        <v>Active</v>
      </c>
      <c r="N581" s="17">
        <f>'Data cleaning and validation(3)'!N569</f>
        <v>1631916</v>
      </c>
      <c r="O581" s="18">
        <f>'Data cleaning and validation(3)'!O569</f>
        <v>13599.300000000001</v>
      </c>
    </row>
    <row r="582" spans="1:15" x14ac:dyDescent="0.35">
      <c r="A582" s="8">
        <f>'Data cleaning and validation(3)'!A570</f>
        <v>569</v>
      </c>
      <c r="B582" s="8" t="str">
        <f>'Data cleaning and validation(3)'!B570</f>
        <v>Little</v>
      </c>
      <c r="C582" s="8" t="str">
        <f>'Data cleaning and validation(3)'!C570</f>
        <v>jlittlefs@bravesites.com</v>
      </c>
      <c r="D582" s="8" t="str">
        <f>'Data cleaning and validation(3)'!D570</f>
        <v>F</v>
      </c>
      <c r="E582" s="8" t="str">
        <f>'Data cleaning and validation(3)'!E570</f>
        <v>Books</v>
      </c>
      <c r="F582" s="15">
        <f>'Data cleaning and validation(3)'!F570</f>
        <v>45242</v>
      </c>
      <c r="G582" s="8">
        <f>'Data cleaning and validation(3)'!G570</f>
        <v>11</v>
      </c>
      <c r="H582" s="19">
        <f>'Data cleaning and validation(3)'!H570</f>
        <v>80788</v>
      </c>
      <c r="I582" s="8" t="str">
        <f>'Data cleaning and validation(3)'!I570</f>
        <v>Programmer I</v>
      </c>
      <c r="J582" s="8" t="str">
        <f>'Data cleaning and validation(3)'!J570</f>
        <v>Southwest</v>
      </c>
      <c r="K582" s="8" t="str">
        <f>'Data cleaning and validation(3)'!K570</f>
        <v>USA</v>
      </c>
      <c r="L582" s="8" t="str">
        <f>'Data cleaning and validation(3)'!L570</f>
        <v>Library</v>
      </c>
      <c r="M582" s="8" t="str">
        <f>'Data cleaning and validation(3)'!M570</f>
        <v>Active</v>
      </c>
      <c r="N582" s="17">
        <f>'Data cleaning and validation(3)'!N570</f>
        <v>969456</v>
      </c>
      <c r="O582" s="18">
        <f>'Data cleaning and validation(3)'!O570</f>
        <v>8078.8</v>
      </c>
    </row>
    <row r="583" spans="1:15" x14ac:dyDescent="0.35">
      <c r="A583" s="8">
        <f>'Data cleaning and validation(3)'!A571</f>
        <v>570</v>
      </c>
      <c r="B583" s="8" t="str">
        <f>'Data cleaning and validation(3)'!B571</f>
        <v>James</v>
      </c>
      <c r="C583" s="8" t="str">
        <f>'Data cleaning and validation(3)'!C571</f>
        <v>rjamesft@jiathis.com</v>
      </c>
      <c r="D583" s="8" t="str">
        <f>'Data cleaning and validation(3)'!D571</f>
        <v>F</v>
      </c>
      <c r="E583" s="8" t="str">
        <f>'Data cleaning and validation(3)'!E571</f>
        <v>Clothing</v>
      </c>
      <c r="F583" s="15">
        <f>'Data cleaning and validation(3)'!F571</f>
        <v>36971</v>
      </c>
      <c r="G583" s="8">
        <f>'Data cleaning and validation(3)'!G571</f>
        <v>20</v>
      </c>
      <c r="H583" s="19">
        <f>'Data cleaning and validation(3)'!H571</f>
        <v>136377</v>
      </c>
      <c r="I583" s="8" t="str">
        <f>'Data cleaning and validation(3)'!I571</f>
        <v>Software Engineer I</v>
      </c>
      <c r="J583" s="8" t="str">
        <f>'Data cleaning and validation(3)'!J571</f>
        <v>Nova Scotia</v>
      </c>
      <c r="K583" s="8" t="str">
        <f>'Data cleaning and validation(3)'!K571</f>
        <v>Canada</v>
      </c>
      <c r="L583" s="8" t="str">
        <f>'Data cleaning and validation(3)'!L571</f>
        <v>Domestic</v>
      </c>
      <c r="M583" s="8" t="str">
        <f>'Data cleaning and validation(3)'!M571</f>
        <v>Active</v>
      </c>
      <c r="N583" s="17">
        <f>'Data cleaning and validation(3)'!N571</f>
        <v>1636524</v>
      </c>
      <c r="O583" s="18">
        <f>'Data cleaning and validation(3)'!O571</f>
        <v>13637.7</v>
      </c>
    </row>
    <row r="584" spans="1:15" x14ac:dyDescent="0.35">
      <c r="A584" s="8">
        <f>'Data cleaning and validation(3)'!A572</f>
        <v>571</v>
      </c>
      <c r="B584" s="8" t="str">
        <f>'Data cleaning and validation(3)'!B572</f>
        <v>Ortiz</v>
      </c>
      <c r="C584" s="8" t="str">
        <f>'Data cleaning and validation(3)'!C572</f>
        <v>eortizfu@java.com</v>
      </c>
      <c r="D584" s="8" t="str">
        <f>'Data cleaning and validation(3)'!D572</f>
        <v>F</v>
      </c>
      <c r="E584" s="8" t="str">
        <f>'Data cleaning and validation(3)'!E572</f>
        <v>Electronics</v>
      </c>
      <c r="F584" s="15">
        <f>'Data cleaning and validation(3)'!F572</f>
        <v>44731</v>
      </c>
      <c r="G584" s="8">
        <f>'Data cleaning and validation(3)'!G572</f>
        <v>12</v>
      </c>
      <c r="H584" s="19">
        <f>'Data cleaning and validation(3)'!H572</f>
        <v>46247</v>
      </c>
      <c r="I584" s="8" t="str">
        <f>'Data cleaning and validation(3)'!I572</f>
        <v>VP Accounting</v>
      </c>
      <c r="J584" s="8" t="str">
        <f>'Data cleaning and validation(3)'!J572</f>
        <v>Northwest</v>
      </c>
      <c r="K584" s="8" t="str">
        <f>'Data cleaning and validation(3)'!K572</f>
        <v>USA</v>
      </c>
      <c r="L584" s="8" t="str">
        <f>'Data cleaning and validation(3)'!L572</f>
        <v>Electronic Equipment</v>
      </c>
      <c r="M584" s="8" t="str">
        <f>'Data cleaning and validation(3)'!M572</f>
        <v>Active</v>
      </c>
      <c r="N584" s="17">
        <f>'Data cleaning and validation(3)'!N572</f>
        <v>554964</v>
      </c>
      <c r="O584" s="18">
        <f>'Data cleaning and validation(3)'!O572</f>
        <v>4624.7</v>
      </c>
    </row>
    <row r="585" spans="1:15" x14ac:dyDescent="0.35">
      <c r="A585" s="8">
        <f>'Data cleaning and validation(3)'!A573</f>
        <v>572</v>
      </c>
      <c r="B585" s="8" t="str">
        <f>'Data cleaning and validation(3)'!B573</f>
        <v>Duncan</v>
      </c>
      <c r="C585" s="8" t="str">
        <f>'Data cleaning and validation(3)'!C573</f>
        <v>jduncanfv@etsy.com</v>
      </c>
      <c r="D585" s="8" t="str">
        <f>'Data cleaning and validation(3)'!D573</f>
        <v>M</v>
      </c>
      <c r="E585" s="8" t="str">
        <f>'Data cleaning and validation(3)'!E573</f>
        <v>Automotive</v>
      </c>
      <c r="F585" s="15">
        <f>'Data cleaning and validation(3)'!F573</f>
        <v>41715</v>
      </c>
      <c r="G585" s="8">
        <f>'Data cleaning and validation(3)'!G573</f>
        <v>7</v>
      </c>
      <c r="H585" s="19">
        <f>'Data cleaning and validation(3)'!H573</f>
        <v>45774</v>
      </c>
      <c r="I585" s="8" t="str">
        <f>'Data cleaning and validation(3)'!I573</f>
        <v>Electrical Engineer</v>
      </c>
      <c r="J585" s="8" t="str">
        <f>'Data cleaning and validation(3)'!J573</f>
        <v>Southeast</v>
      </c>
      <c r="K585" s="8" t="str">
        <f>'Data cleaning and validation(3)'!K573</f>
        <v>USA</v>
      </c>
      <c r="L585" s="8" t="str">
        <f>'Data cleaning and validation(3)'!L573</f>
        <v>Auto &amp; Hardware</v>
      </c>
      <c r="M585" s="8" t="str">
        <f>'Data cleaning and validation(3)'!M573</f>
        <v>Active</v>
      </c>
      <c r="N585" s="17">
        <f>'Data cleaning and validation(3)'!N573</f>
        <v>549288</v>
      </c>
      <c r="O585" s="18">
        <f>'Data cleaning and validation(3)'!O573</f>
        <v>4577.4000000000005</v>
      </c>
    </row>
    <row r="586" spans="1:15" x14ac:dyDescent="0.35">
      <c r="A586" s="8">
        <f>'Data cleaning and validation(3)'!A574</f>
        <v>573</v>
      </c>
      <c r="B586" s="8" t="str">
        <f>'Data cleaning and validation(3)'!B574</f>
        <v>Kennedy</v>
      </c>
      <c r="C586" s="8" t="str">
        <f>'Data cleaning and validation(3)'!C574</f>
        <v>jkennedyfw@nasa.gov</v>
      </c>
      <c r="D586" s="8" t="str">
        <f>'Data cleaning and validation(3)'!D574</f>
        <v>F</v>
      </c>
      <c r="E586" s="8" t="str">
        <f>'Data cleaning and validation(3)'!E574</f>
        <v>Sports</v>
      </c>
      <c r="F586" s="15">
        <f>'Data cleaning and validation(3)'!F574</f>
        <v>45039</v>
      </c>
      <c r="G586" s="8">
        <f>'Data cleaning and validation(3)'!G574</f>
        <v>11</v>
      </c>
      <c r="H586" s="19">
        <f>'Data cleaning and validation(3)'!H574</f>
        <v>100741</v>
      </c>
      <c r="I586" s="8" t="str">
        <f>'Data cleaning and validation(3)'!I574</f>
        <v>Senior Cost Accountant</v>
      </c>
      <c r="J586" s="8" t="str">
        <f>'Data cleaning and validation(3)'!J574</f>
        <v>Northeast</v>
      </c>
      <c r="K586" s="8" t="str">
        <f>'Data cleaning and validation(3)'!K574</f>
        <v>USA</v>
      </c>
      <c r="L586" s="8" t="str">
        <f>'Data cleaning and validation(3)'!L574</f>
        <v>Games &amp; Sports</v>
      </c>
      <c r="M586" s="8" t="str">
        <f>'Data cleaning and validation(3)'!M574</f>
        <v>Active</v>
      </c>
      <c r="N586" s="17">
        <f>'Data cleaning and validation(3)'!N574</f>
        <v>1208892</v>
      </c>
      <c r="O586" s="18">
        <f>'Data cleaning and validation(3)'!O574</f>
        <v>10074.1</v>
      </c>
    </row>
    <row r="587" spans="1:15" x14ac:dyDescent="0.35">
      <c r="A587" s="8">
        <f>'Data cleaning and validation(3)'!A575</f>
        <v>574</v>
      </c>
      <c r="B587" s="8" t="str">
        <f>'Data cleaning and validation(3)'!B575</f>
        <v>Pierce</v>
      </c>
      <c r="C587" s="8" t="str">
        <f>'Data cleaning and validation(3)'!C575</f>
        <v>dpiercefx@marketwatch.com</v>
      </c>
      <c r="D587" s="8" t="str">
        <f>'Data cleaning and validation(3)'!D575</f>
        <v>M</v>
      </c>
      <c r="E587" s="8" t="str">
        <f>'Data cleaning and validation(3)'!E575</f>
        <v>Grocery</v>
      </c>
      <c r="F587" s="15">
        <f>'Data cleaning and validation(3)'!F575</f>
        <v>38615</v>
      </c>
      <c r="G587" s="8">
        <f>'Data cleaning and validation(3)'!G575</f>
        <v>16</v>
      </c>
      <c r="H587" s="19">
        <f>'Data cleaning and validation(3)'!H575</f>
        <v>45534</v>
      </c>
      <c r="I587" s="8" t="str">
        <f>'Data cleaning and validation(3)'!I575</f>
        <v>Senior Sales Associate</v>
      </c>
      <c r="J587" s="8" t="str">
        <f>'Data cleaning and validation(3)'!J575</f>
        <v>Northeast</v>
      </c>
      <c r="K587" s="8" t="str">
        <f>'Data cleaning and validation(3)'!K575</f>
        <v>USA</v>
      </c>
      <c r="L587" s="8" t="str">
        <f>'Data cleaning and validation(3)'!L575</f>
        <v>Domestic</v>
      </c>
      <c r="M587" s="8" t="str">
        <f>'Data cleaning and validation(3)'!M575</f>
        <v>Active</v>
      </c>
      <c r="N587" s="17">
        <f>'Data cleaning and validation(3)'!N575</f>
        <v>546408</v>
      </c>
      <c r="O587" s="18">
        <f>'Data cleaning and validation(3)'!O575</f>
        <v>4553.4000000000005</v>
      </c>
    </row>
    <row r="588" spans="1:15" x14ac:dyDescent="0.35">
      <c r="A588" s="8">
        <f>'Data cleaning and validation(3)'!A576</f>
        <v>575</v>
      </c>
      <c r="B588" s="8" t="str">
        <f>'Data cleaning and validation(3)'!B576</f>
        <v>Bowman</v>
      </c>
      <c r="C588" s="8" t="str">
        <f>'Data cleaning and validation(3)'!C576</f>
        <v>abowmanfy@devhub.com</v>
      </c>
      <c r="D588" s="8" t="str">
        <f>'Data cleaning and validation(3)'!D576</f>
        <v>M</v>
      </c>
      <c r="E588" s="8" t="str">
        <f>'Data cleaning and validation(3)'!E576</f>
        <v>Games</v>
      </c>
      <c r="F588" s="15">
        <f>'Data cleaning and validation(3)'!F576</f>
        <v>37372</v>
      </c>
      <c r="G588" s="8">
        <f>'Data cleaning and validation(3)'!G576</f>
        <v>19</v>
      </c>
      <c r="H588" s="19">
        <f>'Data cleaning and validation(3)'!H576</f>
        <v>75399</v>
      </c>
      <c r="I588" s="8" t="str">
        <f>'Data cleaning and validation(3)'!I576</f>
        <v>VP Quality Control</v>
      </c>
      <c r="J588" s="8" t="str">
        <f>'Data cleaning and validation(3)'!J576</f>
        <v>Nova Scotia</v>
      </c>
      <c r="K588" s="8" t="str">
        <f>'Data cleaning and validation(3)'!K576</f>
        <v>Canada</v>
      </c>
      <c r="L588" s="8" t="str">
        <f>'Data cleaning and validation(3)'!L576</f>
        <v>Domestic</v>
      </c>
      <c r="M588" s="8" t="str">
        <f>'Data cleaning and validation(3)'!M576</f>
        <v>Active</v>
      </c>
      <c r="N588" s="17">
        <f>'Data cleaning and validation(3)'!N576</f>
        <v>904788</v>
      </c>
      <c r="O588" s="18">
        <f>'Data cleaning and validation(3)'!O576</f>
        <v>7539.9000000000005</v>
      </c>
    </row>
    <row r="589" spans="1:15" x14ac:dyDescent="0.35">
      <c r="A589" s="8">
        <f>'Data cleaning and validation(3)'!A577</f>
        <v>576</v>
      </c>
      <c r="B589" s="8" t="str">
        <f>'Data cleaning and validation(3)'!B577</f>
        <v>Taylor</v>
      </c>
      <c r="C589" s="8" t="str">
        <f>'Data cleaning and validation(3)'!C577</f>
        <v>staylorfz@issuu.com</v>
      </c>
      <c r="D589" s="8" t="str">
        <f>'Data cleaning and validation(3)'!D577</f>
        <v>M</v>
      </c>
      <c r="E589" s="8" t="str">
        <f>'Data cleaning and validation(3)'!E577</f>
        <v>Clothing</v>
      </c>
      <c r="F589" s="15">
        <f>'Data cleaning and validation(3)'!F577</f>
        <v>38911</v>
      </c>
      <c r="G589" s="8">
        <f>'Data cleaning and validation(3)'!G577</f>
        <v>15</v>
      </c>
      <c r="H589" s="19">
        <f>'Data cleaning and validation(3)'!H577</f>
        <v>50235</v>
      </c>
      <c r="I589" s="8" t="str">
        <f>'Data cleaning and validation(3)'!I577</f>
        <v>Assistant Media Planner</v>
      </c>
      <c r="J589" s="8" t="str">
        <f>'Data cleaning and validation(3)'!J577</f>
        <v>Northeast</v>
      </c>
      <c r="K589" s="8" t="str">
        <f>'Data cleaning and validation(3)'!K577</f>
        <v>USA</v>
      </c>
      <c r="L589" s="8" t="str">
        <f>'Data cleaning and validation(3)'!L577</f>
        <v>Domestic</v>
      </c>
      <c r="M589" s="8" t="str">
        <f>'Data cleaning and validation(3)'!M577</f>
        <v>Active</v>
      </c>
      <c r="N589" s="17">
        <f>'Data cleaning and validation(3)'!N577</f>
        <v>602820</v>
      </c>
      <c r="O589" s="18">
        <f>'Data cleaning and validation(3)'!O577</f>
        <v>5023.5</v>
      </c>
    </row>
    <row r="590" spans="1:15" x14ac:dyDescent="0.35">
      <c r="A590" s="8">
        <f>'Data cleaning and validation(3)'!A578</f>
        <v>577</v>
      </c>
      <c r="B590" s="8" t="str">
        <f>'Data cleaning and validation(3)'!B578</f>
        <v>Jones</v>
      </c>
      <c r="C590" s="8" t="str">
        <f>'Data cleaning and validation(3)'!C578</f>
        <v>jjonesg0@g.co</v>
      </c>
      <c r="D590" s="8" t="str">
        <f>'Data cleaning and validation(3)'!D578</f>
        <v>M</v>
      </c>
      <c r="E590" s="8" t="str">
        <f>'Data cleaning and validation(3)'!E578</f>
        <v>Baby</v>
      </c>
      <c r="F590" s="15">
        <f>'Data cleaning and validation(3)'!F578</f>
        <v>40570</v>
      </c>
      <c r="G590" s="8">
        <f>'Data cleaning and validation(3)'!G578</f>
        <v>10</v>
      </c>
      <c r="H590" s="19">
        <f>'Data cleaning and validation(3)'!H578</f>
        <v>128048</v>
      </c>
      <c r="I590" s="8" t="str">
        <f>'Data cleaning and validation(3)'!I578</f>
        <v>Programmer III</v>
      </c>
      <c r="J590" s="8" t="str">
        <f>'Data cleaning and validation(3)'!J578</f>
        <v>British Columbia</v>
      </c>
      <c r="K590" s="8" t="str">
        <f>'Data cleaning and validation(3)'!K578</f>
        <v>Canada</v>
      </c>
      <c r="L590" s="8" t="str">
        <f>'Data cleaning and validation(3)'!L578</f>
        <v>Domestic</v>
      </c>
      <c r="M590" s="8" t="str">
        <f>'Data cleaning and validation(3)'!M578</f>
        <v>Active</v>
      </c>
      <c r="N590" s="17">
        <f>'Data cleaning and validation(3)'!N578</f>
        <v>1536576</v>
      </c>
      <c r="O590" s="18">
        <f>'Data cleaning and validation(3)'!O578</f>
        <v>12804.800000000001</v>
      </c>
    </row>
    <row r="591" spans="1:15" x14ac:dyDescent="0.35">
      <c r="A591" s="8">
        <f>'Data cleaning and validation(3)'!A579</f>
        <v>578</v>
      </c>
      <c r="B591" s="8" t="str">
        <f>'Data cleaning and validation(3)'!B579</f>
        <v>Lynch</v>
      </c>
      <c r="C591" s="8" t="str">
        <f>'Data cleaning and validation(3)'!C579</f>
        <v>hlynchg1@washingtonpost.com</v>
      </c>
      <c r="D591" s="8" t="str">
        <f>'Data cleaning and validation(3)'!D579</f>
        <v>M</v>
      </c>
      <c r="E591" s="8" t="str">
        <f>'Data cleaning and validation(3)'!E579</f>
        <v>Clothing</v>
      </c>
      <c r="F591" s="15">
        <f>'Data cleaning and validation(3)'!F579</f>
        <v>38839</v>
      </c>
      <c r="G591" s="8">
        <f>'Data cleaning and validation(3)'!G579</f>
        <v>15</v>
      </c>
      <c r="H591" s="19">
        <f>'Data cleaning and validation(3)'!H579</f>
        <v>111318</v>
      </c>
      <c r="I591" s="8" t="str">
        <f>'Data cleaning and validation(3)'!I579</f>
        <v>Technical Writer</v>
      </c>
      <c r="J591" s="8" t="str">
        <f>'Data cleaning and validation(3)'!J579</f>
        <v>Northwest</v>
      </c>
      <c r="K591" s="8" t="str">
        <f>'Data cleaning and validation(3)'!K579</f>
        <v>USA</v>
      </c>
      <c r="L591" s="8" t="str">
        <f>'Data cleaning and validation(3)'!L579</f>
        <v>Domestic</v>
      </c>
      <c r="M591" s="8" t="str">
        <f>'Data cleaning and validation(3)'!M579</f>
        <v>Active</v>
      </c>
      <c r="N591" s="17">
        <f>'Data cleaning and validation(3)'!N579</f>
        <v>1335816</v>
      </c>
      <c r="O591" s="18">
        <f>'Data cleaning and validation(3)'!O579</f>
        <v>11131.800000000001</v>
      </c>
    </row>
    <row r="592" spans="1:15" x14ac:dyDescent="0.35">
      <c r="A592" s="8">
        <f>'Data cleaning and validation(3)'!A580</f>
        <v>579</v>
      </c>
      <c r="B592" s="8" t="str">
        <f>'Data cleaning and validation(3)'!B580</f>
        <v>Barnes</v>
      </c>
      <c r="C592" s="8" t="str">
        <f>'Data cleaning and validation(3)'!C580</f>
        <v>jbarnesg2@hubpages.com</v>
      </c>
      <c r="D592" s="8" t="str">
        <f>'Data cleaning and validation(3)'!D580</f>
        <v>F</v>
      </c>
      <c r="E592" s="8" t="str">
        <f>'Data cleaning and validation(3)'!E580</f>
        <v>Garden</v>
      </c>
      <c r="F592" s="15">
        <f>'Data cleaning and validation(3)'!F580</f>
        <v>36883</v>
      </c>
      <c r="G592" s="8">
        <f>'Data cleaning and validation(3)'!G580</f>
        <v>21</v>
      </c>
      <c r="H592" s="19">
        <f>'Data cleaning and validation(3)'!H580</f>
        <v>100763</v>
      </c>
      <c r="I592" s="8" t="str">
        <f>'Data cleaning and validation(3)'!I580</f>
        <v>Database Administrator I</v>
      </c>
      <c r="J592" s="8" t="str">
        <f>'Data cleaning and validation(3)'!J580</f>
        <v>Nova Scotia</v>
      </c>
      <c r="K592" s="8" t="str">
        <f>'Data cleaning and validation(3)'!K580</f>
        <v>Canada</v>
      </c>
      <c r="L592" s="8" t="str">
        <f>'Data cleaning and validation(3)'!L580</f>
        <v>Outdoors &amp; Garden</v>
      </c>
      <c r="M592" s="8" t="str">
        <f>'Data cleaning and validation(3)'!M580</f>
        <v>Active</v>
      </c>
      <c r="N592" s="17">
        <f>'Data cleaning and validation(3)'!N580</f>
        <v>1209156</v>
      </c>
      <c r="O592" s="18">
        <f>'Data cleaning and validation(3)'!O580</f>
        <v>10076.300000000001</v>
      </c>
    </row>
    <row r="593" spans="1:15" x14ac:dyDescent="0.35">
      <c r="A593" s="8">
        <f>'Data cleaning and validation(3)'!A581</f>
        <v>580</v>
      </c>
      <c r="B593" s="8" t="str">
        <f>'Data cleaning and validation(3)'!B581</f>
        <v>Weaver</v>
      </c>
      <c r="C593" s="8" t="str">
        <f>'Data cleaning and validation(3)'!C581</f>
        <v>kweaverg3@wikia.com</v>
      </c>
      <c r="D593" s="8" t="str">
        <f>'Data cleaning and validation(3)'!D581</f>
        <v>M</v>
      </c>
      <c r="E593" s="8" t="str">
        <f>'Data cleaning and validation(3)'!E581</f>
        <v>Computers</v>
      </c>
      <c r="F593" s="15">
        <f>'Data cleaning and validation(3)'!F581</f>
        <v>41052</v>
      </c>
      <c r="G593" s="8">
        <f>'Data cleaning and validation(3)'!G581</f>
        <v>9</v>
      </c>
      <c r="H593" s="19">
        <f>'Data cleaning and validation(3)'!H581</f>
        <v>54231</v>
      </c>
      <c r="I593" s="8" t="str">
        <f>'Data cleaning and validation(3)'!I581</f>
        <v>Accounting Assistant II</v>
      </c>
      <c r="J593" s="8" t="str">
        <f>'Data cleaning and validation(3)'!J581</f>
        <v>Northwest</v>
      </c>
      <c r="K593" s="8" t="str">
        <f>'Data cleaning and validation(3)'!K581</f>
        <v>USA</v>
      </c>
      <c r="L593" s="8" t="str">
        <f>'Data cleaning and validation(3)'!L581</f>
        <v>Electronic Equipment</v>
      </c>
      <c r="M593" s="8" t="str">
        <f>'Data cleaning and validation(3)'!M581</f>
        <v>Active</v>
      </c>
      <c r="N593" s="17">
        <f>'Data cleaning and validation(3)'!N581</f>
        <v>650772</v>
      </c>
      <c r="O593" s="18">
        <f>'Data cleaning and validation(3)'!O581</f>
        <v>5423.1</v>
      </c>
    </row>
    <row r="594" spans="1:15" x14ac:dyDescent="0.35">
      <c r="A594" s="8">
        <f>'Data cleaning and validation(3)'!A582</f>
        <v>581</v>
      </c>
      <c r="B594" s="8" t="str">
        <f>'Data cleaning and validation(3)'!B582</f>
        <v>Cunningham</v>
      </c>
      <c r="C594" s="8" t="str">
        <f>'Data cleaning and validation(3)'!C582</f>
        <v>pcunninghamg4@example.com</v>
      </c>
      <c r="D594" s="8" t="str">
        <f>'Data cleaning and validation(3)'!D582</f>
        <v>F</v>
      </c>
      <c r="E594" s="8" t="str">
        <f>'Data cleaning and validation(3)'!E582</f>
        <v>Sports</v>
      </c>
      <c r="F594" s="15">
        <f>'Data cleaning and validation(3)'!F582</f>
        <v>45010</v>
      </c>
      <c r="G594" s="8">
        <f>'Data cleaning and validation(3)'!G582</f>
        <v>11</v>
      </c>
      <c r="H594" s="19">
        <f>'Data cleaning and validation(3)'!H582</f>
        <v>92334</v>
      </c>
      <c r="I594" s="8" t="str">
        <f>'Data cleaning and validation(3)'!I582</f>
        <v>GIS Technical Architect</v>
      </c>
      <c r="J594" s="8" t="str">
        <f>'Data cleaning and validation(3)'!J582</f>
        <v>Northwest</v>
      </c>
      <c r="K594" s="8" t="str">
        <f>'Data cleaning and validation(3)'!K582</f>
        <v>USA</v>
      </c>
      <c r="L594" s="8" t="str">
        <f>'Data cleaning and validation(3)'!L582</f>
        <v>Games &amp; Sports</v>
      </c>
      <c r="M594" s="8" t="str">
        <f>'Data cleaning and validation(3)'!M582</f>
        <v>Active</v>
      </c>
      <c r="N594" s="17">
        <f>'Data cleaning and validation(3)'!N582</f>
        <v>1108008</v>
      </c>
      <c r="O594" s="18">
        <f>'Data cleaning and validation(3)'!O582</f>
        <v>9233.4</v>
      </c>
    </row>
    <row r="595" spans="1:15" x14ac:dyDescent="0.35">
      <c r="A595" s="8">
        <f>'Data cleaning and validation(3)'!A583</f>
        <v>582</v>
      </c>
      <c r="B595" s="8" t="str">
        <f>'Data cleaning and validation(3)'!B583</f>
        <v>Ramirez</v>
      </c>
      <c r="C595" s="8" t="str">
        <f>'Data cleaning and validation(3)'!C583</f>
        <v>hramirezg5@merriam-webster.com</v>
      </c>
      <c r="D595" s="8" t="str">
        <f>'Data cleaning and validation(3)'!D583</f>
        <v>M</v>
      </c>
      <c r="E595" s="8" t="str">
        <f>'Data cleaning and validation(3)'!E583</f>
        <v>Jewelery</v>
      </c>
      <c r="F595" s="15">
        <f>'Data cleaning and validation(3)'!F583</f>
        <v>38427</v>
      </c>
      <c r="G595" s="8">
        <f>'Data cleaning and validation(3)'!G583</f>
        <v>16</v>
      </c>
      <c r="H595" s="19">
        <f>'Data cleaning and validation(3)'!H583</f>
        <v>58111</v>
      </c>
      <c r="I595" s="8" t="str">
        <f>'Data cleaning and validation(3)'!I583</f>
        <v>Research Associate</v>
      </c>
      <c r="J595" s="8" t="str">
        <f>'Data cleaning and validation(3)'!J583</f>
        <v>British Columbia</v>
      </c>
      <c r="K595" s="8" t="str">
        <f>'Data cleaning and validation(3)'!K583</f>
        <v>Canada</v>
      </c>
      <c r="L595" s="8" t="str">
        <f>'Data cleaning and validation(3)'!L583</f>
        <v>Fashion</v>
      </c>
      <c r="M595" s="8" t="str">
        <f>'Data cleaning and validation(3)'!M583</f>
        <v>Active</v>
      </c>
      <c r="N595" s="17">
        <f>'Data cleaning and validation(3)'!N583</f>
        <v>697332</v>
      </c>
      <c r="O595" s="18">
        <f>'Data cleaning and validation(3)'!O583</f>
        <v>5811.1</v>
      </c>
    </row>
    <row r="596" spans="1:15" x14ac:dyDescent="0.35">
      <c r="A596" s="8">
        <f>'Data cleaning and validation(3)'!A584</f>
        <v>583</v>
      </c>
      <c r="B596" s="8" t="str">
        <f>'Data cleaning and validation(3)'!B584</f>
        <v>Hunter</v>
      </c>
      <c r="C596" s="8" t="str">
        <f>'Data cleaning and validation(3)'!C584</f>
        <v>ehunterg6@ucsd.edu</v>
      </c>
      <c r="D596" s="8" t="str">
        <f>'Data cleaning and validation(3)'!D584</f>
        <v>F</v>
      </c>
      <c r="E596" s="8" t="str">
        <f>'Data cleaning and validation(3)'!E584</f>
        <v>Shoes</v>
      </c>
      <c r="F596" s="15">
        <f>'Data cleaning and validation(3)'!F584</f>
        <v>36872</v>
      </c>
      <c r="G596" s="8">
        <f>'Data cleaning and validation(3)'!G584</f>
        <v>21</v>
      </c>
      <c r="H596" s="19">
        <f>'Data cleaning and validation(3)'!H584</f>
        <v>112048</v>
      </c>
      <c r="I596" s="8" t="str">
        <f>'Data cleaning and validation(3)'!I584</f>
        <v>Software Engineer II</v>
      </c>
      <c r="J596" s="8" t="str">
        <f>'Data cleaning and validation(3)'!J584</f>
        <v>British Columbia</v>
      </c>
      <c r="K596" s="8" t="str">
        <f>'Data cleaning and validation(3)'!K584</f>
        <v>Canada</v>
      </c>
      <c r="L596" s="8" t="str">
        <f>'Data cleaning and validation(3)'!L584</f>
        <v>Domestic</v>
      </c>
      <c r="M596" s="8" t="str">
        <f>'Data cleaning and validation(3)'!M584</f>
        <v>Active</v>
      </c>
      <c r="N596" s="17">
        <f>'Data cleaning and validation(3)'!N584</f>
        <v>1344576</v>
      </c>
      <c r="O596" s="18">
        <f>'Data cleaning and validation(3)'!O584</f>
        <v>11204.800000000001</v>
      </c>
    </row>
    <row r="597" spans="1:15" x14ac:dyDescent="0.35">
      <c r="A597" s="8">
        <f>'Data cleaning and validation(3)'!A585</f>
        <v>584</v>
      </c>
      <c r="B597" s="8" t="str">
        <f>'Data cleaning and validation(3)'!B585</f>
        <v>Cook</v>
      </c>
      <c r="C597" s="8" t="str">
        <f>'Data cleaning and validation(3)'!C585</f>
        <v>ccookg7@blog.com</v>
      </c>
      <c r="D597" s="8" t="str">
        <f>'Data cleaning and validation(3)'!D585</f>
        <v>F</v>
      </c>
      <c r="E597" s="8" t="str">
        <f>'Data cleaning and validation(3)'!E585</f>
        <v>Music</v>
      </c>
      <c r="F597" s="15">
        <f>'Data cleaning and validation(3)'!F585</f>
        <v>44329</v>
      </c>
      <c r="G597" s="8">
        <f>'Data cleaning and validation(3)'!G585</f>
        <v>13</v>
      </c>
      <c r="H597" s="19">
        <f>'Data cleaning and validation(3)'!H585</f>
        <v>109404</v>
      </c>
      <c r="I597" s="8" t="str">
        <f>'Data cleaning and validation(3)'!I585</f>
        <v>Chief Design Engineer</v>
      </c>
      <c r="J597" s="8" t="str">
        <f>'Data cleaning and validation(3)'!J585</f>
        <v>Quebec</v>
      </c>
      <c r="K597" s="8" t="str">
        <f>'Data cleaning and validation(3)'!K585</f>
        <v>Canada</v>
      </c>
      <c r="L597" s="8" t="str">
        <f>'Data cleaning and validation(3)'!L585</f>
        <v>Entertainment</v>
      </c>
      <c r="M597" s="8" t="str">
        <f>'Data cleaning and validation(3)'!M585</f>
        <v>Active</v>
      </c>
      <c r="N597" s="17">
        <f>'Data cleaning and validation(3)'!N585</f>
        <v>1312848</v>
      </c>
      <c r="O597" s="18">
        <f>'Data cleaning and validation(3)'!O585</f>
        <v>10940.400000000001</v>
      </c>
    </row>
    <row r="598" spans="1:15" x14ac:dyDescent="0.35">
      <c r="A598" s="8">
        <f>'Data cleaning and validation(3)'!A586</f>
        <v>585</v>
      </c>
      <c r="B598" s="8" t="str">
        <f>'Data cleaning and validation(3)'!B586</f>
        <v>Lopez</v>
      </c>
      <c r="C598" s="8" t="str">
        <f>'Data cleaning and validation(3)'!C586</f>
        <v>nlopezg8@fema.gov</v>
      </c>
      <c r="D598" s="8" t="str">
        <f>'Data cleaning and validation(3)'!D586</f>
        <v>M</v>
      </c>
      <c r="E598" s="8" t="str">
        <f>'Data cleaning and validation(3)'!E586</f>
        <v>Garden</v>
      </c>
      <c r="F598" s="15">
        <f>'Data cleaning and validation(3)'!F586</f>
        <v>39282</v>
      </c>
      <c r="G598" s="8">
        <f>'Data cleaning and validation(3)'!G586</f>
        <v>14</v>
      </c>
      <c r="H598" s="19">
        <f>'Data cleaning and validation(3)'!H586</f>
        <v>138776</v>
      </c>
      <c r="I598" s="8" t="str">
        <f>'Data cleaning and validation(3)'!I586</f>
        <v>Senior Editor</v>
      </c>
      <c r="J598" s="8" t="str">
        <f>'Data cleaning and validation(3)'!J586</f>
        <v>Southeast</v>
      </c>
      <c r="K598" s="8" t="str">
        <f>'Data cleaning and validation(3)'!K586</f>
        <v>USA</v>
      </c>
      <c r="L598" s="8" t="str">
        <f>'Data cleaning and validation(3)'!L586</f>
        <v>Outdoors &amp; Garden</v>
      </c>
      <c r="M598" s="8" t="str">
        <f>'Data cleaning and validation(3)'!M586</f>
        <v>Active</v>
      </c>
      <c r="N598" s="17">
        <f>'Data cleaning and validation(3)'!N586</f>
        <v>1665312</v>
      </c>
      <c r="O598" s="18">
        <f>'Data cleaning and validation(3)'!O586</f>
        <v>13877.6</v>
      </c>
    </row>
    <row r="599" spans="1:15" x14ac:dyDescent="0.35">
      <c r="A599" s="8">
        <f>'Data cleaning and validation(3)'!A587</f>
        <v>586</v>
      </c>
      <c r="B599" s="8" t="str">
        <f>'Data cleaning and validation(3)'!B587</f>
        <v>Olson</v>
      </c>
      <c r="C599" s="8" t="str">
        <f>'Data cleaning and validation(3)'!C587</f>
        <v>folsong9@acquirethisname.com</v>
      </c>
      <c r="D599" s="8" t="str">
        <f>'Data cleaning and validation(3)'!D587</f>
        <v>F</v>
      </c>
      <c r="E599" s="8" t="str">
        <f>'Data cleaning and validation(3)'!E587</f>
        <v>Home</v>
      </c>
      <c r="F599" s="15">
        <f>'Data cleaning and validation(3)'!F587</f>
        <v>37803</v>
      </c>
      <c r="G599" s="8">
        <f>'Data cleaning and validation(3)'!G587</f>
        <v>18</v>
      </c>
      <c r="H599" s="19">
        <f>'Data cleaning and validation(3)'!H587</f>
        <v>110411</v>
      </c>
      <c r="I599" s="8" t="str">
        <f>'Data cleaning and validation(3)'!I587</f>
        <v>Compensation Analyst</v>
      </c>
      <c r="J599" s="8" t="str">
        <f>'Data cleaning and validation(3)'!J587</f>
        <v>Northwest</v>
      </c>
      <c r="K599" s="8" t="str">
        <f>'Data cleaning and validation(3)'!K587</f>
        <v>USA</v>
      </c>
      <c r="L599" s="8" t="str">
        <f>'Data cleaning and validation(3)'!L587</f>
        <v>Domestic</v>
      </c>
      <c r="M599" s="8" t="str">
        <f>'Data cleaning and validation(3)'!M587</f>
        <v>Active</v>
      </c>
      <c r="N599" s="17">
        <f>'Data cleaning and validation(3)'!N587</f>
        <v>1324932</v>
      </c>
      <c r="O599" s="18">
        <f>'Data cleaning and validation(3)'!O587</f>
        <v>11041.1</v>
      </c>
    </row>
    <row r="600" spans="1:15" x14ac:dyDescent="0.35">
      <c r="A600" s="8">
        <f>'Data cleaning and validation(3)'!A588</f>
        <v>587</v>
      </c>
      <c r="B600" s="8" t="str">
        <f>'Data cleaning and validation(3)'!B588</f>
        <v>Martin</v>
      </c>
      <c r="C600" s="8" t="str">
        <f>'Data cleaning and validation(3)'!C588</f>
        <v>pmartinga@webnode.com</v>
      </c>
      <c r="D600" s="8" t="str">
        <f>'Data cleaning and validation(3)'!D588</f>
        <v>F</v>
      </c>
      <c r="E600" s="8" t="str">
        <f>'Data cleaning and validation(3)'!E588</f>
        <v>Toys</v>
      </c>
      <c r="F600" s="15">
        <f>'Data cleaning and validation(3)'!F588</f>
        <v>37506</v>
      </c>
      <c r="G600" s="8">
        <f>'Data cleaning and validation(3)'!G588</f>
        <v>19</v>
      </c>
      <c r="H600" s="19">
        <f>'Data cleaning and validation(3)'!H588</f>
        <v>74973</v>
      </c>
      <c r="I600" s="8" t="str">
        <f>'Data cleaning and validation(3)'!I588</f>
        <v>General Manager</v>
      </c>
      <c r="J600" s="8" t="str">
        <f>'Data cleaning and validation(3)'!J588</f>
        <v>Nova Scotia</v>
      </c>
      <c r="K600" s="8" t="str">
        <f>'Data cleaning and validation(3)'!K588</f>
        <v>Canada</v>
      </c>
      <c r="L600" s="8" t="str">
        <f>'Data cleaning and validation(3)'!L588</f>
        <v>Games &amp; Sports</v>
      </c>
      <c r="M600" s="8" t="str">
        <f>'Data cleaning and validation(3)'!M588</f>
        <v>Active</v>
      </c>
      <c r="N600" s="17">
        <f>'Data cleaning and validation(3)'!N588</f>
        <v>899676</v>
      </c>
      <c r="O600" s="18">
        <f>'Data cleaning and validation(3)'!O588</f>
        <v>7497.3</v>
      </c>
    </row>
    <row r="601" spans="1:15" x14ac:dyDescent="0.35">
      <c r="A601" s="8">
        <f>'Data cleaning and validation(3)'!A589</f>
        <v>588</v>
      </c>
      <c r="B601" s="8" t="str">
        <f>'Data cleaning and validation(3)'!B589</f>
        <v>Day</v>
      </c>
      <c r="C601" s="8" t="str">
        <f>'Data cleaning and validation(3)'!C589</f>
        <v>edaygb@google.nl</v>
      </c>
      <c r="D601" s="8" t="str">
        <f>'Data cleaning and validation(3)'!D589</f>
        <v>F</v>
      </c>
      <c r="E601" s="8" t="str">
        <f>'Data cleaning and validation(3)'!E589</f>
        <v>Tools</v>
      </c>
      <c r="F601" s="15">
        <f>'Data cleaning and validation(3)'!F589</f>
        <v>37544</v>
      </c>
      <c r="G601" s="8">
        <f>'Data cleaning and validation(3)'!G589</f>
        <v>19</v>
      </c>
      <c r="H601" s="19">
        <f>'Data cleaning and validation(3)'!H589</f>
        <v>129890</v>
      </c>
      <c r="I601" s="8" t="str">
        <f>'Data cleaning and validation(3)'!I589</f>
        <v>Software Consultant</v>
      </c>
      <c r="J601" s="8" t="str">
        <f>'Data cleaning and validation(3)'!J589</f>
        <v>Southwest</v>
      </c>
      <c r="K601" s="8" t="str">
        <f>'Data cleaning and validation(3)'!K589</f>
        <v>USA</v>
      </c>
      <c r="L601" s="8" t="str">
        <f>'Data cleaning and validation(3)'!L589</f>
        <v>Auto &amp; Hardware</v>
      </c>
      <c r="M601" s="8" t="str">
        <f>'Data cleaning and validation(3)'!M589</f>
        <v>Active</v>
      </c>
      <c r="N601" s="17">
        <f>'Data cleaning and validation(3)'!N589</f>
        <v>1558680</v>
      </c>
      <c r="O601" s="18">
        <f>'Data cleaning and validation(3)'!O589</f>
        <v>12989</v>
      </c>
    </row>
    <row r="602" spans="1:15" x14ac:dyDescent="0.35">
      <c r="A602" s="8">
        <f>'Data cleaning and validation(3)'!A590</f>
        <v>589</v>
      </c>
      <c r="B602" s="8" t="str">
        <f>'Data cleaning and validation(3)'!B590</f>
        <v>Arnold</v>
      </c>
      <c r="C602" s="8" t="str">
        <f>'Data cleaning and validation(3)'!C590</f>
        <v>sarnoldgc@parallels.com</v>
      </c>
      <c r="D602" s="8" t="str">
        <f>'Data cleaning and validation(3)'!D590</f>
        <v>M</v>
      </c>
      <c r="E602" s="8" t="str">
        <f>'Data cleaning and validation(3)'!E590</f>
        <v>Movies</v>
      </c>
      <c r="F602" s="15">
        <f>'Data cleaning and validation(3)'!F590</f>
        <v>38379</v>
      </c>
      <c r="G602" s="8">
        <f>'Data cleaning and validation(3)'!G590</f>
        <v>16</v>
      </c>
      <c r="H602" s="19">
        <f>'Data cleaning and validation(3)'!H590</f>
        <v>135786</v>
      </c>
      <c r="I602" s="8" t="str">
        <f>'Data cleaning and validation(3)'!I590</f>
        <v>Account Representative I</v>
      </c>
      <c r="J602" s="8" t="str">
        <f>'Data cleaning and validation(3)'!J590</f>
        <v>Nova Scotia</v>
      </c>
      <c r="K602" s="8" t="str">
        <f>'Data cleaning and validation(3)'!K590</f>
        <v>Canada</v>
      </c>
      <c r="L602" s="8" t="str">
        <f>'Data cleaning and validation(3)'!L590</f>
        <v>Entertainment</v>
      </c>
      <c r="M602" s="8" t="str">
        <f>'Data cleaning and validation(3)'!M590</f>
        <v>Active</v>
      </c>
      <c r="N602" s="17">
        <f>'Data cleaning and validation(3)'!N590</f>
        <v>1629432</v>
      </c>
      <c r="O602" s="18">
        <f>'Data cleaning and validation(3)'!O590</f>
        <v>13578.6</v>
      </c>
    </row>
    <row r="603" spans="1:15" x14ac:dyDescent="0.35">
      <c r="A603" s="8">
        <f>'Data cleaning and validation(3)'!A591</f>
        <v>590</v>
      </c>
      <c r="B603" s="8" t="str">
        <f>'Data cleaning and validation(3)'!B591</f>
        <v>Allen</v>
      </c>
      <c r="C603" s="8" t="str">
        <f>'Data cleaning and validation(3)'!C591</f>
        <v>rallengd@cnet.com</v>
      </c>
      <c r="D603" s="8" t="str">
        <f>'Data cleaning and validation(3)'!D591</f>
        <v>F</v>
      </c>
      <c r="E603" s="8" t="str">
        <f>'Data cleaning and validation(3)'!E591</f>
        <v>Grocery</v>
      </c>
      <c r="F603" s="15">
        <f>'Data cleaning and validation(3)'!F591</f>
        <v>43997</v>
      </c>
      <c r="G603" s="8">
        <f>'Data cleaning and validation(3)'!G591</f>
        <v>14</v>
      </c>
      <c r="H603" s="19">
        <f>'Data cleaning and validation(3)'!H591</f>
        <v>132998</v>
      </c>
      <c r="I603" s="8" t="str">
        <f>'Data cleaning and validation(3)'!I591</f>
        <v>Business Systems Development Analyst</v>
      </c>
      <c r="J603" s="8" t="str">
        <f>'Data cleaning and validation(3)'!J591</f>
        <v>Northwest</v>
      </c>
      <c r="K603" s="8" t="str">
        <f>'Data cleaning and validation(3)'!K591</f>
        <v>USA</v>
      </c>
      <c r="L603" s="8" t="str">
        <f>'Data cleaning and validation(3)'!L591</f>
        <v>Domestic</v>
      </c>
      <c r="M603" s="8" t="str">
        <f>'Data cleaning and validation(3)'!M591</f>
        <v>Active</v>
      </c>
      <c r="N603" s="17">
        <f>'Data cleaning and validation(3)'!N591</f>
        <v>1595976</v>
      </c>
      <c r="O603" s="18">
        <f>'Data cleaning and validation(3)'!O591</f>
        <v>13299.800000000001</v>
      </c>
    </row>
    <row r="604" spans="1:15" x14ac:dyDescent="0.35">
      <c r="A604" s="8">
        <f>'Data cleaning and validation(3)'!A592</f>
        <v>591</v>
      </c>
      <c r="B604" s="8" t="str">
        <f>'Data cleaning and validation(3)'!B592</f>
        <v>Sims</v>
      </c>
      <c r="C604" s="8" t="str">
        <f>'Data cleaning and validation(3)'!C592</f>
        <v>wsimsge@vinaora.com</v>
      </c>
      <c r="D604" s="8" t="str">
        <f>'Data cleaning and validation(3)'!D592</f>
        <v>F</v>
      </c>
      <c r="E604" s="8" t="str">
        <f>'Data cleaning and validation(3)'!E592</f>
        <v>Baby</v>
      </c>
      <c r="F604" s="15">
        <f>'Data cleaning and validation(3)'!F592</f>
        <v>46446</v>
      </c>
      <c r="G604" s="8">
        <f>'Data cleaning and validation(3)'!G592</f>
        <v>7</v>
      </c>
      <c r="H604" s="19">
        <f>'Data cleaning and validation(3)'!H592</f>
        <v>84318</v>
      </c>
      <c r="I604" s="8" t="str">
        <f>'Data cleaning and validation(3)'!I592</f>
        <v>Software Test Engineer I</v>
      </c>
      <c r="J604" s="8" t="str">
        <f>'Data cleaning and validation(3)'!J592</f>
        <v>Southeast</v>
      </c>
      <c r="K604" s="8" t="str">
        <f>'Data cleaning and validation(3)'!K592</f>
        <v>USA</v>
      </c>
      <c r="L604" s="8" t="str">
        <f>'Data cleaning and validation(3)'!L592</f>
        <v>Domestic</v>
      </c>
      <c r="M604" s="8" t="str">
        <f>'Data cleaning and validation(3)'!M592</f>
        <v>Active</v>
      </c>
      <c r="N604" s="17">
        <f>'Data cleaning and validation(3)'!N592</f>
        <v>1011816</v>
      </c>
      <c r="O604" s="18">
        <f>'Data cleaning and validation(3)'!O592</f>
        <v>8431.8000000000011</v>
      </c>
    </row>
    <row r="605" spans="1:15" x14ac:dyDescent="0.35">
      <c r="A605" s="8">
        <f>'Data cleaning and validation(3)'!A593</f>
        <v>592</v>
      </c>
      <c r="B605" s="8" t="str">
        <f>'Data cleaning and validation(3)'!B593</f>
        <v>Duncan</v>
      </c>
      <c r="C605" s="8" t="str">
        <f>'Data cleaning and validation(3)'!C593</f>
        <v>aduncangf@behance.net</v>
      </c>
      <c r="D605" s="8" t="str">
        <f>'Data cleaning and validation(3)'!D593</f>
        <v>M</v>
      </c>
      <c r="E605" s="8" t="str">
        <f>'Data cleaning and validation(3)'!E593</f>
        <v>Shoes</v>
      </c>
      <c r="F605" s="15">
        <f>'Data cleaning and validation(3)'!F593</f>
        <v>38088</v>
      </c>
      <c r="G605" s="8">
        <f>'Data cleaning and validation(3)'!G593</f>
        <v>17</v>
      </c>
      <c r="H605" s="19">
        <f>'Data cleaning and validation(3)'!H593</f>
        <v>110407</v>
      </c>
      <c r="I605" s="8" t="str">
        <f>'Data cleaning and validation(3)'!I593</f>
        <v>Sales Associate</v>
      </c>
      <c r="J605" s="8" t="str">
        <f>'Data cleaning and validation(3)'!J593</f>
        <v>British Columbia</v>
      </c>
      <c r="K605" s="8" t="str">
        <f>'Data cleaning and validation(3)'!K593</f>
        <v>Canada</v>
      </c>
      <c r="L605" s="8" t="str">
        <f>'Data cleaning and validation(3)'!L593</f>
        <v>Domestic</v>
      </c>
      <c r="M605" s="8" t="str">
        <f>'Data cleaning and validation(3)'!M593</f>
        <v>Active</v>
      </c>
      <c r="N605" s="17">
        <f>'Data cleaning and validation(3)'!N593</f>
        <v>1324884</v>
      </c>
      <c r="O605" s="18">
        <f>'Data cleaning and validation(3)'!O593</f>
        <v>11040.7</v>
      </c>
    </row>
    <row r="606" spans="1:15" x14ac:dyDescent="0.35">
      <c r="A606" s="8">
        <f>'Data cleaning and validation(3)'!A594</f>
        <v>593</v>
      </c>
      <c r="B606" s="8" t="str">
        <f>'Data cleaning and validation(3)'!B594</f>
        <v>Evans</v>
      </c>
      <c r="C606" s="8" t="str">
        <f>'Data cleaning and validation(3)'!C594</f>
        <v>aevansgg@wordpress.org</v>
      </c>
      <c r="D606" s="8" t="str">
        <f>'Data cleaning and validation(3)'!D594</f>
        <v>F</v>
      </c>
      <c r="E606" s="8" t="str">
        <f>'Data cleaning and validation(3)'!E594</f>
        <v>Home</v>
      </c>
      <c r="F606" s="15">
        <f>'Data cleaning and validation(3)'!F594</f>
        <v>36692</v>
      </c>
      <c r="G606" s="8">
        <f>'Data cleaning and validation(3)'!G594</f>
        <v>21</v>
      </c>
      <c r="H606" s="19">
        <f>'Data cleaning and validation(3)'!H594</f>
        <v>94980</v>
      </c>
      <c r="I606" s="8" t="str">
        <f>'Data cleaning and validation(3)'!I594</f>
        <v>Financial Advisor</v>
      </c>
      <c r="J606" s="8" t="str">
        <f>'Data cleaning and validation(3)'!J594</f>
        <v>Southwest</v>
      </c>
      <c r="K606" s="8" t="str">
        <f>'Data cleaning and validation(3)'!K594</f>
        <v>USA</v>
      </c>
      <c r="L606" s="8" t="str">
        <f>'Data cleaning and validation(3)'!L594</f>
        <v>Domestic</v>
      </c>
      <c r="M606" s="8" t="str">
        <f>'Data cleaning and validation(3)'!M594</f>
        <v>Active</v>
      </c>
      <c r="N606" s="17">
        <f>'Data cleaning and validation(3)'!N594</f>
        <v>1139760</v>
      </c>
      <c r="O606" s="18">
        <f>'Data cleaning and validation(3)'!O594</f>
        <v>9498</v>
      </c>
    </row>
    <row r="607" spans="1:15" x14ac:dyDescent="0.35">
      <c r="A607" s="8">
        <f>'Data cleaning and validation(3)'!A595</f>
        <v>594</v>
      </c>
      <c r="B607" s="8" t="str">
        <f>'Data cleaning and validation(3)'!B595</f>
        <v>Chapman</v>
      </c>
      <c r="C607" s="8" t="str">
        <f>'Data cleaning and validation(3)'!C595</f>
        <v>schapmangh@arstechnica.com</v>
      </c>
      <c r="D607" s="8" t="str">
        <f>'Data cleaning and validation(3)'!D595</f>
        <v>F</v>
      </c>
      <c r="E607" s="8" t="str">
        <f>'Data cleaning and validation(3)'!E595</f>
        <v>Industrial</v>
      </c>
      <c r="F607" s="15">
        <f>'Data cleaning and validation(3)'!F595</f>
        <v>38053</v>
      </c>
      <c r="G607" s="8">
        <f>'Data cleaning and validation(3)'!G595</f>
        <v>17</v>
      </c>
      <c r="H607" s="19">
        <f>'Data cleaning and validation(3)'!H595</f>
        <v>125843</v>
      </c>
      <c r="I607" s="8" t="str">
        <f>'Data cleaning and validation(3)'!I595</f>
        <v>Web Designer II</v>
      </c>
      <c r="J607" s="8" t="str">
        <f>'Data cleaning and validation(3)'!J595</f>
        <v>Southwest</v>
      </c>
      <c r="K607" s="8" t="str">
        <f>'Data cleaning and validation(3)'!K595</f>
        <v>USA</v>
      </c>
      <c r="L607" s="8" t="str">
        <f>'Data cleaning and validation(3)'!L595</f>
        <v>Auto &amp; Hardware</v>
      </c>
      <c r="M607" s="8" t="str">
        <f>'Data cleaning and validation(3)'!M595</f>
        <v>Active</v>
      </c>
      <c r="N607" s="17">
        <f>'Data cleaning and validation(3)'!N595</f>
        <v>1510116</v>
      </c>
      <c r="O607" s="18">
        <f>'Data cleaning and validation(3)'!O595</f>
        <v>12584.300000000001</v>
      </c>
    </row>
    <row r="608" spans="1:15" x14ac:dyDescent="0.35">
      <c r="A608" s="8">
        <f>'Data cleaning and validation(3)'!A596</f>
        <v>595</v>
      </c>
      <c r="B608" s="8" t="str">
        <f>'Data cleaning and validation(3)'!B596</f>
        <v>Price</v>
      </c>
      <c r="C608" s="8" t="str">
        <f>'Data cleaning and validation(3)'!C596</f>
        <v>rpricegi@flavors.me</v>
      </c>
      <c r="D608" s="8" t="str">
        <f>'Data cleaning and validation(3)'!D596</f>
        <v>F</v>
      </c>
      <c r="E608" s="8" t="str">
        <f>'Data cleaning and validation(3)'!E596</f>
        <v>Grocery</v>
      </c>
      <c r="F608" s="15">
        <f>'Data cleaning and validation(3)'!F596</f>
        <v>36552</v>
      </c>
      <c r="G608" s="8">
        <f>'Data cleaning and validation(3)'!G596</f>
        <v>21</v>
      </c>
      <c r="H608" s="19">
        <f>'Data cleaning and validation(3)'!H596</f>
        <v>66180</v>
      </c>
      <c r="I608" s="8" t="str">
        <f>'Data cleaning and validation(3)'!I596</f>
        <v>Staff Scientist</v>
      </c>
      <c r="J608" s="8" t="str">
        <f>'Data cleaning and validation(3)'!J596</f>
        <v>British Columbia</v>
      </c>
      <c r="K608" s="8" t="str">
        <f>'Data cleaning and validation(3)'!K596</f>
        <v>Canada</v>
      </c>
      <c r="L608" s="8" t="str">
        <f>'Data cleaning and validation(3)'!L596</f>
        <v>Domestic</v>
      </c>
      <c r="M608" s="8" t="str">
        <f>'Data cleaning and validation(3)'!M596</f>
        <v>Active</v>
      </c>
      <c r="N608" s="17">
        <f>'Data cleaning and validation(3)'!N596</f>
        <v>794160</v>
      </c>
      <c r="O608" s="18">
        <f>'Data cleaning and validation(3)'!O596</f>
        <v>6618</v>
      </c>
    </row>
    <row r="609" spans="1:15" x14ac:dyDescent="0.35">
      <c r="A609" s="8">
        <f>'Data cleaning and validation(3)'!A597</f>
        <v>596</v>
      </c>
      <c r="B609" s="8" t="str">
        <f>'Data cleaning and validation(3)'!B597</f>
        <v>Ford</v>
      </c>
      <c r="C609" s="8" t="str">
        <f>'Data cleaning and validation(3)'!C597</f>
        <v>jfordgj@nyu.edu</v>
      </c>
      <c r="D609" s="8" t="str">
        <f>'Data cleaning and validation(3)'!D597</f>
        <v>F</v>
      </c>
      <c r="E609" s="8" t="str">
        <f>'Data cleaning and validation(3)'!E597</f>
        <v>Jewelery</v>
      </c>
      <c r="F609" s="15">
        <f>'Data cleaning and validation(3)'!F597</f>
        <v>46718</v>
      </c>
      <c r="G609" s="8">
        <f>'Data cleaning and validation(3)'!G597</f>
        <v>7</v>
      </c>
      <c r="H609" s="19">
        <f>'Data cleaning and validation(3)'!H597</f>
        <v>88854</v>
      </c>
      <c r="I609" s="8" t="str">
        <f>'Data cleaning and validation(3)'!I597</f>
        <v>Account Representative I</v>
      </c>
      <c r="J609" s="8" t="str">
        <f>'Data cleaning and validation(3)'!J597</f>
        <v>Southwest</v>
      </c>
      <c r="K609" s="8" t="str">
        <f>'Data cleaning and validation(3)'!K597</f>
        <v>USA</v>
      </c>
      <c r="L609" s="8" t="str">
        <f>'Data cleaning and validation(3)'!L597</f>
        <v>Fashion</v>
      </c>
      <c r="M609" s="8" t="str">
        <f>'Data cleaning and validation(3)'!M597</f>
        <v>Active</v>
      </c>
      <c r="N609" s="17">
        <f>'Data cleaning and validation(3)'!N597</f>
        <v>1066248</v>
      </c>
      <c r="O609" s="18">
        <f>'Data cleaning and validation(3)'!O597</f>
        <v>8885.4</v>
      </c>
    </row>
    <row r="610" spans="1:15" x14ac:dyDescent="0.35">
      <c r="A610" s="8">
        <f>'Data cleaning and validation(3)'!A598</f>
        <v>597</v>
      </c>
      <c r="B610" s="8" t="str">
        <f>'Data cleaning and validation(3)'!B598</f>
        <v>Lynch</v>
      </c>
      <c r="C610" s="8" t="str">
        <f>'Data cleaning and validation(3)'!C598</f>
        <v>alynchgk@tumblr.com</v>
      </c>
      <c r="D610" s="8" t="str">
        <f>'Data cleaning and validation(3)'!D598</f>
        <v>F</v>
      </c>
      <c r="E610" s="8" t="str">
        <f>'Data cleaning and validation(3)'!E598</f>
        <v>Beauty</v>
      </c>
      <c r="F610" s="15">
        <f>'Data cleaning and validation(3)'!F598</f>
        <v>38027</v>
      </c>
      <c r="G610" s="8">
        <f>'Data cleaning and validation(3)'!G598</f>
        <v>17</v>
      </c>
      <c r="H610" s="19">
        <f>'Data cleaning and validation(3)'!H598</f>
        <v>71448</v>
      </c>
      <c r="I610" s="8" t="str">
        <f>'Data cleaning and validation(3)'!I598</f>
        <v>Electrical Engineer</v>
      </c>
      <c r="J610" s="8" t="str">
        <f>'Data cleaning and validation(3)'!J598</f>
        <v>Northeast</v>
      </c>
      <c r="K610" s="8" t="str">
        <f>'Data cleaning and validation(3)'!K598</f>
        <v>USA</v>
      </c>
      <c r="L610" s="8" t="str">
        <f>'Data cleaning and validation(3)'!L598</f>
        <v>Domestic</v>
      </c>
      <c r="M610" s="8" t="str">
        <f>'Data cleaning and validation(3)'!M598</f>
        <v>Active</v>
      </c>
      <c r="N610" s="17">
        <f>'Data cleaning and validation(3)'!N598</f>
        <v>857376</v>
      </c>
      <c r="O610" s="18">
        <f>'Data cleaning and validation(3)'!O598</f>
        <v>7144.8</v>
      </c>
    </row>
    <row r="611" spans="1:15" x14ac:dyDescent="0.35">
      <c r="A611" s="8">
        <f>'Data cleaning and validation(3)'!A599</f>
        <v>598</v>
      </c>
      <c r="B611" s="8" t="str">
        <f>'Data cleaning and validation(3)'!B599</f>
        <v>Diaz</v>
      </c>
      <c r="C611" s="8" t="str">
        <f>'Data cleaning and validation(3)'!C599</f>
        <v>jdiazgl@hhs.gov</v>
      </c>
      <c r="D611" s="8" t="str">
        <f>'Data cleaning and validation(3)'!D599</f>
        <v>F</v>
      </c>
      <c r="E611" s="8" t="str">
        <f>'Data cleaning and validation(3)'!E599</f>
        <v>Sports</v>
      </c>
      <c r="F611" s="15">
        <f>'Data cleaning and validation(3)'!F599</f>
        <v>37562</v>
      </c>
      <c r="G611" s="8">
        <f>'Data cleaning and validation(3)'!G599</f>
        <v>19</v>
      </c>
      <c r="H611" s="19">
        <f>'Data cleaning and validation(3)'!H599</f>
        <v>60547</v>
      </c>
      <c r="I611" s="8" t="str">
        <f>'Data cleaning and validation(3)'!I599</f>
        <v>Community Outreach Specialist</v>
      </c>
      <c r="J611" s="8" t="str">
        <f>'Data cleaning and validation(3)'!J599</f>
        <v>Southeast</v>
      </c>
      <c r="K611" s="8" t="str">
        <f>'Data cleaning and validation(3)'!K599</f>
        <v>USA</v>
      </c>
      <c r="L611" s="8" t="str">
        <f>'Data cleaning and validation(3)'!L599</f>
        <v>Games &amp; Sports</v>
      </c>
      <c r="M611" s="8" t="str">
        <f>'Data cleaning and validation(3)'!M599</f>
        <v>Active</v>
      </c>
      <c r="N611" s="17">
        <f>'Data cleaning and validation(3)'!N599</f>
        <v>726564</v>
      </c>
      <c r="O611" s="18">
        <f>'Data cleaning and validation(3)'!O599</f>
        <v>6054.7000000000007</v>
      </c>
    </row>
    <row r="612" spans="1:15" x14ac:dyDescent="0.35">
      <c r="A612" s="8">
        <f>'Data cleaning and validation(3)'!A600</f>
        <v>599</v>
      </c>
      <c r="B612" s="8" t="str">
        <f>'Data cleaning and validation(3)'!B600</f>
        <v>Watkins</v>
      </c>
      <c r="C612" s="8" t="str">
        <f>'Data cleaning and validation(3)'!C600</f>
        <v>rwatkinsgm@independent.co.uk</v>
      </c>
      <c r="D612" s="8" t="str">
        <f>'Data cleaning and validation(3)'!D600</f>
        <v>F</v>
      </c>
      <c r="E612" s="8" t="str">
        <f>'Data cleaning and validation(3)'!E600</f>
        <v>Outdoors</v>
      </c>
      <c r="F612" s="15">
        <f>'Data cleaning and validation(3)'!F600</f>
        <v>45251</v>
      </c>
      <c r="G612" s="8">
        <f>'Data cleaning and validation(3)'!G600</f>
        <v>11</v>
      </c>
      <c r="H612" s="19">
        <f>'Data cleaning and validation(3)'!H600</f>
        <v>128805</v>
      </c>
      <c r="I612" s="8" t="str">
        <f>'Data cleaning and validation(3)'!I600</f>
        <v>Occupational Therapist</v>
      </c>
      <c r="J612" s="8" t="str">
        <f>'Data cleaning and validation(3)'!J600</f>
        <v>British Columbia</v>
      </c>
      <c r="K612" s="8" t="str">
        <f>'Data cleaning and validation(3)'!K600</f>
        <v>Canada</v>
      </c>
      <c r="L612" s="8" t="str">
        <f>'Data cleaning and validation(3)'!L600</f>
        <v>Outdoors &amp; Garden</v>
      </c>
      <c r="M612" s="8" t="str">
        <f>'Data cleaning and validation(3)'!M600</f>
        <v>Active</v>
      </c>
      <c r="N612" s="17">
        <f>'Data cleaning and validation(3)'!N600</f>
        <v>1545660</v>
      </c>
      <c r="O612" s="18">
        <f>'Data cleaning and validation(3)'!O600</f>
        <v>12880.5</v>
      </c>
    </row>
    <row r="613" spans="1:15" x14ac:dyDescent="0.35">
      <c r="A613" s="8">
        <f>'Data cleaning and validation(3)'!A601</f>
        <v>600</v>
      </c>
      <c r="B613" s="8" t="str">
        <f>'Data cleaning and validation(3)'!B601</f>
        <v>Ruiz</v>
      </c>
      <c r="C613" s="8" t="str">
        <f>'Data cleaning and validation(3)'!C601</f>
        <v>sruizgn@reddit.com</v>
      </c>
      <c r="D613" s="8" t="str">
        <f>'Data cleaning and validation(3)'!D601</f>
        <v>F</v>
      </c>
      <c r="E613" s="8" t="str">
        <f>'Data cleaning and validation(3)'!E601</f>
        <v>Outdoors</v>
      </c>
      <c r="F613" s="15">
        <f>'Data cleaning and validation(3)'!F601</f>
        <v>38848</v>
      </c>
      <c r="G613" s="8">
        <f>'Data cleaning and validation(3)'!G601</f>
        <v>15</v>
      </c>
      <c r="H613" s="19">
        <f>'Data cleaning and validation(3)'!H601</f>
        <v>96782</v>
      </c>
      <c r="I613" s="8" t="str">
        <f>'Data cleaning and validation(3)'!I601</f>
        <v>Database Administrator II</v>
      </c>
      <c r="J613" s="8" t="str">
        <f>'Data cleaning and validation(3)'!J601</f>
        <v>British Columbia</v>
      </c>
      <c r="K613" s="8" t="str">
        <f>'Data cleaning and validation(3)'!K601</f>
        <v>Canada</v>
      </c>
      <c r="L613" s="8" t="str">
        <f>'Data cleaning and validation(3)'!L601</f>
        <v>Outdoors &amp; Garden</v>
      </c>
      <c r="M613" s="8" t="str">
        <f>'Data cleaning and validation(3)'!M601</f>
        <v>Active</v>
      </c>
      <c r="N613" s="17">
        <f>'Data cleaning and validation(3)'!N601</f>
        <v>1161384</v>
      </c>
      <c r="O613" s="18">
        <f>'Data cleaning and validation(3)'!O601</f>
        <v>9678.2000000000007</v>
      </c>
    </row>
    <row r="614" spans="1:15" x14ac:dyDescent="0.35">
      <c r="A614" s="8">
        <f>'Data cleaning and validation(3)'!A602</f>
        <v>601</v>
      </c>
      <c r="B614" s="8" t="str">
        <f>'Data cleaning and validation(3)'!B602</f>
        <v>Lopez</v>
      </c>
      <c r="C614" s="8" t="str">
        <f>'Data cleaning and validation(3)'!C602</f>
        <v>blopezgo@sourceforge.net</v>
      </c>
      <c r="D614" s="8" t="str">
        <f>'Data cleaning and validation(3)'!D602</f>
        <v>M</v>
      </c>
      <c r="E614" s="8" t="str">
        <f>'Data cleaning and validation(3)'!E602</f>
        <v>Health</v>
      </c>
      <c r="F614" s="15">
        <f>'Data cleaning and validation(3)'!F602</f>
        <v>36962</v>
      </c>
      <c r="G614" s="8">
        <f>'Data cleaning and validation(3)'!G602</f>
        <v>20</v>
      </c>
      <c r="H614" s="19">
        <f>'Data cleaning and validation(3)'!H602</f>
        <v>125944</v>
      </c>
      <c r="I614" s="8" t="str">
        <f>'Data cleaning and validation(3)'!I602</f>
        <v>Office Assistant II</v>
      </c>
      <c r="J614" s="8" t="str">
        <f>'Data cleaning and validation(3)'!J602</f>
        <v>Southeast</v>
      </c>
      <c r="K614" s="8" t="str">
        <f>'Data cleaning and validation(3)'!K602</f>
        <v>USA</v>
      </c>
      <c r="L614" s="8" t="str">
        <f>'Data cleaning and validation(3)'!L602</f>
        <v>Domestic</v>
      </c>
      <c r="M614" s="8" t="str">
        <f>'Data cleaning and validation(3)'!M602</f>
        <v>Active</v>
      </c>
      <c r="N614" s="17">
        <f>'Data cleaning and validation(3)'!N602</f>
        <v>1511328</v>
      </c>
      <c r="O614" s="18">
        <f>'Data cleaning and validation(3)'!O602</f>
        <v>12594.400000000001</v>
      </c>
    </row>
    <row r="615" spans="1:15" x14ac:dyDescent="0.35">
      <c r="A615" s="8">
        <f>'Data cleaning and validation(3)'!A603</f>
        <v>602</v>
      </c>
      <c r="B615" s="8" t="str">
        <f>'Data cleaning and validation(3)'!B603</f>
        <v>Henderson</v>
      </c>
      <c r="C615" s="8" t="str">
        <f>'Data cleaning and validation(3)'!C603</f>
        <v>chendersongp@sina.com.cn</v>
      </c>
      <c r="D615" s="8" t="str">
        <f>'Data cleaning and validation(3)'!D603</f>
        <v>M</v>
      </c>
      <c r="E615" s="8" t="str">
        <f>'Data cleaning and validation(3)'!E603</f>
        <v>Tools</v>
      </c>
      <c r="F615" s="15">
        <f>'Data cleaning and validation(3)'!F603</f>
        <v>40803</v>
      </c>
      <c r="G615" s="8">
        <f>'Data cleaning and validation(3)'!G603</f>
        <v>10</v>
      </c>
      <c r="H615" s="19">
        <f>'Data cleaning and validation(3)'!H603</f>
        <v>101937</v>
      </c>
      <c r="I615" s="8" t="str">
        <f>'Data cleaning and validation(3)'!I603</f>
        <v>Teacher</v>
      </c>
      <c r="J615" s="8" t="str">
        <f>'Data cleaning and validation(3)'!J603</f>
        <v>Nova Scotia</v>
      </c>
      <c r="K615" s="8" t="str">
        <f>'Data cleaning and validation(3)'!K603</f>
        <v>Canada</v>
      </c>
      <c r="L615" s="8" t="str">
        <f>'Data cleaning and validation(3)'!L603</f>
        <v>Auto &amp; Hardware</v>
      </c>
      <c r="M615" s="8" t="str">
        <f>'Data cleaning and validation(3)'!M603</f>
        <v>Active</v>
      </c>
      <c r="N615" s="17">
        <f>'Data cleaning and validation(3)'!N603</f>
        <v>1223244</v>
      </c>
      <c r="O615" s="18">
        <f>'Data cleaning and validation(3)'!O603</f>
        <v>10193.700000000001</v>
      </c>
    </row>
    <row r="616" spans="1:15" x14ac:dyDescent="0.35">
      <c r="A616" s="8">
        <f>'Data cleaning and validation(3)'!A604</f>
        <v>603</v>
      </c>
      <c r="B616" s="8" t="str">
        <f>'Data cleaning and validation(3)'!B604</f>
        <v>Webb</v>
      </c>
      <c r="C616" s="8" t="str">
        <f>'Data cleaning and validation(3)'!C604</f>
        <v>lwebbgq@last.fm</v>
      </c>
      <c r="D616" s="8" t="str">
        <f>'Data cleaning and validation(3)'!D604</f>
        <v>M</v>
      </c>
      <c r="E616" s="8" t="str">
        <f>'Data cleaning and validation(3)'!E604</f>
        <v>Jewelery</v>
      </c>
      <c r="F616" s="15">
        <f>'Data cleaning and validation(3)'!F604</f>
        <v>36866</v>
      </c>
      <c r="G616" s="8">
        <f>'Data cleaning and validation(3)'!G604</f>
        <v>21</v>
      </c>
      <c r="H616" s="19">
        <f>'Data cleaning and validation(3)'!H604</f>
        <v>127569</v>
      </c>
      <c r="I616" s="8" t="str">
        <f>'Data cleaning and validation(3)'!I604</f>
        <v>Analyst Programmer</v>
      </c>
      <c r="J616" s="8" t="str">
        <f>'Data cleaning and validation(3)'!J604</f>
        <v>Nova Scotia</v>
      </c>
      <c r="K616" s="8" t="str">
        <f>'Data cleaning and validation(3)'!K604</f>
        <v>Canada</v>
      </c>
      <c r="L616" s="8" t="str">
        <f>'Data cleaning and validation(3)'!L604</f>
        <v>Fashion</v>
      </c>
      <c r="M616" s="8" t="str">
        <f>'Data cleaning and validation(3)'!M604</f>
        <v>Active</v>
      </c>
      <c r="N616" s="17">
        <f>'Data cleaning and validation(3)'!N604</f>
        <v>1530828</v>
      </c>
      <c r="O616" s="18">
        <f>'Data cleaning and validation(3)'!O604</f>
        <v>12756.900000000001</v>
      </c>
    </row>
    <row r="617" spans="1:15" x14ac:dyDescent="0.35">
      <c r="A617" s="8">
        <f>'Data cleaning and validation(3)'!A605</f>
        <v>604</v>
      </c>
      <c r="B617" s="8" t="str">
        <f>'Data cleaning and validation(3)'!B605</f>
        <v>Greene</v>
      </c>
      <c r="C617" s="8" t="str">
        <f>'Data cleaning and validation(3)'!C605</f>
        <v>agreenegr@cmu.edu</v>
      </c>
      <c r="D617" s="8" t="str">
        <f>'Data cleaning and validation(3)'!D605</f>
        <v>M</v>
      </c>
      <c r="E617" s="8" t="str">
        <f>'Data cleaning and validation(3)'!E605</f>
        <v>Clothing</v>
      </c>
      <c r="F617" s="15">
        <f>'Data cleaning and validation(3)'!F605</f>
        <v>38168</v>
      </c>
      <c r="G617" s="8">
        <f>'Data cleaning and validation(3)'!G605</f>
        <v>17</v>
      </c>
      <c r="H617" s="19">
        <f>'Data cleaning and validation(3)'!H605</f>
        <v>104517</v>
      </c>
      <c r="I617" s="8" t="str">
        <f>'Data cleaning and validation(3)'!I605</f>
        <v>Research Assistant III</v>
      </c>
      <c r="J617" s="8" t="str">
        <f>'Data cleaning and validation(3)'!J605</f>
        <v>Southeast</v>
      </c>
      <c r="K617" s="8" t="str">
        <f>'Data cleaning and validation(3)'!K605</f>
        <v>USA</v>
      </c>
      <c r="L617" s="8" t="str">
        <f>'Data cleaning and validation(3)'!L605</f>
        <v>Domestic</v>
      </c>
      <c r="M617" s="8" t="str">
        <f>'Data cleaning and validation(3)'!M605</f>
        <v>Active</v>
      </c>
      <c r="N617" s="17">
        <f>'Data cleaning and validation(3)'!N605</f>
        <v>1254204</v>
      </c>
      <c r="O617" s="18">
        <f>'Data cleaning and validation(3)'!O605</f>
        <v>10451.700000000001</v>
      </c>
    </row>
    <row r="618" spans="1:15" x14ac:dyDescent="0.35">
      <c r="A618" s="8">
        <f>'Data cleaning and validation(3)'!A606</f>
        <v>605</v>
      </c>
      <c r="B618" s="8" t="str">
        <f>'Data cleaning and validation(3)'!B606</f>
        <v>Stephens</v>
      </c>
      <c r="C618" s="8" t="str">
        <f>'Data cleaning and validation(3)'!C606</f>
        <v>estephensgs@phoca.cz</v>
      </c>
      <c r="D618" s="8" t="str">
        <f>'Data cleaning and validation(3)'!D606</f>
        <v>F</v>
      </c>
      <c r="E618" s="8" t="str">
        <f>'Data cleaning and validation(3)'!E606</f>
        <v>Grocery</v>
      </c>
      <c r="F618" s="15">
        <f>'Data cleaning and validation(3)'!F606</f>
        <v>45271</v>
      </c>
      <c r="G618" s="8">
        <f>'Data cleaning and validation(3)'!G606</f>
        <v>11</v>
      </c>
      <c r="H618" s="19">
        <f>'Data cleaning and validation(3)'!H606</f>
        <v>110366</v>
      </c>
      <c r="I618" s="8" t="str">
        <f>'Data cleaning and validation(3)'!I606</f>
        <v>Research Nurse</v>
      </c>
      <c r="J618" s="8" t="str">
        <f>'Data cleaning and validation(3)'!J606</f>
        <v>Quebec</v>
      </c>
      <c r="K618" s="8" t="str">
        <f>'Data cleaning and validation(3)'!K606</f>
        <v>Canada</v>
      </c>
      <c r="L618" s="8" t="str">
        <f>'Data cleaning and validation(3)'!L606</f>
        <v>Domestic</v>
      </c>
      <c r="M618" s="8" t="str">
        <f>'Data cleaning and validation(3)'!M606</f>
        <v>Active</v>
      </c>
      <c r="N618" s="17">
        <f>'Data cleaning and validation(3)'!N606</f>
        <v>1324392</v>
      </c>
      <c r="O618" s="18">
        <f>'Data cleaning and validation(3)'!O606</f>
        <v>11036.6</v>
      </c>
    </row>
    <row r="619" spans="1:15" x14ac:dyDescent="0.35">
      <c r="A619" s="8">
        <f>'Data cleaning and validation(3)'!A607</f>
        <v>606</v>
      </c>
      <c r="B619" s="8" t="str">
        <f>'Data cleaning and validation(3)'!B607</f>
        <v>Parker</v>
      </c>
      <c r="C619" s="8" t="str">
        <f>'Data cleaning and validation(3)'!C607</f>
        <v>rparkergt@1688.com</v>
      </c>
      <c r="D619" s="8" t="str">
        <f>'Data cleaning and validation(3)'!D607</f>
        <v>F</v>
      </c>
      <c r="E619" s="8" t="str">
        <f>'Data cleaning and validation(3)'!E607</f>
        <v>Industrial</v>
      </c>
      <c r="F619" s="15">
        <f>'Data cleaning and validation(3)'!F607</f>
        <v>37660</v>
      </c>
      <c r="G619" s="8">
        <f>'Data cleaning and validation(3)'!G607</f>
        <v>18</v>
      </c>
      <c r="H619" s="19">
        <f>'Data cleaning and validation(3)'!H607</f>
        <v>136917</v>
      </c>
      <c r="I619" s="8" t="str">
        <f>'Data cleaning and validation(3)'!I607</f>
        <v>Assistant Professor</v>
      </c>
      <c r="J619" s="8" t="str">
        <f>'Data cleaning and validation(3)'!J607</f>
        <v>Southwest</v>
      </c>
      <c r="K619" s="8" t="str">
        <f>'Data cleaning and validation(3)'!K607</f>
        <v>USA</v>
      </c>
      <c r="L619" s="8" t="str">
        <f>'Data cleaning and validation(3)'!L607</f>
        <v>Auto &amp; Hardware</v>
      </c>
      <c r="M619" s="8" t="str">
        <f>'Data cleaning and validation(3)'!M607</f>
        <v>Active</v>
      </c>
      <c r="N619" s="17">
        <f>'Data cleaning and validation(3)'!N607</f>
        <v>1643004</v>
      </c>
      <c r="O619" s="18">
        <f>'Data cleaning and validation(3)'!O607</f>
        <v>13691.7</v>
      </c>
    </row>
    <row r="620" spans="1:15" x14ac:dyDescent="0.35">
      <c r="A620" s="8">
        <f>'Data cleaning and validation(3)'!A608</f>
        <v>607</v>
      </c>
      <c r="B620" s="8" t="str">
        <f>'Data cleaning and validation(3)'!B608</f>
        <v>Reyes</v>
      </c>
      <c r="C620" s="8" t="str">
        <f>'Data cleaning and validation(3)'!C608</f>
        <v>hreyesgu@gnu.org</v>
      </c>
      <c r="D620" s="8" t="str">
        <f>'Data cleaning and validation(3)'!D608</f>
        <v>M</v>
      </c>
      <c r="E620" s="8" t="str">
        <f>'Data cleaning and validation(3)'!E608</f>
        <v>Sports</v>
      </c>
      <c r="F620" s="15">
        <f>'Data cleaning and validation(3)'!F608</f>
        <v>39284</v>
      </c>
      <c r="G620" s="8">
        <f>'Data cleaning and validation(3)'!G608</f>
        <v>14</v>
      </c>
      <c r="H620" s="19">
        <f>'Data cleaning and validation(3)'!H608</f>
        <v>130563</v>
      </c>
      <c r="I620" s="8" t="str">
        <f>'Data cleaning and validation(3)'!I608</f>
        <v>Nuclear Power Engineer</v>
      </c>
      <c r="J620" s="8" t="str">
        <f>'Data cleaning and validation(3)'!J608</f>
        <v>Nova Scotia</v>
      </c>
      <c r="K620" s="8" t="str">
        <f>'Data cleaning and validation(3)'!K608</f>
        <v>Canada</v>
      </c>
      <c r="L620" s="8" t="str">
        <f>'Data cleaning and validation(3)'!L608</f>
        <v>Games &amp; Sports</v>
      </c>
      <c r="M620" s="8" t="str">
        <f>'Data cleaning and validation(3)'!M608</f>
        <v>Active</v>
      </c>
      <c r="N620" s="17">
        <f>'Data cleaning and validation(3)'!N608</f>
        <v>1566756</v>
      </c>
      <c r="O620" s="18">
        <f>'Data cleaning and validation(3)'!O608</f>
        <v>13056.300000000001</v>
      </c>
    </row>
    <row r="621" spans="1:15" x14ac:dyDescent="0.35">
      <c r="A621" s="8">
        <f>'Data cleaning and validation(3)'!A609</f>
        <v>608</v>
      </c>
      <c r="B621" s="8" t="str">
        <f>'Data cleaning and validation(3)'!B609</f>
        <v>Garza</v>
      </c>
      <c r="C621" s="8" t="str">
        <f>'Data cleaning and validation(3)'!C609</f>
        <v>hgarzagv@webmd.com</v>
      </c>
      <c r="D621" s="8" t="str">
        <f>'Data cleaning and validation(3)'!D609</f>
        <v>M</v>
      </c>
      <c r="E621" s="8" t="str">
        <f>'Data cleaning and validation(3)'!E609</f>
        <v>Health</v>
      </c>
      <c r="F621" s="15">
        <f>'Data cleaning and validation(3)'!F609</f>
        <v>38304</v>
      </c>
      <c r="G621" s="8">
        <f>'Data cleaning and validation(3)'!G609</f>
        <v>17</v>
      </c>
      <c r="H621" s="19">
        <f>'Data cleaning and validation(3)'!H609</f>
        <v>73553</v>
      </c>
      <c r="I621" s="8" t="str">
        <f>'Data cleaning and validation(3)'!I609</f>
        <v>Accountant IV</v>
      </c>
      <c r="J621" s="8" t="str">
        <f>'Data cleaning and validation(3)'!J609</f>
        <v>Quebec</v>
      </c>
      <c r="K621" s="8" t="str">
        <f>'Data cleaning and validation(3)'!K609</f>
        <v>Canada</v>
      </c>
      <c r="L621" s="8" t="str">
        <f>'Data cleaning and validation(3)'!L609</f>
        <v>Domestic</v>
      </c>
      <c r="M621" s="8" t="str">
        <f>'Data cleaning and validation(3)'!M609</f>
        <v>Active</v>
      </c>
      <c r="N621" s="17">
        <f>'Data cleaning and validation(3)'!N609</f>
        <v>882636</v>
      </c>
      <c r="O621" s="18">
        <f>'Data cleaning and validation(3)'!O609</f>
        <v>7355.3</v>
      </c>
    </row>
    <row r="622" spans="1:15" x14ac:dyDescent="0.35">
      <c r="A622" s="8">
        <f>'Data cleaning and validation(3)'!A610</f>
        <v>609</v>
      </c>
      <c r="B622" s="8" t="str">
        <f>'Data cleaning and validation(3)'!B610</f>
        <v>Fisher</v>
      </c>
      <c r="C622" s="8" t="str">
        <f>'Data cleaning and validation(3)'!C610</f>
        <v>dfishergw@myspace.com</v>
      </c>
      <c r="D622" s="8" t="str">
        <f>'Data cleaning and validation(3)'!D610</f>
        <v>M</v>
      </c>
      <c r="E622" s="8" t="str">
        <f>'Data cleaning and validation(3)'!E610</f>
        <v>Electronics</v>
      </c>
      <c r="F622" s="15">
        <f>'Data cleaning and validation(3)'!F610</f>
        <v>39103</v>
      </c>
      <c r="G622" s="8">
        <f>'Data cleaning and validation(3)'!G610</f>
        <v>14</v>
      </c>
      <c r="H622" s="19">
        <f>'Data cleaning and validation(3)'!H610</f>
        <v>93995</v>
      </c>
      <c r="I622" s="8" t="str">
        <f>'Data cleaning and validation(3)'!I610</f>
        <v>Teacher</v>
      </c>
      <c r="J622" s="8" t="str">
        <f>'Data cleaning and validation(3)'!J610</f>
        <v>Southeast</v>
      </c>
      <c r="K622" s="8" t="str">
        <f>'Data cleaning and validation(3)'!K610</f>
        <v>USA</v>
      </c>
      <c r="L622" s="8" t="str">
        <f>'Data cleaning and validation(3)'!L610</f>
        <v>Electronic Equipment</v>
      </c>
      <c r="M622" s="8" t="str">
        <f>'Data cleaning and validation(3)'!M610</f>
        <v>Active</v>
      </c>
      <c r="N622" s="17">
        <f>'Data cleaning and validation(3)'!N610</f>
        <v>1127940</v>
      </c>
      <c r="O622" s="18">
        <f>'Data cleaning and validation(3)'!O610</f>
        <v>9399.5</v>
      </c>
    </row>
    <row r="623" spans="1:15" x14ac:dyDescent="0.35">
      <c r="A623" s="8">
        <f>'Data cleaning and validation(3)'!A611</f>
        <v>610</v>
      </c>
      <c r="B623" s="8" t="str">
        <f>'Data cleaning and validation(3)'!B611</f>
        <v>Hicks</v>
      </c>
      <c r="C623" s="8" t="str">
        <f>'Data cleaning and validation(3)'!C611</f>
        <v>hhicksgx@ifeng.com</v>
      </c>
      <c r="D623" s="8" t="str">
        <f>'Data cleaning and validation(3)'!D611</f>
        <v>M</v>
      </c>
      <c r="E623" s="8" t="str">
        <f>'Data cleaning and validation(3)'!E611</f>
        <v>Health</v>
      </c>
      <c r="F623" s="15">
        <f>'Data cleaning and validation(3)'!F611</f>
        <v>40048</v>
      </c>
      <c r="G623" s="8">
        <f>'Data cleaning and validation(3)'!G611</f>
        <v>12</v>
      </c>
      <c r="H623" s="19">
        <f>'Data cleaning and validation(3)'!H611</f>
        <v>45270</v>
      </c>
      <c r="I623" s="8" t="str">
        <f>'Data cleaning and validation(3)'!I611</f>
        <v>VP Marketing</v>
      </c>
      <c r="J623" s="8" t="str">
        <f>'Data cleaning and validation(3)'!J611</f>
        <v>Nova Scotia</v>
      </c>
      <c r="K623" s="8" t="str">
        <f>'Data cleaning and validation(3)'!K611</f>
        <v>Canada</v>
      </c>
      <c r="L623" s="8" t="str">
        <f>'Data cleaning and validation(3)'!L611</f>
        <v>Domestic</v>
      </c>
      <c r="M623" s="8" t="str">
        <f>'Data cleaning and validation(3)'!M611</f>
        <v>Active</v>
      </c>
      <c r="N623" s="17">
        <f>'Data cleaning and validation(3)'!N611</f>
        <v>543240</v>
      </c>
      <c r="O623" s="18">
        <f>'Data cleaning and validation(3)'!O611</f>
        <v>4527</v>
      </c>
    </row>
    <row r="624" spans="1:15" x14ac:dyDescent="0.35">
      <c r="A624" s="8">
        <f>'Data cleaning and validation(3)'!A612</f>
        <v>611</v>
      </c>
      <c r="B624" s="8" t="str">
        <f>'Data cleaning and validation(3)'!B612</f>
        <v>Ford</v>
      </c>
      <c r="C624" s="8" t="str">
        <f>'Data cleaning and validation(3)'!C612</f>
        <v>jfordgy@earthlink.net</v>
      </c>
      <c r="D624" s="8" t="str">
        <f>'Data cleaning and validation(3)'!D612</f>
        <v>F</v>
      </c>
      <c r="E624" s="8" t="str">
        <f>'Data cleaning and validation(3)'!E612</f>
        <v>Shoes</v>
      </c>
      <c r="F624" s="15">
        <f>'Data cleaning and validation(3)'!F612</f>
        <v>44863</v>
      </c>
      <c r="G624" s="8">
        <f>'Data cleaning and validation(3)'!G612</f>
        <v>12</v>
      </c>
      <c r="H624" s="19">
        <f>'Data cleaning and validation(3)'!H612</f>
        <v>147739</v>
      </c>
      <c r="I624" s="8" t="str">
        <f>'Data cleaning and validation(3)'!I612</f>
        <v>Safety Technician I</v>
      </c>
      <c r="J624" s="8" t="str">
        <f>'Data cleaning and validation(3)'!J612</f>
        <v>British Columbia</v>
      </c>
      <c r="K624" s="8" t="str">
        <f>'Data cleaning and validation(3)'!K612</f>
        <v>Canada</v>
      </c>
      <c r="L624" s="8" t="str">
        <f>'Data cleaning and validation(3)'!L612</f>
        <v>Domestic</v>
      </c>
      <c r="M624" s="8" t="str">
        <f>'Data cleaning and validation(3)'!M612</f>
        <v>On Leave</v>
      </c>
      <c r="N624" s="17">
        <f>'Data cleaning and validation(3)'!N612</f>
        <v>1772868</v>
      </c>
      <c r="O624" s="18">
        <f>'Data cleaning and validation(3)'!O612</f>
        <v>14773.900000000001</v>
      </c>
    </row>
    <row r="625" spans="1:15" x14ac:dyDescent="0.35">
      <c r="A625" s="8">
        <f>'Data cleaning and validation(3)'!A613</f>
        <v>612</v>
      </c>
      <c r="B625" s="8" t="str">
        <f>'Data cleaning and validation(3)'!B613</f>
        <v>Fowler</v>
      </c>
      <c r="C625" s="8" t="str">
        <f>'Data cleaning and validation(3)'!C613</f>
        <v>cfowlergz@joomla.org</v>
      </c>
      <c r="D625" s="8" t="str">
        <f>'Data cleaning and validation(3)'!D613</f>
        <v>F</v>
      </c>
      <c r="E625" s="8" t="str">
        <f>'Data cleaning and validation(3)'!E613</f>
        <v>Health</v>
      </c>
      <c r="F625" s="15">
        <f>'Data cleaning and validation(3)'!F613</f>
        <v>37874</v>
      </c>
      <c r="G625" s="8">
        <f>'Data cleaning and validation(3)'!G613</f>
        <v>18</v>
      </c>
      <c r="H625" s="19">
        <f>'Data cleaning and validation(3)'!H613</f>
        <v>142211</v>
      </c>
      <c r="I625" s="8" t="str">
        <f>'Data cleaning and validation(3)'!I613</f>
        <v>Software Test Engineer IV</v>
      </c>
      <c r="J625" s="8" t="str">
        <f>'Data cleaning and validation(3)'!J613</f>
        <v>Southwest</v>
      </c>
      <c r="K625" s="8" t="str">
        <f>'Data cleaning and validation(3)'!K613</f>
        <v>USA</v>
      </c>
      <c r="L625" s="8" t="str">
        <f>'Data cleaning and validation(3)'!L613</f>
        <v>Domestic</v>
      </c>
      <c r="M625" s="8" t="str">
        <f>'Data cleaning and validation(3)'!M613</f>
        <v>On Leave</v>
      </c>
      <c r="N625" s="17">
        <f>'Data cleaning and validation(3)'!N613</f>
        <v>1706532</v>
      </c>
      <c r="O625" s="18">
        <f>'Data cleaning and validation(3)'!O613</f>
        <v>14221.1</v>
      </c>
    </row>
    <row r="626" spans="1:15" x14ac:dyDescent="0.35">
      <c r="A626" s="8">
        <f>'Data cleaning and validation(3)'!A614</f>
        <v>613</v>
      </c>
      <c r="B626" s="8" t="str">
        <f>'Data cleaning and validation(3)'!B614</f>
        <v>Coleman</v>
      </c>
      <c r="C626" s="8" t="str">
        <f>'Data cleaning and validation(3)'!C614</f>
        <v>hcolemanh0@feedburner.com</v>
      </c>
      <c r="D626" s="8" t="str">
        <f>'Data cleaning and validation(3)'!D614</f>
        <v>F</v>
      </c>
      <c r="E626" s="8" t="str">
        <f>'Data cleaning and validation(3)'!E614</f>
        <v>Beauty</v>
      </c>
      <c r="F626" s="15">
        <f>'Data cleaning and validation(3)'!F614</f>
        <v>38986</v>
      </c>
      <c r="G626" s="8">
        <f>'Data cleaning and validation(3)'!G614</f>
        <v>15</v>
      </c>
      <c r="H626" s="19">
        <f>'Data cleaning and validation(3)'!H614</f>
        <v>48791</v>
      </c>
      <c r="I626" s="8" t="str">
        <f>'Data cleaning and validation(3)'!I614</f>
        <v>Teacher</v>
      </c>
      <c r="J626" s="8" t="str">
        <f>'Data cleaning and validation(3)'!J614</f>
        <v>Northeast</v>
      </c>
      <c r="K626" s="8" t="str">
        <f>'Data cleaning and validation(3)'!K614</f>
        <v>USA</v>
      </c>
      <c r="L626" s="8" t="str">
        <f>'Data cleaning and validation(3)'!L614</f>
        <v>Domestic</v>
      </c>
      <c r="M626" s="8" t="str">
        <f>'Data cleaning and validation(3)'!M614</f>
        <v>On Leave</v>
      </c>
      <c r="N626" s="17">
        <f>'Data cleaning and validation(3)'!N614</f>
        <v>585492</v>
      </c>
      <c r="O626" s="18">
        <f>'Data cleaning and validation(3)'!O614</f>
        <v>4879.1000000000004</v>
      </c>
    </row>
    <row r="627" spans="1:15" x14ac:dyDescent="0.35">
      <c r="A627" s="8">
        <f>'Data cleaning and validation(3)'!A615</f>
        <v>614</v>
      </c>
      <c r="B627" s="8" t="str">
        <f>'Data cleaning and validation(3)'!B615</f>
        <v>Ramirez</v>
      </c>
      <c r="C627" s="8" t="str">
        <f>'Data cleaning and validation(3)'!C615</f>
        <v>jramirezh1@php.net</v>
      </c>
      <c r="D627" s="8" t="str">
        <f>'Data cleaning and validation(3)'!D615</f>
        <v>F</v>
      </c>
      <c r="E627" s="8" t="str">
        <f>'Data cleaning and validation(3)'!E615</f>
        <v>Electronics</v>
      </c>
      <c r="F627" s="15">
        <f>'Data cleaning and validation(3)'!F615</f>
        <v>44502</v>
      </c>
      <c r="G627" s="8">
        <f>'Data cleaning and validation(3)'!G615</f>
        <v>13</v>
      </c>
      <c r="H627" s="19">
        <f>'Data cleaning and validation(3)'!H615</f>
        <v>112929</v>
      </c>
      <c r="I627" s="8" t="str">
        <f>'Data cleaning and validation(3)'!I615</f>
        <v>Account Coordinator</v>
      </c>
      <c r="J627" s="8" t="str">
        <f>'Data cleaning and validation(3)'!J615</f>
        <v>British Columbia</v>
      </c>
      <c r="K627" s="8" t="str">
        <f>'Data cleaning and validation(3)'!K615</f>
        <v>Canada</v>
      </c>
      <c r="L627" s="8" t="str">
        <f>'Data cleaning and validation(3)'!L615</f>
        <v>Electronic Equipment</v>
      </c>
      <c r="M627" s="8" t="str">
        <f>'Data cleaning and validation(3)'!M615</f>
        <v>On Leave</v>
      </c>
      <c r="N627" s="17">
        <f>'Data cleaning and validation(3)'!N615</f>
        <v>1355148</v>
      </c>
      <c r="O627" s="18">
        <f>'Data cleaning and validation(3)'!O615</f>
        <v>11292.900000000001</v>
      </c>
    </row>
    <row r="628" spans="1:15" x14ac:dyDescent="0.35">
      <c r="A628" s="8">
        <f>'Data cleaning and validation(3)'!A616</f>
        <v>615</v>
      </c>
      <c r="B628" s="8" t="str">
        <f>'Data cleaning and validation(3)'!B616</f>
        <v>Alexander</v>
      </c>
      <c r="C628" s="8" t="str">
        <f>'Data cleaning and validation(3)'!C616</f>
        <v>falexanderh2@irs.gov</v>
      </c>
      <c r="D628" s="8" t="str">
        <f>'Data cleaning and validation(3)'!D616</f>
        <v>F</v>
      </c>
      <c r="E628" s="8" t="str">
        <f>'Data cleaning and validation(3)'!E616</f>
        <v>Clothing</v>
      </c>
      <c r="F628" s="15">
        <f>'Data cleaning and validation(3)'!F616</f>
        <v>44920</v>
      </c>
      <c r="G628" s="8">
        <f>'Data cleaning and validation(3)'!G616</f>
        <v>12</v>
      </c>
      <c r="H628" s="19">
        <f>'Data cleaning and validation(3)'!H616</f>
        <v>72854</v>
      </c>
      <c r="I628" s="8" t="str">
        <f>'Data cleaning and validation(3)'!I616</f>
        <v>Marketing Assistant</v>
      </c>
      <c r="J628" s="8" t="str">
        <f>'Data cleaning and validation(3)'!J616</f>
        <v>Nova Scotia</v>
      </c>
      <c r="K628" s="8" t="str">
        <f>'Data cleaning and validation(3)'!K616</f>
        <v>Canada</v>
      </c>
      <c r="L628" s="8" t="str">
        <f>'Data cleaning and validation(3)'!L616</f>
        <v>Domestic</v>
      </c>
      <c r="M628" s="8" t="str">
        <f>'Data cleaning and validation(3)'!M616</f>
        <v>On Leave</v>
      </c>
      <c r="N628" s="17">
        <f>'Data cleaning and validation(3)'!N616</f>
        <v>874248</v>
      </c>
      <c r="O628" s="18">
        <f>'Data cleaning and validation(3)'!O616</f>
        <v>7285.4000000000005</v>
      </c>
    </row>
    <row r="629" spans="1:15" x14ac:dyDescent="0.35">
      <c r="A629" s="8">
        <f>'Data cleaning and validation(3)'!A617</f>
        <v>616</v>
      </c>
      <c r="B629" s="8" t="str">
        <f>'Data cleaning and validation(3)'!B617</f>
        <v>Marshall</v>
      </c>
      <c r="C629" s="8" t="str">
        <f>'Data cleaning and validation(3)'!C617</f>
        <v>hmarshallh3@com.com</v>
      </c>
      <c r="D629" s="8" t="str">
        <f>'Data cleaning and validation(3)'!D617</f>
        <v>F</v>
      </c>
      <c r="E629" s="8" t="str">
        <f>'Data cleaning and validation(3)'!E617</f>
        <v>Automotive</v>
      </c>
      <c r="F629" s="15">
        <f>'Data cleaning and validation(3)'!F617</f>
        <v>39000</v>
      </c>
      <c r="G629" s="8">
        <f>'Data cleaning and validation(3)'!G617</f>
        <v>15</v>
      </c>
      <c r="H629" s="19">
        <f>'Data cleaning and validation(3)'!H617</f>
        <v>47281</v>
      </c>
      <c r="I629" s="8" t="str">
        <f>'Data cleaning and validation(3)'!I617</f>
        <v>VP Sales</v>
      </c>
      <c r="J629" s="8" t="str">
        <f>'Data cleaning and validation(3)'!J617</f>
        <v>Quebec</v>
      </c>
      <c r="K629" s="8" t="str">
        <f>'Data cleaning and validation(3)'!K617</f>
        <v>Canada</v>
      </c>
      <c r="L629" s="8" t="str">
        <f>'Data cleaning and validation(3)'!L617</f>
        <v>Auto &amp; Hardware</v>
      </c>
      <c r="M629" s="8" t="str">
        <f>'Data cleaning and validation(3)'!M617</f>
        <v>On Leave</v>
      </c>
      <c r="N629" s="17">
        <f>'Data cleaning and validation(3)'!N617</f>
        <v>567372</v>
      </c>
      <c r="O629" s="18">
        <f>'Data cleaning and validation(3)'!O617</f>
        <v>4728.1000000000004</v>
      </c>
    </row>
    <row r="630" spans="1:15" x14ac:dyDescent="0.35">
      <c r="A630" s="8">
        <f>'Data cleaning and validation(3)'!A618</f>
        <v>617</v>
      </c>
      <c r="B630" s="8" t="str">
        <f>'Data cleaning and validation(3)'!B618</f>
        <v>Mills</v>
      </c>
      <c r="C630" s="8" t="str">
        <f>'Data cleaning and validation(3)'!C618</f>
        <v>hmillsh4@lulu.com</v>
      </c>
      <c r="D630" s="8" t="str">
        <f>'Data cleaning and validation(3)'!D618</f>
        <v>F</v>
      </c>
      <c r="E630" s="8" t="str">
        <f>'Data cleaning and validation(3)'!E618</f>
        <v>Health</v>
      </c>
      <c r="F630" s="15">
        <f>'Data cleaning and validation(3)'!F618</f>
        <v>46185</v>
      </c>
      <c r="G630" s="8">
        <f>'Data cleaning and validation(3)'!G618</f>
        <v>8</v>
      </c>
      <c r="H630" s="19">
        <f>'Data cleaning and validation(3)'!H618</f>
        <v>49410</v>
      </c>
      <c r="I630" s="8" t="str">
        <f>'Data cleaning and validation(3)'!I618</f>
        <v>Account Representative II</v>
      </c>
      <c r="J630" s="8" t="str">
        <f>'Data cleaning and validation(3)'!J618</f>
        <v>Northeast</v>
      </c>
      <c r="K630" s="8" t="str">
        <f>'Data cleaning and validation(3)'!K618</f>
        <v>USA</v>
      </c>
      <c r="L630" s="8" t="str">
        <f>'Data cleaning and validation(3)'!L618</f>
        <v>Domestic</v>
      </c>
      <c r="M630" s="8" t="str">
        <f>'Data cleaning and validation(3)'!M618</f>
        <v>Active</v>
      </c>
      <c r="N630" s="17">
        <f>'Data cleaning and validation(3)'!N618</f>
        <v>592920</v>
      </c>
      <c r="O630" s="18">
        <f>'Data cleaning and validation(3)'!O618</f>
        <v>4941</v>
      </c>
    </row>
    <row r="631" spans="1:15" x14ac:dyDescent="0.35">
      <c r="A631" s="8">
        <f>'Data cleaning and validation(3)'!A619</f>
        <v>618</v>
      </c>
      <c r="B631" s="8" t="str">
        <f>'Data cleaning and validation(3)'!B619</f>
        <v>Phillips</v>
      </c>
      <c r="C631" s="8" t="str">
        <f>'Data cleaning and validation(3)'!C619</f>
        <v>wphillipsh5@economist.com</v>
      </c>
      <c r="D631" s="8" t="str">
        <f>'Data cleaning and validation(3)'!D619</f>
        <v>M</v>
      </c>
      <c r="E631" s="8" t="str">
        <f>'Data cleaning and validation(3)'!E619</f>
        <v>Clothing</v>
      </c>
      <c r="F631" s="15">
        <f>'Data cleaning and validation(3)'!F619</f>
        <v>37049</v>
      </c>
      <c r="G631" s="8">
        <f>'Data cleaning and validation(3)'!G619</f>
        <v>20</v>
      </c>
      <c r="H631" s="19">
        <f>'Data cleaning and validation(3)'!H619</f>
        <v>128205</v>
      </c>
      <c r="I631" s="8" t="str">
        <f>'Data cleaning and validation(3)'!I619</f>
        <v>Sales Representative</v>
      </c>
      <c r="J631" s="8" t="str">
        <f>'Data cleaning and validation(3)'!J619</f>
        <v>Quebec</v>
      </c>
      <c r="K631" s="8" t="str">
        <f>'Data cleaning and validation(3)'!K619</f>
        <v>Canada</v>
      </c>
      <c r="L631" s="8" t="str">
        <f>'Data cleaning and validation(3)'!L619</f>
        <v>Domestic</v>
      </c>
      <c r="M631" s="8" t="str">
        <f>'Data cleaning and validation(3)'!M619</f>
        <v>Active</v>
      </c>
      <c r="N631" s="17">
        <f>'Data cleaning and validation(3)'!N619</f>
        <v>1538460</v>
      </c>
      <c r="O631" s="18">
        <f>'Data cleaning and validation(3)'!O619</f>
        <v>12820.5</v>
      </c>
    </row>
    <row r="632" spans="1:15" x14ac:dyDescent="0.35">
      <c r="A632" s="8">
        <f>'Data cleaning and validation(3)'!A620</f>
        <v>619</v>
      </c>
      <c r="B632" s="8" t="str">
        <f>'Data cleaning and validation(3)'!B620</f>
        <v>Cole</v>
      </c>
      <c r="C632" s="8" t="str">
        <f>'Data cleaning and validation(3)'!C620</f>
        <v>jcoleh6@php.net</v>
      </c>
      <c r="D632" s="8" t="str">
        <f>'Data cleaning and validation(3)'!D620</f>
        <v>M</v>
      </c>
      <c r="E632" s="8" t="str">
        <f>'Data cleaning and validation(3)'!E620</f>
        <v>Tools</v>
      </c>
      <c r="F632" s="15">
        <f>'Data cleaning and validation(3)'!F620</f>
        <v>41792</v>
      </c>
      <c r="G632" s="8">
        <f>'Data cleaning and validation(3)'!G620</f>
        <v>7</v>
      </c>
      <c r="H632" s="19">
        <f>'Data cleaning and validation(3)'!H620</f>
        <v>133190</v>
      </c>
      <c r="I632" s="8" t="str">
        <f>'Data cleaning and validation(3)'!I620</f>
        <v>Research Nurse</v>
      </c>
      <c r="J632" s="8" t="str">
        <f>'Data cleaning and validation(3)'!J620</f>
        <v>Nova Scotia</v>
      </c>
      <c r="K632" s="8" t="str">
        <f>'Data cleaning and validation(3)'!K620</f>
        <v>Canada</v>
      </c>
      <c r="L632" s="8" t="str">
        <f>'Data cleaning and validation(3)'!L620</f>
        <v>Auto &amp; Hardware</v>
      </c>
      <c r="M632" s="8" t="str">
        <f>'Data cleaning and validation(3)'!M620</f>
        <v>Resigned</v>
      </c>
      <c r="N632" s="17">
        <f>'Data cleaning and validation(3)'!N620</f>
        <v>1598280</v>
      </c>
      <c r="O632" s="18">
        <f>'Data cleaning and validation(3)'!O620</f>
        <v>13319</v>
      </c>
    </row>
    <row r="633" spans="1:15" x14ac:dyDescent="0.35">
      <c r="A633" s="8">
        <f>'Data cleaning and validation(3)'!A621</f>
        <v>620</v>
      </c>
      <c r="B633" s="8" t="str">
        <f>'Data cleaning and validation(3)'!B621</f>
        <v>Olson</v>
      </c>
      <c r="C633" s="8" t="str">
        <f>'Data cleaning and validation(3)'!C621</f>
        <v>aolsonh7@psu.edu</v>
      </c>
      <c r="D633" s="8" t="str">
        <f>'Data cleaning and validation(3)'!D621</f>
        <v>F</v>
      </c>
      <c r="E633" s="8" t="str">
        <f>'Data cleaning and validation(3)'!E621</f>
        <v>Books</v>
      </c>
      <c r="F633" s="15">
        <f>'Data cleaning and validation(3)'!F621</f>
        <v>44787</v>
      </c>
      <c r="G633" s="8">
        <f>'Data cleaning and validation(3)'!G621</f>
        <v>12</v>
      </c>
      <c r="H633" s="19">
        <f>'Data cleaning and validation(3)'!H621</f>
        <v>59644</v>
      </c>
      <c r="I633" s="8" t="str">
        <f>'Data cleaning and validation(3)'!I621</f>
        <v>Systems Administrator III</v>
      </c>
      <c r="J633" s="8" t="str">
        <f>'Data cleaning and validation(3)'!J621</f>
        <v>Northeast</v>
      </c>
      <c r="K633" s="8" t="str">
        <f>'Data cleaning and validation(3)'!K621</f>
        <v>USA</v>
      </c>
      <c r="L633" s="8" t="str">
        <f>'Data cleaning and validation(3)'!L621</f>
        <v>Library</v>
      </c>
      <c r="M633" s="8" t="str">
        <f>'Data cleaning and validation(3)'!M621</f>
        <v>Active</v>
      </c>
      <c r="N633" s="17">
        <f>'Data cleaning and validation(3)'!N621</f>
        <v>715728</v>
      </c>
      <c r="O633" s="18">
        <f>'Data cleaning and validation(3)'!O621</f>
        <v>5964.4000000000005</v>
      </c>
    </row>
    <row r="634" spans="1:15" x14ac:dyDescent="0.35">
      <c r="A634" s="8">
        <f>'Data cleaning and validation(3)'!A622</f>
        <v>621</v>
      </c>
      <c r="B634" s="8" t="str">
        <f>'Data cleaning and validation(3)'!B622</f>
        <v>Reynolds</v>
      </c>
      <c r="C634" s="8" t="str">
        <f>'Data cleaning and validation(3)'!C622</f>
        <v>nreynoldsh8@redcross.org</v>
      </c>
      <c r="D634" s="8" t="str">
        <f>'Data cleaning and validation(3)'!D622</f>
        <v>M</v>
      </c>
      <c r="E634" s="8" t="str">
        <f>'Data cleaning and validation(3)'!E622</f>
        <v>Kids</v>
      </c>
      <c r="F634" s="15">
        <f>'Data cleaning and validation(3)'!F622</f>
        <v>38291</v>
      </c>
      <c r="G634" s="8">
        <f>'Data cleaning and validation(3)'!G622</f>
        <v>17</v>
      </c>
      <c r="H634" s="19">
        <f>'Data cleaning and validation(3)'!H622</f>
        <v>111427</v>
      </c>
      <c r="I634" s="8" t="str">
        <f>'Data cleaning and validation(3)'!I622</f>
        <v>Programmer I</v>
      </c>
      <c r="J634" s="8" t="str">
        <f>'Data cleaning and validation(3)'!J622</f>
        <v>Southwest</v>
      </c>
      <c r="K634" s="8" t="str">
        <f>'Data cleaning and validation(3)'!K622</f>
        <v>USA</v>
      </c>
      <c r="L634" s="8" t="str">
        <f>'Data cleaning and validation(3)'!L622</f>
        <v>Domestic</v>
      </c>
      <c r="M634" s="8" t="str">
        <f>'Data cleaning and validation(3)'!M622</f>
        <v>Active</v>
      </c>
      <c r="N634" s="17">
        <f>'Data cleaning and validation(3)'!N622</f>
        <v>1337124</v>
      </c>
      <c r="O634" s="18">
        <f>'Data cleaning and validation(3)'!O622</f>
        <v>11142.7</v>
      </c>
    </row>
    <row r="635" spans="1:15" x14ac:dyDescent="0.35">
      <c r="A635" s="8">
        <f>'Data cleaning and validation(3)'!A623</f>
        <v>622</v>
      </c>
      <c r="B635" s="8" t="str">
        <f>'Data cleaning and validation(3)'!B623</f>
        <v>Wright</v>
      </c>
      <c r="C635" s="8" t="str">
        <f>'Data cleaning and validation(3)'!C623</f>
        <v>rwrighth9@jimdo.com</v>
      </c>
      <c r="D635" s="8" t="str">
        <f>'Data cleaning and validation(3)'!D623</f>
        <v>M</v>
      </c>
      <c r="E635" s="8" t="str">
        <f>'Data cleaning and validation(3)'!E623</f>
        <v>Electronics</v>
      </c>
      <c r="F635" s="15">
        <f>'Data cleaning and validation(3)'!F623</f>
        <v>37330</v>
      </c>
      <c r="G635" s="8">
        <f>'Data cleaning and validation(3)'!G623</f>
        <v>19</v>
      </c>
      <c r="H635" s="19">
        <f>'Data cleaning and validation(3)'!H623</f>
        <v>98339</v>
      </c>
      <c r="I635" s="8" t="str">
        <f>'Data cleaning and validation(3)'!I623</f>
        <v>Assistant Manager</v>
      </c>
      <c r="J635" s="8" t="str">
        <f>'Data cleaning and validation(3)'!J623</f>
        <v>Northwest</v>
      </c>
      <c r="K635" s="8" t="str">
        <f>'Data cleaning and validation(3)'!K623</f>
        <v>USA</v>
      </c>
      <c r="L635" s="8" t="str">
        <f>'Data cleaning and validation(3)'!L623</f>
        <v>Electronic Equipment</v>
      </c>
      <c r="M635" s="8" t="str">
        <f>'Data cleaning and validation(3)'!M623</f>
        <v>Active</v>
      </c>
      <c r="N635" s="17">
        <f>'Data cleaning and validation(3)'!N623</f>
        <v>1180068</v>
      </c>
      <c r="O635" s="18">
        <f>'Data cleaning and validation(3)'!O623</f>
        <v>9833.9000000000015</v>
      </c>
    </row>
    <row r="636" spans="1:15" x14ac:dyDescent="0.35">
      <c r="A636" s="8">
        <f>'Data cleaning and validation(3)'!A624</f>
        <v>623</v>
      </c>
      <c r="B636" s="8" t="str">
        <f>'Data cleaning and validation(3)'!B624</f>
        <v>Ford</v>
      </c>
      <c r="C636" s="8" t="str">
        <f>'Data cleaning and validation(3)'!C624</f>
        <v>mfordha@youku.com</v>
      </c>
      <c r="D636" s="8" t="str">
        <f>'Data cleaning and validation(3)'!D624</f>
        <v>M</v>
      </c>
      <c r="E636" s="8" t="str">
        <f>'Data cleaning and validation(3)'!E624</f>
        <v>Beauty</v>
      </c>
      <c r="F636" s="15">
        <f>'Data cleaning and validation(3)'!F624</f>
        <v>38775</v>
      </c>
      <c r="G636" s="8">
        <f>'Data cleaning and validation(3)'!G624</f>
        <v>15</v>
      </c>
      <c r="H636" s="19">
        <f>'Data cleaning and validation(3)'!H624</f>
        <v>72948</v>
      </c>
      <c r="I636" s="8" t="str">
        <f>'Data cleaning and validation(3)'!I624</f>
        <v>Teacher</v>
      </c>
      <c r="J636" s="8" t="str">
        <f>'Data cleaning and validation(3)'!J624</f>
        <v>Quebec</v>
      </c>
      <c r="K636" s="8" t="str">
        <f>'Data cleaning and validation(3)'!K624</f>
        <v>Canada</v>
      </c>
      <c r="L636" s="8" t="str">
        <f>'Data cleaning and validation(3)'!L624</f>
        <v>Domestic</v>
      </c>
      <c r="M636" s="8" t="str">
        <f>'Data cleaning and validation(3)'!M624</f>
        <v>Active</v>
      </c>
      <c r="N636" s="17">
        <f>'Data cleaning and validation(3)'!N624</f>
        <v>875376</v>
      </c>
      <c r="O636" s="18">
        <f>'Data cleaning and validation(3)'!O624</f>
        <v>7294.8</v>
      </c>
    </row>
    <row r="637" spans="1:15" x14ac:dyDescent="0.35">
      <c r="A637" s="8">
        <f>'Data cleaning and validation(3)'!A625</f>
        <v>624</v>
      </c>
      <c r="B637" s="8" t="str">
        <f>'Data cleaning and validation(3)'!B625</f>
        <v>Garza</v>
      </c>
      <c r="C637" s="8" t="str">
        <f>'Data cleaning and validation(3)'!C625</f>
        <v>mgarzahb@elegantthemes.com</v>
      </c>
      <c r="D637" s="8" t="str">
        <f>'Data cleaning and validation(3)'!D625</f>
        <v>M</v>
      </c>
      <c r="E637" s="8" t="str">
        <f>'Data cleaning and validation(3)'!E625</f>
        <v>Books</v>
      </c>
      <c r="F637" s="15">
        <f>'Data cleaning and validation(3)'!F625</f>
        <v>39778</v>
      </c>
      <c r="G637" s="8">
        <f>'Data cleaning and validation(3)'!G625</f>
        <v>13</v>
      </c>
      <c r="H637" s="19">
        <f>'Data cleaning and validation(3)'!H625</f>
        <v>60203</v>
      </c>
      <c r="I637" s="8" t="str">
        <f>'Data cleaning and validation(3)'!I625</f>
        <v>Product Engineer</v>
      </c>
      <c r="J637" s="8" t="str">
        <f>'Data cleaning and validation(3)'!J625</f>
        <v>Southeast</v>
      </c>
      <c r="K637" s="8" t="str">
        <f>'Data cleaning and validation(3)'!K625</f>
        <v>USA</v>
      </c>
      <c r="L637" s="8" t="str">
        <f>'Data cleaning and validation(3)'!L625</f>
        <v>Library</v>
      </c>
      <c r="M637" s="8" t="str">
        <f>'Data cleaning and validation(3)'!M625</f>
        <v>Active</v>
      </c>
      <c r="N637" s="17">
        <f>'Data cleaning and validation(3)'!N625</f>
        <v>722436</v>
      </c>
      <c r="O637" s="18">
        <f>'Data cleaning and validation(3)'!O625</f>
        <v>6020.3</v>
      </c>
    </row>
    <row r="638" spans="1:15" x14ac:dyDescent="0.35">
      <c r="A638" s="8">
        <f>'Data cleaning and validation(3)'!A626</f>
        <v>625</v>
      </c>
      <c r="B638" s="8" t="str">
        <f>'Data cleaning and validation(3)'!B626</f>
        <v>Andrews</v>
      </c>
      <c r="C638" s="8" t="str">
        <f>'Data cleaning and validation(3)'!C626</f>
        <v>handrewshc@salon.com</v>
      </c>
      <c r="D638" s="8" t="str">
        <f>'Data cleaning and validation(3)'!D626</f>
        <v>F</v>
      </c>
      <c r="E638" s="8" t="str">
        <f>'Data cleaning and validation(3)'!E626</f>
        <v>Outdoors</v>
      </c>
      <c r="F638" s="15">
        <f>'Data cleaning and validation(3)'!F626</f>
        <v>44167</v>
      </c>
      <c r="G638" s="8">
        <f>'Data cleaning and validation(3)'!G626</f>
        <v>14</v>
      </c>
      <c r="H638" s="19">
        <f>'Data cleaning and validation(3)'!H626</f>
        <v>147003</v>
      </c>
      <c r="I638" s="8" t="str">
        <f>'Data cleaning and validation(3)'!I626</f>
        <v>Chemical Engineer</v>
      </c>
      <c r="J638" s="8" t="str">
        <f>'Data cleaning and validation(3)'!J626</f>
        <v>Northeast</v>
      </c>
      <c r="K638" s="8" t="str">
        <f>'Data cleaning and validation(3)'!K626</f>
        <v>USA</v>
      </c>
      <c r="L638" s="8" t="str">
        <f>'Data cleaning and validation(3)'!L626</f>
        <v>Outdoors &amp; Garden</v>
      </c>
      <c r="M638" s="8" t="str">
        <f>'Data cleaning and validation(3)'!M626</f>
        <v>Active</v>
      </c>
      <c r="N638" s="17">
        <f>'Data cleaning and validation(3)'!N626</f>
        <v>1764036</v>
      </c>
      <c r="O638" s="18">
        <f>'Data cleaning and validation(3)'!O626</f>
        <v>14700.300000000001</v>
      </c>
    </row>
    <row r="639" spans="1:15" x14ac:dyDescent="0.35">
      <c r="A639" s="8">
        <f>'Data cleaning and validation(3)'!A627</f>
        <v>626</v>
      </c>
      <c r="B639" s="8" t="str">
        <f>'Data cleaning and validation(3)'!B627</f>
        <v>Ruiz</v>
      </c>
      <c r="C639" s="8" t="str">
        <f>'Data cleaning and validation(3)'!C627</f>
        <v>sruizhd@slashdot.org</v>
      </c>
      <c r="D639" s="8" t="str">
        <f>'Data cleaning and validation(3)'!D627</f>
        <v>F</v>
      </c>
      <c r="E639" s="8" t="str">
        <f>'Data cleaning and validation(3)'!E627</f>
        <v>Garden</v>
      </c>
      <c r="F639" s="15">
        <f>'Data cleaning and validation(3)'!F627</f>
        <v>44573</v>
      </c>
      <c r="G639" s="8">
        <f>'Data cleaning and validation(3)'!G627</f>
        <v>12</v>
      </c>
      <c r="H639" s="19">
        <f>'Data cleaning and validation(3)'!H627</f>
        <v>83706</v>
      </c>
      <c r="I639" s="8" t="str">
        <f>'Data cleaning and validation(3)'!I627</f>
        <v>Assistant Media Planner</v>
      </c>
      <c r="J639" s="8" t="str">
        <f>'Data cleaning and validation(3)'!J627</f>
        <v>Southeast</v>
      </c>
      <c r="K639" s="8" t="str">
        <f>'Data cleaning and validation(3)'!K627</f>
        <v>USA</v>
      </c>
      <c r="L639" s="8" t="str">
        <f>'Data cleaning and validation(3)'!L627</f>
        <v>Outdoors &amp; Garden</v>
      </c>
      <c r="M639" s="8" t="str">
        <f>'Data cleaning and validation(3)'!M627</f>
        <v>Active</v>
      </c>
      <c r="N639" s="17">
        <f>'Data cleaning and validation(3)'!N627</f>
        <v>1004472</v>
      </c>
      <c r="O639" s="18">
        <f>'Data cleaning and validation(3)'!O627</f>
        <v>8370.6</v>
      </c>
    </row>
    <row r="640" spans="1:15" x14ac:dyDescent="0.35">
      <c r="A640" s="8">
        <f>'Data cleaning and validation(3)'!A628</f>
        <v>627</v>
      </c>
      <c r="B640" s="8" t="str">
        <f>'Data cleaning and validation(3)'!B628</f>
        <v>Watkins</v>
      </c>
      <c r="C640" s="8" t="str">
        <f>'Data cleaning and validation(3)'!C628</f>
        <v>swatkinshe@wunderground.com</v>
      </c>
      <c r="D640" s="8" t="str">
        <f>'Data cleaning and validation(3)'!D628</f>
        <v>F</v>
      </c>
      <c r="E640" s="8" t="str">
        <f>'Data cleaning and validation(3)'!E628</f>
        <v>Grocery</v>
      </c>
      <c r="F640" s="15">
        <f>'Data cleaning and validation(3)'!F628</f>
        <v>36546</v>
      </c>
      <c r="G640" s="8">
        <f>'Data cleaning and validation(3)'!G628</f>
        <v>21</v>
      </c>
      <c r="H640" s="19">
        <f>'Data cleaning and validation(3)'!H628</f>
        <v>80245</v>
      </c>
      <c r="I640" s="8" t="str">
        <f>'Data cleaning and validation(3)'!I628</f>
        <v>VP Product Management</v>
      </c>
      <c r="J640" s="8" t="str">
        <f>'Data cleaning and validation(3)'!J628</f>
        <v>Quebec</v>
      </c>
      <c r="K640" s="8" t="str">
        <f>'Data cleaning and validation(3)'!K628</f>
        <v>Canada</v>
      </c>
      <c r="L640" s="8" t="str">
        <f>'Data cleaning and validation(3)'!L628</f>
        <v>Domestic</v>
      </c>
      <c r="M640" s="8" t="str">
        <f>'Data cleaning and validation(3)'!M628</f>
        <v>Active</v>
      </c>
      <c r="N640" s="17">
        <f>'Data cleaning and validation(3)'!N628</f>
        <v>962940</v>
      </c>
      <c r="O640" s="18">
        <f>'Data cleaning and validation(3)'!O628</f>
        <v>8024.5</v>
      </c>
    </row>
    <row r="641" spans="1:15" x14ac:dyDescent="0.35">
      <c r="A641" s="8">
        <f>'Data cleaning and validation(3)'!A629</f>
        <v>628</v>
      </c>
      <c r="B641" s="8" t="str">
        <f>'Data cleaning and validation(3)'!B629</f>
        <v>Diaz</v>
      </c>
      <c r="C641" s="8" t="str">
        <f>'Data cleaning and validation(3)'!C629</f>
        <v>rdiazhf@nih.gov</v>
      </c>
      <c r="D641" s="8" t="str">
        <f>'Data cleaning and validation(3)'!D629</f>
        <v>M</v>
      </c>
      <c r="E641" s="8" t="str">
        <f>'Data cleaning and validation(3)'!E629</f>
        <v>Jewelery</v>
      </c>
      <c r="F641" s="15">
        <f>'Data cleaning and validation(3)'!F629</f>
        <v>39671</v>
      </c>
      <c r="G641" s="8">
        <f>'Data cleaning and validation(3)'!G629</f>
        <v>13</v>
      </c>
      <c r="H641" s="19">
        <f>'Data cleaning and validation(3)'!H629</f>
        <v>65110</v>
      </c>
      <c r="I641" s="8" t="str">
        <f>'Data cleaning and validation(3)'!I629</f>
        <v>Compensation Analyst</v>
      </c>
      <c r="J641" s="8" t="str">
        <f>'Data cleaning and validation(3)'!J629</f>
        <v>British Columbia</v>
      </c>
      <c r="K641" s="8" t="str">
        <f>'Data cleaning and validation(3)'!K629</f>
        <v>Canada</v>
      </c>
      <c r="L641" s="8" t="str">
        <f>'Data cleaning and validation(3)'!L629</f>
        <v>Fashion</v>
      </c>
      <c r="M641" s="8" t="str">
        <f>'Data cleaning and validation(3)'!M629</f>
        <v>Active</v>
      </c>
      <c r="N641" s="17">
        <f>'Data cleaning and validation(3)'!N629</f>
        <v>781320</v>
      </c>
      <c r="O641" s="18">
        <f>'Data cleaning and validation(3)'!O629</f>
        <v>6511</v>
      </c>
    </row>
    <row r="642" spans="1:15" x14ac:dyDescent="0.35">
      <c r="A642" s="8">
        <f>'Data cleaning and validation(3)'!A630</f>
        <v>629</v>
      </c>
      <c r="B642" s="8" t="str">
        <f>'Data cleaning and validation(3)'!B630</f>
        <v>Watkins</v>
      </c>
      <c r="C642" s="8" t="str">
        <f>'Data cleaning and validation(3)'!C630</f>
        <v>mwatkinshg@bbb.org</v>
      </c>
      <c r="D642" s="8" t="str">
        <f>'Data cleaning and validation(3)'!D630</f>
        <v>M</v>
      </c>
      <c r="E642" s="8" t="str">
        <f>'Data cleaning and validation(3)'!E630</f>
        <v>Jewelery</v>
      </c>
      <c r="F642" s="15">
        <f>'Data cleaning and validation(3)'!F630</f>
        <v>40753</v>
      </c>
      <c r="G642" s="8">
        <f>'Data cleaning and validation(3)'!G630</f>
        <v>10</v>
      </c>
      <c r="H642" s="19">
        <f>'Data cleaning and validation(3)'!H630</f>
        <v>128617</v>
      </c>
      <c r="I642" s="8" t="str">
        <f>'Data cleaning and validation(3)'!I630</f>
        <v>Senior Editor</v>
      </c>
      <c r="J642" s="8" t="str">
        <f>'Data cleaning and validation(3)'!J630</f>
        <v>Southwest</v>
      </c>
      <c r="K642" s="8" t="str">
        <f>'Data cleaning and validation(3)'!K630</f>
        <v>USA</v>
      </c>
      <c r="L642" s="8" t="str">
        <f>'Data cleaning and validation(3)'!L630</f>
        <v>Fashion</v>
      </c>
      <c r="M642" s="8" t="str">
        <f>'Data cleaning and validation(3)'!M630</f>
        <v>Active</v>
      </c>
      <c r="N642" s="17">
        <f>'Data cleaning and validation(3)'!N630</f>
        <v>1543404</v>
      </c>
      <c r="O642" s="18">
        <f>'Data cleaning and validation(3)'!O630</f>
        <v>12861.7</v>
      </c>
    </row>
    <row r="643" spans="1:15" x14ac:dyDescent="0.35">
      <c r="A643" s="8">
        <f>'Data cleaning and validation(3)'!A631</f>
        <v>630</v>
      </c>
      <c r="B643" s="8" t="str">
        <f>'Data cleaning and validation(3)'!B631</f>
        <v>Pierce</v>
      </c>
      <c r="C643" s="8" t="str">
        <f>'Data cleaning and validation(3)'!C631</f>
        <v>spiercehh@google.nl</v>
      </c>
      <c r="D643" s="8" t="str">
        <f>'Data cleaning and validation(3)'!D631</f>
        <v>M</v>
      </c>
      <c r="E643" s="8" t="str">
        <f>'Data cleaning and validation(3)'!E631</f>
        <v>Outdoors</v>
      </c>
      <c r="F643" s="15">
        <f>'Data cleaning and validation(3)'!F631</f>
        <v>37296</v>
      </c>
      <c r="G643" s="8">
        <f>'Data cleaning and validation(3)'!G631</f>
        <v>19</v>
      </c>
      <c r="H643" s="19">
        <f>'Data cleaning and validation(3)'!H631</f>
        <v>96107</v>
      </c>
      <c r="I643" s="8" t="str">
        <f>'Data cleaning and validation(3)'!I631</f>
        <v>Actuary</v>
      </c>
      <c r="J643" s="8" t="str">
        <f>'Data cleaning and validation(3)'!J631</f>
        <v>British Columbia</v>
      </c>
      <c r="K643" s="8" t="str">
        <f>'Data cleaning and validation(3)'!K631</f>
        <v>Canada</v>
      </c>
      <c r="L643" s="8" t="str">
        <f>'Data cleaning and validation(3)'!L631</f>
        <v>Outdoors &amp; Garden</v>
      </c>
      <c r="M643" s="8" t="str">
        <f>'Data cleaning and validation(3)'!M631</f>
        <v>Active</v>
      </c>
      <c r="N643" s="17">
        <f>'Data cleaning and validation(3)'!N631</f>
        <v>1153284</v>
      </c>
      <c r="O643" s="18">
        <f>'Data cleaning and validation(3)'!O631</f>
        <v>9610.7000000000007</v>
      </c>
    </row>
    <row r="644" spans="1:15" x14ac:dyDescent="0.35">
      <c r="A644" s="8">
        <f>'Data cleaning and validation(3)'!A632</f>
        <v>631</v>
      </c>
      <c r="B644" s="8" t="str">
        <f>'Data cleaning and validation(3)'!B632</f>
        <v>Perez</v>
      </c>
      <c r="C644" s="8" t="str">
        <f>'Data cleaning and validation(3)'!C632</f>
        <v>wperezhi@yahoo.co.jp</v>
      </c>
      <c r="D644" s="8" t="str">
        <f>'Data cleaning and validation(3)'!D632</f>
        <v>F</v>
      </c>
      <c r="E644" s="8" t="str">
        <f>'Data cleaning and validation(3)'!E632</f>
        <v>Tools</v>
      </c>
      <c r="F644" s="15">
        <f>'Data cleaning and validation(3)'!F632</f>
        <v>46552</v>
      </c>
      <c r="G644" s="8">
        <f>'Data cleaning and validation(3)'!G632</f>
        <v>7</v>
      </c>
      <c r="H644" s="19">
        <f>'Data cleaning and validation(3)'!H632</f>
        <v>44788</v>
      </c>
      <c r="I644" s="8" t="str">
        <f>'Data cleaning and validation(3)'!I632</f>
        <v>Project Manager</v>
      </c>
      <c r="J644" s="8" t="str">
        <f>'Data cleaning and validation(3)'!J632</f>
        <v>Southeast</v>
      </c>
      <c r="K644" s="8" t="str">
        <f>'Data cleaning and validation(3)'!K632</f>
        <v>USA</v>
      </c>
      <c r="L644" s="8" t="str">
        <f>'Data cleaning and validation(3)'!L632</f>
        <v>Auto &amp; Hardware</v>
      </c>
      <c r="M644" s="8" t="str">
        <f>'Data cleaning and validation(3)'!M632</f>
        <v>Active</v>
      </c>
      <c r="N644" s="17">
        <f>'Data cleaning and validation(3)'!N632</f>
        <v>537456</v>
      </c>
      <c r="O644" s="18">
        <f>'Data cleaning and validation(3)'!O632</f>
        <v>4478.8</v>
      </c>
    </row>
    <row r="645" spans="1:15" x14ac:dyDescent="0.35">
      <c r="A645" s="8">
        <f>'Data cleaning and validation(3)'!A633</f>
        <v>632</v>
      </c>
      <c r="B645" s="8" t="str">
        <f>'Data cleaning and validation(3)'!B633</f>
        <v>Lopez</v>
      </c>
      <c r="C645" s="8" t="str">
        <f>'Data cleaning and validation(3)'!C633</f>
        <v>clopezhj@mediafire.com</v>
      </c>
      <c r="D645" s="8" t="str">
        <f>'Data cleaning and validation(3)'!D633</f>
        <v>F</v>
      </c>
      <c r="E645" s="8" t="str">
        <f>'Data cleaning and validation(3)'!E633</f>
        <v>Garden</v>
      </c>
      <c r="F645" s="15">
        <f>'Data cleaning and validation(3)'!F633</f>
        <v>37987</v>
      </c>
      <c r="G645" s="8">
        <f>'Data cleaning and validation(3)'!G633</f>
        <v>17</v>
      </c>
      <c r="H645" s="19">
        <f>'Data cleaning and validation(3)'!H633</f>
        <v>86207</v>
      </c>
      <c r="I645" s="8" t="str">
        <f>'Data cleaning and validation(3)'!I633</f>
        <v>Accountant II</v>
      </c>
      <c r="J645" s="8" t="str">
        <f>'Data cleaning and validation(3)'!J633</f>
        <v>Southwest</v>
      </c>
      <c r="K645" s="8" t="str">
        <f>'Data cleaning and validation(3)'!K633</f>
        <v>USA</v>
      </c>
      <c r="L645" s="8" t="str">
        <f>'Data cleaning and validation(3)'!L633</f>
        <v>Outdoors &amp; Garden</v>
      </c>
      <c r="M645" s="8" t="str">
        <f>'Data cleaning and validation(3)'!M633</f>
        <v>Active</v>
      </c>
      <c r="N645" s="17">
        <f>'Data cleaning and validation(3)'!N633</f>
        <v>1034484</v>
      </c>
      <c r="O645" s="18">
        <f>'Data cleaning and validation(3)'!O633</f>
        <v>8620.7000000000007</v>
      </c>
    </row>
    <row r="646" spans="1:15" x14ac:dyDescent="0.35">
      <c r="A646" s="8">
        <f>'Data cleaning and validation(3)'!A634</f>
        <v>633</v>
      </c>
      <c r="B646" s="8" t="str">
        <f>'Data cleaning and validation(3)'!B634</f>
        <v>Freeman</v>
      </c>
      <c r="C646" s="8" t="str">
        <f>'Data cleaning and validation(3)'!C634</f>
        <v>mfreemanhk@walmart.com</v>
      </c>
      <c r="D646" s="8" t="str">
        <f>'Data cleaning and validation(3)'!D634</f>
        <v>M</v>
      </c>
      <c r="E646" s="8" t="str">
        <f>'Data cleaning and validation(3)'!E634</f>
        <v>Shoes</v>
      </c>
      <c r="F646" s="15">
        <f>'Data cleaning and validation(3)'!F634</f>
        <v>36824</v>
      </c>
      <c r="G646" s="8">
        <f>'Data cleaning and validation(3)'!G634</f>
        <v>21</v>
      </c>
      <c r="H646" s="19">
        <f>'Data cleaning and validation(3)'!H634</f>
        <v>79845</v>
      </c>
      <c r="I646" s="8" t="str">
        <f>'Data cleaning and validation(3)'!I634</f>
        <v>Teacher</v>
      </c>
      <c r="J646" s="8" t="str">
        <f>'Data cleaning and validation(3)'!J634</f>
        <v>Northeast</v>
      </c>
      <c r="K646" s="8" t="str">
        <f>'Data cleaning and validation(3)'!K634</f>
        <v>USA</v>
      </c>
      <c r="L646" s="8" t="str">
        <f>'Data cleaning and validation(3)'!L634</f>
        <v>Domestic</v>
      </c>
      <c r="M646" s="8" t="str">
        <f>'Data cleaning and validation(3)'!M634</f>
        <v>Active</v>
      </c>
      <c r="N646" s="17">
        <f>'Data cleaning and validation(3)'!N634</f>
        <v>958140</v>
      </c>
      <c r="O646" s="18">
        <f>'Data cleaning and validation(3)'!O634</f>
        <v>7984.5</v>
      </c>
    </row>
    <row r="647" spans="1:15" x14ac:dyDescent="0.35">
      <c r="A647" s="8">
        <f>'Data cleaning and validation(3)'!A635</f>
        <v>634</v>
      </c>
      <c r="B647" s="8" t="str">
        <f>'Data cleaning and validation(3)'!B635</f>
        <v>Fowler</v>
      </c>
      <c r="C647" s="8" t="str">
        <f>'Data cleaning and validation(3)'!C635</f>
        <v>wfowlerhl@people.com.cn</v>
      </c>
      <c r="D647" s="8" t="str">
        <f>'Data cleaning and validation(3)'!D635</f>
        <v>F</v>
      </c>
      <c r="E647" s="8" t="str">
        <f>'Data cleaning and validation(3)'!E635</f>
        <v>Outdoors</v>
      </c>
      <c r="F647" s="15">
        <f>'Data cleaning and validation(3)'!F635</f>
        <v>45388</v>
      </c>
      <c r="G647" s="8">
        <f>'Data cleaning and validation(3)'!G635</f>
        <v>10</v>
      </c>
      <c r="H647" s="19">
        <f>'Data cleaning and validation(3)'!H635</f>
        <v>104264</v>
      </c>
      <c r="I647" s="8" t="str">
        <f>'Data cleaning and validation(3)'!I635</f>
        <v>Staff Scientist</v>
      </c>
      <c r="J647" s="8" t="str">
        <f>'Data cleaning and validation(3)'!J635</f>
        <v>Quebec</v>
      </c>
      <c r="K647" s="8" t="str">
        <f>'Data cleaning and validation(3)'!K635</f>
        <v>Canada</v>
      </c>
      <c r="L647" s="8" t="str">
        <f>'Data cleaning and validation(3)'!L635</f>
        <v>Outdoors &amp; Garden</v>
      </c>
      <c r="M647" s="8" t="str">
        <f>'Data cleaning and validation(3)'!M635</f>
        <v>Active</v>
      </c>
      <c r="N647" s="17">
        <f>'Data cleaning and validation(3)'!N635</f>
        <v>1251168</v>
      </c>
      <c r="O647" s="18">
        <f>'Data cleaning and validation(3)'!O635</f>
        <v>10426.400000000001</v>
      </c>
    </row>
    <row r="648" spans="1:15" x14ac:dyDescent="0.35">
      <c r="A648" s="8">
        <f>'Data cleaning and validation(3)'!A636</f>
        <v>635</v>
      </c>
      <c r="B648" s="8" t="str">
        <f>'Data cleaning and validation(3)'!B636</f>
        <v>Rodriguez</v>
      </c>
      <c r="C648" s="8" t="str">
        <f>'Data cleaning and validation(3)'!C636</f>
        <v>mrodriguezhm@wiley.com</v>
      </c>
      <c r="D648" s="8" t="str">
        <f>'Data cleaning and validation(3)'!D636</f>
        <v>F</v>
      </c>
      <c r="E648" s="8" t="str">
        <f>'Data cleaning and validation(3)'!E636</f>
        <v>Tools</v>
      </c>
      <c r="F648" s="15">
        <f>'Data cleaning and validation(3)'!F636</f>
        <v>45287</v>
      </c>
      <c r="G648" s="8">
        <f>'Data cleaning and validation(3)'!G636</f>
        <v>11</v>
      </c>
      <c r="H648" s="19">
        <f>'Data cleaning and validation(3)'!H636</f>
        <v>77005</v>
      </c>
      <c r="I648" s="8" t="str">
        <f>'Data cleaning and validation(3)'!I636</f>
        <v>Systems Administrator IV</v>
      </c>
      <c r="J648" s="8" t="str">
        <f>'Data cleaning and validation(3)'!J636</f>
        <v>Northeast</v>
      </c>
      <c r="K648" s="8" t="str">
        <f>'Data cleaning and validation(3)'!K636</f>
        <v>USA</v>
      </c>
      <c r="L648" s="8" t="str">
        <f>'Data cleaning and validation(3)'!L636</f>
        <v>Auto &amp; Hardware</v>
      </c>
      <c r="M648" s="8" t="str">
        <f>'Data cleaning and validation(3)'!M636</f>
        <v>Active</v>
      </c>
      <c r="N648" s="17">
        <f>'Data cleaning and validation(3)'!N636</f>
        <v>924060</v>
      </c>
      <c r="O648" s="18">
        <f>'Data cleaning and validation(3)'!O636</f>
        <v>7700.5</v>
      </c>
    </row>
    <row r="649" spans="1:15" x14ac:dyDescent="0.35">
      <c r="A649" s="8">
        <f>'Data cleaning and validation(3)'!A637</f>
        <v>636</v>
      </c>
      <c r="B649" s="8" t="str">
        <f>'Data cleaning and validation(3)'!B637</f>
        <v>Wheeler</v>
      </c>
      <c r="C649" s="8" t="str">
        <f>'Data cleaning and validation(3)'!C637</f>
        <v>lwheelerhn@skyrock.com</v>
      </c>
      <c r="D649" s="8" t="str">
        <f>'Data cleaning and validation(3)'!D637</f>
        <v>F</v>
      </c>
      <c r="E649" s="8" t="str">
        <f>'Data cleaning and validation(3)'!E637</f>
        <v>Industrial</v>
      </c>
      <c r="F649" s="15">
        <f>'Data cleaning and validation(3)'!F637</f>
        <v>45560</v>
      </c>
      <c r="G649" s="8">
        <f>'Data cleaning and validation(3)'!G637</f>
        <v>10</v>
      </c>
      <c r="H649" s="19">
        <f>'Data cleaning and validation(3)'!H637</f>
        <v>69564</v>
      </c>
      <c r="I649" s="8" t="str">
        <f>'Data cleaning and validation(3)'!I637</f>
        <v>Senior Editor</v>
      </c>
      <c r="J649" s="8" t="str">
        <f>'Data cleaning and validation(3)'!J637</f>
        <v>Quebec</v>
      </c>
      <c r="K649" s="8" t="str">
        <f>'Data cleaning and validation(3)'!K637</f>
        <v>Canada</v>
      </c>
      <c r="L649" s="8" t="str">
        <f>'Data cleaning and validation(3)'!L637</f>
        <v>Auto &amp; Hardware</v>
      </c>
      <c r="M649" s="8" t="str">
        <f>'Data cleaning and validation(3)'!M637</f>
        <v>Active</v>
      </c>
      <c r="N649" s="17">
        <f>'Data cleaning and validation(3)'!N637</f>
        <v>834768</v>
      </c>
      <c r="O649" s="18">
        <f>'Data cleaning and validation(3)'!O637</f>
        <v>6956.4000000000005</v>
      </c>
    </row>
    <row r="650" spans="1:15" x14ac:dyDescent="0.35">
      <c r="A650" s="8">
        <f>'Data cleaning and validation(3)'!A638</f>
        <v>637</v>
      </c>
      <c r="B650" s="8" t="str">
        <f>'Data cleaning and validation(3)'!B638</f>
        <v>Knight</v>
      </c>
      <c r="C650" s="8" t="str">
        <f>'Data cleaning and validation(3)'!C638</f>
        <v>dknightho@buzzfeed.com</v>
      </c>
      <c r="D650" s="8" t="str">
        <f>'Data cleaning and validation(3)'!D638</f>
        <v>F</v>
      </c>
      <c r="E650" s="8" t="str">
        <f>'Data cleaning and validation(3)'!E638</f>
        <v>Shoes</v>
      </c>
      <c r="F650" s="15">
        <f>'Data cleaning and validation(3)'!F638</f>
        <v>44037</v>
      </c>
      <c r="G650" s="8">
        <f>'Data cleaning and validation(3)'!G638</f>
        <v>14</v>
      </c>
      <c r="H650" s="19">
        <f>'Data cleaning and validation(3)'!H638</f>
        <v>84549</v>
      </c>
      <c r="I650" s="8" t="str">
        <f>'Data cleaning and validation(3)'!I638</f>
        <v>Senior Cost Accountant</v>
      </c>
      <c r="J650" s="8" t="str">
        <f>'Data cleaning and validation(3)'!J638</f>
        <v>British Columbia</v>
      </c>
      <c r="K650" s="8" t="str">
        <f>'Data cleaning and validation(3)'!K638</f>
        <v>Canada</v>
      </c>
      <c r="L650" s="8" t="str">
        <f>'Data cleaning and validation(3)'!L638</f>
        <v>Domestic</v>
      </c>
      <c r="M650" s="8" t="str">
        <f>'Data cleaning and validation(3)'!M638</f>
        <v>Active</v>
      </c>
      <c r="N650" s="17">
        <f>'Data cleaning and validation(3)'!N638</f>
        <v>1014588</v>
      </c>
      <c r="O650" s="18">
        <f>'Data cleaning and validation(3)'!O638</f>
        <v>8454.9</v>
      </c>
    </row>
    <row r="651" spans="1:15" x14ac:dyDescent="0.35">
      <c r="A651" s="8">
        <f>'Data cleaning and validation(3)'!A639</f>
        <v>638</v>
      </c>
      <c r="B651" s="8" t="str">
        <f>'Data cleaning and validation(3)'!B639</f>
        <v>Walker</v>
      </c>
      <c r="C651" s="8" t="str">
        <f>'Data cleaning and validation(3)'!C639</f>
        <v>bwalkerhp@dropbox.com</v>
      </c>
      <c r="D651" s="8" t="str">
        <f>'Data cleaning and validation(3)'!D639</f>
        <v>M</v>
      </c>
      <c r="E651" s="8" t="str">
        <f>'Data cleaning and validation(3)'!E639</f>
        <v>Games</v>
      </c>
      <c r="F651" s="15">
        <f>'Data cleaning and validation(3)'!F639</f>
        <v>38877</v>
      </c>
      <c r="G651" s="8">
        <f>'Data cleaning and validation(3)'!G639</f>
        <v>15</v>
      </c>
      <c r="H651" s="19">
        <f>'Data cleaning and validation(3)'!H639</f>
        <v>134488</v>
      </c>
      <c r="I651" s="8" t="str">
        <f>'Data cleaning and validation(3)'!I639</f>
        <v>Software Consultant</v>
      </c>
      <c r="J651" s="8" t="str">
        <f>'Data cleaning and validation(3)'!J639</f>
        <v>Northeast</v>
      </c>
      <c r="K651" s="8" t="str">
        <f>'Data cleaning and validation(3)'!K639</f>
        <v>USA</v>
      </c>
      <c r="L651" s="8" t="str">
        <f>'Data cleaning and validation(3)'!L639</f>
        <v>Domestic</v>
      </c>
      <c r="M651" s="8" t="str">
        <f>'Data cleaning and validation(3)'!M639</f>
        <v>Active</v>
      </c>
      <c r="N651" s="17">
        <f>'Data cleaning and validation(3)'!N639</f>
        <v>1613856</v>
      </c>
      <c r="O651" s="18">
        <f>'Data cleaning and validation(3)'!O639</f>
        <v>13448.800000000001</v>
      </c>
    </row>
    <row r="652" spans="1:15" x14ac:dyDescent="0.35">
      <c r="A652" s="8">
        <f>'Data cleaning and validation(3)'!A640</f>
        <v>639</v>
      </c>
      <c r="B652" s="8" t="str">
        <f>'Data cleaning and validation(3)'!B640</f>
        <v>Porter</v>
      </c>
      <c r="C652" s="8" t="str">
        <f>'Data cleaning and validation(3)'!C640</f>
        <v>eporterhq@amazon.com</v>
      </c>
      <c r="D652" s="8" t="str">
        <f>'Data cleaning and validation(3)'!D640</f>
        <v>M</v>
      </c>
      <c r="E652" s="8" t="str">
        <f>'Data cleaning and validation(3)'!E640</f>
        <v>Shoes</v>
      </c>
      <c r="F652" s="15">
        <f>'Data cleaning and validation(3)'!F640</f>
        <v>39126</v>
      </c>
      <c r="G652" s="8">
        <f>'Data cleaning and validation(3)'!G640</f>
        <v>14</v>
      </c>
      <c r="H652" s="19">
        <f>'Data cleaning and validation(3)'!H640</f>
        <v>140243</v>
      </c>
      <c r="I652" s="8" t="str">
        <f>'Data cleaning and validation(3)'!I640</f>
        <v>Financial Advisor</v>
      </c>
      <c r="J652" s="8" t="str">
        <f>'Data cleaning and validation(3)'!J640</f>
        <v>British Columbia</v>
      </c>
      <c r="K652" s="8" t="str">
        <f>'Data cleaning and validation(3)'!K640</f>
        <v>Canada</v>
      </c>
      <c r="L652" s="8" t="str">
        <f>'Data cleaning and validation(3)'!L640</f>
        <v>Domestic</v>
      </c>
      <c r="M652" s="8" t="str">
        <f>'Data cleaning and validation(3)'!M640</f>
        <v>Active</v>
      </c>
      <c r="N652" s="17">
        <f>'Data cleaning and validation(3)'!N640</f>
        <v>1682916</v>
      </c>
      <c r="O652" s="18">
        <f>'Data cleaning and validation(3)'!O640</f>
        <v>14024.300000000001</v>
      </c>
    </row>
    <row r="653" spans="1:15" x14ac:dyDescent="0.35">
      <c r="A653" s="8">
        <f>'Data cleaning and validation(3)'!A641</f>
        <v>640</v>
      </c>
      <c r="B653" s="8" t="str">
        <f>'Data cleaning and validation(3)'!B641</f>
        <v>Washington</v>
      </c>
      <c r="C653" s="8" t="str">
        <f>'Data cleaning and validation(3)'!C641</f>
        <v>hwashingtonhr@bbc.co.uk</v>
      </c>
      <c r="D653" s="8" t="str">
        <f>'Data cleaning and validation(3)'!D641</f>
        <v>M</v>
      </c>
      <c r="E653" s="8" t="str">
        <f>'Data cleaning and validation(3)'!E641</f>
        <v>Jewelery</v>
      </c>
      <c r="F653" s="15">
        <f>'Data cleaning and validation(3)'!F641</f>
        <v>37674</v>
      </c>
      <c r="G653" s="8">
        <f>'Data cleaning and validation(3)'!G641</f>
        <v>18</v>
      </c>
      <c r="H653" s="19">
        <f>'Data cleaning and validation(3)'!H641</f>
        <v>44096</v>
      </c>
      <c r="I653" s="8" t="str">
        <f>'Data cleaning and validation(3)'!I641</f>
        <v>Geologist IV</v>
      </c>
      <c r="J653" s="8" t="str">
        <f>'Data cleaning and validation(3)'!J641</f>
        <v>Southwest</v>
      </c>
      <c r="K653" s="8" t="str">
        <f>'Data cleaning and validation(3)'!K641</f>
        <v>USA</v>
      </c>
      <c r="L653" s="8" t="str">
        <f>'Data cleaning and validation(3)'!L641</f>
        <v>Fashion</v>
      </c>
      <c r="M653" s="8" t="str">
        <f>'Data cleaning and validation(3)'!M641</f>
        <v>Active</v>
      </c>
      <c r="N653" s="17">
        <f>'Data cleaning and validation(3)'!N641</f>
        <v>529152</v>
      </c>
      <c r="O653" s="18">
        <f>'Data cleaning and validation(3)'!O641</f>
        <v>4409.6000000000004</v>
      </c>
    </row>
    <row r="654" spans="1:15" x14ac:dyDescent="0.35">
      <c r="A654" s="8">
        <f>'Data cleaning and validation(3)'!A642</f>
        <v>641</v>
      </c>
      <c r="B654" s="8" t="str">
        <f>'Data cleaning and validation(3)'!B642</f>
        <v>Hayes</v>
      </c>
      <c r="C654" s="8" t="str">
        <f>'Data cleaning and validation(3)'!C642</f>
        <v>rhayeshs@loc.gov</v>
      </c>
      <c r="D654" s="8" t="str">
        <f>'Data cleaning and validation(3)'!D642</f>
        <v>F</v>
      </c>
      <c r="E654" s="8" t="str">
        <f>'Data cleaning and validation(3)'!E642</f>
        <v>Health</v>
      </c>
      <c r="F654" s="15">
        <f>'Data cleaning and validation(3)'!F642</f>
        <v>45023</v>
      </c>
      <c r="G654" s="8">
        <f>'Data cleaning and validation(3)'!G642</f>
        <v>11</v>
      </c>
      <c r="H654" s="19">
        <f>'Data cleaning and validation(3)'!H642</f>
        <v>69454</v>
      </c>
      <c r="I654" s="8" t="str">
        <f>'Data cleaning and validation(3)'!I642</f>
        <v>Web Designer II</v>
      </c>
      <c r="J654" s="8" t="str">
        <f>'Data cleaning and validation(3)'!J642</f>
        <v>Northeast</v>
      </c>
      <c r="K654" s="8" t="str">
        <f>'Data cleaning and validation(3)'!K642</f>
        <v>USA</v>
      </c>
      <c r="L654" s="8" t="str">
        <f>'Data cleaning and validation(3)'!L642</f>
        <v>Domestic</v>
      </c>
      <c r="M654" s="8" t="str">
        <f>'Data cleaning and validation(3)'!M642</f>
        <v>Active</v>
      </c>
      <c r="N654" s="17">
        <f>'Data cleaning and validation(3)'!N642</f>
        <v>833448</v>
      </c>
      <c r="O654" s="18">
        <f>'Data cleaning and validation(3)'!O642</f>
        <v>6945.4000000000005</v>
      </c>
    </row>
    <row r="655" spans="1:15" x14ac:dyDescent="0.35">
      <c r="A655" s="8">
        <f>'Data cleaning and validation(3)'!A643</f>
        <v>642</v>
      </c>
      <c r="B655" s="8" t="str">
        <f>'Data cleaning and validation(3)'!B643</f>
        <v>Warren</v>
      </c>
      <c r="C655" s="8" t="str">
        <f>'Data cleaning and validation(3)'!C643</f>
        <v>awarrenht@addthis.com</v>
      </c>
      <c r="D655" s="8" t="str">
        <f>'Data cleaning and validation(3)'!D643</f>
        <v>F</v>
      </c>
      <c r="E655" s="8" t="str">
        <f>'Data cleaning and validation(3)'!E643</f>
        <v>Movies</v>
      </c>
      <c r="F655" s="15">
        <f>'Data cleaning and validation(3)'!F643</f>
        <v>44696</v>
      </c>
      <c r="G655" s="8">
        <f>'Data cleaning and validation(3)'!G643</f>
        <v>12</v>
      </c>
      <c r="H655" s="19">
        <f>'Data cleaning and validation(3)'!H643</f>
        <v>126201</v>
      </c>
      <c r="I655" s="8" t="str">
        <f>'Data cleaning and validation(3)'!I643</f>
        <v>Electrical Engineer</v>
      </c>
      <c r="J655" s="8" t="str">
        <f>'Data cleaning and validation(3)'!J643</f>
        <v>Southeast</v>
      </c>
      <c r="K655" s="8" t="str">
        <f>'Data cleaning and validation(3)'!K643</f>
        <v>USA</v>
      </c>
      <c r="L655" s="8" t="str">
        <f>'Data cleaning and validation(3)'!L643</f>
        <v>Entertainment</v>
      </c>
      <c r="M655" s="8" t="str">
        <f>'Data cleaning and validation(3)'!M643</f>
        <v>Active</v>
      </c>
      <c r="N655" s="17">
        <f>'Data cleaning and validation(3)'!N643</f>
        <v>1514412</v>
      </c>
      <c r="O655" s="18">
        <f>'Data cleaning and validation(3)'!O643</f>
        <v>12620.1</v>
      </c>
    </row>
    <row r="656" spans="1:15" x14ac:dyDescent="0.35">
      <c r="A656" s="8">
        <f>'Data cleaning and validation(3)'!A644</f>
        <v>643</v>
      </c>
      <c r="B656" s="8" t="str">
        <f>'Data cleaning and validation(3)'!B644</f>
        <v>Johnston</v>
      </c>
      <c r="C656" s="8" t="str">
        <f>'Data cleaning and validation(3)'!C644</f>
        <v>cjohnstonhu@psu.edu</v>
      </c>
      <c r="D656" s="8" t="str">
        <f>'Data cleaning and validation(3)'!D644</f>
        <v>M</v>
      </c>
      <c r="E656" s="8" t="str">
        <f>'Data cleaning and validation(3)'!E644</f>
        <v>Jewelery</v>
      </c>
      <c r="F656" s="15">
        <f>'Data cleaning and validation(3)'!F644</f>
        <v>41719</v>
      </c>
      <c r="G656" s="8">
        <f>'Data cleaning and validation(3)'!G644</f>
        <v>7</v>
      </c>
      <c r="H656" s="19">
        <f>'Data cleaning and validation(3)'!H644</f>
        <v>123820</v>
      </c>
      <c r="I656" s="8" t="str">
        <f>'Data cleaning and validation(3)'!I644</f>
        <v>Computer Systems Analyst IV</v>
      </c>
      <c r="J656" s="8" t="str">
        <f>'Data cleaning and validation(3)'!J644</f>
        <v>Southwest</v>
      </c>
      <c r="K656" s="8" t="str">
        <f>'Data cleaning and validation(3)'!K644</f>
        <v>USA</v>
      </c>
      <c r="L656" s="8" t="str">
        <f>'Data cleaning and validation(3)'!L644</f>
        <v>Fashion</v>
      </c>
      <c r="M656" s="8" t="str">
        <f>'Data cleaning and validation(3)'!M644</f>
        <v>Active</v>
      </c>
      <c r="N656" s="17">
        <f>'Data cleaning and validation(3)'!N644</f>
        <v>1485840</v>
      </c>
      <c r="O656" s="18">
        <f>'Data cleaning and validation(3)'!O644</f>
        <v>12382</v>
      </c>
    </row>
    <row r="657" spans="1:15" x14ac:dyDescent="0.35">
      <c r="A657" s="8">
        <f>'Data cleaning and validation(3)'!A645</f>
        <v>644</v>
      </c>
      <c r="B657" s="8" t="str">
        <f>'Data cleaning and validation(3)'!B645</f>
        <v>Carroll</v>
      </c>
      <c r="C657" s="8" t="str">
        <f>'Data cleaning and validation(3)'!C645</f>
        <v>jcarrollhv@over-blog.com</v>
      </c>
      <c r="D657" s="8" t="str">
        <f>'Data cleaning and validation(3)'!D645</f>
        <v>M</v>
      </c>
      <c r="E657" s="8" t="str">
        <f>'Data cleaning and validation(3)'!E645</f>
        <v>Grocery</v>
      </c>
      <c r="F657" s="15">
        <f>'Data cleaning and validation(3)'!F645</f>
        <v>37352</v>
      </c>
      <c r="G657" s="8">
        <f>'Data cleaning and validation(3)'!G645</f>
        <v>19</v>
      </c>
      <c r="H657" s="19">
        <f>'Data cleaning and validation(3)'!H645</f>
        <v>52956</v>
      </c>
      <c r="I657" s="8" t="str">
        <f>'Data cleaning and validation(3)'!I645</f>
        <v>Compensation Analyst</v>
      </c>
      <c r="J657" s="8" t="str">
        <f>'Data cleaning and validation(3)'!J645</f>
        <v>Nova Scotia</v>
      </c>
      <c r="K657" s="8" t="str">
        <f>'Data cleaning and validation(3)'!K645</f>
        <v>Canada</v>
      </c>
      <c r="L657" s="8" t="str">
        <f>'Data cleaning and validation(3)'!L645</f>
        <v>Domestic</v>
      </c>
      <c r="M657" s="8" t="str">
        <f>'Data cleaning and validation(3)'!M645</f>
        <v>Active</v>
      </c>
      <c r="N657" s="17">
        <f>'Data cleaning and validation(3)'!N645</f>
        <v>635472</v>
      </c>
      <c r="O657" s="18">
        <f>'Data cleaning and validation(3)'!O645</f>
        <v>5295.6</v>
      </c>
    </row>
    <row r="658" spans="1:15" x14ac:dyDescent="0.35">
      <c r="A658" s="8">
        <f>'Data cleaning and validation(3)'!A646</f>
        <v>645</v>
      </c>
      <c r="B658" s="8" t="str">
        <f>'Data cleaning and validation(3)'!B646</f>
        <v>Webb</v>
      </c>
      <c r="C658" s="8" t="str">
        <f>'Data cleaning and validation(3)'!C646</f>
        <v>twebbhw@google.com.br</v>
      </c>
      <c r="D658" s="8" t="str">
        <f>'Data cleaning and validation(3)'!D646</f>
        <v>M</v>
      </c>
      <c r="E658" s="8" t="str">
        <f>'Data cleaning and validation(3)'!E646</f>
        <v>Tools</v>
      </c>
      <c r="F658" s="15">
        <f>'Data cleaning and validation(3)'!F646</f>
        <v>39234</v>
      </c>
      <c r="G658" s="8">
        <f>'Data cleaning and validation(3)'!G646</f>
        <v>14</v>
      </c>
      <c r="H658" s="19">
        <f>'Data cleaning and validation(3)'!H646</f>
        <v>143595</v>
      </c>
      <c r="I658" s="8" t="str">
        <f>'Data cleaning and validation(3)'!I646</f>
        <v>Geological Engineer</v>
      </c>
      <c r="J658" s="8" t="str">
        <f>'Data cleaning and validation(3)'!J646</f>
        <v>Quebec</v>
      </c>
      <c r="K658" s="8" t="str">
        <f>'Data cleaning and validation(3)'!K646</f>
        <v>Canada</v>
      </c>
      <c r="L658" s="8" t="str">
        <f>'Data cleaning and validation(3)'!L646</f>
        <v>Auto &amp; Hardware</v>
      </c>
      <c r="M658" s="8" t="str">
        <f>'Data cleaning and validation(3)'!M646</f>
        <v>Active</v>
      </c>
      <c r="N658" s="17">
        <f>'Data cleaning and validation(3)'!N646</f>
        <v>1723140</v>
      </c>
      <c r="O658" s="18">
        <f>'Data cleaning and validation(3)'!O646</f>
        <v>14359.5</v>
      </c>
    </row>
    <row r="659" spans="1:15" x14ac:dyDescent="0.35">
      <c r="A659" s="8">
        <f>'Data cleaning and validation(3)'!A647</f>
        <v>646</v>
      </c>
      <c r="B659" s="8" t="str">
        <f>'Data cleaning and validation(3)'!B647</f>
        <v>Harvey</v>
      </c>
      <c r="C659" s="8" t="str">
        <f>'Data cleaning and validation(3)'!C647</f>
        <v>lharveyhx@plala.or.jp</v>
      </c>
      <c r="D659" s="8" t="str">
        <f>'Data cleaning and validation(3)'!D647</f>
        <v>M</v>
      </c>
      <c r="E659" s="8" t="str">
        <f>'Data cleaning and validation(3)'!E647</f>
        <v>Beauty</v>
      </c>
      <c r="F659" s="15">
        <f>'Data cleaning and validation(3)'!F647</f>
        <v>41865</v>
      </c>
      <c r="G659" s="8">
        <f>'Data cleaning and validation(3)'!G647</f>
        <v>7</v>
      </c>
      <c r="H659" s="19">
        <f>'Data cleaning and validation(3)'!H647</f>
        <v>124707</v>
      </c>
      <c r="I659" s="8" t="str">
        <f>'Data cleaning and validation(3)'!I647</f>
        <v>Registered Nurse</v>
      </c>
      <c r="J659" s="8" t="str">
        <f>'Data cleaning and validation(3)'!J647</f>
        <v>Quebec</v>
      </c>
      <c r="K659" s="8" t="str">
        <f>'Data cleaning and validation(3)'!K647</f>
        <v>Canada</v>
      </c>
      <c r="L659" s="8" t="str">
        <f>'Data cleaning and validation(3)'!L647</f>
        <v>Domestic</v>
      </c>
      <c r="M659" s="8" t="str">
        <f>'Data cleaning and validation(3)'!M647</f>
        <v>Active</v>
      </c>
      <c r="N659" s="17">
        <f>'Data cleaning and validation(3)'!N647</f>
        <v>1496484</v>
      </c>
      <c r="O659" s="18">
        <f>'Data cleaning and validation(3)'!O647</f>
        <v>12470.7</v>
      </c>
    </row>
    <row r="660" spans="1:15" x14ac:dyDescent="0.35">
      <c r="A660" s="8">
        <f>'Data cleaning and validation(3)'!A648</f>
        <v>647</v>
      </c>
      <c r="B660" s="8" t="str">
        <f>'Data cleaning and validation(3)'!B648</f>
        <v>Washington</v>
      </c>
      <c r="C660" s="8" t="str">
        <f>'Data cleaning and validation(3)'!C648</f>
        <v>mwashingtonhy@icio.us</v>
      </c>
      <c r="D660" s="8" t="str">
        <f>'Data cleaning and validation(3)'!D648</f>
        <v>M</v>
      </c>
      <c r="E660" s="8" t="str">
        <f>'Data cleaning and validation(3)'!E648</f>
        <v>Electronics</v>
      </c>
      <c r="F660" s="15">
        <f>'Data cleaning and validation(3)'!F648</f>
        <v>40101</v>
      </c>
      <c r="G660" s="8">
        <f>'Data cleaning and validation(3)'!G648</f>
        <v>12</v>
      </c>
      <c r="H660" s="19">
        <f>'Data cleaning and validation(3)'!H648</f>
        <v>57092</v>
      </c>
      <c r="I660" s="8" t="str">
        <f>'Data cleaning and validation(3)'!I648</f>
        <v>Internal Auditor</v>
      </c>
      <c r="J660" s="8" t="str">
        <f>'Data cleaning and validation(3)'!J648</f>
        <v>Southeast</v>
      </c>
      <c r="K660" s="8" t="str">
        <f>'Data cleaning and validation(3)'!K648</f>
        <v>USA</v>
      </c>
      <c r="L660" s="8" t="str">
        <f>'Data cleaning and validation(3)'!L648</f>
        <v>Electronic Equipment</v>
      </c>
      <c r="M660" s="8" t="str">
        <f>'Data cleaning and validation(3)'!M648</f>
        <v>Active</v>
      </c>
      <c r="N660" s="17">
        <f>'Data cleaning and validation(3)'!N648</f>
        <v>685104</v>
      </c>
      <c r="O660" s="18">
        <f>'Data cleaning and validation(3)'!O648</f>
        <v>5709.2000000000007</v>
      </c>
    </row>
    <row r="661" spans="1:15" x14ac:dyDescent="0.35">
      <c r="A661" s="8">
        <f>'Data cleaning and validation(3)'!A649</f>
        <v>648</v>
      </c>
      <c r="B661" s="8" t="str">
        <f>'Data cleaning and validation(3)'!B649</f>
        <v>Long</v>
      </c>
      <c r="C661" s="8" t="str">
        <f>'Data cleaning and validation(3)'!C649</f>
        <v>rlonghz@list-manage.com</v>
      </c>
      <c r="D661" s="8" t="str">
        <f>'Data cleaning and validation(3)'!D649</f>
        <v>M</v>
      </c>
      <c r="E661" s="8" t="str">
        <f>'Data cleaning and validation(3)'!E649</f>
        <v>Beauty</v>
      </c>
      <c r="F661" s="15">
        <f>'Data cleaning and validation(3)'!F649</f>
        <v>39125</v>
      </c>
      <c r="G661" s="8">
        <f>'Data cleaning and validation(3)'!G649</f>
        <v>14</v>
      </c>
      <c r="H661" s="19">
        <f>'Data cleaning and validation(3)'!H649</f>
        <v>149099</v>
      </c>
      <c r="I661" s="8" t="str">
        <f>'Data cleaning and validation(3)'!I649</f>
        <v>Executive Secretary</v>
      </c>
      <c r="J661" s="8" t="str">
        <f>'Data cleaning and validation(3)'!J649</f>
        <v>Northwest</v>
      </c>
      <c r="K661" s="8" t="str">
        <f>'Data cleaning and validation(3)'!K649</f>
        <v>USA</v>
      </c>
      <c r="L661" s="8" t="str">
        <f>'Data cleaning and validation(3)'!L649</f>
        <v>Domestic</v>
      </c>
      <c r="M661" s="8" t="str">
        <f>'Data cleaning and validation(3)'!M649</f>
        <v>Active</v>
      </c>
      <c r="N661" s="17">
        <f>'Data cleaning and validation(3)'!N649</f>
        <v>1789188</v>
      </c>
      <c r="O661" s="18">
        <f>'Data cleaning and validation(3)'!O649</f>
        <v>14909.900000000001</v>
      </c>
    </row>
    <row r="662" spans="1:15" x14ac:dyDescent="0.35">
      <c r="A662" s="8">
        <f>'Data cleaning and validation(3)'!A650</f>
        <v>649</v>
      </c>
      <c r="B662" s="8" t="str">
        <f>'Data cleaning and validation(3)'!B650</f>
        <v>Russell</v>
      </c>
      <c r="C662" s="8" t="str">
        <f>'Data cleaning and validation(3)'!C650</f>
        <v>krusselli0@posterous.com</v>
      </c>
      <c r="D662" s="8" t="str">
        <f>'Data cleaning and validation(3)'!D650</f>
        <v>M</v>
      </c>
      <c r="E662" s="8" t="str">
        <f>'Data cleaning and validation(3)'!E650</f>
        <v>Shoes</v>
      </c>
      <c r="F662" s="15">
        <f>'Data cleaning and validation(3)'!F650</f>
        <v>39404</v>
      </c>
      <c r="G662" s="8">
        <f>'Data cleaning and validation(3)'!G650</f>
        <v>14</v>
      </c>
      <c r="H662" s="19">
        <f>'Data cleaning and validation(3)'!H650</f>
        <v>99352</v>
      </c>
      <c r="I662" s="8" t="str">
        <f>'Data cleaning and validation(3)'!I650</f>
        <v>Recruiting Manager</v>
      </c>
      <c r="J662" s="8" t="str">
        <f>'Data cleaning and validation(3)'!J650</f>
        <v>Northeast</v>
      </c>
      <c r="K662" s="8" t="str">
        <f>'Data cleaning and validation(3)'!K650</f>
        <v>USA</v>
      </c>
      <c r="L662" s="8" t="str">
        <f>'Data cleaning and validation(3)'!L650</f>
        <v>Domestic</v>
      </c>
      <c r="M662" s="8" t="str">
        <f>'Data cleaning and validation(3)'!M650</f>
        <v>Active</v>
      </c>
      <c r="N662" s="17">
        <f>'Data cleaning and validation(3)'!N650</f>
        <v>1192224</v>
      </c>
      <c r="O662" s="18">
        <f>'Data cleaning and validation(3)'!O650</f>
        <v>9935.2000000000007</v>
      </c>
    </row>
    <row r="663" spans="1:15" x14ac:dyDescent="0.35">
      <c r="A663" s="8">
        <f>'Data cleaning and validation(3)'!A651</f>
        <v>650</v>
      </c>
      <c r="B663" s="8" t="str">
        <f>'Data cleaning and validation(3)'!B651</f>
        <v>Frazier</v>
      </c>
      <c r="C663" s="8" t="str">
        <f>'Data cleaning and validation(3)'!C651</f>
        <v>rfrazieri1@github.com</v>
      </c>
      <c r="D663" s="8" t="str">
        <f>'Data cleaning and validation(3)'!D651</f>
        <v>M</v>
      </c>
      <c r="E663" s="8" t="str">
        <f>'Data cleaning and validation(3)'!E651</f>
        <v>Grocery</v>
      </c>
      <c r="F663" s="15">
        <f>'Data cleaning and validation(3)'!F651</f>
        <v>41296</v>
      </c>
      <c r="G663" s="8">
        <f>'Data cleaning and validation(3)'!G651</f>
        <v>8</v>
      </c>
      <c r="H663" s="19">
        <f>'Data cleaning and validation(3)'!H651</f>
        <v>44919</v>
      </c>
      <c r="I663" s="8" t="str">
        <f>'Data cleaning and validation(3)'!I651</f>
        <v>Quality Engineer</v>
      </c>
      <c r="J663" s="8" t="str">
        <f>'Data cleaning and validation(3)'!J651</f>
        <v>Nova Scotia</v>
      </c>
      <c r="K663" s="8" t="str">
        <f>'Data cleaning and validation(3)'!K651</f>
        <v>Canada</v>
      </c>
      <c r="L663" s="8" t="str">
        <f>'Data cleaning and validation(3)'!L651</f>
        <v>Domestic</v>
      </c>
      <c r="M663" s="8" t="str">
        <f>'Data cleaning and validation(3)'!M651</f>
        <v>Active</v>
      </c>
      <c r="N663" s="17">
        <f>'Data cleaning and validation(3)'!N651</f>
        <v>539028</v>
      </c>
      <c r="O663" s="18">
        <f>'Data cleaning and validation(3)'!O651</f>
        <v>4491.9000000000005</v>
      </c>
    </row>
    <row r="664" spans="1:15" x14ac:dyDescent="0.35">
      <c r="A664" s="8">
        <f>'Data cleaning and validation(3)'!A652</f>
        <v>651</v>
      </c>
      <c r="B664" s="8" t="str">
        <f>'Data cleaning and validation(3)'!B652</f>
        <v>Freeman</v>
      </c>
      <c r="C664" s="8" t="str">
        <f>'Data cleaning and validation(3)'!C652</f>
        <v>tfreemani2@soundcloud.com</v>
      </c>
      <c r="D664" s="8" t="str">
        <f>'Data cleaning and validation(3)'!D652</f>
        <v>F</v>
      </c>
      <c r="E664" s="8" t="str">
        <f>'Data cleaning and validation(3)'!E652</f>
        <v>Health</v>
      </c>
      <c r="F664" s="15">
        <f>'Data cleaning and validation(3)'!F652</f>
        <v>38957</v>
      </c>
      <c r="G664" s="8">
        <f>'Data cleaning and validation(3)'!G652</f>
        <v>15</v>
      </c>
      <c r="H664" s="19">
        <f>'Data cleaning and validation(3)'!H652</f>
        <v>55034</v>
      </c>
      <c r="I664" s="8" t="str">
        <f>'Data cleaning and validation(3)'!I652</f>
        <v>Administrative Officer</v>
      </c>
      <c r="J664" s="8" t="str">
        <f>'Data cleaning and validation(3)'!J652</f>
        <v>Southwest</v>
      </c>
      <c r="K664" s="8" t="str">
        <f>'Data cleaning and validation(3)'!K652</f>
        <v>USA</v>
      </c>
      <c r="L664" s="8" t="str">
        <f>'Data cleaning and validation(3)'!L652</f>
        <v>Domestic</v>
      </c>
      <c r="M664" s="8" t="str">
        <f>'Data cleaning and validation(3)'!M652</f>
        <v>Active</v>
      </c>
      <c r="N664" s="17">
        <f>'Data cleaning and validation(3)'!N652</f>
        <v>660408</v>
      </c>
      <c r="O664" s="18">
        <f>'Data cleaning and validation(3)'!O652</f>
        <v>5503.4000000000005</v>
      </c>
    </row>
    <row r="665" spans="1:15" x14ac:dyDescent="0.35">
      <c r="A665" s="8">
        <f>'Data cleaning and validation(3)'!A653</f>
        <v>652</v>
      </c>
      <c r="B665" s="8" t="str">
        <f>'Data cleaning and validation(3)'!B653</f>
        <v>Rivera</v>
      </c>
      <c r="C665" s="8" t="str">
        <f>'Data cleaning and validation(3)'!C653</f>
        <v>criverai3@github.io</v>
      </c>
      <c r="D665" s="8" t="str">
        <f>'Data cleaning and validation(3)'!D653</f>
        <v>M</v>
      </c>
      <c r="E665" s="8" t="str">
        <f>'Data cleaning and validation(3)'!E653</f>
        <v>Jewelery</v>
      </c>
      <c r="F665" s="15">
        <f>'Data cleaning and validation(3)'!F653</f>
        <v>38884</v>
      </c>
      <c r="G665" s="8">
        <f>'Data cleaning and validation(3)'!G653</f>
        <v>15</v>
      </c>
      <c r="H665" s="19">
        <f>'Data cleaning and validation(3)'!H653</f>
        <v>60396</v>
      </c>
      <c r="I665" s="8" t="str">
        <f>'Data cleaning and validation(3)'!I653</f>
        <v>Senior Quality Engineer</v>
      </c>
      <c r="J665" s="8" t="str">
        <f>'Data cleaning and validation(3)'!J653</f>
        <v>Nova Scotia</v>
      </c>
      <c r="K665" s="8" t="str">
        <f>'Data cleaning and validation(3)'!K653</f>
        <v>Canada</v>
      </c>
      <c r="L665" s="8" t="str">
        <f>'Data cleaning and validation(3)'!L653</f>
        <v>Fashion</v>
      </c>
      <c r="M665" s="8" t="str">
        <f>'Data cleaning and validation(3)'!M653</f>
        <v>Active</v>
      </c>
      <c r="N665" s="17">
        <f>'Data cleaning and validation(3)'!N653</f>
        <v>724752</v>
      </c>
      <c r="O665" s="18">
        <f>'Data cleaning and validation(3)'!O653</f>
        <v>6039.6</v>
      </c>
    </row>
    <row r="666" spans="1:15" x14ac:dyDescent="0.35">
      <c r="A666" s="8">
        <f>'Data cleaning and validation(3)'!A654</f>
        <v>653</v>
      </c>
      <c r="B666" s="8" t="str">
        <f>'Data cleaning and validation(3)'!B654</f>
        <v>Ramirez</v>
      </c>
      <c r="C666" s="8" t="str">
        <f>'Data cleaning and validation(3)'!C654</f>
        <v>vramirezi4@yellowpages.com</v>
      </c>
      <c r="D666" s="8" t="str">
        <f>'Data cleaning and validation(3)'!D654</f>
        <v>M</v>
      </c>
      <c r="E666" s="8" t="str">
        <f>'Data cleaning and validation(3)'!E654</f>
        <v>Toys</v>
      </c>
      <c r="F666" s="15">
        <f>'Data cleaning and validation(3)'!F654</f>
        <v>41461</v>
      </c>
      <c r="G666" s="8">
        <f>'Data cleaning and validation(3)'!G654</f>
        <v>8</v>
      </c>
      <c r="H666" s="19">
        <f>'Data cleaning and validation(3)'!H654</f>
        <v>147862</v>
      </c>
      <c r="I666" s="8" t="str">
        <f>'Data cleaning and validation(3)'!I654</f>
        <v>Chemical Engineer</v>
      </c>
      <c r="J666" s="8" t="str">
        <f>'Data cleaning and validation(3)'!J654</f>
        <v>British Columbia</v>
      </c>
      <c r="K666" s="8" t="str">
        <f>'Data cleaning and validation(3)'!K654</f>
        <v>Canada</v>
      </c>
      <c r="L666" s="8" t="str">
        <f>'Data cleaning and validation(3)'!L654</f>
        <v>Games &amp; Sports</v>
      </c>
      <c r="M666" s="8" t="str">
        <f>'Data cleaning and validation(3)'!M654</f>
        <v>Active</v>
      </c>
      <c r="N666" s="17">
        <f>'Data cleaning and validation(3)'!N654</f>
        <v>1774344</v>
      </c>
      <c r="O666" s="18">
        <f>'Data cleaning and validation(3)'!O654</f>
        <v>14786.2</v>
      </c>
    </row>
    <row r="667" spans="1:15" x14ac:dyDescent="0.35">
      <c r="A667" s="8">
        <f>'Data cleaning and validation(3)'!A655</f>
        <v>654</v>
      </c>
      <c r="B667" s="8" t="str">
        <f>'Data cleaning and validation(3)'!B655</f>
        <v>Mcdonald</v>
      </c>
      <c r="C667" s="8" t="str">
        <f>'Data cleaning and validation(3)'!C655</f>
        <v>hmcdonaldi5@4shared.com</v>
      </c>
      <c r="D667" s="8" t="str">
        <f>'Data cleaning and validation(3)'!D655</f>
        <v>M</v>
      </c>
      <c r="E667" s="8" t="str">
        <f>'Data cleaning and validation(3)'!E655</f>
        <v>Automotive</v>
      </c>
      <c r="F667" s="15">
        <f>'Data cleaning and validation(3)'!F655</f>
        <v>37563</v>
      </c>
      <c r="G667" s="8">
        <f>'Data cleaning and validation(3)'!G655</f>
        <v>19</v>
      </c>
      <c r="H667" s="19">
        <f>'Data cleaning and validation(3)'!H655</f>
        <v>69594</v>
      </c>
      <c r="I667" s="8" t="str">
        <f>'Data cleaning and validation(3)'!I655</f>
        <v>Recruiting Manager</v>
      </c>
      <c r="J667" s="8" t="str">
        <f>'Data cleaning and validation(3)'!J655</f>
        <v>Northwest</v>
      </c>
      <c r="K667" s="8" t="str">
        <f>'Data cleaning and validation(3)'!K655</f>
        <v>USA</v>
      </c>
      <c r="L667" s="8" t="str">
        <f>'Data cleaning and validation(3)'!L655</f>
        <v>Auto &amp; Hardware</v>
      </c>
      <c r="M667" s="8" t="str">
        <f>'Data cleaning and validation(3)'!M655</f>
        <v>Active</v>
      </c>
      <c r="N667" s="17">
        <f>'Data cleaning and validation(3)'!N655</f>
        <v>835128</v>
      </c>
      <c r="O667" s="18">
        <f>'Data cleaning and validation(3)'!O655</f>
        <v>6959.4000000000005</v>
      </c>
    </row>
    <row r="668" spans="1:15" x14ac:dyDescent="0.35">
      <c r="A668" s="8">
        <f>'Data cleaning and validation(3)'!A656</f>
        <v>655</v>
      </c>
      <c r="B668" s="8" t="str">
        <f>'Data cleaning and validation(3)'!B656</f>
        <v>Meyer</v>
      </c>
      <c r="C668" s="8" t="str">
        <f>'Data cleaning and validation(3)'!C656</f>
        <v>emeyeri6@friendfeed.com</v>
      </c>
      <c r="D668" s="8" t="str">
        <f>'Data cleaning and validation(3)'!D656</f>
        <v>F</v>
      </c>
      <c r="E668" s="8" t="str">
        <f>'Data cleaning and validation(3)'!E656</f>
        <v>Sports</v>
      </c>
      <c r="F668" s="15">
        <f>'Data cleaning and validation(3)'!F656</f>
        <v>46546</v>
      </c>
      <c r="G668" s="8">
        <f>'Data cleaning and validation(3)'!G656</f>
        <v>7</v>
      </c>
      <c r="H668" s="19">
        <f>'Data cleaning and validation(3)'!H656</f>
        <v>145363</v>
      </c>
      <c r="I668" s="8" t="str">
        <f>'Data cleaning and validation(3)'!I656</f>
        <v>GIS Technical Architect</v>
      </c>
      <c r="J668" s="8" t="str">
        <f>'Data cleaning and validation(3)'!J656</f>
        <v>Northwest</v>
      </c>
      <c r="K668" s="8" t="str">
        <f>'Data cleaning and validation(3)'!K656</f>
        <v>USA</v>
      </c>
      <c r="L668" s="8" t="str">
        <f>'Data cleaning and validation(3)'!L656</f>
        <v>Games &amp; Sports</v>
      </c>
      <c r="M668" s="8" t="str">
        <f>'Data cleaning and validation(3)'!M656</f>
        <v>Active</v>
      </c>
      <c r="N668" s="17">
        <f>'Data cleaning and validation(3)'!N656</f>
        <v>1744356</v>
      </c>
      <c r="O668" s="18">
        <f>'Data cleaning and validation(3)'!O656</f>
        <v>14536.300000000001</v>
      </c>
    </row>
    <row r="669" spans="1:15" x14ac:dyDescent="0.35">
      <c r="A669" s="8">
        <f>'Data cleaning and validation(3)'!A657</f>
        <v>656</v>
      </c>
      <c r="B669" s="8" t="str">
        <f>'Data cleaning and validation(3)'!B657</f>
        <v>Campbell</v>
      </c>
      <c r="C669" s="8" t="str">
        <f>'Data cleaning and validation(3)'!C657</f>
        <v>kcampbelli7@prnewswire.com</v>
      </c>
      <c r="D669" s="8" t="str">
        <f>'Data cleaning and validation(3)'!D657</f>
        <v>M</v>
      </c>
      <c r="E669" s="8" t="str">
        <f>'Data cleaning and validation(3)'!E657</f>
        <v>Books</v>
      </c>
      <c r="F669" s="15">
        <f>'Data cleaning and validation(3)'!F657</f>
        <v>39541</v>
      </c>
      <c r="G669" s="8">
        <f>'Data cleaning and validation(3)'!G657</f>
        <v>13</v>
      </c>
      <c r="H669" s="19">
        <f>'Data cleaning and validation(3)'!H657</f>
        <v>70804</v>
      </c>
      <c r="I669" s="8" t="str">
        <f>'Data cleaning and validation(3)'!I657</f>
        <v>Quality Engineer</v>
      </c>
      <c r="J669" s="8" t="str">
        <f>'Data cleaning and validation(3)'!J657</f>
        <v>Southeast</v>
      </c>
      <c r="K669" s="8" t="str">
        <f>'Data cleaning and validation(3)'!K657</f>
        <v>USA</v>
      </c>
      <c r="L669" s="8" t="str">
        <f>'Data cleaning and validation(3)'!L657</f>
        <v>Library</v>
      </c>
      <c r="M669" s="8" t="str">
        <f>'Data cleaning and validation(3)'!M657</f>
        <v>Active</v>
      </c>
      <c r="N669" s="17">
        <f>'Data cleaning and validation(3)'!N657</f>
        <v>849648</v>
      </c>
      <c r="O669" s="18">
        <f>'Data cleaning and validation(3)'!O657</f>
        <v>7080.4000000000005</v>
      </c>
    </row>
    <row r="670" spans="1:15" x14ac:dyDescent="0.35">
      <c r="A670" s="8">
        <f>'Data cleaning and validation(3)'!A658</f>
        <v>657</v>
      </c>
      <c r="B670" s="8" t="str">
        <f>'Data cleaning and validation(3)'!B658</f>
        <v>Reid</v>
      </c>
      <c r="C670" s="8" t="str">
        <f>'Data cleaning and validation(3)'!C658</f>
        <v>areidi8@wunderground.com</v>
      </c>
      <c r="D670" s="8" t="str">
        <f>'Data cleaning and validation(3)'!D658</f>
        <v>F</v>
      </c>
      <c r="E670" s="8" t="str">
        <f>'Data cleaning and validation(3)'!E658</f>
        <v>Clothing</v>
      </c>
      <c r="F670" s="15">
        <f>'Data cleaning and validation(3)'!F658</f>
        <v>46202</v>
      </c>
      <c r="G670" s="8">
        <f>'Data cleaning and validation(3)'!G658</f>
        <v>8</v>
      </c>
      <c r="H670" s="19">
        <f>'Data cleaning and validation(3)'!H658</f>
        <v>65154</v>
      </c>
      <c r="I670" s="8" t="str">
        <f>'Data cleaning and validation(3)'!I658</f>
        <v>Sales Representative</v>
      </c>
      <c r="J670" s="8" t="str">
        <f>'Data cleaning and validation(3)'!J658</f>
        <v>British Columbia</v>
      </c>
      <c r="K670" s="8" t="str">
        <f>'Data cleaning and validation(3)'!K658</f>
        <v>Canada</v>
      </c>
      <c r="L670" s="8" t="str">
        <f>'Data cleaning and validation(3)'!L658</f>
        <v>Domestic</v>
      </c>
      <c r="M670" s="8" t="str">
        <f>'Data cleaning and validation(3)'!M658</f>
        <v>Active</v>
      </c>
      <c r="N670" s="17">
        <f>'Data cleaning and validation(3)'!N658</f>
        <v>781848</v>
      </c>
      <c r="O670" s="18">
        <f>'Data cleaning and validation(3)'!O658</f>
        <v>6515.4000000000005</v>
      </c>
    </row>
    <row r="671" spans="1:15" x14ac:dyDescent="0.35">
      <c r="A671" s="8">
        <f>'Data cleaning and validation(3)'!A659</f>
        <v>658</v>
      </c>
      <c r="B671" s="8" t="str">
        <f>'Data cleaning and validation(3)'!B659</f>
        <v>Gilbert</v>
      </c>
      <c r="C671" s="8" t="str">
        <f>'Data cleaning and validation(3)'!C659</f>
        <v>agilberti9@parallels.com</v>
      </c>
      <c r="D671" s="8" t="str">
        <f>'Data cleaning and validation(3)'!D659</f>
        <v>M</v>
      </c>
      <c r="E671" s="8" t="str">
        <f>'Data cleaning and validation(3)'!E659</f>
        <v>Electronics</v>
      </c>
      <c r="F671" s="15">
        <f>'Data cleaning and validation(3)'!F659</f>
        <v>41555</v>
      </c>
      <c r="G671" s="8">
        <f>'Data cleaning and validation(3)'!G659</f>
        <v>8</v>
      </c>
      <c r="H671" s="19">
        <f>'Data cleaning and validation(3)'!H659</f>
        <v>61332</v>
      </c>
      <c r="I671" s="8" t="str">
        <f>'Data cleaning and validation(3)'!I659</f>
        <v>Marketing Assistant</v>
      </c>
      <c r="J671" s="8" t="str">
        <f>'Data cleaning and validation(3)'!J659</f>
        <v>Northwest</v>
      </c>
      <c r="K671" s="8" t="str">
        <f>'Data cleaning and validation(3)'!K659</f>
        <v>USA</v>
      </c>
      <c r="L671" s="8" t="str">
        <f>'Data cleaning and validation(3)'!L659</f>
        <v>Electronic Equipment</v>
      </c>
      <c r="M671" s="8" t="str">
        <f>'Data cleaning and validation(3)'!M659</f>
        <v>Active</v>
      </c>
      <c r="N671" s="17">
        <f>'Data cleaning and validation(3)'!N659</f>
        <v>735984</v>
      </c>
      <c r="O671" s="18">
        <f>'Data cleaning and validation(3)'!O659</f>
        <v>6133.2000000000007</v>
      </c>
    </row>
    <row r="672" spans="1:15" x14ac:dyDescent="0.35">
      <c r="A672" s="8">
        <f>'Data cleaning and validation(3)'!A660</f>
        <v>659</v>
      </c>
      <c r="B672" s="8" t="str">
        <f>'Data cleaning and validation(3)'!B660</f>
        <v>Ramos</v>
      </c>
      <c r="C672" s="8" t="str">
        <f>'Data cleaning and validation(3)'!C660</f>
        <v>kramosia@ed.gov</v>
      </c>
      <c r="D672" s="8" t="str">
        <f>'Data cleaning and validation(3)'!D660</f>
        <v>F</v>
      </c>
      <c r="E672" s="8" t="str">
        <f>'Data cleaning and validation(3)'!E660</f>
        <v>Outdoors</v>
      </c>
      <c r="F672" s="15">
        <f>'Data cleaning and validation(3)'!F660</f>
        <v>37871</v>
      </c>
      <c r="G672" s="8">
        <f>'Data cleaning and validation(3)'!G660</f>
        <v>18</v>
      </c>
      <c r="H672" s="19">
        <f>'Data cleaning and validation(3)'!H660</f>
        <v>72319</v>
      </c>
      <c r="I672" s="8" t="str">
        <f>'Data cleaning and validation(3)'!I660</f>
        <v>Quality Control Specialist</v>
      </c>
      <c r="J672" s="8" t="str">
        <f>'Data cleaning and validation(3)'!J660</f>
        <v>Northeast</v>
      </c>
      <c r="K672" s="8" t="str">
        <f>'Data cleaning and validation(3)'!K660</f>
        <v>USA</v>
      </c>
      <c r="L672" s="8" t="str">
        <f>'Data cleaning and validation(3)'!L660</f>
        <v>Outdoors &amp; Garden</v>
      </c>
      <c r="M672" s="8" t="str">
        <f>'Data cleaning and validation(3)'!M660</f>
        <v>Active</v>
      </c>
      <c r="N672" s="17">
        <f>'Data cleaning and validation(3)'!N660</f>
        <v>867828</v>
      </c>
      <c r="O672" s="18">
        <f>'Data cleaning and validation(3)'!O660</f>
        <v>7231.9000000000005</v>
      </c>
    </row>
    <row r="673" spans="1:15" x14ac:dyDescent="0.35">
      <c r="A673" s="8">
        <f>'Data cleaning and validation(3)'!A661</f>
        <v>660</v>
      </c>
      <c r="B673" s="8" t="str">
        <f>'Data cleaning and validation(3)'!B661</f>
        <v>Nelson</v>
      </c>
      <c r="C673" s="8" t="str">
        <f>'Data cleaning and validation(3)'!C661</f>
        <v>mnelsonib@ibm.com</v>
      </c>
      <c r="D673" s="8" t="str">
        <f>'Data cleaning and validation(3)'!D661</f>
        <v>M</v>
      </c>
      <c r="E673" s="8" t="str">
        <f>'Data cleaning and validation(3)'!E661</f>
        <v>Shoes</v>
      </c>
      <c r="F673" s="15">
        <f>'Data cleaning and validation(3)'!F661</f>
        <v>37233</v>
      </c>
      <c r="G673" s="8">
        <f>'Data cleaning and validation(3)'!G661</f>
        <v>20</v>
      </c>
      <c r="H673" s="19">
        <f>'Data cleaning and validation(3)'!H661</f>
        <v>139564</v>
      </c>
      <c r="I673" s="8" t="str">
        <f>'Data cleaning and validation(3)'!I661</f>
        <v>Pharmacist</v>
      </c>
      <c r="J673" s="8" t="str">
        <f>'Data cleaning and validation(3)'!J661</f>
        <v>Nova Scotia</v>
      </c>
      <c r="K673" s="8" t="str">
        <f>'Data cleaning and validation(3)'!K661</f>
        <v>Canada</v>
      </c>
      <c r="L673" s="8" t="str">
        <f>'Data cleaning and validation(3)'!L661</f>
        <v>Domestic</v>
      </c>
      <c r="M673" s="8" t="str">
        <f>'Data cleaning and validation(3)'!M661</f>
        <v>Active</v>
      </c>
      <c r="N673" s="17">
        <f>'Data cleaning and validation(3)'!N661</f>
        <v>1674768</v>
      </c>
      <c r="O673" s="18">
        <f>'Data cleaning and validation(3)'!O661</f>
        <v>13956.400000000001</v>
      </c>
    </row>
    <row r="674" spans="1:15" x14ac:dyDescent="0.35">
      <c r="A674" s="8">
        <f>'Data cleaning and validation(3)'!A662</f>
        <v>661</v>
      </c>
      <c r="B674" s="8" t="str">
        <f>'Data cleaning and validation(3)'!B662</f>
        <v>Foster</v>
      </c>
      <c r="C674" s="8" t="str">
        <f>'Data cleaning and validation(3)'!C662</f>
        <v>pfosteric@smugmug.com</v>
      </c>
      <c r="D674" s="8" t="str">
        <f>'Data cleaning and validation(3)'!D662</f>
        <v>F</v>
      </c>
      <c r="E674" s="8" t="str">
        <f>'Data cleaning and validation(3)'!E662</f>
        <v>Automotive</v>
      </c>
      <c r="F674" s="15">
        <f>'Data cleaning and validation(3)'!F662</f>
        <v>38251</v>
      </c>
      <c r="G674" s="8">
        <f>'Data cleaning and validation(3)'!G662</f>
        <v>17</v>
      </c>
      <c r="H674" s="19">
        <f>'Data cleaning and validation(3)'!H662</f>
        <v>63364</v>
      </c>
      <c r="I674" s="8" t="str">
        <f>'Data cleaning and validation(3)'!I662</f>
        <v>Community Outreach Specialist</v>
      </c>
      <c r="J674" s="8" t="str">
        <f>'Data cleaning and validation(3)'!J662</f>
        <v>Southwest</v>
      </c>
      <c r="K674" s="8" t="str">
        <f>'Data cleaning and validation(3)'!K662</f>
        <v>USA</v>
      </c>
      <c r="L674" s="8" t="str">
        <f>'Data cleaning and validation(3)'!L662</f>
        <v>Auto &amp; Hardware</v>
      </c>
      <c r="M674" s="8" t="str">
        <f>'Data cleaning and validation(3)'!M662</f>
        <v>Active</v>
      </c>
      <c r="N674" s="17">
        <f>'Data cleaning and validation(3)'!N662</f>
        <v>760368</v>
      </c>
      <c r="O674" s="18">
        <f>'Data cleaning and validation(3)'!O662</f>
        <v>6336.4000000000005</v>
      </c>
    </row>
    <row r="675" spans="1:15" x14ac:dyDescent="0.35">
      <c r="A675" s="8">
        <f>'Data cleaning and validation(3)'!A663</f>
        <v>662</v>
      </c>
      <c r="B675" s="8" t="str">
        <f>'Data cleaning and validation(3)'!B663</f>
        <v>Scott</v>
      </c>
      <c r="C675" s="8" t="str">
        <f>'Data cleaning and validation(3)'!C663</f>
        <v>bscottid@mashable.com</v>
      </c>
      <c r="D675" s="8" t="str">
        <f>'Data cleaning and validation(3)'!D663</f>
        <v>M</v>
      </c>
      <c r="E675" s="8" t="str">
        <f>'Data cleaning and validation(3)'!E663</f>
        <v>Baby</v>
      </c>
      <c r="F675" s="15">
        <f>'Data cleaning and validation(3)'!F663</f>
        <v>36543</v>
      </c>
      <c r="G675" s="8">
        <f>'Data cleaning and validation(3)'!G663</f>
        <v>21</v>
      </c>
      <c r="H675" s="19">
        <f>'Data cleaning and validation(3)'!H663</f>
        <v>86497</v>
      </c>
      <c r="I675" s="8" t="str">
        <f>'Data cleaning and validation(3)'!I663</f>
        <v>Administrative Officer</v>
      </c>
      <c r="J675" s="8" t="str">
        <f>'Data cleaning and validation(3)'!J663</f>
        <v>Quebec</v>
      </c>
      <c r="K675" s="8" t="str">
        <f>'Data cleaning and validation(3)'!K663</f>
        <v>Canada</v>
      </c>
      <c r="L675" s="8" t="str">
        <f>'Data cleaning and validation(3)'!L663</f>
        <v>Domestic</v>
      </c>
      <c r="M675" s="8" t="str">
        <f>'Data cleaning and validation(3)'!M663</f>
        <v>Active</v>
      </c>
      <c r="N675" s="17">
        <f>'Data cleaning and validation(3)'!N663</f>
        <v>1037964</v>
      </c>
      <c r="O675" s="18">
        <f>'Data cleaning and validation(3)'!O663</f>
        <v>8649.7000000000007</v>
      </c>
    </row>
    <row r="676" spans="1:15" x14ac:dyDescent="0.35">
      <c r="A676" s="8">
        <f>'Data cleaning and validation(3)'!A664</f>
        <v>663</v>
      </c>
      <c r="B676" s="8" t="str">
        <f>'Data cleaning and validation(3)'!B664</f>
        <v>Lynch</v>
      </c>
      <c r="C676" s="8" t="str">
        <f>'Data cleaning and validation(3)'!C664</f>
        <v>tlynchie@bloglovin.com</v>
      </c>
      <c r="D676" s="8" t="str">
        <f>'Data cleaning and validation(3)'!D664</f>
        <v>F</v>
      </c>
      <c r="E676" s="8" t="str">
        <f>'Data cleaning and validation(3)'!E664</f>
        <v>Outdoors</v>
      </c>
      <c r="F676" s="15">
        <f>'Data cleaning and validation(3)'!F664</f>
        <v>37646</v>
      </c>
      <c r="G676" s="8">
        <f>'Data cleaning and validation(3)'!G664</f>
        <v>18</v>
      </c>
      <c r="H676" s="19">
        <f>'Data cleaning and validation(3)'!H664</f>
        <v>117248</v>
      </c>
      <c r="I676" s="8" t="str">
        <f>'Data cleaning and validation(3)'!I664</f>
        <v>Staff Accountant III</v>
      </c>
      <c r="J676" s="8" t="str">
        <f>'Data cleaning and validation(3)'!J664</f>
        <v>Northeast</v>
      </c>
      <c r="K676" s="8" t="str">
        <f>'Data cleaning and validation(3)'!K664</f>
        <v>USA</v>
      </c>
      <c r="L676" s="8" t="str">
        <f>'Data cleaning and validation(3)'!L664</f>
        <v>Outdoors &amp; Garden</v>
      </c>
      <c r="M676" s="8" t="str">
        <f>'Data cleaning and validation(3)'!M664</f>
        <v>Active</v>
      </c>
      <c r="N676" s="17">
        <f>'Data cleaning and validation(3)'!N664</f>
        <v>1406976</v>
      </c>
      <c r="O676" s="18">
        <f>'Data cleaning and validation(3)'!O664</f>
        <v>11724.800000000001</v>
      </c>
    </row>
    <row r="677" spans="1:15" x14ac:dyDescent="0.35">
      <c r="A677" s="8">
        <f>'Data cleaning and validation(3)'!A665</f>
        <v>664</v>
      </c>
      <c r="B677" s="8" t="str">
        <f>'Data cleaning and validation(3)'!B665</f>
        <v>Watkins</v>
      </c>
      <c r="C677" s="8" t="str">
        <f>'Data cleaning and validation(3)'!C665</f>
        <v>ewatkinsif@ask.com</v>
      </c>
      <c r="D677" s="8" t="str">
        <f>'Data cleaning and validation(3)'!D665</f>
        <v>F</v>
      </c>
      <c r="E677" s="8" t="str">
        <f>'Data cleaning and validation(3)'!E665</f>
        <v>Sports</v>
      </c>
      <c r="F677" s="15">
        <f>'Data cleaning and validation(3)'!F665</f>
        <v>46062</v>
      </c>
      <c r="G677" s="8">
        <f>'Data cleaning and validation(3)'!G665</f>
        <v>8</v>
      </c>
      <c r="H677" s="19">
        <f>'Data cleaning and validation(3)'!H665</f>
        <v>133507</v>
      </c>
      <c r="I677" s="8" t="str">
        <f>'Data cleaning and validation(3)'!I665</f>
        <v>Budget/Accounting Analyst II</v>
      </c>
      <c r="J677" s="8" t="str">
        <f>'Data cleaning and validation(3)'!J665</f>
        <v>Northeast</v>
      </c>
      <c r="K677" s="8" t="str">
        <f>'Data cleaning and validation(3)'!K665</f>
        <v>USA</v>
      </c>
      <c r="L677" s="8" t="str">
        <f>'Data cleaning and validation(3)'!L665</f>
        <v>Games &amp; Sports</v>
      </c>
      <c r="M677" s="8" t="str">
        <f>'Data cleaning and validation(3)'!M665</f>
        <v>Active</v>
      </c>
      <c r="N677" s="17">
        <f>'Data cleaning and validation(3)'!N665</f>
        <v>1602084</v>
      </c>
      <c r="O677" s="18">
        <f>'Data cleaning and validation(3)'!O665</f>
        <v>13350.7</v>
      </c>
    </row>
    <row r="678" spans="1:15" x14ac:dyDescent="0.35">
      <c r="A678" s="8">
        <f>'Data cleaning and validation(3)'!A666</f>
        <v>665</v>
      </c>
      <c r="B678" s="8" t="str">
        <f>'Data cleaning and validation(3)'!B666</f>
        <v>Garcia</v>
      </c>
      <c r="C678" s="8" t="str">
        <f>'Data cleaning and validation(3)'!C666</f>
        <v>pgarciaig@macromedia.com</v>
      </c>
      <c r="D678" s="8" t="str">
        <f>'Data cleaning and validation(3)'!D666</f>
        <v>F</v>
      </c>
      <c r="E678" s="8" t="str">
        <f>'Data cleaning and validation(3)'!E666</f>
        <v>Health</v>
      </c>
      <c r="F678" s="15">
        <f>'Data cleaning and validation(3)'!F666</f>
        <v>44504</v>
      </c>
      <c r="G678" s="8">
        <f>'Data cleaning and validation(3)'!G666</f>
        <v>13</v>
      </c>
      <c r="H678" s="19">
        <f>'Data cleaning and validation(3)'!H666</f>
        <v>135132</v>
      </c>
      <c r="I678" s="8" t="str">
        <f>'Data cleaning and validation(3)'!I666</f>
        <v>Research Assistant III</v>
      </c>
      <c r="J678" s="8" t="str">
        <f>'Data cleaning and validation(3)'!J666</f>
        <v>Nova Scotia</v>
      </c>
      <c r="K678" s="8" t="str">
        <f>'Data cleaning and validation(3)'!K666</f>
        <v>Canada</v>
      </c>
      <c r="L678" s="8" t="str">
        <f>'Data cleaning and validation(3)'!L666</f>
        <v>Domestic</v>
      </c>
      <c r="M678" s="8" t="str">
        <f>'Data cleaning and validation(3)'!M666</f>
        <v>Active</v>
      </c>
      <c r="N678" s="17">
        <f>'Data cleaning and validation(3)'!N666</f>
        <v>1621584</v>
      </c>
      <c r="O678" s="18">
        <f>'Data cleaning and validation(3)'!O666</f>
        <v>13513.2</v>
      </c>
    </row>
    <row r="679" spans="1:15" x14ac:dyDescent="0.35">
      <c r="A679" s="8">
        <f>'Data cleaning and validation(3)'!A667</f>
        <v>666</v>
      </c>
      <c r="B679" s="8" t="str">
        <f>'Data cleaning and validation(3)'!B667</f>
        <v>Arnold</v>
      </c>
      <c r="C679" s="8" t="str">
        <f>'Data cleaning and validation(3)'!C667</f>
        <v>jarnoldih@tripod.com</v>
      </c>
      <c r="D679" s="8" t="str">
        <f>'Data cleaning and validation(3)'!D667</f>
        <v>F</v>
      </c>
      <c r="E679" s="8" t="str">
        <f>'Data cleaning and validation(3)'!E667</f>
        <v>Shoes</v>
      </c>
      <c r="F679" s="15">
        <f>'Data cleaning and validation(3)'!F667</f>
        <v>46134</v>
      </c>
      <c r="G679" s="8">
        <f>'Data cleaning and validation(3)'!G667</f>
        <v>8</v>
      </c>
      <c r="H679" s="19">
        <f>'Data cleaning and validation(3)'!H667</f>
        <v>52041</v>
      </c>
      <c r="I679" s="8" t="str">
        <f>'Data cleaning and validation(3)'!I667</f>
        <v>Database Administrator I</v>
      </c>
      <c r="J679" s="8" t="str">
        <f>'Data cleaning and validation(3)'!J667</f>
        <v>Southeast</v>
      </c>
      <c r="K679" s="8" t="str">
        <f>'Data cleaning and validation(3)'!K667</f>
        <v>USA</v>
      </c>
      <c r="L679" s="8" t="str">
        <f>'Data cleaning and validation(3)'!L667</f>
        <v>Domestic</v>
      </c>
      <c r="M679" s="8" t="str">
        <f>'Data cleaning and validation(3)'!M667</f>
        <v>Active</v>
      </c>
      <c r="N679" s="17">
        <f>'Data cleaning and validation(3)'!N667</f>
        <v>624492</v>
      </c>
      <c r="O679" s="18">
        <f>'Data cleaning and validation(3)'!O667</f>
        <v>5204.1000000000004</v>
      </c>
    </row>
    <row r="680" spans="1:15" x14ac:dyDescent="0.35">
      <c r="A680" s="8">
        <f>'Data cleaning and validation(3)'!A668</f>
        <v>667</v>
      </c>
      <c r="B680" s="8" t="str">
        <f>'Data cleaning and validation(3)'!B668</f>
        <v>Willis</v>
      </c>
      <c r="C680" s="8" t="str">
        <f>'Data cleaning and validation(3)'!C668</f>
        <v>nwillisii@sohu.com</v>
      </c>
      <c r="D680" s="8" t="str">
        <f>'Data cleaning and validation(3)'!D668</f>
        <v>F</v>
      </c>
      <c r="E680" s="8" t="str">
        <f>'Data cleaning and validation(3)'!E668</f>
        <v>Music</v>
      </c>
      <c r="F680" s="15">
        <f>'Data cleaning and validation(3)'!F668</f>
        <v>45728</v>
      </c>
      <c r="G680" s="8">
        <f>'Data cleaning and validation(3)'!G668</f>
        <v>9</v>
      </c>
      <c r="H680" s="19">
        <f>'Data cleaning and validation(3)'!H668</f>
        <v>73425</v>
      </c>
      <c r="I680" s="8" t="str">
        <f>'Data cleaning and validation(3)'!I668</f>
        <v>Human Resources Manager</v>
      </c>
      <c r="J680" s="8" t="str">
        <f>'Data cleaning and validation(3)'!J668</f>
        <v>Northwest</v>
      </c>
      <c r="K680" s="8" t="str">
        <f>'Data cleaning and validation(3)'!K668</f>
        <v>USA</v>
      </c>
      <c r="L680" s="8" t="str">
        <f>'Data cleaning and validation(3)'!L668</f>
        <v>Entertainment</v>
      </c>
      <c r="M680" s="8" t="str">
        <f>'Data cleaning and validation(3)'!M668</f>
        <v>Active</v>
      </c>
      <c r="N680" s="17">
        <f>'Data cleaning and validation(3)'!N668</f>
        <v>881100</v>
      </c>
      <c r="O680" s="18">
        <f>'Data cleaning and validation(3)'!O668</f>
        <v>7342.5</v>
      </c>
    </row>
    <row r="681" spans="1:15" x14ac:dyDescent="0.35">
      <c r="A681" s="8">
        <f>'Data cleaning and validation(3)'!A669</f>
        <v>668</v>
      </c>
      <c r="B681" s="8" t="str">
        <f>'Data cleaning and validation(3)'!B669</f>
        <v>Burton</v>
      </c>
      <c r="C681" s="8" t="str">
        <f>'Data cleaning and validation(3)'!C669</f>
        <v>jburtonij@webmd.com</v>
      </c>
      <c r="D681" s="8" t="str">
        <f>'Data cleaning and validation(3)'!D669</f>
        <v>F</v>
      </c>
      <c r="E681" s="8" t="str">
        <f>'Data cleaning and validation(3)'!E669</f>
        <v>Computers</v>
      </c>
      <c r="F681" s="15">
        <f>'Data cleaning and validation(3)'!F669</f>
        <v>36967</v>
      </c>
      <c r="G681" s="8">
        <f>'Data cleaning and validation(3)'!G669</f>
        <v>20</v>
      </c>
      <c r="H681" s="19">
        <f>'Data cleaning and validation(3)'!H669</f>
        <v>46960</v>
      </c>
      <c r="I681" s="8" t="str">
        <f>'Data cleaning and validation(3)'!I669</f>
        <v>Financial Advisor</v>
      </c>
      <c r="J681" s="8" t="str">
        <f>'Data cleaning and validation(3)'!J669</f>
        <v>Southwest</v>
      </c>
      <c r="K681" s="8" t="str">
        <f>'Data cleaning and validation(3)'!K669</f>
        <v>USA</v>
      </c>
      <c r="L681" s="8" t="str">
        <f>'Data cleaning and validation(3)'!L669</f>
        <v>Electronic Equipment</v>
      </c>
      <c r="M681" s="8" t="str">
        <f>'Data cleaning and validation(3)'!M669</f>
        <v>Active</v>
      </c>
      <c r="N681" s="17">
        <f>'Data cleaning and validation(3)'!N669</f>
        <v>563520</v>
      </c>
      <c r="O681" s="18">
        <f>'Data cleaning and validation(3)'!O669</f>
        <v>4696</v>
      </c>
    </row>
    <row r="682" spans="1:15" x14ac:dyDescent="0.35">
      <c r="A682" s="8">
        <f>'Data cleaning and validation(3)'!A670</f>
        <v>669</v>
      </c>
      <c r="B682" s="8" t="str">
        <f>'Data cleaning and validation(3)'!B670</f>
        <v>Owens</v>
      </c>
      <c r="C682" s="8" t="str">
        <f>'Data cleaning and validation(3)'!C670</f>
        <v>sowensik@prlog.org</v>
      </c>
      <c r="D682" s="8" t="str">
        <f>'Data cleaning and validation(3)'!D670</f>
        <v>M</v>
      </c>
      <c r="E682" s="8" t="str">
        <f>'Data cleaning and validation(3)'!E670</f>
        <v>Toys</v>
      </c>
      <c r="F682" s="15">
        <f>'Data cleaning and validation(3)'!F670</f>
        <v>37017</v>
      </c>
      <c r="G682" s="8">
        <f>'Data cleaning and validation(3)'!G670</f>
        <v>20</v>
      </c>
      <c r="H682" s="19">
        <f>'Data cleaning and validation(3)'!H670</f>
        <v>104373</v>
      </c>
      <c r="I682" s="8" t="str">
        <f>'Data cleaning and validation(3)'!I670</f>
        <v>Graphic Designer</v>
      </c>
      <c r="J682" s="8" t="str">
        <f>'Data cleaning and validation(3)'!J670</f>
        <v>Quebec</v>
      </c>
      <c r="K682" s="8" t="str">
        <f>'Data cleaning and validation(3)'!K670</f>
        <v>Canada</v>
      </c>
      <c r="L682" s="8" t="str">
        <f>'Data cleaning and validation(3)'!L670</f>
        <v>Games &amp; Sports</v>
      </c>
      <c r="M682" s="8" t="str">
        <f>'Data cleaning and validation(3)'!M670</f>
        <v>Active</v>
      </c>
      <c r="N682" s="17">
        <f>'Data cleaning and validation(3)'!N670</f>
        <v>1252476</v>
      </c>
      <c r="O682" s="18">
        <f>'Data cleaning and validation(3)'!O670</f>
        <v>10437.300000000001</v>
      </c>
    </row>
    <row r="683" spans="1:15" x14ac:dyDescent="0.35">
      <c r="A683" s="8">
        <f>'Data cleaning and validation(3)'!A671</f>
        <v>670</v>
      </c>
      <c r="B683" s="8" t="str">
        <f>'Data cleaning and validation(3)'!B671</f>
        <v>Moreno</v>
      </c>
      <c r="C683" s="8" t="str">
        <f>'Data cleaning and validation(3)'!C671</f>
        <v>rmorenoil@gizmodo.com</v>
      </c>
      <c r="D683" s="8" t="str">
        <f>'Data cleaning and validation(3)'!D671</f>
        <v>F</v>
      </c>
      <c r="E683" s="8" t="str">
        <f>'Data cleaning and validation(3)'!E671</f>
        <v>Shoes</v>
      </c>
      <c r="F683" s="15">
        <f>'Data cleaning and validation(3)'!F671</f>
        <v>46647</v>
      </c>
      <c r="G683" s="8">
        <f>'Data cleaning and validation(3)'!G671</f>
        <v>7</v>
      </c>
      <c r="H683" s="19">
        <f>'Data cleaning and validation(3)'!H671</f>
        <v>102493</v>
      </c>
      <c r="I683" s="8" t="str">
        <f>'Data cleaning and validation(3)'!I671</f>
        <v>Senior Quality Engineer</v>
      </c>
      <c r="J683" s="8" t="str">
        <f>'Data cleaning and validation(3)'!J671</f>
        <v>British Columbia</v>
      </c>
      <c r="K683" s="8" t="str">
        <f>'Data cleaning and validation(3)'!K671</f>
        <v>Canada</v>
      </c>
      <c r="L683" s="8" t="str">
        <f>'Data cleaning and validation(3)'!L671</f>
        <v>Domestic</v>
      </c>
      <c r="M683" s="8" t="str">
        <f>'Data cleaning and validation(3)'!M671</f>
        <v>Active</v>
      </c>
      <c r="N683" s="17">
        <f>'Data cleaning and validation(3)'!N671</f>
        <v>1229916</v>
      </c>
      <c r="O683" s="18">
        <f>'Data cleaning and validation(3)'!O671</f>
        <v>10249.300000000001</v>
      </c>
    </row>
    <row r="684" spans="1:15" x14ac:dyDescent="0.35">
      <c r="A684" s="8">
        <f>'Data cleaning and validation(3)'!A672</f>
        <v>671</v>
      </c>
      <c r="B684" s="8" t="str">
        <f>'Data cleaning and validation(3)'!B672</f>
        <v>Fuller</v>
      </c>
      <c r="C684" s="8" t="str">
        <f>'Data cleaning and validation(3)'!C672</f>
        <v>jfullerim@theguardian.com</v>
      </c>
      <c r="D684" s="8" t="str">
        <f>'Data cleaning and validation(3)'!D672</f>
        <v>M</v>
      </c>
      <c r="E684" s="8" t="str">
        <f>'Data cleaning and validation(3)'!E672</f>
        <v>Shoes</v>
      </c>
      <c r="F684" s="15">
        <f>'Data cleaning and validation(3)'!F672</f>
        <v>39427</v>
      </c>
      <c r="G684" s="8">
        <f>'Data cleaning and validation(3)'!G672</f>
        <v>14</v>
      </c>
      <c r="H684" s="19">
        <f>'Data cleaning and validation(3)'!H672</f>
        <v>55568</v>
      </c>
      <c r="I684" s="8" t="str">
        <f>'Data cleaning and validation(3)'!I672</f>
        <v>Senior Cost Accountant</v>
      </c>
      <c r="J684" s="8" t="str">
        <f>'Data cleaning and validation(3)'!J672</f>
        <v>Nova Scotia</v>
      </c>
      <c r="K684" s="8" t="str">
        <f>'Data cleaning and validation(3)'!K672</f>
        <v>Canada</v>
      </c>
      <c r="L684" s="8" t="str">
        <f>'Data cleaning and validation(3)'!L672</f>
        <v>Domestic</v>
      </c>
      <c r="M684" s="8" t="str">
        <f>'Data cleaning and validation(3)'!M672</f>
        <v>Active</v>
      </c>
      <c r="N684" s="17">
        <f>'Data cleaning and validation(3)'!N672</f>
        <v>666816</v>
      </c>
      <c r="O684" s="18">
        <f>'Data cleaning and validation(3)'!O672</f>
        <v>5556.8</v>
      </c>
    </row>
    <row r="685" spans="1:15" x14ac:dyDescent="0.35">
      <c r="A685" s="8">
        <f>'Data cleaning and validation(3)'!A673</f>
        <v>672</v>
      </c>
      <c r="B685" s="8" t="str">
        <f>'Data cleaning and validation(3)'!B673</f>
        <v>Fowler</v>
      </c>
      <c r="C685" s="8" t="str">
        <f>'Data cleaning and validation(3)'!C673</f>
        <v>cfowlerin@yelp.com</v>
      </c>
      <c r="D685" s="8" t="str">
        <f>'Data cleaning and validation(3)'!D673</f>
        <v>M</v>
      </c>
      <c r="E685" s="8" t="str">
        <f>'Data cleaning and validation(3)'!E673</f>
        <v>Sports</v>
      </c>
      <c r="F685" s="15">
        <f>'Data cleaning and validation(3)'!F673</f>
        <v>38842</v>
      </c>
      <c r="G685" s="8">
        <f>'Data cleaning and validation(3)'!G673</f>
        <v>15</v>
      </c>
      <c r="H685" s="19">
        <f>'Data cleaning and validation(3)'!H673</f>
        <v>75159</v>
      </c>
      <c r="I685" s="8" t="str">
        <f>'Data cleaning and validation(3)'!I673</f>
        <v>Biostatistician III</v>
      </c>
      <c r="J685" s="8" t="str">
        <f>'Data cleaning and validation(3)'!J673</f>
        <v>Southeast</v>
      </c>
      <c r="K685" s="8" t="str">
        <f>'Data cleaning and validation(3)'!K673</f>
        <v>USA</v>
      </c>
      <c r="L685" s="8" t="str">
        <f>'Data cleaning and validation(3)'!L673</f>
        <v>Games &amp; Sports</v>
      </c>
      <c r="M685" s="8" t="str">
        <f>'Data cleaning and validation(3)'!M673</f>
        <v>Active</v>
      </c>
      <c r="N685" s="17">
        <f>'Data cleaning and validation(3)'!N673</f>
        <v>901908</v>
      </c>
      <c r="O685" s="18">
        <f>'Data cleaning and validation(3)'!O673</f>
        <v>7515.9000000000005</v>
      </c>
    </row>
    <row r="686" spans="1:15" x14ac:dyDescent="0.35">
      <c r="A686" s="8">
        <f>'Data cleaning and validation(3)'!A674</f>
        <v>673</v>
      </c>
      <c r="B686" s="8" t="str">
        <f>'Data cleaning and validation(3)'!B674</f>
        <v>Thomas</v>
      </c>
      <c r="C686" s="8" t="str">
        <f>'Data cleaning and validation(3)'!C674</f>
        <v>lthomasio@pagesperso-orange.fr</v>
      </c>
      <c r="D686" s="8" t="str">
        <f>'Data cleaning and validation(3)'!D674</f>
        <v>M</v>
      </c>
      <c r="E686" s="8" t="str">
        <f>'Data cleaning and validation(3)'!E674</f>
        <v>Health</v>
      </c>
      <c r="F686" s="15">
        <f>'Data cleaning and validation(3)'!F674</f>
        <v>41939</v>
      </c>
      <c r="G686" s="8">
        <f>'Data cleaning and validation(3)'!G674</f>
        <v>7</v>
      </c>
      <c r="H686" s="19">
        <f>'Data cleaning and validation(3)'!H674</f>
        <v>51782</v>
      </c>
      <c r="I686" s="8" t="str">
        <f>'Data cleaning and validation(3)'!I674</f>
        <v>Operator</v>
      </c>
      <c r="J686" s="8" t="str">
        <f>'Data cleaning and validation(3)'!J674</f>
        <v>Quebec</v>
      </c>
      <c r="K686" s="8" t="str">
        <f>'Data cleaning and validation(3)'!K674</f>
        <v>Canada</v>
      </c>
      <c r="L686" s="8" t="str">
        <f>'Data cleaning and validation(3)'!L674</f>
        <v>Domestic</v>
      </c>
      <c r="M686" s="8" t="str">
        <f>'Data cleaning and validation(3)'!M674</f>
        <v>Active</v>
      </c>
      <c r="N686" s="17">
        <f>'Data cleaning and validation(3)'!N674</f>
        <v>621384</v>
      </c>
      <c r="O686" s="18">
        <f>'Data cleaning and validation(3)'!O674</f>
        <v>5178.2000000000007</v>
      </c>
    </row>
    <row r="687" spans="1:15" x14ac:dyDescent="0.35">
      <c r="A687" s="8">
        <f>'Data cleaning and validation(3)'!A675</f>
        <v>674</v>
      </c>
      <c r="B687" s="8" t="str">
        <f>'Data cleaning and validation(3)'!B675</f>
        <v>Adams</v>
      </c>
      <c r="C687" s="8" t="str">
        <f>'Data cleaning and validation(3)'!C675</f>
        <v>jadamsip@cisco.com</v>
      </c>
      <c r="D687" s="8" t="str">
        <f>'Data cleaning and validation(3)'!D675</f>
        <v>M</v>
      </c>
      <c r="E687" s="8" t="str">
        <f>'Data cleaning and validation(3)'!E675</f>
        <v>Toys</v>
      </c>
      <c r="F687" s="15">
        <f>'Data cleaning and validation(3)'!F675</f>
        <v>40053</v>
      </c>
      <c r="G687" s="8">
        <f>'Data cleaning and validation(3)'!G675</f>
        <v>12</v>
      </c>
      <c r="H687" s="19">
        <f>'Data cleaning and validation(3)'!H675</f>
        <v>41855</v>
      </c>
      <c r="I687" s="8" t="str">
        <f>'Data cleaning and validation(3)'!I675</f>
        <v>Payment Adjustment Coordinator</v>
      </c>
      <c r="J687" s="8" t="str">
        <f>'Data cleaning and validation(3)'!J675</f>
        <v>Nova Scotia</v>
      </c>
      <c r="K687" s="8" t="str">
        <f>'Data cleaning and validation(3)'!K675</f>
        <v>Canada</v>
      </c>
      <c r="L687" s="8" t="str">
        <f>'Data cleaning and validation(3)'!L675</f>
        <v>Games &amp; Sports</v>
      </c>
      <c r="M687" s="8" t="str">
        <f>'Data cleaning and validation(3)'!M675</f>
        <v>Active</v>
      </c>
      <c r="N687" s="17">
        <f>'Data cleaning and validation(3)'!N675</f>
        <v>502260</v>
      </c>
      <c r="O687" s="18">
        <f>'Data cleaning and validation(3)'!O675</f>
        <v>4185.5</v>
      </c>
    </row>
    <row r="688" spans="1:15" x14ac:dyDescent="0.35">
      <c r="A688" s="8">
        <f>'Data cleaning and validation(3)'!A676</f>
        <v>675</v>
      </c>
      <c r="B688" s="8" t="str">
        <f>'Data cleaning and validation(3)'!B676</f>
        <v>Snyder</v>
      </c>
      <c r="C688" s="8" t="str">
        <f>'Data cleaning and validation(3)'!C676</f>
        <v>ssnyderiq@vkontakte.ru</v>
      </c>
      <c r="D688" s="8" t="str">
        <f>'Data cleaning and validation(3)'!D676</f>
        <v>M</v>
      </c>
      <c r="E688" s="8" t="str">
        <f>'Data cleaning and validation(3)'!E676</f>
        <v>Games</v>
      </c>
      <c r="F688" s="15">
        <f>'Data cleaning and validation(3)'!F676</f>
        <v>38525</v>
      </c>
      <c r="G688" s="8">
        <f>'Data cleaning and validation(3)'!G676</f>
        <v>16</v>
      </c>
      <c r="H688" s="19">
        <f>'Data cleaning and validation(3)'!H676</f>
        <v>143846</v>
      </c>
      <c r="I688" s="8" t="str">
        <f>'Data cleaning and validation(3)'!I676</f>
        <v>Web Developer III</v>
      </c>
      <c r="J688" s="8" t="str">
        <f>'Data cleaning and validation(3)'!J676</f>
        <v>Northwest</v>
      </c>
      <c r="K688" s="8" t="str">
        <f>'Data cleaning and validation(3)'!K676</f>
        <v>USA</v>
      </c>
      <c r="L688" s="8" t="str">
        <f>'Data cleaning and validation(3)'!L676</f>
        <v>Domestic</v>
      </c>
      <c r="M688" s="8" t="str">
        <f>'Data cleaning and validation(3)'!M676</f>
        <v>Active</v>
      </c>
      <c r="N688" s="17">
        <f>'Data cleaning and validation(3)'!N676</f>
        <v>1726152</v>
      </c>
      <c r="O688" s="18">
        <f>'Data cleaning and validation(3)'!O676</f>
        <v>14384.6</v>
      </c>
    </row>
    <row r="689" spans="1:15" x14ac:dyDescent="0.35">
      <c r="A689" s="8">
        <f>'Data cleaning and validation(3)'!A677</f>
        <v>676</v>
      </c>
      <c r="B689" s="8" t="str">
        <f>'Data cleaning and validation(3)'!B677</f>
        <v>Sullivan</v>
      </c>
      <c r="C689" s="8" t="str">
        <f>'Data cleaning and validation(3)'!C677</f>
        <v>rsullivanir@xinhuanet.com</v>
      </c>
      <c r="D689" s="8" t="str">
        <f>'Data cleaning and validation(3)'!D677</f>
        <v>M</v>
      </c>
      <c r="E689" s="8" t="str">
        <f>'Data cleaning and validation(3)'!E677</f>
        <v>Music</v>
      </c>
      <c r="F689" s="15">
        <f>'Data cleaning and validation(3)'!F677</f>
        <v>41546</v>
      </c>
      <c r="G689" s="8">
        <f>'Data cleaning and validation(3)'!G677</f>
        <v>8</v>
      </c>
      <c r="H689" s="19">
        <f>'Data cleaning and validation(3)'!H677</f>
        <v>101756</v>
      </c>
      <c r="I689" s="8" t="str">
        <f>'Data cleaning and validation(3)'!I677</f>
        <v>Programmer IV</v>
      </c>
      <c r="J689" s="8" t="str">
        <f>'Data cleaning and validation(3)'!J677</f>
        <v>British Columbia</v>
      </c>
      <c r="K689" s="8" t="str">
        <f>'Data cleaning and validation(3)'!K677</f>
        <v>Canada</v>
      </c>
      <c r="L689" s="8" t="str">
        <f>'Data cleaning and validation(3)'!L677</f>
        <v>Entertainment</v>
      </c>
      <c r="M689" s="8" t="str">
        <f>'Data cleaning and validation(3)'!M677</f>
        <v>Active</v>
      </c>
      <c r="N689" s="17">
        <f>'Data cleaning and validation(3)'!N677</f>
        <v>1221072</v>
      </c>
      <c r="O689" s="18">
        <f>'Data cleaning and validation(3)'!O677</f>
        <v>10175.6</v>
      </c>
    </row>
    <row r="690" spans="1:15" x14ac:dyDescent="0.35">
      <c r="A690" s="8">
        <f>'Data cleaning and validation(3)'!A678</f>
        <v>677</v>
      </c>
      <c r="B690" s="8" t="str">
        <f>'Data cleaning and validation(3)'!B678</f>
        <v>Robertson</v>
      </c>
      <c r="C690" s="8" t="str">
        <f>'Data cleaning and validation(3)'!C678</f>
        <v>lrobertsonis@forbes.com</v>
      </c>
      <c r="D690" s="8" t="str">
        <f>'Data cleaning and validation(3)'!D678</f>
        <v>M</v>
      </c>
      <c r="E690" s="8" t="str">
        <f>'Data cleaning and validation(3)'!E678</f>
        <v>Computers</v>
      </c>
      <c r="F690" s="15">
        <f>'Data cleaning and validation(3)'!F678</f>
        <v>41855</v>
      </c>
      <c r="G690" s="8">
        <f>'Data cleaning and validation(3)'!G678</f>
        <v>7</v>
      </c>
      <c r="H690" s="19">
        <f>'Data cleaning and validation(3)'!H678</f>
        <v>136492</v>
      </c>
      <c r="I690" s="8" t="str">
        <f>'Data cleaning and validation(3)'!I678</f>
        <v>Compensation Analyst</v>
      </c>
      <c r="J690" s="8" t="str">
        <f>'Data cleaning and validation(3)'!J678</f>
        <v>Southwest</v>
      </c>
      <c r="K690" s="8" t="str">
        <f>'Data cleaning and validation(3)'!K678</f>
        <v>USA</v>
      </c>
      <c r="L690" s="8" t="str">
        <f>'Data cleaning and validation(3)'!L678</f>
        <v>Electronic Equipment</v>
      </c>
      <c r="M690" s="8" t="str">
        <f>'Data cleaning and validation(3)'!M678</f>
        <v>Active</v>
      </c>
      <c r="N690" s="17">
        <f>'Data cleaning and validation(3)'!N678</f>
        <v>1637904</v>
      </c>
      <c r="O690" s="18">
        <f>'Data cleaning and validation(3)'!O678</f>
        <v>13649.2</v>
      </c>
    </row>
    <row r="691" spans="1:15" x14ac:dyDescent="0.35">
      <c r="A691" s="8">
        <f>'Data cleaning and validation(3)'!A679</f>
        <v>678</v>
      </c>
      <c r="B691" s="8" t="str">
        <f>'Data cleaning and validation(3)'!B679</f>
        <v>Mills</v>
      </c>
      <c r="C691" s="8" t="str">
        <f>'Data cleaning and validation(3)'!C679</f>
        <v>jmillsit@webs.com</v>
      </c>
      <c r="D691" s="8" t="str">
        <f>'Data cleaning and validation(3)'!D679</f>
        <v>M</v>
      </c>
      <c r="E691" s="8" t="str">
        <f>'Data cleaning and validation(3)'!E679</f>
        <v>Music</v>
      </c>
      <c r="F691" s="15">
        <f>'Data cleaning and validation(3)'!F679</f>
        <v>40650</v>
      </c>
      <c r="G691" s="8">
        <f>'Data cleaning and validation(3)'!G679</f>
        <v>10</v>
      </c>
      <c r="H691" s="19">
        <f>'Data cleaning and validation(3)'!H679</f>
        <v>82979</v>
      </c>
      <c r="I691" s="8" t="str">
        <f>'Data cleaning and validation(3)'!I679</f>
        <v>Senior Quality Engineer</v>
      </c>
      <c r="J691" s="8" t="str">
        <f>'Data cleaning and validation(3)'!J679</f>
        <v>Quebec</v>
      </c>
      <c r="K691" s="8" t="str">
        <f>'Data cleaning and validation(3)'!K679</f>
        <v>Canada</v>
      </c>
      <c r="L691" s="8" t="str">
        <f>'Data cleaning and validation(3)'!L679</f>
        <v>Entertainment</v>
      </c>
      <c r="M691" s="8" t="str">
        <f>'Data cleaning and validation(3)'!M679</f>
        <v>Active</v>
      </c>
      <c r="N691" s="17">
        <f>'Data cleaning and validation(3)'!N679</f>
        <v>995748</v>
      </c>
      <c r="O691" s="18">
        <f>'Data cleaning and validation(3)'!O679</f>
        <v>8297.9</v>
      </c>
    </row>
    <row r="692" spans="1:15" x14ac:dyDescent="0.35">
      <c r="A692" s="8">
        <f>'Data cleaning and validation(3)'!A680</f>
        <v>679</v>
      </c>
      <c r="B692" s="8" t="str">
        <f>'Data cleaning and validation(3)'!B680</f>
        <v>Stone</v>
      </c>
      <c r="C692" s="8" t="str">
        <f>'Data cleaning and validation(3)'!C680</f>
        <v>pstoneiu@narod.ru</v>
      </c>
      <c r="D692" s="8" t="str">
        <f>'Data cleaning and validation(3)'!D680</f>
        <v>M</v>
      </c>
      <c r="E692" s="8" t="str">
        <f>'Data cleaning and validation(3)'!E680</f>
        <v>Electronics</v>
      </c>
      <c r="F692" s="15">
        <f>'Data cleaning and validation(3)'!F680</f>
        <v>41774</v>
      </c>
      <c r="G692" s="8">
        <f>'Data cleaning and validation(3)'!G680</f>
        <v>7</v>
      </c>
      <c r="H692" s="19">
        <f>'Data cleaning and validation(3)'!H680</f>
        <v>40218</v>
      </c>
      <c r="I692" s="8" t="str">
        <f>'Data cleaning and validation(3)'!I680</f>
        <v>Paralegal</v>
      </c>
      <c r="J692" s="8" t="str">
        <f>'Data cleaning and validation(3)'!J680</f>
        <v>Southeast</v>
      </c>
      <c r="K692" s="8" t="str">
        <f>'Data cleaning and validation(3)'!K680</f>
        <v>USA</v>
      </c>
      <c r="L692" s="8" t="str">
        <f>'Data cleaning and validation(3)'!L680</f>
        <v>Electronic Equipment</v>
      </c>
      <c r="M692" s="8" t="str">
        <f>'Data cleaning and validation(3)'!M680</f>
        <v>Active</v>
      </c>
      <c r="N692" s="17">
        <f>'Data cleaning and validation(3)'!N680</f>
        <v>482616</v>
      </c>
      <c r="O692" s="18">
        <f>'Data cleaning and validation(3)'!O680</f>
        <v>4021.8</v>
      </c>
    </row>
    <row r="693" spans="1:15" x14ac:dyDescent="0.35">
      <c r="A693" s="8">
        <f>'Data cleaning and validation(3)'!A681</f>
        <v>680</v>
      </c>
      <c r="B693" s="8" t="str">
        <f>'Data cleaning and validation(3)'!B681</f>
        <v>Simmons</v>
      </c>
      <c r="C693" s="8" t="str">
        <f>'Data cleaning and validation(3)'!C681</f>
        <v>gsimmonsiv@cocolog-nifty.com</v>
      </c>
      <c r="D693" s="8" t="str">
        <f>'Data cleaning and validation(3)'!D681</f>
        <v>F</v>
      </c>
      <c r="E693" s="8" t="str">
        <f>'Data cleaning and validation(3)'!E681</f>
        <v>Games</v>
      </c>
      <c r="F693" s="15">
        <f>'Data cleaning and validation(3)'!F681</f>
        <v>37234</v>
      </c>
      <c r="G693" s="8">
        <f>'Data cleaning and validation(3)'!G681</f>
        <v>20</v>
      </c>
      <c r="H693" s="19">
        <f>'Data cleaning and validation(3)'!H681</f>
        <v>60695</v>
      </c>
      <c r="I693" s="8" t="str">
        <f>'Data cleaning and validation(3)'!I681</f>
        <v>Chemical Engineer</v>
      </c>
      <c r="J693" s="8" t="str">
        <f>'Data cleaning and validation(3)'!J681</f>
        <v>Southeast</v>
      </c>
      <c r="K693" s="8" t="str">
        <f>'Data cleaning and validation(3)'!K681</f>
        <v>USA</v>
      </c>
      <c r="L693" s="8" t="str">
        <f>'Data cleaning and validation(3)'!L681</f>
        <v>Domestic</v>
      </c>
      <c r="M693" s="8" t="str">
        <f>'Data cleaning and validation(3)'!M681</f>
        <v>Active</v>
      </c>
      <c r="N693" s="17">
        <f>'Data cleaning and validation(3)'!N681</f>
        <v>728340</v>
      </c>
      <c r="O693" s="18">
        <f>'Data cleaning and validation(3)'!O681</f>
        <v>6069.5</v>
      </c>
    </row>
    <row r="694" spans="1:15" x14ac:dyDescent="0.35">
      <c r="A694" s="8">
        <f>'Data cleaning and validation(3)'!A682</f>
        <v>681</v>
      </c>
      <c r="B694" s="8" t="str">
        <f>'Data cleaning and validation(3)'!B682</f>
        <v>Butler</v>
      </c>
      <c r="C694" s="8" t="str">
        <f>'Data cleaning and validation(3)'!C682</f>
        <v>dbutleriw@discuz.net</v>
      </c>
      <c r="D694" s="8" t="str">
        <f>'Data cleaning and validation(3)'!D682</f>
        <v>M</v>
      </c>
      <c r="E694" s="8" t="str">
        <f>'Data cleaning and validation(3)'!E682</f>
        <v>Home</v>
      </c>
      <c r="F694" s="15">
        <f>'Data cleaning and validation(3)'!F682</f>
        <v>39782</v>
      </c>
      <c r="G694" s="8">
        <f>'Data cleaning and validation(3)'!G682</f>
        <v>13</v>
      </c>
      <c r="H694" s="19">
        <f>'Data cleaning and validation(3)'!H682</f>
        <v>47994</v>
      </c>
      <c r="I694" s="8" t="str">
        <f>'Data cleaning and validation(3)'!I682</f>
        <v>Senior Quality Engineer</v>
      </c>
      <c r="J694" s="8" t="str">
        <f>'Data cleaning and validation(3)'!J682</f>
        <v>Southwest</v>
      </c>
      <c r="K694" s="8" t="str">
        <f>'Data cleaning and validation(3)'!K682</f>
        <v>USA</v>
      </c>
      <c r="L694" s="8" t="str">
        <f>'Data cleaning and validation(3)'!L682</f>
        <v>Domestic</v>
      </c>
      <c r="M694" s="8" t="str">
        <f>'Data cleaning and validation(3)'!M682</f>
        <v>Active</v>
      </c>
      <c r="N694" s="17">
        <f>'Data cleaning and validation(3)'!N682</f>
        <v>575928</v>
      </c>
      <c r="O694" s="18">
        <f>'Data cleaning and validation(3)'!O682</f>
        <v>4799.4000000000005</v>
      </c>
    </row>
    <row r="695" spans="1:15" x14ac:dyDescent="0.35">
      <c r="A695" s="8">
        <f>'Data cleaning and validation(3)'!A683</f>
        <v>682</v>
      </c>
      <c r="B695" s="8" t="str">
        <f>'Data cleaning and validation(3)'!B683</f>
        <v>Scott</v>
      </c>
      <c r="C695" s="8" t="str">
        <f>'Data cleaning and validation(3)'!C683</f>
        <v>kscottix@ycombinator.com</v>
      </c>
      <c r="D695" s="8" t="str">
        <f>'Data cleaning and validation(3)'!D683</f>
        <v>M</v>
      </c>
      <c r="E695" s="8" t="str">
        <f>'Data cleaning and validation(3)'!E683</f>
        <v>Garden</v>
      </c>
      <c r="F695" s="15">
        <f>'Data cleaning and validation(3)'!F683</f>
        <v>38233</v>
      </c>
      <c r="G695" s="8">
        <f>'Data cleaning and validation(3)'!G683</f>
        <v>17</v>
      </c>
      <c r="H695" s="19">
        <f>'Data cleaning and validation(3)'!H683</f>
        <v>50057</v>
      </c>
      <c r="I695" s="8" t="str">
        <f>'Data cleaning and validation(3)'!I683</f>
        <v>Account Executive</v>
      </c>
      <c r="J695" s="8" t="str">
        <f>'Data cleaning and validation(3)'!J683</f>
        <v>Southeast</v>
      </c>
      <c r="K695" s="8" t="str">
        <f>'Data cleaning and validation(3)'!K683</f>
        <v>USA</v>
      </c>
      <c r="L695" s="8" t="str">
        <f>'Data cleaning and validation(3)'!L683</f>
        <v>Outdoors &amp; Garden</v>
      </c>
      <c r="M695" s="8" t="str">
        <f>'Data cleaning and validation(3)'!M683</f>
        <v>Active</v>
      </c>
      <c r="N695" s="17">
        <f>'Data cleaning and validation(3)'!N683</f>
        <v>600684</v>
      </c>
      <c r="O695" s="18">
        <f>'Data cleaning and validation(3)'!O683</f>
        <v>5005.7000000000007</v>
      </c>
    </row>
    <row r="696" spans="1:15" x14ac:dyDescent="0.35">
      <c r="A696" s="8">
        <f>'Data cleaning and validation(3)'!A684</f>
        <v>683</v>
      </c>
      <c r="B696" s="8" t="str">
        <f>'Data cleaning and validation(3)'!B684</f>
        <v>Torres</v>
      </c>
      <c r="C696" s="8" t="str">
        <f>'Data cleaning and validation(3)'!C684</f>
        <v>jtorresiy@4shared.com</v>
      </c>
      <c r="D696" s="8" t="str">
        <f>'Data cleaning and validation(3)'!D684</f>
        <v>F</v>
      </c>
      <c r="E696" s="8" t="str">
        <f>'Data cleaning and validation(3)'!E684</f>
        <v>Games</v>
      </c>
      <c r="F696" s="15">
        <f>'Data cleaning and validation(3)'!F684</f>
        <v>38787</v>
      </c>
      <c r="G696" s="8">
        <f>'Data cleaning and validation(3)'!G684</f>
        <v>15</v>
      </c>
      <c r="H696" s="19">
        <f>'Data cleaning and validation(3)'!H684</f>
        <v>135886</v>
      </c>
      <c r="I696" s="8" t="str">
        <f>'Data cleaning and validation(3)'!I684</f>
        <v>Assistant Media Planner</v>
      </c>
      <c r="J696" s="8" t="str">
        <f>'Data cleaning and validation(3)'!J684</f>
        <v>Northwest</v>
      </c>
      <c r="K696" s="8" t="str">
        <f>'Data cleaning and validation(3)'!K684</f>
        <v>USA</v>
      </c>
      <c r="L696" s="8" t="str">
        <f>'Data cleaning and validation(3)'!L684</f>
        <v>Domestic</v>
      </c>
      <c r="M696" s="8" t="str">
        <f>'Data cleaning and validation(3)'!M684</f>
        <v>Active</v>
      </c>
      <c r="N696" s="17">
        <f>'Data cleaning and validation(3)'!N684</f>
        <v>1630632</v>
      </c>
      <c r="O696" s="18">
        <f>'Data cleaning and validation(3)'!O684</f>
        <v>13588.6</v>
      </c>
    </row>
    <row r="697" spans="1:15" x14ac:dyDescent="0.35">
      <c r="A697" s="8">
        <f>'Data cleaning and validation(3)'!A685</f>
        <v>684</v>
      </c>
      <c r="B697" s="8" t="str">
        <f>'Data cleaning and validation(3)'!B685</f>
        <v>Hall</v>
      </c>
      <c r="C697" s="8" t="str">
        <f>'Data cleaning and validation(3)'!C685</f>
        <v>lhalliz@smh.com.au</v>
      </c>
      <c r="D697" s="8" t="str">
        <f>'Data cleaning and validation(3)'!D685</f>
        <v>M</v>
      </c>
      <c r="E697" s="8" t="str">
        <f>'Data cleaning and validation(3)'!E685</f>
        <v>Jewelery</v>
      </c>
      <c r="F697" s="15">
        <f>'Data cleaning and validation(3)'!F685</f>
        <v>40009</v>
      </c>
      <c r="G697" s="8">
        <f>'Data cleaning and validation(3)'!G685</f>
        <v>12</v>
      </c>
      <c r="H697" s="19">
        <f>'Data cleaning and validation(3)'!H685</f>
        <v>77924</v>
      </c>
      <c r="I697" s="8" t="str">
        <f>'Data cleaning and validation(3)'!I685</f>
        <v>Senior Sales Associate</v>
      </c>
      <c r="J697" s="8" t="str">
        <f>'Data cleaning and validation(3)'!J685</f>
        <v>Nova Scotia</v>
      </c>
      <c r="K697" s="8" t="str">
        <f>'Data cleaning and validation(3)'!K685</f>
        <v>Canada</v>
      </c>
      <c r="L697" s="8" t="str">
        <f>'Data cleaning and validation(3)'!L685</f>
        <v>Fashion</v>
      </c>
      <c r="M697" s="8" t="str">
        <f>'Data cleaning and validation(3)'!M685</f>
        <v>Active</v>
      </c>
      <c r="N697" s="17">
        <f>'Data cleaning and validation(3)'!N685</f>
        <v>935088</v>
      </c>
      <c r="O697" s="18">
        <f>'Data cleaning and validation(3)'!O685</f>
        <v>7792.4000000000005</v>
      </c>
    </row>
    <row r="698" spans="1:15" x14ac:dyDescent="0.35">
      <c r="A698" s="8">
        <f>'Data cleaning and validation(3)'!A686</f>
        <v>685</v>
      </c>
      <c r="B698" s="8" t="str">
        <f>'Data cleaning and validation(3)'!B686</f>
        <v>White</v>
      </c>
      <c r="C698" s="8" t="str">
        <f>'Data cleaning and validation(3)'!C686</f>
        <v>jwhitej0@usnews.com</v>
      </c>
      <c r="D698" s="8" t="str">
        <f>'Data cleaning and validation(3)'!D686</f>
        <v>F</v>
      </c>
      <c r="E698" s="8" t="str">
        <f>'Data cleaning and validation(3)'!E686</f>
        <v>Beauty</v>
      </c>
      <c r="F698" s="15">
        <f>'Data cleaning and validation(3)'!F686</f>
        <v>44537</v>
      </c>
      <c r="G698" s="8">
        <f>'Data cleaning and validation(3)'!G686</f>
        <v>13</v>
      </c>
      <c r="H698" s="19">
        <f>'Data cleaning and validation(3)'!H686</f>
        <v>136356</v>
      </c>
      <c r="I698" s="8" t="str">
        <f>'Data cleaning and validation(3)'!I686</f>
        <v>Office Assistant IV</v>
      </c>
      <c r="J698" s="8" t="str">
        <f>'Data cleaning and validation(3)'!J686</f>
        <v>Northeast</v>
      </c>
      <c r="K698" s="8" t="str">
        <f>'Data cleaning and validation(3)'!K686</f>
        <v>USA</v>
      </c>
      <c r="L698" s="8" t="str">
        <f>'Data cleaning and validation(3)'!L686</f>
        <v>Domestic</v>
      </c>
      <c r="M698" s="8" t="str">
        <f>'Data cleaning and validation(3)'!M686</f>
        <v>Active</v>
      </c>
      <c r="N698" s="17">
        <f>'Data cleaning and validation(3)'!N686</f>
        <v>1636272</v>
      </c>
      <c r="O698" s="18">
        <f>'Data cleaning and validation(3)'!O686</f>
        <v>13635.6</v>
      </c>
    </row>
    <row r="699" spans="1:15" x14ac:dyDescent="0.35">
      <c r="A699" s="8">
        <f>'Data cleaning and validation(3)'!A687</f>
        <v>686</v>
      </c>
      <c r="B699" s="8" t="str">
        <f>'Data cleaning and validation(3)'!B687</f>
        <v>Watkins</v>
      </c>
      <c r="C699" s="8" t="str">
        <f>'Data cleaning and validation(3)'!C687</f>
        <v>mwatkinsj1@myspace.com</v>
      </c>
      <c r="D699" s="8" t="str">
        <f>'Data cleaning and validation(3)'!D687</f>
        <v>M</v>
      </c>
      <c r="E699" s="8" t="str">
        <f>'Data cleaning and validation(3)'!E687</f>
        <v>Toys</v>
      </c>
      <c r="F699" s="15">
        <f>'Data cleaning and validation(3)'!F687</f>
        <v>38070</v>
      </c>
      <c r="G699" s="8">
        <f>'Data cleaning and validation(3)'!G687</f>
        <v>17</v>
      </c>
      <c r="H699" s="19">
        <f>'Data cleaning and validation(3)'!H687</f>
        <v>104444</v>
      </c>
      <c r="I699" s="8" t="str">
        <f>'Data cleaning and validation(3)'!I687</f>
        <v>Business Systems Development Analyst</v>
      </c>
      <c r="J699" s="8" t="str">
        <f>'Data cleaning and validation(3)'!J687</f>
        <v>Southeast</v>
      </c>
      <c r="K699" s="8" t="str">
        <f>'Data cleaning and validation(3)'!K687</f>
        <v>USA</v>
      </c>
      <c r="L699" s="8" t="str">
        <f>'Data cleaning and validation(3)'!L687</f>
        <v>Games &amp; Sports</v>
      </c>
      <c r="M699" s="8" t="str">
        <f>'Data cleaning and validation(3)'!M687</f>
        <v>Active</v>
      </c>
      <c r="N699" s="17">
        <f>'Data cleaning and validation(3)'!N687</f>
        <v>1253328</v>
      </c>
      <c r="O699" s="18">
        <f>'Data cleaning and validation(3)'!O687</f>
        <v>10444.400000000001</v>
      </c>
    </row>
    <row r="700" spans="1:15" x14ac:dyDescent="0.35">
      <c r="A700" s="8">
        <f>'Data cleaning and validation(3)'!A688</f>
        <v>687</v>
      </c>
      <c r="B700" s="8" t="str">
        <f>'Data cleaning and validation(3)'!B688</f>
        <v>Gardner</v>
      </c>
      <c r="C700" s="8" t="str">
        <f>'Data cleaning and validation(3)'!C688</f>
        <v>agardnerj2@blogs.com</v>
      </c>
      <c r="D700" s="8" t="str">
        <f>'Data cleaning and validation(3)'!D688</f>
        <v>F</v>
      </c>
      <c r="E700" s="8" t="str">
        <f>'Data cleaning and validation(3)'!E688</f>
        <v>Computers</v>
      </c>
      <c r="F700" s="15">
        <f>'Data cleaning and validation(3)'!F688</f>
        <v>36863</v>
      </c>
      <c r="G700" s="8">
        <f>'Data cleaning and validation(3)'!G688</f>
        <v>21</v>
      </c>
      <c r="H700" s="19">
        <f>'Data cleaning and validation(3)'!H688</f>
        <v>49693</v>
      </c>
      <c r="I700" s="8" t="str">
        <f>'Data cleaning and validation(3)'!I688</f>
        <v>Chemical Engineer</v>
      </c>
      <c r="J700" s="8" t="str">
        <f>'Data cleaning and validation(3)'!J688</f>
        <v>Southeast</v>
      </c>
      <c r="K700" s="8" t="str">
        <f>'Data cleaning and validation(3)'!K688</f>
        <v>USA</v>
      </c>
      <c r="L700" s="8" t="str">
        <f>'Data cleaning and validation(3)'!L688</f>
        <v>Electronic Equipment</v>
      </c>
      <c r="M700" s="8" t="str">
        <f>'Data cleaning and validation(3)'!M688</f>
        <v>Active</v>
      </c>
      <c r="N700" s="17">
        <f>'Data cleaning and validation(3)'!N688</f>
        <v>596316</v>
      </c>
      <c r="O700" s="18">
        <f>'Data cleaning and validation(3)'!O688</f>
        <v>4969.3</v>
      </c>
    </row>
    <row r="701" spans="1:15" x14ac:dyDescent="0.35">
      <c r="A701" s="8">
        <f>'Data cleaning and validation(3)'!A689</f>
        <v>688</v>
      </c>
      <c r="B701" s="8" t="str">
        <f>'Data cleaning and validation(3)'!B689</f>
        <v>Cruz</v>
      </c>
      <c r="C701" s="8" t="str">
        <f>'Data cleaning and validation(3)'!C689</f>
        <v>kcruzj3@shinystat.com</v>
      </c>
      <c r="D701" s="8" t="str">
        <f>'Data cleaning and validation(3)'!D689</f>
        <v>M</v>
      </c>
      <c r="E701" s="8" t="str">
        <f>'Data cleaning and validation(3)'!E689</f>
        <v>Home</v>
      </c>
      <c r="F701" s="15">
        <f>'Data cleaning and validation(3)'!F689</f>
        <v>41089</v>
      </c>
      <c r="G701" s="8">
        <f>'Data cleaning and validation(3)'!G689</f>
        <v>9</v>
      </c>
      <c r="H701" s="19">
        <f>'Data cleaning and validation(3)'!H689</f>
        <v>90829</v>
      </c>
      <c r="I701" s="8" t="str">
        <f>'Data cleaning and validation(3)'!I689</f>
        <v>Recruiter</v>
      </c>
      <c r="J701" s="8" t="str">
        <f>'Data cleaning and validation(3)'!J689</f>
        <v>Quebec</v>
      </c>
      <c r="K701" s="8" t="str">
        <f>'Data cleaning and validation(3)'!K689</f>
        <v>Canada</v>
      </c>
      <c r="L701" s="8" t="str">
        <f>'Data cleaning and validation(3)'!L689</f>
        <v>Domestic</v>
      </c>
      <c r="M701" s="8" t="str">
        <f>'Data cleaning and validation(3)'!M689</f>
        <v>Active</v>
      </c>
      <c r="N701" s="17">
        <f>'Data cleaning and validation(3)'!N689</f>
        <v>1089948</v>
      </c>
      <c r="O701" s="18">
        <f>'Data cleaning and validation(3)'!O689</f>
        <v>9082.9</v>
      </c>
    </row>
    <row r="702" spans="1:15" x14ac:dyDescent="0.35">
      <c r="A702" s="8">
        <f>'Data cleaning and validation(3)'!A690</f>
        <v>689</v>
      </c>
      <c r="B702" s="8" t="str">
        <f>'Data cleaning and validation(3)'!B690</f>
        <v>Austin</v>
      </c>
      <c r="C702" s="8" t="str">
        <f>'Data cleaning and validation(3)'!C690</f>
        <v>aaustinj4@walmart.com</v>
      </c>
      <c r="D702" s="8" t="str">
        <f>'Data cleaning and validation(3)'!D690</f>
        <v>F</v>
      </c>
      <c r="E702" s="8" t="str">
        <f>'Data cleaning and validation(3)'!E690</f>
        <v>Electronics</v>
      </c>
      <c r="F702" s="15">
        <f>'Data cleaning and validation(3)'!F690</f>
        <v>44135</v>
      </c>
      <c r="G702" s="8">
        <f>'Data cleaning and validation(3)'!G690</f>
        <v>14</v>
      </c>
      <c r="H702" s="19">
        <f>'Data cleaning and validation(3)'!H690</f>
        <v>62293</v>
      </c>
      <c r="I702" s="8" t="str">
        <f>'Data cleaning and validation(3)'!I690</f>
        <v>Administrative Officer</v>
      </c>
      <c r="J702" s="8" t="str">
        <f>'Data cleaning and validation(3)'!J690</f>
        <v>Southwest</v>
      </c>
      <c r="K702" s="8" t="str">
        <f>'Data cleaning and validation(3)'!K690</f>
        <v>USA</v>
      </c>
      <c r="L702" s="8" t="str">
        <f>'Data cleaning and validation(3)'!L690</f>
        <v>Electronic Equipment</v>
      </c>
      <c r="M702" s="8" t="str">
        <f>'Data cleaning and validation(3)'!M690</f>
        <v>Active</v>
      </c>
      <c r="N702" s="17">
        <f>'Data cleaning and validation(3)'!N690</f>
        <v>747516</v>
      </c>
      <c r="O702" s="18">
        <f>'Data cleaning and validation(3)'!O690</f>
        <v>6229.3</v>
      </c>
    </row>
    <row r="703" spans="1:15" x14ac:dyDescent="0.35">
      <c r="A703" s="8">
        <f>'Data cleaning and validation(3)'!A691</f>
        <v>690</v>
      </c>
      <c r="B703" s="8" t="str">
        <f>'Data cleaning and validation(3)'!B691</f>
        <v>Perkins</v>
      </c>
      <c r="C703" s="8" t="str">
        <f>'Data cleaning and validation(3)'!C691</f>
        <v>rperkinsj5@ehow.com</v>
      </c>
      <c r="D703" s="8" t="str">
        <f>'Data cleaning and validation(3)'!D691</f>
        <v>M</v>
      </c>
      <c r="E703" s="8" t="str">
        <f>'Data cleaning and validation(3)'!E691</f>
        <v>Music</v>
      </c>
      <c r="F703" s="15">
        <f>'Data cleaning and validation(3)'!F691</f>
        <v>36655</v>
      </c>
      <c r="G703" s="8">
        <f>'Data cleaning and validation(3)'!G691</f>
        <v>21</v>
      </c>
      <c r="H703" s="19">
        <f>'Data cleaning and validation(3)'!H691</f>
        <v>57988</v>
      </c>
      <c r="I703" s="8" t="str">
        <f>'Data cleaning and validation(3)'!I691</f>
        <v>Web Developer I</v>
      </c>
      <c r="J703" s="8" t="str">
        <f>'Data cleaning and validation(3)'!J691</f>
        <v>Southwest</v>
      </c>
      <c r="K703" s="8" t="str">
        <f>'Data cleaning and validation(3)'!K691</f>
        <v>USA</v>
      </c>
      <c r="L703" s="8" t="str">
        <f>'Data cleaning and validation(3)'!L691</f>
        <v>Entertainment</v>
      </c>
      <c r="M703" s="8" t="str">
        <f>'Data cleaning and validation(3)'!M691</f>
        <v>Active</v>
      </c>
      <c r="N703" s="17">
        <f>'Data cleaning and validation(3)'!N691</f>
        <v>695856</v>
      </c>
      <c r="O703" s="18">
        <f>'Data cleaning and validation(3)'!O691</f>
        <v>5798.8</v>
      </c>
    </row>
    <row r="704" spans="1:15" x14ac:dyDescent="0.35">
      <c r="A704" s="8">
        <f>'Data cleaning and validation(3)'!A692</f>
        <v>691</v>
      </c>
      <c r="B704" s="8" t="str">
        <f>'Data cleaning and validation(3)'!B692</f>
        <v>Hansen</v>
      </c>
      <c r="C704" s="8" t="str">
        <f>'Data cleaning and validation(3)'!C692</f>
        <v>chansenj6@uiuc.edu</v>
      </c>
      <c r="D704" s="8" t="str">
        <f>'Data cleaning and validation(3)'!D692</f>
        <v>F</v>
      </c>
      <c r="E704" s="8" t="str">
        <f>'Data cleaning and validation(3)'!E692</f>
        <v>Beauty</v>
      </c>
      <c r="F704" s="15">
        <f>'Data cleaning and validation(3)'!F692</f>
        <v>44961</v>
      </c>
      <c r="G704" s="8">
        <f>'Data cleaning and validation(3)'!G692</f>
        <v>11</v>
      </c>
      <c r="H704" s="19">
        <f>'Data cleaning and validation(3)'!H692</f>
        <v>113893</v>
      </c>
      <c r="I704" s="8" t="str">
        <f>'Data cleaning and validation(3)'!I692</f>
        <v>Clinical Specialist</v>
      </c>
      <c r="J704" s="8" t="str">
        <f>'Data cleaning and validation(3)'!J692</f>
        <v>Nova Scotia</v>
      </c>
      <c r="K704" s="8" t="str">
        <f>'Data cleaning and validation(3)'!K692</f>
        <v>Canada</v>
      </c>
      <c r="L704" s="8" t="str">
        <f>'Data cleaning and validation(3)'!L692</f>
        <v>Domestic</v>
      </c>
      <c r="M704" s="8" t="str">
        <f>'Data cleaning and validation(3)'!M692</f>
        <v>Active</v>
      </c>
      <c r="N704" s="17">
        <f>'Data cleaning and validation(3)'!N692</f>
        <v>1366716</v>
      </c>
      <c r="O704" s="18">
        <f>'Data cleaning and validation(3)'!O692</f>
        <v>11389.300000000001</v>
      </c>
    </row>
    <row r="705" spans="1:15" x14ac:dyDescent="0.35">
      <c r="A705" s="8">
        <f>'Data cleaning and validation(3)'!A693</f>
        <v>692</v>
      </c>
      <c r="B705" s="8" t="str">
        <f>'Data cleaning and validation(3)'!B693</f>
        <v>Owens</v>
      </c>
      <c r="C705" s="8" t="str">
        <f>'Data cleaning and validation(3)'!C693</f>
        <v>dowensj7@hibu.com</v>
      </c>
      <c r="D705" s="8" t="str">
        <f>'Data cleaning and validation(3)'!D693</f>
        <v>M</v>
      </c>
      <c r="E705" s="8" t="str">
        <f>'Data cleaning and validation(3)'!E693</f>
        <v>Shoes</v>
      </c>
      <c r="F705" s="15">
        <f>'Data cleaning and validation(3)'!F693</f>
        <v>41344</v>
      </c>
      <c r="G705" s="8">
        <f>'Data cleaning and validation(3)'!G693</f>
        <v>8</v>
      </c>
      <c r="H705" s="19">
        <f>'Data cleaning and validation(3)'!H693</f>
        <v>58265</v>
      </c>
      <c r="I705" s="8" t="str">
        <f>'Data cleaning and validation(3)'!I693</f>
        <v>Nurse Practicioner</v>
      </c>
      <c r="J705" s="8" t="str">
        <f>'Data cleaning and validation(3)'!J693</f>
        <v>Northwest</v>
      </c>
      <c r="K705" s="8" t="str">
        <f>'Data cleaning and validation(3)'!K693</f>
        <v>USA</v>
      </c>
      <c r="L705" s="8" t="str">
        <f>'Data cleaning and validation(3)'!L693</f>
        <v>Domestic</v>
      </c>
      <c r="M705" s="8" t="str">
        <f>'Data cleaning and validation(3)'!M693</f>
        <v>Active</v>
      </c>
      <c r="N705" s="17">
        <f>'Data cleaning and validation(3)'!N693</f>
        <v>699180</v>
      </c>
      <c r="O705" s="18">
        <f>'Data cleaning and validation(3)'!O693</f>
        <v>5826.5</v>
      </c>
    </row>
    <row r="706" spans="1:15" x14ac:dyDescent="0.35">
      <c r="A706" s="8">
        <f>'Data cleaning and validation(3)'!A694</f>
        <v>693</v>
      </c>
      <c r="B706" s="8" t="str">
        <f>'Data cleaning and validation(3)'!B694</f>
        <v>Carr</v>
      </c>
      <c r="C706" s="8" t="str">
        <f>'Data cleaning and validation(3)'!C694</f>
        <v>hcarrj8@latimes.com</v>
      </c>
      <c r="D706" s="8" t="str">
        <f>'Data cleaning and validation(3)'!D694</f>
        <v>M</v>
      </c>
      <c r="E706" s="8" t="str">
        <f>'Data cleaning and validation(3)'!E694</f>
        <v>Garden</v>
      </c>
      <c r="F706" s="15">
        <f>'Data cleaning and validation(3)'!F694</f>
        <v>38369</v>
      </c>
      <c r="G706" s="8">
        <f>'Data cleaning and validation(3)'!G694</f>
        <v>16</v>
      </c>
      <c r="H706" s="19">
        <f>'Data cleaning and validation(3)'!H694</f>
        <v>143570</v>
      </c>
      <c r="I706" s="8" t="str">
        <f>'Data cleaning and validation(3)'!I694</f>
        <v>Actuary</v>
      </c>
      <c r="J706" s="8" t="str">
        <f>'Data cleaning and validation(3)'!J694</f>
        <v>Southwest</v>
      </c>
      <c r="K706" s="8" t="str">
        <f>'Data cleaning and validation(3)'!K694</f>
        <v>USA</v>
      </c>
      <c r="L706" s="8" t="str">
        <f>'Data cleaning and validation(3)'!L694</f>
        <v>Outdoors &amp; Garden</v>
      </c>
      <c r="M706" s="8" t="str">
        <f>'Data cleaning and validation(3)'!M694</f>
        <v>Active</v>
      </c>
      <c r="N706" s="17">
        <f>'Data cleaning and validation(3)'!N694</f>
        <v>1722840</v>
      </c>
      <c r="O706" s="18">
        <f>'Data cleaning and validation(3)'!O694</f>
        <v>14357</v>
      </c>
    </row>
    <row r="707" spans="1:15" x14ac:dyDescent="0.35">
      <c r="A707" s="8">
        <f>'Data cleaning and validation(3)'!A695</f>
        <v>694</v>
      </c>
      <c r="B707" s="8" t="str">
        <f>'Data cleaning and validation(3)'!B695</f>
        <v>Chavez</v>
      </c>
      <c r="C707" s="8" t="str">
        <f>'Data cleaning and validation(3)'!C695</f>
        <v>rchavezj9@uiuc.edu</v>
      </c>
      <c r="D707" s="8" t="str">
        <f>'Data cleaning and validation(3)'!D695</f>
        <v>F</v>
      </c>
      <c r="E707" s="8" t="str">
        <f>'Data cleaning and validation(3)'!E695</f>
        <v>Grocery</v>
      </c>
      <c r="F707" s="15">
        <f>'Data cleaning and validation(3)'!F695</f>
        <v>43940</v>
      </c>
      <c r="G707" s="8">
        <f>'Data cleaning and validation(3)'!G695</f>
        <v>14</v>
      </c>
      <c r="H707" s="19">
        <f>'Data cleaning and validation(3)'!H695</f>
        <v>116894</v>
      </c>
      <c r="I707" s="8" t="str">
        <f>'Data cleaning and validation(3)'!I695</f>
        <v>Chief Design Engineer</v>
      </c>
      <c r="J707" s="8" t="str">
        <f>'Data cleaning and validation(3)'!J695</f>
        <v>Quebec</v>
      </c>
      <c r="K707" s="8" t="str">
        <f>'Data cleaning and validation(3)'!K695</f>
        <v>Canada</v>
      </c>
      <c r="L707" s="8" t="str">
        <f>'Data cleaning and validation(3)'!L695</f>
        <v>Domestic</v>
      </c>
      <c r="M707" s="8" t="str">
        <f>'Data cleaning and validation(3)'!M695</f>
        <v>Active</v>
      </c>
      <c r="N707" s="17">
        <f>'Data cleaning and validation(3)'!N695</f>
        <v>1402728</v>
      </c>
      <c r="O707" s="18">
        <f>'Data cleaning and validation(3)'!O695</f>
        <v>11689.400000000001</v>
      </c>
    </row>
    <row r="708" spans="1:15" x14ac:dyDescent="0.35">
      <c r="A708" s="8">
        <f>'Data cleaning and validation(3)'!A696</f>
        <v>695</v>
      </c>
      <c r="B708" s="8" t="str">
        <f>'Data cleaning and validation(3)'!B696</f>
        <v>Morales</v>
      </c>
      <c r="C708" s="8" t="str">
        <f>'Data cleaning and validation(3)'!C696</f>
        <v>rmoralesja@vinaora.com</v>
      </c>
      <c r="D708" s="8" t="str">
        <f>'Data cleaning and validation(3)'!D696</f>
        <v>F</v>
      </c>
      <c r="E708" s="8" t="str">
        <f>'Data cleaning and validation(3)'!E696</f>
        <v>Automotive</v>
      </c>
      <c r="F708" s="15">
        <f>'Data cleaning and validation(3)'!F696</f>
        <v>38741</v>
      </c>
      <c r="G708" s="8">
        <f>'Data cleaning and validation(3)'!G696</f>
        <v>15</v>
      </c>
      <c r="H708" s="19">
        <f>'Data cleaning and validation(3)'!H696</f>
        <v>82244</v>
      </c>
      <c r="I708" s="8" t="str">
        <f>'Data cleaning and validation(3)'!I696</f>
        <v>Administrative Assistant III</v>
      </c>
      <c r="J708" s="8" t="str">
        <f>'Data cleaning and validation(3)'!J696</f>
        <v>Southeast</v>
      </c>
      <c r="K708" s="8" t="str">
        <f>'Data cleaning and validation(3)'!K696</f>
        <v>USA</v>
      </c>
      <c r="L708" s="8" t="str">
        <f>'Data cleaning and validation(3)'!L696</f>
        <v>Auto &amp; Hardware</v>
      </c>
      <c r="M708" s="8" t="str">
        <f>'Data cleaning and validation(3)'!M696</f>
        <v>Active</v>
      </c>
      <c r="N708" s="17">
        <f>'Data cleaning and validation(3)'!N696</f>
        <v>986928</v>
      </c>
      <c r="O708" s="18">
        <f>'Data cleaning and validation(3)'!O696</f>
        <v>8224.4</v>
      </c>
    </row>
    <row r="709" spans="1:15" x14ac:dyDescent="0.35">
      <c r="A709" s="8">
        <f>'Data cleaning and validation(3)'!A697</f>
        <v>696</v>
      </c>
      <c r="B709" s="8" t="str">
        <f>'Data cleaning and validation(3)'!B697</f>
        <v>Anderson</v>
      </c>
      <c r="C709" s="8" t="str">
        <f>'Data cleaning and validation(3)'!C697</f>
        <v>dandersonjb@linkedin.com</v>
      </c>
      <c r="D709" s="8" t="str">
        <f>'Data cleaning and validation(3)'!D697</f>
        <v>M</v>
      </c>
      <c r="E709" s="8" t="str">
        <f>'Data cleaning and validation(3)'!E697</f>
        <v>Games</v>
      </c>
      <c r="F709" s="15">
        <f>'Data cleaning and validation(3)'!F697</f>
        <v>41189</v>
      </c>
      <c r="G709" s="8">
        <f>'Data cleaning and validation(3)'!G697</f>
        <v>9</v>
      </c>
      <c r="H709" s="19">
        <f>'Data cleaning and validation(3)'!H697</f>
        <v>92640</v>
      </c>
      <c r="I709" s="8" t="str">
        <f>'Data cleaning and validation(3)'!I697</f>
        <v>Executive Secretary</v>
      </c>
      <c r="J709" s="8" t="str">
        <f>'Data cleaning and validation(3)'!J697</f>
        <v>Nova Scotia</v>
      </c>
      <c r="K709" s="8" t="str">
        <f>'Data cleaning and validation(3)'!K697</f>
        <v>Canada</v>
      </c>
      <c r="L709" s="8" t="str">
        <f>'Data cleaning and validation(3)'!L697</f>
        <v>Domestic</v>
      </c>
      <c r="M709" s="8" t="str">
        <f>'Data cleaning and validation(3)'!M697</f>
        <v>Active</v>
      </c>
      <c r="N709" s="17">
        <f>'Data cleaning and validation(3)'!N697</f>
        <v>1111680</v>
      </c>
      <c r="O709" s="18">
        <f>'Data cleaning and validation(3)'!O697</f>
        <v>9264</v>
      </c>
    </row>
    <row r="710" spans="1:15" x14ac:dyDescent="0.35">
      <c r="A710" s="8">
        <f>'Data cleaning and validation(3)'!A698</f>
        <v>697</v>
      </c>
      <c r="B710" s="8" t="str">
        <f>'Data cleaning and validation(3)'!B698</f>
        <v>Woods</v>
      </c>
      <c r="C710" s="8" t="str">
        <f>'Data cleaning and validation(3)'!C698</f>
        <v>twoodsjc@ucoz.ru</v>
      </c>
      <c r="D710" s="8" t="str">
        <f>'Data cleaning and validation(3)'!D698</f>
        <v>M</v>
      </c>
      <c r="E710" s="8" t="str">
        <f>'Data cleaning and validation(3)'!E698</f>
        <v>Beauty</v>
      </c>
      <c r="F710" s="15">
        <f>'Data cleaning and validation(3)'!F698</f>
        <v>36700</v>
      </c>
      <c r="G710" s="8">
        <f>'Data cleaning and validation(3)'!G698</f>
        <v>21</v>
      </c>
      <c r="H710" s="19">
        <f>'Data cleaning and validation(3)'!H698</f>
        <v>123995</v>
      </c>
      <c r="I710" s="8" t="str">
        <f>'Data cleaning and validation(3)'!I698</f>
        <v>Assistant Media Planner</v>
      </c>
      <c r="J710" s="8" t="str">
        <f>'Data cleaning and validation(3)'!J698</f>
        <v>British Columbia</v>
      </c>
      <c r="K710" s="8" t="str">
        <f>'Data cleaning and validation(3)'!K698</f>
        <v>Canada</v>
      </c>
      <c r="L710" s="8" t="str">
        <f>'Data cleaning and validation(3)'!L698</f>
        <v>Domestic</v>
      </c>
      <c r="M710" s="8" t="str">
        <f>'Data cleaning and validation(3)'!M698</f>
        <v>Active</v>
      </c>
      <c r="N710" s="17">
        <f>'Data cleaning and validation(3)'!N698</f>
        <v>1487940</v>
      </c>
      <c r="O710" s="18">
        <f>'Data cleaning and validation(3)'!O698</f>
        <v>12399.5</v>
      </c>
    </row>
    <row r="711" spans="1:15" x14ac:dyDescent="0.35">
      <c r="A711" s="8">
        <f>'Data cleaning and validation(3)'!A699</f>
        <v>698</v>
      </c>
      <c r="B711" s="8" t="str">
        <f>'Data cleaning and validation(3)'!B699</f>
        <v>Cook</v>
      </c>
      <c r="C711" s="8" t="str">
        <f>'Data cleaning and validation(3)'!C699</f>
        <v>tcookjd@blinklist.com</v>
      </c>
      <c r="D711" s="8" t="str">
        <f>'Data cleaning and validation(3)'!D699</f>
        <v>M</v>
      </c>
      <c r="E711" s="8" t="str">
        <f>'Data cleaning and validation(3)'!E699</f>
        <v>Garden</v>
      </c>
      <c r="F711" s="15">
        <f>'Data cleaning and validation(3)'!F699</f>
        <v>38698</v>
      </c>
      <c r="G711" s="8">
        <f>'Data cleaning and validation(3)'!G699</f>
        <v>16</v>
      </c>
      <c r="H711" s="19">
        <f>'Data cleaning and validation(3)'!H699</f>
        <v>97351</v>
      </c>
      <c r="I711" s="8" t="str">
        <f>'Data cleaning and validation(3)'!I699</f>
        <v>Health Coach I</v>
      </c>
      <c r="J711" s="8" t="str">
        <f>'Data cleaning and validation(3)'!J699</f>
        <v>Southwest</v>
      </c>
      <c r="K711" s="8" t="str">
        <f>'Data cleaning and validation(3)'!K699</f>
        <v>USA</v>
      </c>
      <c r="L711" s="8" t="str">
        <f>'Data cleaning and validation(3)'!L699</f>
        <v>Outdoors &amp; Garden</v>
      </c>
      <c r="M711" s="8" t="str">
        <f>'Data cleaning and validation(3)'!M699</f>
        <v>Active</v>
      </c>
      <c r="N711" s="17">
        <f>'Data cleaning and validation(3)'!N699</f>
        <v>1168212</v>
      </c>
      <c r="O711" s="18">
        <f>'Data cleaning and validation(3)'!O699</f>
        <v>9735.1</v>
      </c>
    </row>
    <row r="712" spans="1:15" x14ac:dyDescent="0.35">
      <c r="A712" s="8">
        <f>'Data cleaning and validation(3)'!A700</f>
        <v>699</v>
      </c>
      <c r="B712" s="8" t="str">
        <f>'Data cleaning and validation(3)'!B700</f>
        <v>Price</v>
      </c>
      <c r="C712" s="8" t="str">
        <f>'Data cleaning and validation(3)'!C700</f>
        <v>bpriceje@icio.us</v>
      </c>
      <c r="D712" s="8" t="str">
        <f>'Data cleaning and validation(3)'!D700</f>
        <v>F</v>
      </c>
      <c r="E712" s="8" t="str">
        <f>'Data cleaning and validation(3)'!E700</f>
        <v>Clothing</v>
      </c>
      <c r="F712" s="15">
        <f>'Data cleaning and validation(3)'!F700</f>
        <v>37646</v>
      </c>
      <c r="G712" s="8">
        <f>'Data cleaning and validation(3)'!G700</f>
        <v>18</v>
      </c>
      <c r="H712" s="19">
        <f>'Data cleaning and validation(3)'!H700</f>
        <v>133091</v>
      </c>
      <c r="I712" s="8" t="str">
        <f>'Data cleaning and validation(3)'!I700</f>
        <v>VP Accounting</v>
      </c>
      <c r="J712" s="8" t="str">
        <f>'Data cleaning and validation(3)'!J700</f>
        <v>Nova Scotia</v>
      </c>
      <c r="K712" s="8" t="str">
        <f>'Data cleaning and validation(3)'!K700</f>
        <v>Canada</v>
      </c>
      <c r="L712" s="8" t="str">
        <f>'Data cleaning and validation(3)'!L700</f>
        <v>Domestic</v>
      </c>
      <c r="M712" s="8" t="str">
        <f>'Data cleaning and validation(3)'!M700</f>
        <v>Active</v>
      </c>
      <c r="N712" s="17">
        <f>'Data cleaning and validation(3)'!N700</f>
        <v>1597092</v>
      </c>
      <c r="O712" s="18">
        <f>'Data cleaning and validation(3)'!O700</f>
        <v>13309.1</v>
      </c>
    </row>
    <row r="713" spans="1:15" x14ac:dyDescent="0.35">
      <c r="A713" s="8">
        <f>'Data cleaning and validation(3)'!A701</f>
        <v>700</v>
      </c>
      <c r="B713" s="8" t="str">
        <f>'Data cleaning and validation(3)'!B701</f>
        <v>Stone</v>
      </c>
      <c r="C713" s="8" t="str">
        <f>'Data cleaning and validation(3)'!C701</f>
        <v>tstonejf@com.com</v>
      </c>
      <c r="D713" s="8" t="str">
        <f>'Data cleaning and validation(3)'!D701</f>
        <v>M</v>
      </c>
      <c r="E713" s="8" t="str">
        <f>'Data cleaning and validation(3)'!E701</f>
        <v>Garden</v>
      </c>
      <c r="F713" s="15">
        <f>'Data cleaning and validation(3)'!F701</f>
        <v>38183</v>
      </c>
      <c r="G713" s="8">
        <f>'Data cleaning and validation(3)'!G701</f>
        <v>17</v>
      </c>
      <c r="H713" s="19">
        <f>'Data cleaning and validation(3)'!H701</f>
        <v>100746</v>
      </c>
      <c r="I713" s="8" t="str">
        <f>'Data cleaning and validation(3)'!I701</f>
        <v>VP Quality Control</v>
      </c>
      <c r="J713" s="8" t="str">
        <f>'Data cleaning and validation(3)'!J701</f>
        <v>Quebec</v>
      </c>
      <c r="K713" s="8" t="str">
        <f>'Data cleaning and validation(3)'!K701</f>
        <v>Canada</v>
      </c>
      <c r="L713" s="8" t="str">
        <f>'Data cleaning and validation(3)'!L701</f>
        <v>Outdoors &amp; Garden</v>
      </c>
      <c r="M713" s="8" t="str">
        <f>'Data cleaning and validation(3)'!M701</f>
        <v>Active</v>
      </c>
      <c r="N713" s="17">
        <f>'Data cleaning and validation(3)'!N701</f>
        <v>1208952</v>
      </c>
      <c r="O713" s="18">
        <f>'Data cleaning and validation(3)'!O701</f>
        <v>10074.6</v>
      </c>
    </row>
    <row r="714" spans="1:15" x14ac:dyDescent="0.35">
      <c r="A714" s="8">
        <f>'Data cleaning and validation(3)'!A702</f>
        <v>701</v>
      </c>
      <c r="B714" s="8" t="str">
        <f>'Data cleaning and validation(3)'!B702</f>
        <v>Williams</v>
      </c>
      <c r="C714" s="8" t="str">
        <f>'Data cleaning and validation(3)'!C702</f>
        <v>jwilliamsjg@rediff.com</v>
      </c>
      <c r="D714" s="8" t="str">
        <f>'Data cleaning and validation(3)'!D702</f>
        <v>M</v>
      </c>
      <c r="E714" s="8" t="str">
        <f>'Data cleaning and validation(3)'!E702</f>
        <v>Jewelery</v>
      </c>
      <c r="F714" s="15">
        <f>'Data cleaning and validation(3)'!F702</f>
        <v>37542</v>
      </c>
      <c r="G714" s="8">
        <f>'Data cleaning and validation(3)'!G702</f>
        <v>19</v>
      </c>
      <c r="H714" s="19">
        <f>'Data cleaning and validation(3)'!H702</f>
        <v>101599</v>
      </c>
      <c r="I714" s="8" t="str">
        <f>'Data cleaning and validation(3)'!I702</f>
        <v>Developer II</v>
      </c>
      <c r="J714" s="8" t="str">
        <f>'Data cleaning and validation(3)'!J702</f>
        <v>Nova Scotia</v>
      </c>
      <c r="K714" s="8" t="str">
        <f>'Data cleaning and validation(3)'!K702</f>
        <v>Canada</v>
      </c>
      <c r="L714" s="8" t="str">
        <f>'Data cleaning and validation(3)'!L702</f>
        <v>Fashion</v>
      </c>
      <c r="M714" s="8" t="str">
        <f>'Data cleaning and validation(3)'!M702</f>
        <v>Active</v>
      </c>
      <c r="N714" s="17">
        <f>'Data cleaning and validation(3)'!N702</f>
        <v>1219188</v>
      </c>
      <c r="O714" s="18">
        <f>'Data cleaning and validation(3)'!O702</f>
        <v>10159.900000000001</v>
      </c>
    </row>
    <row r="715" spans="1:15" x14ac:dyDescent="0.35">
      <c r="A715" s="8">
        <f>'Data cleaning and validation(3)'!A703</f>
        <v>702</v>
      </c>
      <c r="B715" s="8" t="str">
        <f>'Data cleaning and validation(3)'!B703</f>
        <v>Wells</v>
      </c>
      <c r="C715" s="8" t="str">
        <f>'Data cleaning and validation(3)'!C703</f>
        <v>dwellsjh@is.gd</v>
      </c>
      <c r="D715" s="8" t="str">
        <f>'Data cleaning and validation(3)'!D703</f>
        <v>M</v>
      </c>
      <c r="E715" s="8" t="str">
        <f>'Data cleaning and validation(3)'!E703</f>
        <v>Sports</v>
      </c>
      <c r="F715" s="15">
        <f>'Data cleaning and validation(3)'!F703</f>
        <v>41792</v>
      </c>
      <c r="G715" s="8">
        <f>'Data cleaning and validation(3)'!G703</f>
        <v>7</v>
      </c>
      <c r="H715" s="19">
        <f>'Data cleaning and validation(3)'!H703</f>
        <v>77293</v>
      </c>
      <c r="I715" s="8" t="str">
        <f>'Data cleaning and validation(3)'!I703</f>
        <v>Structural Analysis Engineer</v>
      </c>
      <c r="J715" s="8" t="str">
        <f>'Data cleaning and validation(3)'!J703</f>
        <v>British Columbia</v>
      </c>
      <c r="K715" s="8" t="str">
        <f>'Data cleaning and validation(3)'!K703</f>
        <v>Canada</v>
      </c>
      <c r="L715" s="8" t="str">
        <f>'Data cleaning and validation(3)'!L703</f>
        <v>Games &amp; Sports</v>
      </c>
      <c r="M715" s="8" t="str">
        <f>'Data cleaning and validation(3)'!M703</f>
        <v>Active</v>
      </c>
      <c r="N715" s="17">
        <f>'Data cleaning and validation(3)'!N703</f>
        <v>927516</v>
      </c>
      <c r="O715" s="18">
        <f>'Data cleaning and validation(3)'!O703</f>
        <v>7729.3</v>
      </c>
    </row>
    <row r="716" spans="1:15" x14ac:dyDescent="0.35">
      <c r="A716" s="8">
        <f>'Data cleaning and validation(3)'!A704</f>
        <v>703</v>
      </c>
      <c r="B716" s="8" t="str">
        <f>'Data cleaning and validation(3)'!B704</f>
        <v>Hernandez</v>
      </c>
      <c r="C716" s="8" t="str">
        <f>'Data cleaning and validation(3)'!C704</f>
        <v>ahernandezji@ucoz.ru</v>
      </c>
      <c r="D716" s="8" t="str">
        <f>'Data cleaning and validation(3)'!D704</f>
        <v>F</v>
      </c>
      <c r="E716" s="8" t="str">
        <f>'Data cleaning and validation(3)'!E704</f>
        <v>Games</v>
      </c>
      <c r="F716" s="15">
        <f>'Data cleaning and validation(3)'!F704</f>
        <v>46450</v>
      </c>
      <c r="G716" s="8">
        <f>'Data cleaning and validation(3)'!G704</f>
        <v>7</v>
      </c>
      <c r="H716" s="19">
        <f>'Data cleaning and validation(3)'!H704</f>
        <v>119787</v>
      </c>
      <c r="I716" s="8" t="str">
        <f>'Data cleaning and validation(3)'!I704</f>
        <v>Speech Pathologist</v>
      </c>
      <c r="J716" s="8" t="str">
        <f>'Data cleaning and validation(3)'!J704</f>
        <v>Northeast</v>
      </c>
      <c r="K716" s="8" t="str">
        <f>'Data cleaning and validation(3)'!K704</f>
        <v>USA</v>
      </c>
      <c r="L716" s="8" t="str">
        <f>'Data cleaning and validation(3)'!L704</f>
        <v>Domestic</v>
      </c>
      <c r="M716" s="8" t="str">
        <f>'Data cleaning and validation(3)'!M704</f>
        <v>Active</v>
      </c>
      <c r="N716" s="17">
        <f>'Data cleaning and validation(3)'!N704</f>
        <v>1437444</v>
      </c>
      <c r="O716" s="18">
        <f>'Data cleaning and validation(3)'!O704</f>
        <v>11978.7</v>
      </c>
    </row>
    <row r="717" spans="1:15" x14ac:dyDescent="0.35">
      <c r="A717" s="8">
        <f>'Data cleaning and validation(3)'!A705</f>
        <v>704</v>
      </c>
      <c r="B717" s="8" t="str">
        <f>'Data cleaning and validation(3)'!B705</f>
        <v>Burke</v>
      </c>
      <c r="C717" s="8" t="str">
        <f>'Data cleaning and validation(3)'!C705</f>
        <v>eburkejj@godaddy.com</v>
      </c>
      <c r="D717" s="8" t="str">
        <f>'Data cleaning and validation(3)'!D705</f>
        <v>M</v>
      </c>
      <c r="E717" s="8" t="str">
        <f>'Data cleaning and validation(3)'!E705</f>
        <v>Computers</v>
      </c>
      <c r="F717" s="15">
        <f>'Data cleaning and validation(3)'!F705</f>
        <v>41437</v>
      </c>
      <c r="G717" s="8">
        <f>'Data cleaning and validation(3)'!G705</f>
        <v>8</v>
      </c>
      <c r="H717" s="19">
        <f>'Data cleaning and validation(3)'!H705</f>
        <v>114690</v>
      </c>
      <c r="I717" s="8" t="str">
        <f>'Data cleaning and validation(3)'!I705</f>
        <v>Staff Scientist</v>
      </c>
      <c r="J717" s="8" t="str">
        <f>'Data cleaning and validation(3)'!J705</f>
        <v>Southeast</v>
      </c>
      <c r="K717" s="8" t="str">
        <f>'Data cleaning and validation(3)'!K705</f>
        <v>USA</v>
      </c>
      <c r="L717" s="8" t="str">
        <f>'Data cleaning and validation(3)'!L705</f>
        <v>Electronic Equipment</v>
      </c>
      <c r="M717" s="8" t="str">
        <f>'Data cleaning and validation(3)'!M705</f>
        <v>Active</v>
      </c>
      <c r="N717" s="17">
        <f>'Data cleaning and validation(3)'!N705</f>
        <v>1376280</v>
      </c>
      <c r="O717" s="18">
        <f>'Data cleaning and validation(3)'!O705</f>
        <v>11469</v>
      </c>
    </row>
    <row r="718" spans="1:15" x14ac:dyDescent="0.35">
      <c r="A718" s="8">
        <f>'Data cleaning and validation(3)'!A706</f>
        <v>705</v>
      </c>
      <c r="B718" s="8" t="str">
        <f>'Data cleaning and validation(3)'!B706</f>
        <v>Clark</v>
      </c>
      <c r="C718" s="8" t="str">
        <f>'Data cleaning and validation(3)'!C706</f>
        <v>pclarkjk@joomla.org</v>
      </c>
      <c r="D718" s="8" t="str">
        <f>'Data cleaning and validation(3)'!D706</f>
        <v>M</v>
      </c>
      <c r="E718" s="8" t="str">
        <f>'Data cleaning and validation(3)'!E706</f>
        <v>Movies</v>
      </c>
      <c r="F718" s="15">
        <f>'Data cleaning and validation(3)'!F706</f>
        <v>40111</v>
      </c>
      <c r="G718" s="8">
        <f>'Data cleaning and validation(3)'!G706</f>
        <v>12</v>
      </c>
      <c r="H718" s="19">
        <f>'Data cleaning and validation(3)'!H706</f>
        <v>97150</v>
      </c>
      <c r="I718" s="8" t="str">
        <f>'Data cleaning and validation(3)'!I706</f>
        <v>VP Accounting</v>
      </c>
      <c r="J718" s="8" t="str">
        <f>'Data cleaning and validation(3)'!J706</f>
        <v>Quebec</v>
      </c>
      <c r="K718" s="8" t="str">
        <f>'Data cleaning and validation(3)'!K706</f>
        <v>Canada</v>
      </c>
      <c r="L718" s="8" t="str">
        <f>'Data cleaning and validation(3)'!L706</f>
        <v>Entertainment</v>
      </c>
      <c r="M718" s="8" t="str">
        <f>'Data cleaning and validation(3)'!M706</f>
        <v>Active</v>
      </c>
      <c r="N718" s="17">
        <f>'Data cleaning and validation(3)'!N706</f>
        <v>1165800</v>
      </c>
      <c r="O718" s="18">
        <f>'Data cleaning and validation(3)'!O706</f>
        <v>9715</v>
      </c>
    </row>
    <row r="719" spans="1:15" x14ac:dyDescent="0.35">
      <c r="A719" s="8">
        <f>'Data cleaning and validation(3)'!A707</f>
        <v>706</v>
      </c>
      <c r="B719" s="8" t="str">
        <f>'Data cleaning and validation(3)'!B707</f>
        <v>Mendoza</v>
      </c>
      <c r="C719" s="8" t="str">
        <f>'Data cleaning and validation(3)'!C707</f>
        <v>rmendozajl@g.co</v>
      </c>
      <c r="D719" s="8" t="str">
        <f>'Data cleaning and validation(3)'!D707</f>
        <v>F</v>
      </c>
      <c r="E719" s="8" t="str">
        <f>'Data cleaning and validation(3)'!E707</f>
        <v>Home</v>
      </c>
      <c r="F719" s="15">
        <f>'Data cleaning and validation(3)'!F707</f>
        <v>45631</v>
      </c>
      <c r="G719" s="8">
        <f>'Data cleaning and validation(3)'!G707</f>
        <v>10</v>
      </c>
      <c r="H719" s="19">
        <f>'Data cleaning and validation(3)'!H707</f>
        <v>91655</v>
      </c>
      <c r="I719" s="8" t="str">
        <f>'Data cleaning and validation(3)'!I707</f>
        <v>Cost Accountant</v>
      </c>
      <c r="J719" s="8" t="str">
        <f>'Data cleaning and validation(3)'!J707</f>
        <v>British Columbia</v>
      </c>
      <c r="K719" s="8" t="str">
        <f>'Data cleaning and validation(3)'!K707</f>
        <v>Canada</v>
      </c>
      <c r="L719" s="8" t="str">
        <f>'Data cleaning and validation(3)'!L707</f>
        <v>Domestic</v>
      </c>
      <c r="M719" s="8" t="str">
        <f>'Data cleaning and validation(3)'!M707</f>
        <v>Active</v>
      </c>
      <c r="N719" s="17">
        <f>'Data cleaning and validation(3)'!N707</f>
        <v>1099860</v>
      </c>
      <c r="O719" s="18">
        <f>'Data cleaning and validation(3)'!O707</f>
        <v>9165.5</v>
      </c>
    </row>
    <row r="720" spans="1:15" x14ac:dyDescent="0.35">
      <c r="A720" s="8">
        <f>'Data cleaning and validation(3)'!A708</f>
        <v>707</v>
      </c>
      <c r="B720" s="8" t="str">
        <f>'Data cleaning and validation(3)'!B708</f>
        <v>Perry</v>
      </c>
      <c r="C720" s="8" t="str">
        <f>'Data cleaning and validation(3)'!C708</f>
        <v>jperryjm@home.pl</v>
      </c>
      <c r="D720" s="8" t="str">
        <f>'Data cleaning and validation(3)'!D708</f>
        <v>M</v>
      </c>
      <c r="E720" s="8" t="str">
        <f>'Data cleaning and validation(3)'!E708</f>
        <v>Industrial</v>
      </c>
      <c r="F720" s="15">
        <f>'Data cleaning and validation(3)'!F708</f>
        <v>39029</v>
      </c>
      <c r="G720" s="8">
        <f>'Data cleaning and validation(3)'!G708</f>
        <v>15</v>
      </c>
      <c r="H720" s="19">
        <f>'Data cleaning and validation(3)'!H708</f>
        <v>124296</v>
      </c>
      <c r="I720" s="8" t="str">
        <f>'Data cleaning and validation(3)'!I708</f>
        <v>Developer III</v>
      </c>
      <c r="J720" s="8" t="str">
        <f>'Data cleaning and validation(3)'!J708</f>
        <v>Northeast</v>
      </c>
      <c r="K720" s="8" t="str">
        <f>'Data cleaning and validation(3)'!K708</f>
        <v>USA</v>
      </c>
      <c r="L720" s="8" t="str">
        <f>'Data cleaning and validation(3)'!L708</f>
        <v>Auto &amp; Hardware</v>
      </c>
      <c r="M720" s="8" t="str">
        <f>'Data cleaning and validation(3)'!M708</f>
        <v>Active</v>
      </c>
      <c r="N720" s="17">
        <f>'Data cleaning and validation(3)'!N708</f>
        <v>1491552</v>
      </c>
      <c r="O720" s="18">
        <f>'Data cleaning and validation(3)'!O708</f>
        <v>12429.6</v>
      </c>
    </row>
    <row r="721" spans="1:15" x14ac:dyDescent="0.35">
      <c r="A721" s="8">
        <f>'Data cleaning and validation(3)'!A709</f>
        <v>708</v>
      </c>
      <c r="B721" s="8" t="str">
        <f>'Data cleaning and validation(3)'!B709</f>
        <v>Rose</v>
      </c>
      <c r="C721" s="8" t="str">
        <f>'Data cleaning and validation(3)'!C709</f>
        <v>crosejn@cnbc.com</v>
      </c>
      <c r="D721" s="8" t="str">
        <f>'Data cleaning and validation(3)'!D709</f>
        <v>F</v>
      </c>
      <c r="E721" s="8" t="str">
        <f>'Data cleaning and validation(3)'!E709</f>
        <v>Automotive</v>
      </c>
      <c r="F721" s="15">
        <f>'Data cleaning and validation(3)'!F709</f>
        <v>45650</v>
      </c>
      <c r="G721" s="8">
        <f>'Data cleaning and validation(3)'!G709</f>
        <v>10</v>
      </c>
      <c r="H721" s="19">
        <f>'Data cleaning and validation(3)'!H709</f>
        <v>66063</v>
      </c>
      <c r="I721" s="8" t="str">
        <f>'Data cleaning and validation(3)'!I709</f>
        <v>Software Test Engineer I</v>
      </c>
      <c r="J721" s="8" t="str">
        <f>'Data cleaning and validation(3)'!J709</f>
        <v>Nova Scotia</v>
      </c>
      <c r="K721" s="8" t="str">
        <f>'Data cleaning and validation(3)'!K709</f>
        <v>Canada</v>
      </c>
      <c r="L721" s="8" t="str">
        <f>'Data cleaning and validation(3)'!L709</f>
        <v>Auto &amp; Hardware</v>
      </c>
      <c r="M721" s="8" t="str">
        <f>'Data cleaning and validation(3)'!M709</f>
        <v>Active</v>
      </c>
      <c r="N721" s="17">
        <f>'Data cleaning and validation(3)'!N709</f>
        <v>792756</v>
      </c>
      <c r="O721" s="18">
        <f>'Data cleaning and validation(3)'!O709</f>
        <v>6606.3</v>
      </c>
    </row>
    <row r="722" spans="1:15" x14ac:dyDescent="0.35">
      <c r="A722" s="8">
        <f>'Data cleaning and validation(3)'!A710</f>
        <v>709</v>
      </c>
      <c r="B722" s="8" t="str">
        <f>'Data cleaning and validation(3)'!B710</f>
        <v>Payne</v>
      </c>
      <c r="C722" s="8" t="str">
        <f>'Data cleaning and validation(3)'!C710</f>
        <v>cpaynejo@tinyurl.com</v>
      </c>
      <c r="D722" s="8" t="str">
        <f>'Data cleaning and validation(3)'!D710</f>
        <v>F</v>
      </c>
      <c r="E722" s="8" t="str">
        <f>'Data cleaning and validation(3)'!E710</f>
        <v>Books</v>
      </c>
      <c r="F722" s="15">
        <f>'Data cleaning and validation(3)'!F710</f>
        <v>43842</v>
      </c>
      <c r="G722" s="8">
        <f>'Data cleaning and validation(3)'!G710</f>
        <v>14</v>
      </c>
      <c r="H722" s="19">
        <f>'Data cleaning and validation(3)'!H710</f>
        <v>138137</v>
      </c>
      <c r="I722" s="8" t="str">
        <f>'Data cleaning and validation(3)'!I710</f>
        <v>Developer IV</v>
      </c>
      <c r="J722" s="8" t="str">
        <f>'Data cleaning and validation(3)'!J710</f>
        <v>Southeast</v>
      </c>
      <c r="K722" s="8" t="str">
        <f>'Data cleaning and validation(3)'!K710</f>
        <v>USA</v>
      </c>
      <c r="L722" s="8" t="str">
        <f>'Data cleaning and validation(3)'!L710</f>
        <v>Library</v>
      </c>
      <c r="M722" s="8" t="str">
        <f>'Data cleaning and validation(3)'!M710</f>
        <v>Active</v>
      </c>
      <c r="N722" s="17">
        <f>'Data cleaning and validation(3)'!N710</f>
        <v>1657644</v>
      </c>
      <c r="O722" s="18">
        <f>'Data cleaning and validation(3)'!O710</f>
        <v>13813.7</v>
      </c>
    </row>
    <row r="723" spans="1:15" x14ac:dyDescent="0.35">
      <c r="A723" s="8">
        <f>'Data cleaning and validation(3)'!A711</f>
        <v>710</v>
      </c>
      <c r="B723" s="8" t="str">
        <f>'Data cleaning and validation(3)'!B711</f>
        <v>Mills</v>
      </c>
      <c r="C723" s="8" t="str">
        <f>'Data cleaning and validation(3)'!C711</f>
        <v>jmillsjp@yahoo.com</v>
      </c>
      <c r="D723" s="8" t="str">
        <f>'Data cleaning and validation(3)'!D711</f>
        <v>F</v>
      </c>
      <c r="E723" s="8" t="str">
        <f>'Data cleaning and validation(3)'!E711</f>
        <v>Music</v>
      </c>
      <c r="F723" s="15">
        <f>'Data cleaning and validation(3)'!F711</f>
        <v>38374</v>
      </c>
      <c r="G723" s="8">
        <f>'Data cleaning and validation(3)'!G711</f>
        <v>16</v>
      </c>
      <c r="H723" s="19">
        <f>'Data cleaning and validation(3)'!H711</f>
        <v>49326</v>
      </c>
      <c r="I723" s="8" t="str">
        <f>'Data cleaning and validation(3)'!I711</f>
        <v>Chemical Engineer</v>
      </c>
      <c r="J723" s="8" t="str">
        <f>'Data cleaning and validation(3)'!J711</f>
        <v>Nova Scotia</v>
      </c>
      <c r="K723" s="8" t="str">
        <f>'Data cleaning and validation(3)'!K711</f>
        <v>Canada</v>
      </c>
      <c r="L723" s="8" t="str">
        <f>'Data cleaning and validation(3)'!L711</f>
        <v>Entertainment</v>
      </c>
      <c r="M723" s="8" t="str">
        <f>'Data cleaning and validation(3)'!M711</f>
        <v>Active</v>
      </c>
      <c r="N723" s="17">
        <f>'Data cleaning and validation(3)'!N711</f>
        <v>591912</v>
      </c>
      <c r="O723" s="18">
        <f>'Data cleaning and validation(3)'!O711</f>
        <v>4932.6000000000004</v>
      </c>
    </row>
    <row r="724" spans="1:15" x14ac:dyDescent="0.35">
      <c r="A724" s="8">
        <f>'Data cleaning and validation(3)'!A712</f>
        <v>711</v>
      </c>
      <c r="B724" s="8" t="str">
        <f>'Data cleaning and validation(3)'!B712</f>
        <v>Roberts</v>
      </c>
      <c r="C724" s="8" t="str">
        <f>'Data cleaning and validation(3)'!C712</f>
        <v>jrobertsjq@ed.gov</v>
      </c>
      <c r="D724" s="8" t="str">
        <f>'Data cleaning and validation(3)'!D712</f>
        <v>M</v>
      </c>
      <c r="E724" s="8" t="str">
        <f>'Data cleaning and validation(3)'!E712</f>
        <v>Clothing</v>
      </c>
      <c r="F724" s="15">
        <f>'Data cleaning and validation(3)'!F712</f>
        <v>40046</v>
      </c>
      <c r="G724" s="8">
        <f>'Data cleaning and validation(3)'!G712</f>
        <v>12</v>
      </c>
      <c r="H724" s="19">
        <f>'Data cleaning and validation(3)'!H712</f>
        <v>80743</v>
      </c>
      <c r="I724" s="8" t="str">
        <f>'Data cleaning and validation(3)'!I712</f>
        <v>Geological Engineer</v>
      </c>
      <c r="J724" s="8" t="str">
        <f>'Data cleaning and validation(3)'!J712</f>
        <v>Southwest</v>
      </c>
      <c r="K724" s="8" t="str">
        <f>'Data cleaning and validation(3)'!K712</f>
        <v>USA</v>
      </c>
      <c r="L724" s="8" t="str">
        <f>'Data cleaning and validation(3)'!L712</f>
        <v>Domestic</v>
      </c>
      <c r="M724" s="8" t="str">
        <f>'Data cleaning and validation(3)'!M712</f>
        <v>Active</v>
      </c>
      <c r="N724" s="17">
        <f>'Data cleaning and validation(3)'!N712</f>
        <v>968916</v>
      </c>
      <c r="O724" s="18">
        <f>'Data cleaning and validation(3)'!O712</f>
        <v>8074.3</v>
      </c>
    </row>
    <row r="725" spans="1:15" x14ac:dyDescent="0.35">
      <c r="A725" s="8">
        <f>'Data cleaning and validation(3)'!A713</f>
        <v>712</v>
      </c>
      <c r="B725" s="8" t="str">
        <f>'Data cleaning and validation(3)'!B713</f>
        <v>Torres</v>
      </c>
      <c r="C725" s="8" t="str">
        <f>'Data cleaning and validation(3)'!C713</f>
        <v>dtorresjr@state.tx.us</v>
      </c>
      <c r="D725" s="8" t="str">
        <f>'Data cleaning and validation(3)'!D713</f>
        <v>M</v>
      </c>
      <c r="E725" s="8" t="str">
        <f>'Data cleaning and validation(3)'!E713</f>
        <v>Jewelery</v>
      </c>
      <c r="F725" s="15">
        <f>'Data cleaning and validation(3)'!F713</f>
        <v>39439</v>
      </c>
      <c r="G725" s="8">
        <f>'Data cleaning and validation(3)'!G713</f>
        <v>14</v>
      </c>
      <c r="H725" s="19">
        <f>'Data cleaning and validation(3)'!H713</f>
        <v>105686</v>
      </c>
      <c r="I725" s="8" t="str">
        <f>'Data cleaning and validation(3)'!I713</f>
        <v>Senior Developer</v>
      </c>
      <c r="J725" s="8" t="str">
        <f>'Data cleaning and validation(3)'!J713</f>
        <v>Quebec</v>
      </c>
      <c r="K725" s="8" t="str">
        <f>'Data cleaning and validation(3)'!K713</f>
        <v>Canada</v>
      </c>
      <c r="L725" s="8" t="str">
        <f>'Data cleaning and validation(3)'!L713</f>
        <v>Fashion</v>
      </c>
      <c r="M725" s="8" t="str">
        <f>'Data cleaning and validation(3)'!M713</f>
        <v>Active</v>
      </c>
      <c r="N725" s="17">
        <f>'Data cleaning and validation(3)'!N713</f>
        <v>1268232</v>
      </c>
      <c r="O725" s="18">
        <f>'Data cleaning and validation(3)'!O713</f>
        <v>10568.6</v>
      </c>
    </row>
    <row r="726" spans="1:15" x14ac:dyDescent="0.35">
      <c r="A726" s="8">
        <f>'Data cleaning and validation(3)'!A714</f>
        <v>713</v>
      </c>
      <c r="B726" s="8" t="str">
        <f>'Data cleaning and validation(3)'!B714</f>
        <v>Hicks</v>
      </c>
      <c r="C726" s="8" t="str">
        <f>'Data cleaning and validation(3)'!C714</f>
        <v>ahicksjs@arstechnica.com</v>
      </c>
      <c r="D726" s="8" t="str">
        <f>'Data cleaning and validation(3)'!D714</f>
        <v>F</v>
      </c>
      <c r="E726" s="8" t="str">
        <f>'Data cleaning and validation(3)'!E714</f>
        <v>Sports</v>
      </c>
      <c r="F726" s="15">
        <f>'Data cleaning and validation(3)'!F714</f>
        <v>46379</v>
      </c>
      <c r="G726" s="8">
        <f>'Data cleaning and validation(3)'!G714</f>
        <v>8</v>
      </c>
      <c r="H726" s="19">
        <f>'Data cleaning and validation(3)'!H714</f>
        <v>65650</v>
      </c>
      <c r="I726" s="8" t="str">
        <f>'Data cleaning and validation(3)'!I714</f>
        <v>Project Manager</v>
      </c>
      <c r="J726" s="8" t="str">
        <f>'Data cleaning and validation(3)'!J714</f>
        <v>Northeast</v>
      </c>
      <c r="K726" s="8" t="str">
        <f>'Data cleaning and validation(3)'!K714</f>
        <v>USA</v>
      </c>
      <c r="L726" s="8" t="str">
        <f>'Data cleaning and validation(3)'!L714</f>
        <v>Games &amp; Sports</v>
      </c>
      <c r="M726" s="8" t="str">
        <f>'Data cleaning and validation(3)'!M714</f>
        <v>Active</v>
      </c>
      <c r="N726" s="17">
        <f>'Data cleaning and validation(3)'!N714</f>
        <v>787800</v>
      </c>
      <c r="O726" s="18">
        <f>'Data cleaning and validation(3)'!O714</f>
        <v>6565</v>
      </c>
    </row>
    <row r="727" spans="1:15" x14ac:dyDescent="0.35">
      <c r="A727" s="8">
        <f>'Data cleaning and validation(3)'!A715</f>
        <v>714</v>
      </c>
      <c r="B727" s="8" t="str">
        <f>'Data cleaning and validation(3)'!B715</f>
        <v>Cooper</v>
      </c>
      <c r="C727" s="8" t="str">
        <f>'Data cleaning and validation(3)'!C715</f>
        <v>kcooperjt@salon.com</v>
      </c>
      <c r="D727" s="8" t="str">
        <f>'Data cleaning and validation(3)'!D715</f>
        <v>M</v>
      </c>
      <c r="E727" s="8" t="str">
        <f>'Data cleaning and validation(3)'!E715</f>
        <v>Games</v>
      </c>
      <c r="F727" s="15">
        <f>'Data cleaning and validation(3)'!F715</f>
        <v>37890</v>
      </c>
      <c r="G727" s="8">
        <f>'Data cleaning and validation(3)'!G715</f>
        <v>18</v>
      </c>
      <c r="H727" s="19">
        <f>'Data cleaning and validation(3)'!H715</f>
        <v>86446</v>
      </c>
      <c r="I727" s="8" t="str">
        <f>'Data cleaning and validation(3)'!I715</f>
        <v>Statistician II</v>
      </c>
      <c r="J727" s="8" t="str">
        <f>'Data cleaning and validation(3)'!J715</f>
        <v>Southwest</v>
      </c>
      <c r="K727" s="8" t="str">
        <f>'Data cleaning and validation(3)'!K715</f>
        <v>USA</v>
      </c>
      <c r="L727" s="8" t="str">
        <f>'Data cleaning and validation(3)'!L715</f>
        <v>Domestic</v>
      </c>
      <c r="M727" s="8" t="str">
        <f>'Data cleaning and validation(3)'!M715</f>
        <v>Active</v>
      </c>
      <c r="N727" s="17">
        <f>'Data cleaning and validation(3)'!N715</f>
        <v>1037352</v>
      </c>
      <c r="O727" s="18">
        <f>'Data cleaning and validation(3)'!O715</f>
        <v>8644.6</v>
      </c>
    </row>
    <row r="728" spans="1:15" x14ac:dyDescent="0.35">
      <c r="A728" s="8">
        <f>'Data cleaning and validation(3)'!A716</f>
        <v>715</v>
      </c>
      <c r="B728" s="8" t="str">
        <f>'Data cleaning and validation(3)'!B716</f>
        <v>Henry</v>
      </c>
      <c r="C728" s="8" t="str">
        <f>'Data cleaning and validation(3)'!C716</f>
        <v>rhenryju@answers.com</v>
      </c>
      <c r="D728" s="8" t="str">
        <f>'Data cleaning and validation(3)'!D716</f>
        <v>F</v>
      </c>
      <c r="E728" s="8" t="str">
        <f>'Data cleaning and validation(3)'!E716</f>
        <v>Games</v>
      </c>
      <c r="F728" s="15">
        <f>'Data cleaning and validation(3)'!F716</f>
        <v>45103</v>
      </c>
      <c r="G728" s="8">
        <f>'Data cleaning and validation(3)'!G716</f>
        <v>11</v>
      </c>
      <c r="H728" s="19">
        <f>'Data cleaning and validation(3)'!H716</f>
        <v>132421</v>
      </c>
      <c r="I728" s="8" t="str">
        <f>'Data cleaning and validation(3)'!I716</f>
        <v>Human Resources Manager</v>
      </c>
      <c r="J728" s="8" t="str">
        <f>'Data cleaning and validation(3)'!J716</f>
        <v>Northeast</v>
      </c>
      <c r="K728" s="8" t="str">
        <f>'Data cleaning and validation(3)'!K716</f>
        <v>USA</v>
      </c>
      <c r="L728" s="8" t="str">
        <f>'Data cleaning and validation(3)'!L716</f>
        <v>Domestic</v>
      </c>
      <c r="M728" s="8" t="str">
        <f>'Data cleaning and validation(3)'!M716</f>
        <v>Active</v>
      </c>
      <c r="N728" s="17">
        <f>'Data cleaning and validation(3)'!N716</f>
        <v>1589052</v>
      </c>
      <c r="O728" s="18">
        <f>'Data cleaning and validation(3)'!O716</f>
        <v>13242.1</v>
      </c>
    </row>
    <row r="729" spans="1:15" x14ac:dyDescent="0.35">
      <c r="A729" s="8">
        <f>'Data cleaning and validation(3)'!A717</f>
        <v>716</v>
      </c>
      <c r="B729" s="8" t="str">
        <f>'Data cleaning and validation(3)'!B717</f>
        <v>Jacobs</v>
      </c>
      <c r="C729" s="8" t="str">
        <f>'Data cleaning and validation(3)'!C717</f>
        <v>bjacobsjv@thetimes.co.uk</v>
      </c>
      <c r="D729" s="8" t="str">
        <f>'Data cleaning and validation(3)'!D717</f>
        <v>M</v>
      </c>
      <c r="E729" s="8" t="str">
        <f>'Data cleaning and validation(3)'!E717</f>
        <v>Electronics</v>
      </c>
      <c r="F729" s="15">
        <f>'Data cleaning and validation(3)'!F717</f>
        <v>38156</v>
      </c>
      <c r="G729" s="8">
        <f>'Data cleaning and validation(3)'!G717</f>
        <v>17</v>
      </c>
      <c r="H729" s="19">
        <f>'Data cleaning and validation(3)'!H717</f>
        <v>69855</v>
      </c>
      <c r="I729" s="8" t="str">
        <f>'Data cleaning and validation(3)'!I717</f>
        <v>Payment Adjustment Coordinator</v>
      </c>
      <c r="J729" s="8" t="str">
        <f>'Data cleaning and validation(3)'!J717</f>
        <v>Southwest</v>
      </c>
      <c r="K729" s="8" t="str">
        <f>'Data cleaning and validation(3)'!K717</f>
        <v>USA</v>
      </c>
      <c r="L729" s="8" t="str">
        <f>'Data cleaning and validation(3)'!L717</f>
        <v>Electronic Equipment</v>
      </c>
      <c r="M729" s="8" t="str">
        <f>'Data cleaning and validation(3)'!M717</f>
        <v>Active</v>
      </c>
      <c r="N729" s="17">
        <f>'Data cleaning and validation(3)'!N717</f>
        <v>838260</v>
      </c>
      <c r="O729" s="18">
        <f>'Data cleaning and validation(3)'!O717</f>
        <v>6985.5</v>
      </c>
    </row>
    <row r="730" spans="1:15" x14ac:dyDescent="0.35">
      <c r="A730" s="8">
        <f>'Data cleaning and validation(3)'!A718</f>
        <v>717</v>
      </c>
      <c r="B730" s="8" t="str">
        <f>'Data cleaning and validation(3)'!B718</f>
        <v>Greene</v>
      </c>
      <c r="C730" s="8" t="str">
        <f>'Data cleaning and validation(3)'!C718</f>
        <v>rgreenejw@so-net.ne.jp</v>
      </c>
      <c r="D730" s="8" t="str">
        <f>'Data cleaning and validation(3)'!D718</f>
        <v>F</v>
      </c>
      <c r="E730" s="8" t="str">
        <f>'Data cleaning and validation(3)'!E718</f>
        <v>Outdoors</v>
      </c>
      <c r="F730" s="15">
        <f>'Data cleaning and validation(3)'!F718</f>
        <v>44020</v>
      </c>
      <c r="G730" s="8">
        <f>'Data cleaning and validation(3)'!G718</f>
        <v>14</v>
      </c>
      <c r="H730" s="19">
        <f>'Data cleaning and validation(3)'!H718</f>
        <v>80999</v>
      </c>
      <c r="I730" s="8" t="str">
        <f>'Data cleaning and validation(3)'!I718</f>
        <v>Staff Accountant II</v>
      </c>
      <c r="J730" s="8" t="str">
        <f>'Data cleaning and validation(3)'!J718</f>
        <v>Quebec</v>
      </c>
      <c r="K730" s="8" t="str">
        <f>'Data cleaning and validation(3)'!K718</f>
        <v>Canada</v>
      </c>
      <c r="L730" s="8" t="str">
        <f>'Data cleaning and validation(3)'!L718</f>
        <v>Outdoors &amp; Garden</v>
      </c>
      <c r="M730" s="8" t="str">
        <f>'Data cleaning and validation(3)'!M718</f>
        <v>Active</v>
      </c>
      <c r="N730" s="17">
        <f>'Data cleaning and validation(3)'!N718</f>
        <v>971988</v>
      </c>
      <c r="O730" s="18">
        <f>'Data cleaning and validation(3)'!O718</f>
        <v>8099.9000000000005</v>
      </c>
    </row>
    <row r="731" spans="1:15" x14ac:dyDescent="0.35">
      <c r="A731" s="8">
        <f>'Data cleaning and validation(3)'!A719</f>
        <v>718</v>
      </c>
      <c r="B731" s="8" t="str">
        <f>'Data cleaning and validation(3)'!B719</f>
        <v>Armstrong</v>
      </c>
      <c r="C731" s="8" t="str">
        <f>'Data cleaning and validation(3)'!C719</f>
        <v>darmstrongjx@cafepress.com</v>
      </c>
      <c r="D731" s="8" t="str">
        <f>'Data cleaning and validation(3)'!D719</f>
        <v>M</v>
      </c>
      <c r="E731" s="8" t="str">
        <f>'Data cleaning and validation(3)'!E719</f>
        <v>Health</v>
      </c>
      <c r="F731" s="15">
        <f>'Data cleaning and validation(3)'!F719</f>
        <v>37624</v>
      </c>
      <c r="G731" s="8">
        <f>'Data cleaning and validation(3)'!G719</f>
        <v>18</v>
      </c>
      <c r="H731" s="19">
        <f>'Data cleaning and validation(3)'!H719</f>
        <v>66447</v>
      </c>
      <c r="I731" s="8" t="str">
        <f>'Data cleaning and validation(3)'!I719</f>
        <v>Account Coordinator</v>
      </c>
      <c r="J731" s="8" t="str">
        <f>'Data cleaning and validation(3)'!J719</f>
        <v>Southeast</v>
      </c>
      <c r="K731" s="8" t="str">
        <f>'Data cleaning and validation(3)'!K719</f>
        <v>USA</v>
      </c>
      <c r="L731" s="8" t="str">
        <f>'Data cleaning and validation(3)'!L719</f>
        <v>Domestic</v>
      </c>
      <c r="M731" s="8" t="str">
        <f>'Data cleaning and validation(3)'!M719</f>
        <v>Active</v>
      </c>
      <c r="N731" s="17">
        <f>'Data cleaning and validation(3)'!N719</f>
        <v>797364</v>
      </c>
      <c r="O731" s="18">
        <f>'Data cleaning and validation(3)'!O719</f>
        <v>6644.7000000000007</v>
      </c>
    </row>
    <row r="732" spans="1:15" x14ac:dyDescent="0.35">
      <c r="A732" s="8">
        <f>'Data cleaning and validation(3)'!A720</f>
        <v>719</v>
      </c>
      <c r="B732" s="8" t="str">
        <f>'Data cleaning and validation(3)'!B720</f>
        <v>Wagner</v>
      </c>
      <c r="C732" s="8" t="str">
        <f>'Data cleaning and validation(3)'!C720</f>
        <v>ewagnerjy@jalbum.net</v>
      </c>
      <c r="D732" s="8" t="str">
        <f>'Data cleaning and validation(3)'!D720</f>
        <v>M</v>
      </c>
      <c r="E732" s="8" t="str">
        <f>'Data cleaning and validation(3)'!E720</f>
        <v>Beauty</v>
      </c>
      <c r="F732" s="15">
        <f>'Data cleaning and validation(3)'!F720</f>
        <v>41278</v>
      </c>
      <c r="G732" s="8">
        <f>'Data cleaning and validation(3)'!G720</f>
        <v>8</v>
      </c>
      <c r="H732" s="19">
        <f>'Data cleaning and validation(3)'!H720</f>
        <v>135445</v>
      </c>
      <c r="I732" s="8" t="str">
        <f>'Data cleaning and validation(3)'!I720</f>
        <v>Operator</v>
      </c>
      <c r="J732" s="8" t="str">
        <f>'Data cleaning and validation(3)'!J720</f>
        <v>Southeast</v>
      </c>
      <c r="K732" s="8" t="str">
        <f>'Data cleaning and validation(3)'!K720</f>
        <v>USA</v>
      </c>
      <c r="L732" s="8" t="str">
        <f>'Data cleaning and validation(3)'!L720</f>
        <v>Domestic</v>
      </c>
      <c r="M732" s="8" t="str">
        <f>'Data cleaning and validation(3)'!M720</f>
        <v>Active</v>
      </c>
      <c r="N732" s="17">
        <f>'Data cleaning and validation(3)'!N720</f>
        <v>1625340</v>
      </c>
      <c r="O732" s="18">
        <f>'Data cleaning and validation(3)'!O720</f>
        <v>13544.5</v>
      </c>
    </row>
    <row r="733" spans="1:15" x14ac:dyDescent="0.35">
      <c r="A733" s="8">
        <f>'Data cleaning and validation(3)'!A721</f>
        <v>720</v>
      </c>
      <c r="B733" s="8" t="str">
        <f>'Data cleaning and validation(3)'!B721</f>
        <v>Rice</v>
      </c>
      <c r="C733" s="8" t="str">
        <f>'Data cleaning and validation(3)'!C721</f>
        <v>hricejz@blinklist.com</v>
      </c>
      <c r="D733" s="8" t="str">
        <f>'Data cleaning and validation(3)'!D721</f>
        <v>F</v>
      </c>
      <c r="E733" s="8" t="str">
        <f>'Data cleaning and validation(3)'!E721</f>
        <v>Jewelery</v>
      </c>
      <c r="F733" s="15">
        <f>'Data cleaning and validation(3)'!F721</f>
        <v>45238</v>
      </c>
      <c r="G733" s="8">
        <f>'Data cleaning and validation(3)'!G721</f>
        <v>11</v>
      </c>
      <c r="H733" s="19">
        <f>'Data cleaning and validation(3)'!H721</f>
        <v>57781</v>
      </c>
      <c r="I733" s="8" t="str">
        <f>'Data cleaning and validation(3)'!I721</f>
        <v>Dental Hygienist</v>
      </c>
      <c r="J733" s="8" t="str">
        <f>'Data cleaning and validation(3)'!J721</f>
        <v>Southwest</v>
      </c>
      <c r="K733" s="8" t="str">
        <f>'Data cleaning and validation(3)'!K721</f>
        <v>USA</v>
      </c>
      <c r="L733" s="8" t="str">
        <f>'Data cleaning and validation(3)'!L721</f>
        <v>Fashion</v>
      </c>
      <c r="M733" s="8" t="str">
        <f>'Data cleaning and validation(3)'!M721</f>
        <v>Active</v>
      </c>
      <c r="N733" s="17">
        <f>'Data cleaning and validation(3)'!N721</f>
        <v>693372</v>
      </c>
      <c r="O733" s="18">
        <f>'Data cleaning and validation(3)'!O721</f>
        <v>5778.1</v>
      </c>
    </row>
    <row r="734" spans="1:15" x14ac:dyDescent="0.35">
      <c r="A734" s="8">
        <f>'Data cleaning and validation(3)'!A722</f>
        <v>721</v>
      </c>
      <c r="B734" s="8" t="str">
        <f>'Data cleaning and validation(3)'!B722</f>
        <v>Smith</v>
      </c>
      <c r="C734" s="8" t="str">
        <f>'Data cleaning and validation(3)'!C722</f>
        <v>hsmithk0@4shared.com</v>
      </c>
      <c r="D734" s="8" t="str">
        <f>'Data cleaning and validation(3)'!D722</f>
        <v>F</v>
      </c>
      <c r="E734" s="8" t="str">
        <f>'Data cleaning and validation(3)'!E722</f>
        <v>Health</v>
      </c>
      <c r="F734" s="15">
        <f>'Data cleaning and validation(3)'!F722</f>
        <v>38616</v>
      </c>
      <c r="G734" s="8">
        <f>'Data cleaning and validation(3)'!G722</f>
        <v>16</v>
      </c>
      <c r="H734" s="19">
        <f>'Data cleaning and validation(3)'!H722</f>
        <v>83802</v>
      </c>
      <c r="I734" s="8" t="str">
        <f>'Data cleaning and validation(3)'!I722</f>
        <v>Research Assistant II</v>
      </c>
      <c r="J734" s="8" t="str">
        <f>'Data cleaning and validation(3)'!J722</f>
        <v>Nova Scotia</v>
      </c>
      <c r="K734" s="8" t="str">
        <f>'Data cleaning and validation(3)'!K722</f>
        <v>Canada</v>
      </c>
      <c r="L734" s="8" t="str">
        <f>'Data cleaning and validation(3)'!L722</f>
        <v>Domestic</v>
      </c>
      <c r="M734" s="8" t="str">
        <f>'Data cleaning and validation(3)'!M722</f>
        <v>Active</v>
      </c>
      <c r="N734" s="17">
        <f>'Data cleaning and validation(3)'!N722</f>
        <v>1005624</v>
      </c>
      <c r="O734" s="18">
        <f>'Data cleaning and validation(3)'!O722</f>
        <v>8380.2000000000007</v>
      </c>
    </row>
    <row r="735" spans="1:15" x14ac:dyDescent="0.35">
      <c r="A735" s="8">
        <f>'Data cleaning and validation(3)'!A723</f>
        <v>722</v>
      </c>
      <c r="B735" s="8" t="str">
        <f>'Data cleaning and validation(3)'!B723</f>
        <v>Hill</v>
      </c>
      <c r="C735" s="8" t="str">
        <f>'Data cleaning and validation(3)'!C723</f>
        <v>khillk1@about.me</v>
      </c>
      <c r="D735" s="8" t="str">
        <f>'Data cleaning and validation(3)'!D723</f>
        <v>F</v>
      </c>
      <c r="E735" s="8" t="str">
        <f>'Data cleaning and validation(3)'!E723</f>
        <v>Clothing</v>
      </c>
      <c r="F735" s="15">
        <f>'Data cleaning and validation(3)'!F723</f>
        <v>37499</v>
      </c>
      <c r="G735" s="8">
        <f>'Data cleaning and validation(3)'!G723</f>
        <v>19</v>
      </c>
      <c r="H735" s="19">
        <f>'Data cleaning and validation(3)'!H723</f>
        <v>73262</v>
      </c>
      <c r="I735" s="8" t="str">
        <f>'Data cleaning and validation(3)'!I723</f>
        <v>Information Systems Manager</v>
      </c>
      <c r="J735" s="8" t="str">
        <f>'Data cleaning and validation(3)'!J723</f>
        <v>British Columbia</v>
      </c>
      <c r="K735" s="8" t="str">
        <f>'Data cleaning and validation(3)'!K723</f>
        <v>Canada</v>
      </c>
      <c r="L735" s="8" t="str">
        <f>'Data cleaning and validation(3)'!L723</f>
        <v>Domestic</v>
      </c>
      <c r="M735" s="8" t="str">
        <f>'Data cleaning and validation(3)'!M723</f>
        <v>Active</v>
      </c>
      <c r="N735" s="17">
        <f>'Data cleaning and validation(3)'!N723</f>
        <v>879144</v>
      </c>
      <c r="O735" s="18">
        <f>'Data cleaning and validation(3)'!O723</f>
        <v>7326.2000000000007</v>
      </c>
    </row>
    <row r="736" spans="1:15" x14ac:dyDescent="0.35">
      <c r="A736" s="8">
        <f>'Data cleaning and validation(3)'!A724</f>
        <v>723</v>
      </c>
      <c r="B736" s="8" t="str">
        <f>'Data cleaning and validation(3)'!B724</f>
        <v>Howard</v>
      </c>
      <c r="C736" s="8" t="str">
        <f>'Data cleaning and validation(3)'!C724</f>
        <v>rhowardk2@cnet.com</v>
      </c>
      <c r="D736" s="8" t="str">
        <f>'Data cleaning and validation(3)'!D724</f>
        <v>F</v>
      </c>
      <c r="E736" s="8" t="str">
        <f>'Data cleaning and validation(3)'!E724</f>
        <v>Baby</v>
      </c>
      <c r="F736" s="15">
        <f>'Data cleaning and validation(3)'!F724</f>
        <v>37318</v>
      </c>
      <c r="G736" s="8">
        <f>'Data cleaning and validation(3)'!G724</f>
        <v>19</v>
      </c>
      <c r="H736" s="19">
        <f>'Data cleaning and validation(3)'!H724</f>
        <v>89035</v>
      </c>
      <c r="I736" s="8" t="str">
        <f>'Data cleaning and validation(3)'!I724</f>
        <v>Senior Editor</v>
      </c>
      <c r="J736" s="8" t="str">
        <f>'Data cleaning and validation(3)'!J724</f>
        <v>British Columbia</v>
      </c>
      <c r="K736" s="8" t="str">
        <f>'Data cleaning and validation(3)'!K724</f>
        <v>Canada</v>
      </c>
      <c r="L736" s="8" t="str">
        <f>'Data cleaning and validation(3)'!L724</f>
        <v>Domestic</v>
      </c>
      <c r="M736" s="8" t="str">
        <f>'Data cleaning and validation(3)'!M724</f>
        <v>Active</v>
      </c>
      <c r="N736" s="17">
        <f>'Data cleaning and validation(3)'!N724</f>
        <v>1068420</v>
      </c>
      <c r="O736" s="18">
        <f>'Data cleaning and validation(3)'!O724</f>
        <v>8903.5</v>
      </c>
    </row>
    <row r="737" spans="1:15" x14ac:dyDescent="0.35">
      <c r="A737" s="8">
        <f>'Data cleaning and validation(3)'!A725</f>
        <v>724</v>
      </c>
      <c r="B737" s="8" t="str">
        <f>'Data cleaning and validation(3)'!B725</f>
        <v>Elliott</v>
      </c>
      <c r="C737" s="8" t="str">
        <f>'Data cleaning and validation(3)'!C725</f>
        <v>delliottk3@who.int</v>
      </c>
      <c r="D737" s="8" t="str">
        <f>'Data cleaning and validation(3)'!D725</f>
        <v>M</v>
      </c>
      <c r="E737" s="8" t="str">
        <f>'Data cleaning and validation(3)'!E725</f>
        <v>Industrial</v>
      </c>
      <c r="F737" s="15">
        <f>'Data cleaning and validation(3)'!F725</f>
        <v>37031</v>
      </c>
      <c r="G737" s="8">
        <f>'Data cleaning and validation(3)'!G725</f>
        <v>20</v>
      </c>
      <c r="H737" s="19">
        <f>'Data cleaning and validation(3)'!H725</f>
        <v>125115</v>
      </c>
      <c r="I737" s="8" t="str">
        <f>'Data cleaning and validation(3)'!I725</f>
        <v>Senior Quality Engineer</v>
      </c>
      <c r="J737" s="8" t="str">
        <f>'Data cleaning and validation(3)'!J725</f>
        <v>Northwest</v>
      </c>
      <c r="K737" s="8" t="str">
        <f>'Data cleaning and validation(3)'!K725</f>
        <v>USA</v>
      </c>
      <c r="L737" s="8" t="str">
        <f>'Data cleaning and validation(3)'!L725</f>
        <v>Auto &amp; Hardware</v>
      </c>
      <c r="M737" s="8" t="str">
        <f>'Data cleaning and validation(3)'!M725</f>
        <v>Active</v>
      </c>
      <c r="N737" s="17">
        <f>'Data cleaning and validation(3)'!N725</f>
        <v>1501380</v>
      </c>
      <c r="O737" s="18">
        <f>'Data cleaning and validation(3)'!O725</f>
        <v>12511.5</v>
      </c>
    </row>
    <row r="738" spans="1:15" x14ac:dyDescent="0.35">
      <c r="A738" s="8">
        <f>'Data cleaning and validation(3)'!A726</f>
        <v>725</v>
      </c>
      <c r="B738" s="8" t="str">
        <f>'Data cleaning and validation(3)'!B726</f>
        <v>Richards</v>
      </c>
      <c r="C738" s="8" t="str">
        <f>'Data cleaning and validation(3)'!C726</f>
        <v>krichardsk4@bloglines.com</v>
      </c>
      <c r="D738" s="8" t="str">
        <f>'Data cleaning and validation(3)'!D726</f>
        <v>M</v>
      </c>
      <c r="E738" s="8" t="str">
        <f>'Data cleaning and validation(3)'!E726</f>
        <v>Baby</v>
      </c>
      <c r="F738" s="15">
        <f>'Data cleaning and validation(3)'!F726</f>
        <v>37896</v>
      </c>
      <c r="G738" s="8">
        <f>'Data cleaning and validation(3)'!G726</f>
        <v>18</v>
      </c>
      <c r="H738" s="19">
        <f>'Data cleaning and validation(3)'!H726</f>
        <v>80939</v>
      </c>
      <c r="I738" s="8" t="str">
        <f>'Data cleaning and validation(3)'!I726</f>
        <v>Analyst Programmer</v>
      </c>
      <c r="J738" s="8" t="str">
        <f>'Data cleaning and validation(3)'!J726</f>
        <v>Northeast</v>
      </c>
      <c r="K738" s="8" t="str">
        <f>'Data cleaning and validation(3)'!K726</f>
        <v>USA</v>
      </c>
      <c r="L738" s="8" t="str">
        <f>'Data cleaning and validation(3)'!L726</f>
        <v>Domestic</v>
      </c>
      <c r="M738" s="8" t="str">
        <f>'Data cleaning and validation(3)'!M726</f>
        <v>Active</v>
      </c>
      <c r="N738" s="17">
        <f>'Data cleaning and validation(3)'!N726</f>
        <v>971268</v>
      </c>
      <c r="O738" s="18">
        <f>'Data cleaning and validation(3)'!O726</f>
        <v>8093.9000000000005</v>
      </c>
    </row>
    <row r="739" spans="1:15" x14ac:dyDescent="0.35">
      <c r="A739" s="8">
        <f>'Data cleaning and validation(3)'!A727</f>
        <v>726</v>
      </c>
      <c r="B739" s="8" t="str">
        <f>'Data cleaning and validation(3)'!B727</f>
        <v>Welch</v>
      </c>
      <c r="C739" s="8" t="str">
        <f>'Data cleaning and validation(3)'!C727</f>
        <v>dwelchk5@mapquest.com</v>
      </c>
      <c r="D739" s="8" t="str">
        <f>'Data cleaning and validation(3)'!D727</f>
        <v>M</v>
      </c>
      <c r="E739" s="8" t="str">
        <f>'Data cleaning and validation(3)'!E727</f>
        <v>Home</v>
      </c>
      <c r="F739" s="15">
        <f>'Data cleaning and validation(3)'!F727</f>
        <v>39702</v>
      </c>
      <c r="G739" s="8">
        <f>'Data cleaning and validation(3)'!G727</f>
        <v>13</v>
      </c>
      <c r="H739" s="19">
        <f>'Data cleaning and validation(3)'!H727</f>
        <v>49463</v>
      </c>
      <c r="I739" s="8" t="str">
        <f>'Data cleaning and validation(3)'!I727</f>
        <v>Research Nurse</v>
      </c>
      <c r="J739" s="8" t="str">
        <f>'Data cleaning and validation(3)'!J727</f>
        <v>Northeast</v>
      </c>
      <c r="K739" s="8" t="str">
        <f>'Data cleaning and validation(3)'!K727</f>
        <v>USA</v>
      </c>
      <c r="L739" s="8" t="str">
        <f>'Data cleaning and validation(3)'!L727</f>
        <v>Domestic</v>
      </c>
      <c r="M739" s="8" t="str">
        <f>'Data cleaning and validation(3)'!M727</f>
        <v>Active</v>
      </c>
      <c r="N739" s="17">
        <f>'Data cleaning and validation(3)'!N727</f>
        <v>593556</v>
      </c>
      <c r="O739" s="18">
        <f>'Data cleaning and validation(3)'!O727</f>
        <v>4946.3</v>
      </c>
    </row>
    <row r="740" spans="1:15" x14ac:dyDescent="0.35">
      <c r="A740" s="8">
        <f>'Data cleaning and validation(3)'!A728</f>
        <v>727</v>
      </c>
      <c r="B740" s="8" t="str">
        <f>'Data cleaning and validation(3)'!B728</f>
        <v>Johnson</v>
      </c>
      <c r="C740" s="8" t="str">
        <f>'Data cleaning and validation(3)'!C728</f>
        <v>mjohnsonk6@sciencedaily.com</v>
      </c>
      <c r="D740" s="8" t="str">
        <f>'Data cleaning and validation(3)'!D728</f>
        <v>M</v>
      </c>
      <c r="E740" s="8" t="str">
        <f>'Data cleaning and validation(3)'!E728</f>
        <v>Movies</v>
      </c>
      <c r="F740" s="15">
        <f>'Data cleaning and validation(3)'!F728</f>
        <v>41050</v>
      </c>
      <c r="G740" s="8">
        <f>'Data cleaning and validation(3)'!G728</f>
        <v>9</v>
      </c>
      <c r="H740" s="19">
        <f>'Data cleaning and validation(3)'!H728</f>
        <v>83165</v>
      </c>
      <c r="I740" s="8" t="str">
        <f>'Data cleaning and validation(3)'!I728</f>
        <v>Account Representative I</v>
      </c>
      <c r="J740" s="8" t="str">
        <f>'Data cleaning and validation(3)'!J728</f>
        <v>British Columbia</v>
      </c>
      <c r="K740" s="8" t="str">
        <f>'Data cleaning and validation(3)'!K728</f>
        <v>Canada</v>
      </c>
      <c r="L740" s="8" t="str">
        <f>'Data cleaning and validation(3)'!L728</f>
        <v>Entertainment</v>
      </c>
      <c r="M740" s="8" t="str">
        <f>'Data cleaning and validation(3)'!M728</f>
        <v>Active</v>
      </c>
      <c r="N740" s="17">
        <f>'Data cleaning and validation(3)'!N728</f>
        <v>997980</v>
      </c>
      <c r="O740" s="18">
        <f>'Data cleaning and validation(3)'!O728</f>
        <v>8316.5</v>
      </c>
    </row>
    <row r="741" spans="1:15" x14ac:dyDescent="0.35">
      <c r="A741" s="8">
        <f>'Data cleaning and validation(3)'!A729</f>
        <v>728</v>
      </c>
      <c r="B741" s="8" t="str">
        <f>'Data cleaning and validation(3)'!B729</f>
        <v>Larson</v>
      </c>
      <c r="C741" s="8" t="str">
        <f>'Data cleaning and validation(3)'!C729</f>
        <v>slarsonk7@sakura.ne.jp</v>
      </c>
      <c r="D741" s="8" t="str">
        <f>'Data cleaning and validation(3)'!D729</f>
        <v>F</v>
      </c>
      <c r="E741" s="8" t="str">
        <f>'Data cleaning and validation(3)'!E729</f>
        <v>Outdoors</v>
      </c>
      <c r="F741" s="15">
        <f>'Data cleaning and validation(3)'!F729</f>
        <v>38828</v>
      </c>
      <c r="G741" s="8">
        <f>'Data cleaning and validation(3)'!G729</f>
        <v>15</v>
      </c>
      <c r="H741" s="19">
        <f>'Data cleaning and validation(3)'!H729</f>
        <v>125574</v>
      </c>
      <c r="I741" s="8" t="str">
        <f>'Data cleaning and validation(3)'!I729</f>
        <v>Research Associate</v>
      </c>
      <c r="J741" s="8" t="str">
        <f>'Data cleaning and validation(3)'!J729</f>
        <v>Northeast</v>
      </c>
      <c r="K741" s="8" t="str">
        <f>'Data cleaning and validation(3)'!K729</f>
        <v>USA</v>
      </c>
      <c r="L741" s="8" t="str">
        <f>'Data cleaning and validation(3)'!L729</f>
        <v>Outdoors &amp; Garden</v>
      </c>
      <c r="M741" s="8" t="str">
        <f>'Data cleaning and validation(3)'!M729</f>
        <v>Active</v>
      </c>
      <c r="N741" s="17">
        <f>'Data cleaning and validation(3)'!N729</f>
        <v>1506888</v>
      </c>
      <c r="O741" s="18">
        <f>'Data cleaning and validation(3)'!O729</f>
        <v>12557.400000000001</v>
      </c>
    </row>
    <row r="742" spans="1:15" x14ac:dyDescent="0.35">
      <c r="A742" s="8">
        <f>'Data cleaning and validation(3)'!A730</f>
        <v>729</v>
      </c>
      <c r="B742" s="8" t="str">
        <f>'Data cleaning and validation(3)'!B730</f>
        <v>Banks</v>
      </c>
      <c r="C742" s="8" t="str">
        <f>'Data cleaning and validation(3)'!C730</f>
        <v>hbanksk8@nifty.com</v>
      </c>
      <c r="D742" s="8" t="str">
        <f>'Data cleaning and validation(3)'!D730</f>
        <v>M</v>
      </c>
      <c r="E742" s="8" t="str">
        <f>'Data cleaning and validation(3)'!E730</f>
        <v>Jewelery</v>
      </c>
      <c r="F742" s="15">
        <f>'Data cleaning and validation(3)'!F730</f>
        <v>41593</v>
      </c>
      <c r="G742" s="8">
        <f>'Data cleaning and validation(3)'!G730</f>
        <v>8</v>
      </c>
      <c r="H742" s="19">
        <f>'Data cleaning and validation(3)'!H730</f>
        <v>119747</v>
      </c>
      <c r="I742" s="8" t="str">
        <f>'Data cleaning and validation(3)'!I730</f>
        <v>Graphic Designer</v>
      </c>
      <c r="J742" s="8" t="str">
        <f>'Data cleaning and validation(3)'!J730</f>
        <v>British Columbia</v>
      </c>
      <c r="K742" s="8" t="str">
        <f>'Data cleaning and validation(3)'!K730</f>
        <v>Canada</v>
      </c>
      <c r="L742" s="8" t="str">
        <f>'Data cleaning and validation(3)'!L730</f>
        <v>Fashion</v>
      </c>
      <c r="M742" s="8" t="str">
        <f>'Data cleaning and validation(3)'!M730</f>
        <v>Active</v>
      </c>
      <c r="N742" s="17">
        <f>'Data cleaning and validation(3)'!N730</f>
        <v>1436964</v>
      </c>
      <c r="O742" s="18">
        <f>'Data cleaning and validation(3)'!O730</f>
        <v>11974.7</v>
      </c>
    </row>
    <row r="743" spans="1:15" x14ac:dyDescent="0.35">
      <c r="A743" s="8">
        <f>'Data cleaning and validation(3)'!A731</f>
        <v>730</v>
      </c>
      <c r="B743" s="8" t="str">
        <f>'Data cleaning and validation(3)'!B731</f>
        <v>Johnston</v>
      </c>
      <c r="C743" s="8" t="str">
        <f>'Data cleaning and validation(3)'!C731</f>
        <v>ejohnstonk9@liveinternet.ru</v>
      </c>
      <c r="D743" s="8" t="str">
        <f>'Data cleaning and validation(3)'!D731</f>
        <v>F</v>
      </c>
      <c r="E743" s="8" t="str">
        <f>'Data cleaning and validation(3)'!E731</f>
        <v>Sports</v>
      </c>
      <c r="F743" s="15">
        <f>'Data cleaning and validation(3)'!F731</f>
        <v>44524</v>
      </c>
      <c r="G743" s="8">
        <f>'Data cleaning and validation(3)'!G731</f>
        <v>13</v>
      </c>
      <c r="H743" s="19">
        <f>'Data cleaning and validation(3)'!H731</f>
        <v>57651</v>
      </c>
      <c r="I743" s="8" t="str">
        <f>'Data cleaning and validation(3)'!I731</f>
        <v>Help Desk Operator</v>
      </c>
      <c r="J743" s="8" t="str">
        <f>'Data cleaning and validation(3)'!J731</f>
        <v>Quebec</v>
      </c>
      <c r="K743" s="8" t="str">
        <f>'Data cleaning and validation(3)'!K731</f>
        <v>Canada</v>
      </c>
      <c r="L743" s="8" t="str">
        <f>'Data cleaning and validation(3)'!L731</f>
        <v>Games &amp; Sports</v>
      </c>
      <c r="M743" s="8" t="str">
        <f>'Data cleaning and validation(3)'!M731</f>
        <v>Active</v>
      </c>
      <c r="N743" s="17">
        <f>'Data cleaning and validation(3)'!N731</f>
        <v>691812</v>
      </c>
      <c r="O743" s="18">
        <f>'Data cleaning and validation(3)'!O731</f>
        <v>5765.1</v>
      </c>
    </row>
    <row r="744" spans="1:15" x14ac:dyDescent="0.35">
      <c r="A744" s="8">
        <f>'Data cleaning and validation(3)'!A732</f>
        <v>731</v>
      </c>
      <c r="B744" s="8" t="str">
        <f>'Data cleaning and validation(3)'!B732</f>
        <v>Ferguson</v>
      </c>
      <c r="C744" s="8" t="str">
        <f>'Data cleaning and validation(3)'!C732</f>
        <v>gfergusonka@geocities.jp</v>
      </c>
      <c r="D744" s="8" t="str">
        <f>'Data cleaning and validation(3)'!D732</f>
        <v>F</v>
      </c>
      <c r="E744" s="8" t="str">
        <f>'Data cleaning and validation(3)'!E732</f>
        <v>Home</v>
      </c>
      <c r="F744" s="15">
        <f>'Data cleaning and validation(3)'!F732</f>
        <v>44740</v>
      </c>
      <c r="G744" s="8">
        <f>'Data cleaning and validation(3)'!G732</f>
        <v>12</v>
      </c>
      <c r="H744" s="19">
        <f>'Data cleaning and validation(3)'!H732</f>
        <v>70524</v>
      </c>
      <c r="I744" s="8" t="str">
        <f>'Data cleaning and validation(3)'!I732</f>
        <v>VP Accounting</v>
      </c>
      <c r="J744" s="8" t="str">
        <f>'Data cleaning and validation(3)'!J732</f>
        <v>Southeast</v>
      </c>
      <c r="K744" s="8" t="str">
        <f>'Data cleaning and validation(3)'!K732</f>
        <v>USA</v>
      </c>
      <c r="L744" s="8" t="str">
        <f>'Data cleaning and validation(3)'!L732</f>
        <v>Domestic</v>
      </c>
      <c r="M744" s="8" t="str">
        <f>'Data cleaning and validation(3)'!M732</f>
        <v>Active</v>
      </c>
      <c r="N744" s="17">
        <f>'Data cleaning and validation(3)'!N732</f>
        <v>846288</v>
      </c>
      <c r="O744" s="18">
        <f>'Data cleaning and validation(3)'!O732</f>
        <v>7052.4000000000005</v>
      </c>
    </row>
    <row r="745" spans="1:15" x14ac:dyDescent="0.35">
      <c r="A745" s="8">
        <f>'Data cleaning and validation(3)'!A733</f>
        <v>732</v>
      </c>
      <c r="B745" s="8" t="str">
        <f>'Data cleaning and validation(3)'!B733</f>
        <v>Murray</v>
      </c>
      <c r="C745" s="8" t="str">
        <f>'Data cleaning and validation(3)'!C733</f>
        <v>amurraykb@blinklist.com</v>
      </c>
      <c r="D745" s="8" t="str">
        <f>'Data cleaning and validation(3)'!D733</f>
        <v>M</v>
      </c>
      <c r="E745" s="8" t="str">
        <f>'Data cleaning and validation(3)'!E733</f>
        <v>Clothing</v>
      </c>
      <c r="F745" s="15">
        <f>'Data cleaning and validation(3)'!F733</f>
        <v>38214</v>
      </c>
      <c r="G745" s="8">
        <f>'Data cleaning and validation(3)'!G733</f>
        <v>17</v>
      </c>
      <c r="H745" s="19">
        <f>'Data cleaning and validation(3)'!H733</f>
        <v>50511</v>
      </c>
      <c r="I745" s="8" t="str">
        <f>'Data cleaning and validation(3)'!I733</f>
        <v>Senior Cost Accountant</v>
      </c>
      <c r="J745" s="8" t="str">
        <f>'Data cleaning and validation(3)'!J733</f>
        <v>Northwest</v>
      </c>
      <c r="K745" s="8" t="str">
        <f>'Data cleaning and validation(3)'!K733</f>
        <v>USA</v>
      </c>
      <c r="L745" s="8" t="str">
        <f>'Data cleaning and validation(3)'!L733</f>
        <v>Domestic</v>
      </c>
      <c r="M745" s="8" t="str">
        <f>'Data cleaning and validation(3)'!M733</f>
        <v>Active</v>
      </c>
      <c r="N745" s="17">
        <f>'Data cleaning and validation(3)'!N733</f>
        <v>606132</v>
      </c>
      <c r="O745" s="18">
        <f>'Data cleaning and validation(3)'!O733</f>
        <v>5051.1000000000004</v>
      </c>
    </row>
    <row r="746" spans="1:15" x14ac:dyDescent="0.35">
      <c r="A746" s="8">
        <f>'Data cleaning and validation(3)'!A734</f>
        <v>733</v>
      </c>
      <c r="B746" s="8" t="str">
        <f>'Data cleaning and validation(3)'!B734</f>
        <v>Diaz</v>
      </c>
      <c r="C746" s="8" t="str">
        <f>'Data cleaning and validation(3)'!C734</f>
        <v>jdiazkc@china.com.cn</v>
      </c>
      <c r="D746" s="8" t="str">
        <f>'Data cleaning and validation(3)'!D734</f>
        <v>M</v>
      </c>
      <c r="E746" s="8" t="str">
        <f>'Data cleaning and validation(3)'!E734</f>
        <v>Home</v>
      </c>
      <c r="F746" s="15">
        <f>'Data cleaning and validation(3)'!F734</f>
        <v>36850</v>
      </c>
      <c r="G746" s="8">
        <f>'Data cleaning and validation(3)'!G734</f>
        <v>21</v>
      </c>
      <c r="H746" s="19">
        <f>'Data cleaning and validation(3)'!H734</f>
        <v>58847</v>
      </c>
      <c r="I746" s="8" t="str">
        <f>'Data cleaning and validation(3)'!I734</f>
        <v>Community Outreach Specialist</v>
      </c>
      <c r="J746" s="8" t="str">
        <f>'Data cleaning and validation(3)'!J734</f>
        <v>Southwest</v>
      </c>
      <c r="K746" s="8" t="str">
        <f>'Data cleaning and validation(3)'!K734</f>
        <v>USA</v>
      </c>
      <c r="L746" s="8" t="str">
        <f>'Data cleaning and validation(3)'!L734</f>
        <v>Domestic</v>
      </c>
      <c r="M746" s="8" t="str">
        <f>'Data cleaning and validation(3)'!M734</f>
        <v>Active</v>
      </c>
      <c r="N746" s="17">
        <f>'Data cleaning and validation(3)'!N734</f>
        <v>706164</v>
      </c>
      <c r="O746" s="18">
        <f>'Data cleaning and validation(3)'!O734</f>
        <v>5884.7000000000007</v>
      </c>
    </row>
    <row r="747" spans="1:15" x14ac:dyDescent="0.35">
      <c r="A747" s="8">
        <f>'Data cleaning and validation(3)'!A735</f>
        <v>734</v>
      </c>
      <c r="B747" s="8" t="str">
        <f>'Data cleaning and validation(3)'!B735</f>
        <v>Simmons</v>
      </c>
      <c r="C747" s="8" t="str">
        <f>'Data cleaning and validation(3)'!C735</f>
        <v>tsimmonskd@chicagotribune.com</v>
      </c>
      <c r="D747" s="8" t="str">
        <f>'Data cleaning and validation(3)'!D735</f>
        <v>F</v>
      </c>
      <c r="E747" s="8" t="str">
        <f>'Data cleaning and validation(3)'!E735</f>
        <v>Automotive</v>
      </c>
      <c r="F747" s="15">
        <f>'Data cleaning and validation(3)'!F735</f>
        <v>38403</v>
      </c>
      <c r="G747" s="8">
        <f>'Data cleaning and validation(3)'!G735</f>
        <v>16</v>
      </c>
      <c r="H747" s="19">
        <f>'Data cleaning and validation(3)'!H735</f>
        <v>58555</v>
      </c>
      <c r="I747" s="8" t="str">
        <f>'Data cleaning and validation(3)'!I735</f>
        <v>Biostatistician I</v>
      </c>
      <c r="J747" s="8" t="str">
        <f>'Data cleaning and validation(3)'!J735</f>
        <v>Southeast</v>
      </c>
      <c r="K747" s="8" t="str">
        <f>'Data cleaning and validation(3)'!K735</f>
        <v>USA</v>
      </c>
      <c r="L747" s="8" t="str">
        <f>'Data cleaning and validation(3)'!L735</f>
        <v>Auto &amp; Hardware</v>
      </c>
      <c r="M747" s="8" t="str">
        <f>'Data cleaning and validation(3)'!M735</f>
        <v>Active</v>
      </c>
      <c r="N747" s="17">
        <f>'Data cleaning and validation(3)'!N735</f>
        <v>702660</v>
      </c>
      <c r="O747" s="18">
        <f>'Data cleaning and validation(3)'!O735</f>
        <v>5855.5</v>
      </c>
    </row>
    <row r="748" spans="1:15" x14ac:dyDescent="0.35">
      <c r="A748" s="8">
        <f>'Data cleaning and validation(3)'!A736</f>
        <v>735</v>
      </c>
      <c r="B748" s="8" t="str">
        <f>'Data cleaning and validation(3)'!B736</f>
        <v>Richards</v>
      </c>
      <c r="C748" s="8" t="str">
        <f>'Data cleaning and validation(3)'!C736</f>
        <v>jrichardske@hatena.ne.jp</v>
      </c>
      <c r="D748" s="8" t="str">
        <f>'Data cleaning and validation(3)'!D736</f>
        <v>M</v>
      </c>
      <c r="E748" s="8" t="str">
        <f>'Data cleaning and validation(3)'!E736</f>
        <v>Clothing</v>
      </c>
      <c r="F748" s="15">
        <f>'Data cleaning and validation(3)'!F736</f>
        <v>41957</v>
      </c>
      <c r="G748" s="8">
        <f>'Data cleaning and validation(3)'!G736</f>
        <v>7</v>
      </c>
      <c r="H748" s="19">
        <f>'Data cleaning and validation(3)'!H736</f>
        <v>116333</v>
      </c>
      <c r="I748" s="8" t="str">
        <f>'Data cleaning and validation(3)'!I736</f>
        <v>Legal Assistant</v>
      </c>
      <c r="J748" s="8" t="str">
        <f>'Data cleaning and validation(3)'!J736</f>
        <v>British Columbia</v>
      </c>
      <c r="K748" s="8" t="str">
        <f>'Data cleaning and validation(3)'!K736</f>
        <v>Canada</v>
      </c>
      <c r="L748" s="8" t="str">
        <f>'Data cleaning and validation(3)'!L736</f>
        <v>Domestic</v>
      </c>
      <c r="M748" s="8" t="str">
        <f>'Data cleaning and validation(3)'!M736</f>
        <v>Active</v>
      </c>
      <c r="N748" s="17">
        <f>'Data cleaning and validation(3)'!N736</f>
        <v>1395996</v>
      </c>
      <c r="O748" s="18">
        <f>'Data cleaning and validation(3)'!O736</f>
        <v>11633.300000000001</v>
      </c>
    </row>
    <row r="749" spans="1:15" x14ac:dyDescent="0.35">
      <c r="A749" s="8">
        <f>'Data cleaning and validation(3)'!A737</f>
        <v>736</v>
      </c>
      <c r="B749" s="8" t="str">
        <f>'Data cleaning and validation(3)'!B737</f>
        <v>Morgan</v>
      </c>
      <c r="C749" s="8" t="str">
        <f>'Data cleaning and validation(3)'!C737</f>
        <v>emorgankf@businessinsider.com</v>
      </c>
      <c r="D749" s="8" t="str">
        <f>'Data cleaning and validation(3)'!D737</f>
        <v>M</v>
      </c>
      <c r="E749" s="8" t="str">
        <f>'Data cleaning and validation(3)'!E737</f>
        <v>Baby</v>
      </c>
      <c r="F749" s="15">
        <f>'Data cleaning and validation(3)'!F737</f>
        <v>40052</v>
      </c>
      <c r="G749" s="8">
        <f>'Data cleaning and validation(3)'!G737</f>
        <v>12</v>
      </c>
      <c r="H749" s="19">
        <f>'Data cleaning and validation(3)'!H737</f>
        <v>80813</v>
      </c>
      <c r="I749" s="8" t="str">
        <f>'Data cleaning and validation(3)'!I737</f>
        <v>Senior Quality Engineer</v>
      </c>
      <c r="J749" s="8" t="str">
        <f>'Data cleaning and validation(3)'!J737</f>
        <v>Quebec</v>
      </c>
      <c r="K749" s="8" t="str">
        <f>'Data cleaning and validation(3)'!K737</f>
        <v>Canada</v>
      </c>
      <c r="L749" s="8" t="str">
        <f>'Data cleaning and validation(3)'!L737</f>
        <v>Domestic</v>
      </c>
      <c r="M749" s="8" t="str">
        <f>'Data cleaning and validation(3)'!M737</f>
        <v>Active</v>
      </c>
      <c r="N749" s="17">
        <f>'Data cleaning and validation(3)'!N737</f>
        <v>969756</v>
      </c>
      <c r="O749" s="18">
        <f>'Data cleaning and validation(3)'!O737</f>
        <v>8081.3</v>
      </c>
    </row>
    <row r="750" spans="1:15" x14ac:dyDescent="0.35">
      <c r="A750" s="8">
        <f>'Data cleaning and validation(3)'!A738</f>
        <v>737</v>
      </c>
      <c r="B750" s="8" t="str">
        <f>'Data cleaning and validation(3)'!B738</f>
        <v>Price</v>
      </c>
      <c r="C750" s="8" t="str">
        <f>'Data cleaning and validation(3)'!C738</f>
        <v>bpricekg@xinhuanet.com</v>
      </c>
      <c r="D750" s="8" t="str">
        <f>'Data cleaning and validation(3)'!D738</f>
        <v>M</v>
      </c>
      <c r="E750" s="8" t="str">
        <f>'Data cleaning and validation(3)'!E738</f>
        <v>Health</v>
      </c>
      <c r="F750" s="15">
        <f>'Data cleaning and validation(3)'!F738</f>
        <v>38194</v>
      </c>
      <c r="G750" s="8">
        <f>'Data cleaning and validation(3)'!G738</f>
        <v>17</v>
      </c>
      <c r="H750" s="19">
        <f>'Data cleaning and validation(3)'!H738</f>
        <v>142794</v>
      </c>
      <c r="I750" s="8" t="str">
        <f>'Data cleaning and validation(3)'!I738</f>
        <v>Recruiting Manager</v>
      </c>
      <c r="J750" s="8" t="str">
        <f>'Data cleaning and validation(3)'!J738</f>
        <v>Northeast</v>
      </c>
      <c r="K750" s="8" t="str">
        <f>'Data cleaning and validation(3)'!K738</f>
        <v>USA</v>
      </c>
      <c r="L750" s="8" t="str">
        <f>'Data cleaning and validation(3)'!L738</f>
        <v>Domestic</v>
      </c>
      <c r="M750" s="8" t="str">
        <f>'Data cleaning and validation(3)'!M738</f>
        <v>Active</v>
      </c>
      <c r="N750" s="17">
        <f>'Data cleaning and validation(3)'!N738</f>
        <v>1713528</v>
      </c>
      <c r="O750" s="18">
        <f>'Data cleaning and validation(3)'!O738</f>
        <v>14279.400000000001</v>
      </c>
    </row>
    <row r="751" spans="1:15" x14ac:dyDescent="0.35">
      <c r="A751" s="8">
        <f>'Data cleaning and validation(3)'!A739</f>
        <v>738</v>
      </c>
      <c r="B751" s="8" t="str">
        <f>'Data cleaning and validation(3)'!B739</f>
        <v>Hudson</v>
      </c>
      <c r="C751" s="8" t="str">
        <f>'Data cleaning and validation(3)'!C739</f>
        <v>chudsonkh@google.co.uk</v>
      </c>
      <c r="D751" s="8" t="str">
        <f>'Data cleaning and validation(3)'!D739</f>
        <v>F</v>
      </c>
      <c r="E751" s="8" t="str">
        <f>'Data cleaning and validation(3)'!E739</f>
        <v>Computers</v>
      </c>
      <c r="F751" s="15">
        <f>'Data cleaning and validation(3)'!F739</f>
        <v>37625</v>
      </c>
      <c r="G751" s="8">
        <f>'Data cleaning and validation(3)'!G739</f>
        <v>18</v>
      </c>
      <c r="H751" s="19">
        <f>'Data cleaning and validation(3)'!H739</f>
        <v>65083</v>
      </c>
      <c r="I751" s="8" t="str">
        <f>'Data cleaning and validation(3)'!I739</f>
        <v>Marketing Assistant</v>
      </c>
      <c r="J751" s="8" t="str">
        <f>'Data cleaning and validation(3)'!J739</f>
        <v>Quebec</v>
      </c>
      <c r="K751" s="8" t="str">
        <f>'Data cleaning and validation(3)'!K739</f>
        <v>Canada</v>
      </c>
      <c r="L751" s="8" t="str">
        <f>'Data cleaning and validation(3)'!L739</f>
        <v>Electronic Equipment</v>
      </c>
      <c r="M751" s="8" t="str">
        <f>'Data cleaning and validation(3)'!M739</f>
        <v>Active</v>
      </c>
      <c r="N751" s="17">
        <f>'Data cleaning and validation(3)'!N739</f>
        <v>780996</v>
      </c>
      <c r="O751" s="18">
        <f>'Data cleaning and validation(3)'!O739</f>
        <v>6508.3</v>
      </c>
    </row>
    <row r="752" spans="1:15" x14ac:dyDescent="0.35">
      <c r="A752" s="8">
        <f>'Data cleaning and validation(3)'!A740</f>
        <v>739</v>
      </c>
      <c r="B752" s="8" t="str">
        <f>'Data cleaning and validation(3)'!B740</f>
        <v>Carroll</v>
      </c>
      <c r="C752" s="8" t="str">
        <f>'Data cleaning and validation(3)'!C740</f>
        <v>lcarrollki@example.com</v>
      </c>
      <c r="D752" s="8" t="str">
        <f>'Data cleaning and validation(3)'!D740</f>
        <v>F</v>
      </c>
      <c r="E752" s="8" t="str">
        <f>'Data cleaning and validation(3)'!E740</f>
        <v>Baby</v>
      </c>
      <c r="F752" s="15">
        <f>'Data cleaning and validation(3)'!F740</f>
        <v>46459</v>
      </c>
      <c r="G752" s="8">
        <f>'Data cleaning and validation(3)'!G740</f>
        <v>7</v>
      </c>
      <c r="H752" s="19">
        <f>'Data cleaning and validation(3)'!H740</f>
        <v>125398</v>
      </c>
      <c r="I752" s="8" t="str">
        <f>'Data cleaning and validation(3)'!I740</f>
        <v>Assistant Professor</v>
      </c>
      <c r="J752" s="8" t="str">
        <f>'Data cleaning and validation(3)'!J740</f>
        <v>Southeast</v>
      </c>
      <c r="K752" s="8" t="str">
        <f>'Data cleaning and validation(3)'!K740</f>
        <v>USA</v>
      </c>
      <c r="L752" s="8" t="str">
        <f>'Data cleaning and validation(3)'!L740</f>
        <v>Domestic</v>
      </c>
      <c r="M752" s="8" t="str">
        <f>'Data cleaning and validation(3)'!M740</f>
        <v>Active</v>
      </c>
      <c r="N752" s="17">
        <f>'Data cleaning and validation(3)'!N740</f>
        <v>1504776</v>
      </c>
      <c r="O752" s="18">
        <f>'Data cleaning and validation(3)'!O740</f>
        <v>12539.800000000001</v>
      </c>
    </row>
    <row r="753" spans="1:15" x14ac:dyDescent="0.35">
      <c r="A753" s="8">
        <f>'Data cleaning and validation(3)'!A741</f>
        <v>740</v>
      </c>
      <c r="B753" s="8" t="str">
        <f>'Data cleaning and validation(3)'!B741</f>
        <v>Long</v>
      </c>
      <c r="C753" s="8" t="str">
        <f>'Data cleaning and validation(3)'!C741</f>
        <v>jlongkj@dailymail.co.uk</v>
      </c>
      <c r="D753" s="8" t="str">
        <f>'Data cleaning and validation(3)'!D741</f>
        <v>F</v>
      </c>
      <c r="E753" s="8" t="str">
        <f>'Data cleaning and validation(3)'!E741</f>
        <v>Kids</v>
      </c>
      <c r="F753" s="15">
        <f>'Data cleaning and validation(3)'!F741</f>
        <v>44209</v>
      </c>
      <c r="G753" s="8">
        <f>'Data cleaning and validation(3)'!G741</f>
        <v>13</v>
      </c>
      <c r="H753" s="19">
        <f>'Data cleaning and validation(3)'!H741</f>
        <v>98502</v>
      </c>
      <c r="I753" s="8" t="str">
        <f>'Data cleaning and validation(3)'!I741</f>
        <v>Structural Analysis Engineer</v>
      </c>
      <c r="J753" s="8" t="str">
        <f>'Data cleaning and validation(3)'!J741</f>
        <v>Nova Scotia</v>
      </c>
      <c r="K753" s="8" t="str">
        <f>'Data cleaning and validation(3)'!K741</f>
        <v>Canada</v>
      </c>
      <c r="L753" s="8" t="str">
        <f>'Data cleaning and validation(3)'!L741</f>
        <v>Domestic</v>
      </c>
      <c r="M753" s="8" t="str">
        <f>'Data cleaning and validation(3)'!M741</f>
        <v>Active</v>
      </c>
      <c r="N753" s="17">
        <f>'Data cleaning and validation(3)'!N741</f>
        <v>1182024</v>
      </c>
      <c r="O753" s="18">
        <f>'Data cleaning and validation(3)'!O741</f>
        <v>9850.2000000000007</v>
      </c>
    </row>
    <row r="754" spans="1:15" x14ac:dyDescent="0.35">
      <c r="A754" s="8">
        <f>'Data cleaning and validation(3)'!A742</f>
        <v>741</v>
      </c>
      <c r="B754" s="8" t="str">
        <f>'Data cleaning and validation(3)'!B742</f>
        <v>Parker</v>
      </c>
      <c r="C754" s="8" t="str">
        <f>'Data cleaning and validation(3)'!C742</f>
        <v>cparkerkk@foxnews.com</v>
      </c>
      <c r="D754" s="8" t="str">
        <f>'Data cleaning and validation(3)'!D742</f>
        <v>F</v>
      </c>
      <c r="E754" s="8" t="str">
        <f>'Data cleaning and validation(3)'!E742</f>
        <v>Shoes</v>
      </c>
      <c r="F754" s="15">
        <f>'Data cleaning and validation(3)'!F742</f>
        <v>37621</v>
      </c>
      <c r="G754" s="8">
        <f>'Data cleaning and validation(3)'!G742</f>
        <v>19</v>
      </c>
      <c r="H754" s="19">
        <f>'Data cleaning and validation(3)'!H742</f>
        <v>90086</v>
      </c>
      <c r="I754" s="8" t="str">
        <f>'Data cleaning and validation(3)'!I742</f>
        <v>Research Associate</v>
      </c>
      <c r="J754" s="8" t="str">
        <f>'Data cleaning and validation(3)'!J742</f>
        <v>Southwest</v>
      </c>
      <c r="K754" s="8" t="str">
        <f>'Data cleaning and validation(3)'!K742</f>
        <v>USA</v>
      </c>
      <c r="L754" s="8" t="str">
        <f>'Data cleaning and validation(3)'!L742</f>
        <v>Domestic</v>
      </c>
      <c r="M754" s="8" t="str">
        <f>'Data cleaning and validation(3)'!M742</f>
        <v>Active</v>
      </c>
      <c r="N754" s="17">
        <f>'Data cleaning and validation(3)'!N742</f>
        <v>1081032</v>
      </c>
      <c r="O754" s="18">
        <f>'Data cleaning and validation(3)'!O742</f>
        <v>9008.6</v>
      </c>
    </row>
    <row r="755" spans="1:15" x14ac:dyDescent="0.35">
      <c r="A755" s="8">
        <f>'Data cleaning and validation(3)'!A743</f>
        <v>742</v>
      </c>
      <c r="B755" s="8" t="str">
        <f>'Data cleaning and validation(3)'!B743</f>
        <v>Nguyen</v>
      </c>
      <c r="C755" s="8" t="str">
        <f>'Data cleaning and validation(3)'!C743</f>
        <v>lnguyenkl@goodreads.com</v>
      </c>
      <c r="D755" s="8" t="str">
        <f>'Data cleaning and validation(3)'!D743</f>
        <v>M</v>
      </c>
      <c r="E755" s="8" t="str">
        <f>'Data cleaning and validation(3)'!E743</f>
        <v>Sports</v>
      </c>
      <c r="F755" s="15">
        <f>'Data cleaning and validation(3)'!F743</f>
        <v>39419</v>
      </c>
      <c r="G755" s="8">
        <f>'Data cleaning and validation(3)'!G743</f>
        <v>14</v>
      </c>
      <c r="H755" s="19">
        <f>'Data cleaning and validation(3)'!H743</f>
        <v>77382</v>
      </c>
      <c r="I755" s="8" t="str">
        <f>'Data cleaning and validation(3)'!I743</f>
        <v>Design Engineer</v>
      </c>
      <c r="J755" s="8" t="str">
        <f>'Data cleaning and validation(3)'!J743</f>
        <v>Quebec</v>
      </c>
      <c r="K755" s="8" t="str">
        <f>'Data cleaning and validation(3)'!K743</f>
        <v>Canada</v>
      </c>
      <c r="L755" s="8" t="str">
        <f>'Data cleaning and validation(3)'!L743</f>
        <v>Games &amp; Sports</v>
      </c>
      <c r="M755" s="8" t="str">
        <f>'Data cleaning and validation(3)'!M743</f>
        <v>Active</v>
      </c>
      <c r="N755" s="17">
        <f>'Data cleaning and validation(3)'!N743</f>
        <v>928584</v>
      </c>
      <c r="O755" s="18">
        <f>'Data cleaning and validation(3)'!O743</f>
        <v>7738.2000000000007</v>
      </c>
    </row>
    <row r="756" spans="1:15" x14ac:dyDescent="0.35">
      <c r="A756" s="8">
        <f>'Data cleaning and validation(3)'!A744</f>
        <v>743</v>
      </c>
      <c r="B756" s="8" t="str">
        <f>'Data cleaning and validation(3)'!B744</f>
        <v>Garza</v>
      </c>
      <c r="C756" s="8" t="str">
        <f>'Data cleaning and validation(3)'!C744</f>
        <v>agarzakm@miitbeian.gov.cn</v>
      </c>
      <c r="D756" s="8" t="str">
        <f>'Data cleaning and validation(3)'!D744</f>
        <v>F</v>
      </c>
      <c r="E756" s="8" t="str">
        <f>'Data cleaning and validation(3)'!E744</f>
        <v>Electronics</v>
      </c>
      <c r="F756" s="15">
        <f>'Data cleaning and validation(3)'!F744</f>
        <v>46744</v>
      </c>
      <c r="G756" s="8">
        <f>'Data cleaning and validation(3)'!G744</f>
        <v>7</v>
      </c>
      <c r="H756" s="19">
        <f>'Data cleaning and validation(3)'!H744</f>
        <v>113278</v>
      </c>
      <c r="I756" s="8" t="str">
        <f>'Data cleaning and validation(3)'!I744</f>
        <v>Statistician IV</v>
      </c>
      <c r="J756" s="8" t="str">
        <f>'Data cleaning and validation(3)'!J744</f>
        <v>Southeast</v>
      </c>
      <c r="K756" s="8" t="str">
        <f>'Data cleaning and validation(3)'!K744</f>
        <v>USA</v>
      </c>
      <c r="L756" s="8" t="str">
        <f>'Data cleaning and validation(3)'!L744</f>
        <v>Electronic Equipment</v>
      </c>
      <c r="M756" s="8" t="str">
        <f>'Data cleaning and validation(3)'!M744</f>
        <v>Active</v>
      </c>
      <c r="N756" s="17">
        <f>'Data cleaning and validation(3)'!N744</f>
        <v>1359336</v>
      </c>
      <c r="O756" s="18">
        <f>'Data cleaning and validation(3)'!O744</f>
        <v>11327.800000000001</v>
      </c>
    </row>
    <row r="757" spans="1:15" x14ac:dyDescent="0.35">
      <c r="A757" s="8">
        <f>'Data cleaning and validation(3)'!A745</f>
        <v>744</v>
      </c>
      <c r="B757" s="8" t="str">
        <f>'Data cleaning and validation(3)'!B745</f>
        <v>Gordon</v>
      </c>
      <c r="C757" s="8" t="str">
        <f>'Data cleaning and validation(3)'!C745</f>
        <v>pgordonkn@mac.com</v>
      </c>
      <c r="D757" s="8" t="str">
        <f>'Data cleaning and validation(3)'!D745</f>
        <v>M</v>
      </c>
      <c r="E757" s="8" t="str">
        <f>'Data cleaning and validation(3)'!E745</f>
        <v>Automotive</v>
      </c>
      <c r="F757" s="15">
        <f>'Data cleaning and validation(3)'!F745</f>
        <v>37152</v>
      </c>
      <c r="G757" s="8">
        <f>'Data cleaning and validation(3)'!G745</f>
        <v>20</v>
      </c>
      <c r="H757" s="19">
        <f>'Data cleaning and validation(3)'!H745</f>
        <v>129324</v>
      </c>
      <c r="I757" s="8" t="str">
        <f>'Data cleaning and validation(3)'!I745</f>
        <v>Developer I</v>
      </c>
      <c r="J757" s="8" t="str">
        <f>'Data cleaning and validation(3)'!J745</f>
        <v>Southwest</v>
      </c>
      <c r="K757" s="8" t="str">
        <f>'Data cleaning and validation(3)'!K745</f>
        <v>USA</v>
      </c>
      <c r="L757" s="8" t="str">
        <f>'Data cleaning and validation(3)'!L745</f>
        <v>Auto &amp; Hardware</v>
      </c>
      <c r="M757" s="8" t="str">
        <f>'Data cleaning and validation(3)'!M745</f>
        <v>Active</v>
      </c>
      <c r="N757" s="17">
        <f>'Data cleaning and validation(3)'!N745</f>
        <v>1551888</v>
      </c>
      <c r="O757" s="18">
        <f>'Data cleaning and validation(3)'!O745</f>
        <v>12932.400000000001</v>
      </c>
    </row>
    <row r="758" spans="1:15" x14ac:dyDescent="0.35">
      <c r="A758" s="8">
        <f>'Data cleaning and validation(3)'!A746</f>
        <v>745</v>
      </c>
      <c r="B758" s="8" t="str">
        <f>'Data cleaning and validation(3)'!B746</f>
        <v>Reed</v>
      </c>
      <c r="C758" s="8" t="str">
        <f>'Data cleaning and validation(3)'!C746</f>
        <v>lreedko@wikipedia.org</v>
      </c>
      <c r="D758" s="8" t="str">
        <f>'Data cleaning and validation(3)'!D746</f>
        <v>F</v>
      </c>
      <c r="E758" s="8" t="str">
        <f>'Data cleaning and validation(3)'!E746</f>
        <v>Outdoors</v>
      </c>
      <c r="F758" s="15">
        <f>'Data cleaning and validation(3)'!F746</f>
        <v>38677</v>
      </c>
      <c r="G758" s="8">
        <f>'Data cleaning and validation(3)'!G746</f>
        <v>16</v>
      </c>
      <c r="H758" s="19">
        <f>'Data cleaning and validation(3)'!H746</f>
        <v>108504</v>
      </c>
      <c r="I758" s="8" t="str">
        <f>'Data cleaning and validation(3)'!I746</f>
        <v>Pharmacist</v>
      </c>
      <c r="J758" s="8" t="str">
        <f>'Data cleaning and validation(3)'!J746</f>
        <v>Northeast</v>
      </c>
      <c r="K758" s="8" t="str">
        <f>'Data cleaning and validation(3)'!K746</f>
        <v>USA</v>
      </c>
      <c r="L758" s="8" t="str">
        <f>'Data cleaning and validation(3)'!L746</f>
        <v>Outdoors &amp; Garden</v>
      </c>
      <c r="M758" s="8" t="str">
        <f>'Data cleaning and validation(3)'!M746</f>
        <v>Active</v>
      </c>
      <c r="N758" s="17">
        <f>'Data cleaning and validation(3)'!N746</f>
        <v>1302048</v>
      </c>
      <c r="O758" s="18">
        <f>'Data cleaning and validation(3)'!O746</f>
        <v>10850.400000000001</v>
      </c>
    </row>
    <row r="759" spans="1:15" x14ac:dyDescent="0.35">
      <c r="A759" s="8">
        <f>'Data cleaning and validation(3)'!A747</f>
        <v>746</v>
      </c>
      <c r="B759" s="8" t="str">
        <f>'Data cleaning and validation(3)'!B747</f>
        <v>Baker</v>
      </c>
      <c r="C759" s="8" t="str">
        <f>'Data cleaning and validation(3)'!C747</f>
        <v>bbakerkp@list-manage.com</v>
      </c>
      <c r="D759" s="8" t="str">
        <f>'Data cleaning and validation(3)'!D747</f>
        <v>M</v>
      </c>
      <c r="E759" s="8" t="str">
        <f>'Data cleaning and validation(3)'!E747</f>
        <v>Industrial</v>
      </c>
      <c r="F759" s="15">
        <f>'Data cleaning and validation(3)'!F747</f>
        <v>37168</v>
      </c>
      <c r="G759" s="8">
        <f>'Data cleaning and validation(3)'!G747</f>
        <v>20</v>
      </c>
      <c r="H759" s="19">
        <f>'Data cleaning and validation(3)'!H747</f>
        <v>145283</v>
      </c>
      <c r="I759" s="8" t="str">
        <f>'Data cleaning and validation(3)'!I747</f>
        <v>Payment Adjustment Coordinator</v>
      </c>
      <c r="J759" s="8" t="str">
        <f>'Data cleaning and validation(3)'!J747</f>
        <v>Northeast</v>
      </c>
      <c r="K759" s="8" t="str">
        <f>'Data cleaning and validation(3)'!K747</f>
        <v>USA</v>
      </c>
      <c r="L759" s="8" t="str">
        <f>'Data cleaning and validation(3)'!L747</f>
        <v>Auto &amp; Hardware</v>
      </c>
      <c r="M759" s="8" t="str">
        <f>'Data cleaning and validation(3)'!M747</f>
        <v>Active</v>
      </c>
      <c r="N759" s="17">
        <f>'Data cleaning and validation(3)'!N747</f>
        <v>1743396</v>
      </c>
      <c r="O759" s="18">
        <f>'Data cleaning and validation(3)'!O747</f>
        <v>14528.300000000001</v>
      </c>
    </row>
    <row r="760" spans="1:15" x14ac:dyDescent="0.35">
      <c r="A760" s="8">
        <f>'Data cleaning and validation(3)'!A748</f>
        <v>747</v>
      </c>
      <c r="B760" s="8" t="str">
        <f>'Data cleaning and validation(3)'!B748</f>
        <v>Carroll</v>
      </c>
      <c r="C760" s="8" t="str">
        <f>'Data cleaning and validation(3)'!C748</f>
        <v>mcarrollkq@whitehouse.gov</v>
      </c>
      <c r="D760" s="8" t="str">
        <f>'Data cleaning and validation(3)'!D748</f>
        <v>M</v>
      </c>
      <c r="E760" s="8" t="str">
        <f>'Data cleaning and validation(3)'!E748</f>
        <v>Kids</v>
      </c>
      <c r="F760" s="15">
        <f>'Data cleaning and validation(3)'!F748</f>
        <v>38928</v>
      </c>
      <c r="G760" s="8">
        <f>'Data cleaning and validation(3)'!G748</f>
        <v>15</v>
      </c>
      <c r="H760" s="19">
        <f>'Data cleaning and validation(3)'!H748</f>
        <v>82674</v>
      </c>
      <c r="I760" s="8" t="str">
        <f>'Data cleaning and validation(3)'!I748</f>
        <v>Junior Executive</v>
      </c>
      <c r="J760" s="8" t="str">
        <f>'Data cleaning and validation(3)'!J748</f>
        <v>Southwest</v>
      </c>
      <c r="K760" s="8" t="str">
        <f>'Data cleaning and validation(3)'!K748</f>
        <v>USA</v>
      </c>
      <c r="L760" s="8" t="str">
        <f>'Data cleaning and validation(3)'!L748</f>
        <v>Domestic</v>
      </c>
      <c r="M760" s="8" t="str">
        <f>'Data cleaning and validation(3)'!M748</f>
        <v>Active</v>
      </c>
      <c r="N760" s="17">
        <f>'Data cleaning and validation(3)'!N748</f>
        <v>992088</v>
      </c>
      <c r="O760" s="18">
        <f>'Data cleaning and validation(3)'!O748</f>
        <v>8267.4</v>
      </c>
    </row>
    <row r="761" spans="1:15" x14ac:dyDescent="0.35">
      <c r="A761" s="8">
        <f>'Data cleaning and validation(3)'!A749</f>
        <v>748</v>
      </c>
      <c r="B761" s="8" t="str">
        <f>'Data cleaning and validation(3)'!B749</f>
        <v>Elliott</v>
      </c>
      <c r="C761" s="8" t="str">
        <f>'Data cleaning and validation(3)'!C749</f>
        <v>delliottkr@dot.gov</v>
      </c>
      <c r="D761" s="8" t="str">
        <f>'Data cleaning and validation(3)'!D749</f>
        <v>M</v>
      </c>
      <c r="E761" s="8" t="str">
        <f>'Data cleaning and validation(3)'!E749</f>
        <v>Clothing</v>
      </c>
      <c r="F761" s="15">
        <f>'Data cleaning and validation(3)'!F749</f>
        <v>40156</v>
      </c>
      <c r="G761" s="8">
        <f>'Data cleaning and validation(3)'!G749</f>
        <v>12</v>
      </c>
      <c r="H761" s="19">
        <f>'Data cleaning and validation(3)'!H749</f>
        <v>119097</v>
      </c>
      <c r="I761" s="8" t="str">
        <f>'Data cleaning and validation(3)'!I749</f>
        <v>Administrative Assistant I</v>
      </c>
      <c r="J761" s="8" t="str">
        <f>'Data cleaning and validation(3)'!J749</f>
        <v>Southeast</v>
      </c>
      <c r="K761" s="8" t="str">
        <f>'Data cleaning and validation(3)'!K749</f>
        <v>USA</v>
      </c>
      <c r="L761" s="8" t="str">
        <f>'Data cleaning and validation(3)'!L749</f>
        <v>Domestic</v>
      </c>
      <c r="M761" s="8" t="str">
        <f>'Data cleaning and validation(3)'!M749</f>
        <v>Active</v>
      </c>
      <c r="N761" s="17">
        <f>'Data cleaning and validation(3)'!N749</f>
        <v>1429164</v>
      </c>
      <c r="O761" s="18">
        <f>'Data cleaning and validation(3)'!O749</f>
        <v>11909.7</v>
      </c>
    </row>
    <row r="762" spans="1:15" x14ac:dyDescent="0.35">
      <c r="A762" s="8">
        <f>'Data cleaning and validation(3)'!A750</f>
        <v>749</v>
      </c>
      <c r="B762" s="8" t="str">
        <f>'Data cleaning and validation(3)'!B750</f>
        <v>Parker</v>
      </c>
      <c r="C762" s="8" t="str">
        <f>'Data cleaning and validation(3)'!C750</f>
        <v>aparkerks@godaddy.com</v>
      </c>
      <c r="D762" s="8" t="str">
        <f>'Data cleaning and validation(3)'!D750</f>
        <v>F</v>
      </c>
      <c r="E762" s="8" t="str">
        <f>'Data cleaning and validation(3)'!E750</f>
        <v>Jewelery</v>
      </c>
      <c r="F762" s="15">
        <f>'Data cleaning and validation(3)'!F750</f>
        <v>45905</v>
      </c>
      <c r="G762" s="8">
        <f>'Data cleaning and validation(3)'!G750</f>
        <v>9</v>
      </c>
      <c r="H762" s="19">
        <f>'Data cleaning and validation(3)'!H750</f>
        <v>60498</v>
      </c>
      <c r="I762" s="8" t="str">
        <f>'Data cleaning and validation(3)'!I750</f>
        <v>Accountant I</v>
      </c>
      <c r="J762" s="8" t="str">
        <f>'Data cleaning and validation(3)'!J750</f>
        <v>Southwest</v>
      </c>
      <c r="K762" s="8" t="str">
        <f>'Data cleaning and validation(3)'!K750</f>
        <v>USA</v>
      </c>
      <c r="L762" s="8" t="str">
        <f>'Data cleaning and validation(3)'!L750</f>
        <v>Fashion</v>
      </c>
      <c r="M762" s="8" t="str">
        <f>'Data cleaning and validation(3)'!M750</f>
        <v>Active</v>
      </c>
      <c r="N762" s="17">
        <f>'Data cleaning and validation(3)'!N750</f>
        <v>725976</v>
      </c>
      <c r="O762" s="18">
        <f>'Data cleaning and validation(3)'!O750</f>
        <v>6049.8</v>
      </c>
    </row>
    <row r="763" spans="1:15" x14ac:dyDescent="0.35">
      <c r="A763" s="8">
        <f>'Data cleaning and validation(3)'!A751</f>
        <v>750</v>
      </c>
      <c r="B763" s="8" t="str">
        <f>'Data cleaning and validation(3)'!B751</f>
        <v>Ward</v>
      </c>
      <c r="C763" s="8" t="str">
        <f>'Data cleaning and validation(3)'!C751</f>
        <v>kwardkt@wikipedia.org</v>
      </c>
      <c r="D763" s="8" t="str">
        <f>'Data cleaning and validation(3)'!D751</f>
        <v>M</v>
      </c>
      <c r="E763" s="8" t="str">
        <f>'Data cleaning and validation(3)'!E751</f>
        <v>Music</v>
      </c>
      <c r="F763" s="15">
        <f>'Data cleaning and validation(3)'!F751</f>
        <v>41836</v>
      </c>
      <c r="G763" s="8">
        <f>'Data cleaning and validation(3)'!G751</f>
        <v>7</v>
      </c>
      <c r="H763" s="19">
        <f>'Data cleaning and validation(3)'!H751</f>
        <v>108228</v>
      </c>
      <c r="I763" s="8" t="str">
        <f>'Data cleaning and validation(3)'!I751</f>
        <v>VP Sales</v>
      </c>
      <c r="J763" s="8" t="str">
        <f>'Data cleaning and validation(3)'!J751</f>
        <v>Northwest</v>
      </c>
      <c r="K763" s="8" t="str">
        <f>'Data cleaning and validation(3)'!K751</f>
        <v>USA</v>
      </c>
      <c r="L763" s="8" t="str">
        <f>'Data cleaning and validation(3)'!L751</f>
        <v>Entertainment</v>
      </c>
      <c r="M763" s="8" t="str">
        <f>'Data cleaning and validation(3)'!M751</f>
        <v>Active</v>
      </c>
      <c r="N763" s="17">
        <f>'Data cleaning and validation(3)'!N751</f>
        <v>1298736</v>
      </c>
      <c r="O763" s="18">
        <f>'Data cleaning and validation(3)'!O751</f>
        <v>10822.800000000001</v>
      </c>
    </row>
    <row r="764" spans="1:15" x14ac:dyDescent="0.35">
      <c r="A764" s="8">
        <f>'Data cleaning and validation(3)'!A752</f>
        <v>751</v>
      </c>
      <c r="B764" s="8" t="str">
        <f>'Data cleaning and validation(3)'!B752</f>
        <v>Kelley</v>
      </c>
      <c r="C764" s="8" t="str">
        <f>'Data cleaning and validation(3)'!C752</f>
        <v>ckelleyku@gravatar.com</v>
      </c>
      <c r="D764" s="8" t="str">
        <f>'Data cleaning and validation(3)'!D752</f>
        <v>M</v>
      </c>
      <c r="E764" s="8" t="str">
        <f>'Data cleaning and validation(3)'!E752</f>
        <v>Electronics</v>
      </c>
      <c r="F764" s="15">
        <f>'Data cleaning and validation(3)'!F752</f>
        <v>38479</v>
      </c>
      <c r="G764" s="8">
        <f>'Data cleaning and validation(3)'!G752</f>
        <v>16</v>
      </c>
      <c r="H764" s="19">
        <f>'Data cleaning and validation(3)'!H752</f>
        <v>106602</v>
      </c>
      <c r="I764" s="8" t="str">
        <f>'Data cleaning and validation(3)'!I752</f>
        <v>Occupational Therapist</v>
      </c>
      <c r="J764" s="8" t="str">
        <f>'Data cleaning and validation(3)'!J752</f>
        <v>Southeast</v>
      </c>
      <c r="K764" s="8" t="str">
        <f>'Data cleaning and validation(3)'!K752</f>
        <v>USA</v>
      </c>
      <c r="L764" s="8" t="str">
        <f>'Data cleaning and validation(3)'!L752</f>
        <v>Electronic Equipment</v>
      </c>
      <c r="M764" s="8" t="str">
        <f>'Data cleaning and validation(3)'!M752</f>
        <v>Active</v>
      </c>
      <c r="N764" s="17">
        <f>'Data cleaning and validation(3)'!N752</f>
        <v>1279224</v>
      </c>
      <c r="O764" s="18">
        <f>'Data cleaning and validation(3)'!O752</f>
        <v>10660.2</v>
      </c>
    </row>
    <row r="765" spans="1:15" x14ac:dyDescent="0.35">
      <c r="A765" s="8">
        <f>'Data cleaning and validation(3)'!A753</f>
        <v>752</v>
      </c>
      <c r="B765" s="8" t="str">
        <f>'Data cleaning and validation(3)'!B753</f>
        <v>Gonzales</v>
      </c>
      <c r="C765" s="8" t="str">
        <f>'Data cleaning and validation(3)'!C753</f>
        <v>rgonzaleskv@meetup.com</v>
      </c>
      <c r="D765" s="8" t="str">
        <f>'Data cleaning and validation(3)'!D753</f>
        <v>F</v>
      </c>
      <c r="E765" s="8" t="str">
        <f>'Data cleaning and validation(3)'!E753</f>
        <v>Home</v>
      </c>
      <c r="F765" s="15">
        <f>'Data cleaning and validation(3)'!F753</f>
        <v>45315</v>
      </c>
      <c r="G765" s="8">
        <f>'Data cleaning and validation(3)'!G753</f>
        <v>10</v>
      </c>
      <c r="H765" s="19">
        <f>'Data cleaning and validation(3)'!H753</f>
        <v>95810</v>
      </c>
      <c r="I765" s="8" t="str">
        <f>'Data cleaning and validation(3)'!I753</f>
        <v>Food Chemist</v>
      </c>
      <c r="J765" s="8" t="str">
        <f>'Data cleaning and validation(3)'!J753</f>
        <v>Southwest</v>
      </c>
      <c r="K765" s="8" t="str">
        <f>'Data cleaning and validation(3)'!K753</f>
        <v>USA</v>
      </c>
      <c r="L765" s="8" t="str">
        <f>'Data cleaning and validation(3)'!L753</f>
        <v>Domestic</v>
      </c>
      <c r="M765" s="8" t="str">
        <f>'Data cleaning and validation(3)'!M753</f>
        <v>Active</v>
      </c>
      <c r="N765" s="17">
        <f>'Data cleaning and validation(3)'!N753</f>
        <v>1149720</v>
      </c>
      <c r="O765" s="18">
        <f>'Data cleaning and validation(3)'!O753</f>
        <v>9581</v>
      </c>
    </row>
    <row r="766" spans="1:15" x14ac:dyDescent="0.35">
      <c r="A766" s="8">
        <f>'Data cleaning and validation(3)'!A754</f>
        <v>753</v>
      </c>
      <c r="B766" s="8" t="str">
        <f>'Data cleaning and validation(3)'!B754</f>
        <v>King</v>
      </c>
      <c r="C766" s="8" t="str">
        <f>'Data cleaning and validation(3)'!C754</f>
        <v>bkingkw@friendfeed.com</v>
      </c>
      <c r="D766" s="8" t="str">
        <f>'Data cleaning and validation(3)'!D754</f>
        <v>F</v>
      </c>
      <c r="E766" s="8" t="str">
        <f>'Data cleaning and validation(3)'!E754</f>
        <v>Electronics</v>
      </c>
      <c r="F766" s="15">
        <f>'Data cleaning and validation(3)'!F754</f>
        <v>38388</v>
      </c>
      <c r="G766" s="8">
        <f>'Data cleaning and validation(3)'!G754</f>
        <v>16</v>
      </c>
      <c r="H766" s="19">
        <f>'Data cleaning and validation(3)'!H754</f>
        <v>149597</v>
      </c>
      <c r="I766" s="8" t="str">
        <f>'Data cleaning and validation(3)'!I754</f>
        <v>Structural Analysis Engineer</v>
      </c>
      <c r="J766" s="8" t="str">
        <f>'Data cleaning and validation(3)'!J754</f>
        <v>Northeast</v>
      </c>
      <c r="K766" s="8" t="str">
        <f>'Data cleaning and validation(3)'!K754</f>
        <v>USA</v>
      </c>
      <c r="L766" s="8" t="str">
        <f>'Data cleaning and validation(3)'!L754</f>
        <v>Electronic Equipment</v>
      </c>
      <c r="M766" s="8" t="str">
        <f>'Data cleaning and validation(3)'!M754</f>
        <v>Active</v>
      </c>
      <c r="N766" s="17">
        <f>'Data cleaning and validation(3)'!N754</f>
        <v>1795164</v>
      </c>
      <c r="O766" s="18">
        <f>'Data cleaning and validation(3)'!O754</f>
        <v>14959.7</v>
      </c>
    </row>
    <row r="767" spans="1:15" x14ac:dyDescent="0.35">
      <c r="A767" s="8">
        <f>'Data cleaning and validation(3)'!A755</f>
        <v>754</v>
      </c>
      <c r="B767" s="8" t="str">
        <f>'Data cleaning and validation(3)'!B755</f>
        <v>Mendoza</v>
      </c>
      <c r="C767" s="8" t="str">
        <f>'Data cleaning and validation(3)'!C755</f>
        <v>smendozakx@java.com</v>
      </c>
      <c r="D767" s="8" t="str">
        <f>'Data cleaning and validation(3)'!D755</f>
        <v>F</v>
      </c>
      <c r="E767" s="8" t="str">
        <f>'Data cleaning and validation(3)'!E755</f>
        <v>Electronics</v>
      </c>
      <c r="F767" s="15">
        <f>'Data cleaning and validation(3)'!F755</f>
        <v>36602</v>
      </c>
      <c r="G767" s="8">
        <f>'Data cleaning and validation(3)'!G755</f>
        <v>21</v>
      </c>
      <c r="H767" s="19">
        <f>'Data cleaning and validation(3)'!H755</f>
        <v>57331</v>
      </c>
      <c r="I767" s="8" t="str">
        <f>'Data cleaning and validation(3)'!I755</f>
        <v>Occupational Therapist</v>
      </c>
      <c r="J767" s="8" t="str">
        <f>'Data cleaning and validation(3)'!J755</f>
        <v>Northwest</v>
      </c>
      <c r="K767" s="8" t="str">
        <f>'Data cleaning and validation(3)'!K755</f>
        <v>USA</v>
      </c>
      <c r="L767" s="8" t="str">
        <f>'Data cleaning and validation(3)'!L755</f>
        <v>Electronic Equipment</v>
      </c>
      <c r="M767" s="8" t="str">
        <f>'Data cleaning and validation(3)'!M755</f>
        <v>Active</v>
      </c>
      <c r="N767" s="17">
        <f>'Data cleaning and validation(3)'!N755</f>
        <v>687972</v>
      </c>
      <c r="O767" s="18">
        <f>'Data cleaning and validation(3)'!O755</f>
        <v>5733.1</v>
      </c>
    </row>
    <row r="768" spans="1:15" x14ac:dyDescent="0.35">
      <c r="A768" s="8">
        <f>'Data cleaning and validation(3)'!A756</f>
        <v>755</v>
      </c>
      <c r="B768" s="8" t="str">
        <f>'Data cleaning and validation(3)'!B756</f>
        <v>Tucker</v>
      </c>
      <c r="C768" s="8" t="str">
        <f>'Data cleaning and validation(3)'!C756</f>
        <v>ctuckerky@1688.com</v>
      </c>
      <c r="D768" s="8" t="str">
        <f>'Data cleaning and validation(3)'!D756</f>
        <v>M</v>
      </c>
      <c r="E768" s="8" t="str">
        <f>'Data cleaning and validation(3)'!E756</f>
        <v>Industrial</v>
      </c>
      <c r="F768" s="15">
        <f>'Data cleaning and validation(3)'!F756</f>
        <v>40772</v>
      </c>
      <c r="G768" s="8">
        <f>'Data cleaning and validation(3)'!G756</f>
        <v>10</v>
      </c>
      <c r="H768" s="19">
        <f>'Data cleaning and validation(3)'!H756</f>
        <v>49113</v>
      </c>
      <c r="I768" s="8" t="str">
        <f>'Data cleaning and validation(3)'!I756</f>
        <v>Business Systems Development Analyst</v>
      </c>
      <c r="J768" s="8" t="str">
        <f>'Data cleaning and validation(3)'!J756</f>
        <v>Nova Scotia</v>
      </c>
      <c r="K768" s="8" t="str">
        <f>'Data cleaning and validation(3)'!K756</f>
        <v>Canada</v>
      </c>
      <c r="L768" s="8" t="str">
        <f>'Data cleaning and validation(3)'!L756</f>
        <v>Auto &amp; Hardware</v>
      </c>
      <c r="M768" s="8" t="str">
        <f>'Data cleaning and validation(3)'!M756</f>
        <v>Active</v>
      </c>
      <c r="N768" s="17">
        <f>'Data cleaning and validation(3)'!N756</f>
        <v>589356</v>
      </c>
      <c r="O768" s="18">
        <f>'Data cleaning and validation(3)'!O756</f>
        <v>4911.3</v>
      </c>
    </row>
    <row r="769" spans="1:15" x14ac:dyDescent="0.35">
      <c r="A769" s="8">
        <f>'Data cleaning and validation(3)'!A757</f>
        <v>756</v>
      </c>
      <c r="B769" s="8" t="str">
        <f>'Data cleaning and validation(3)'!B757</f>
        <v>Fox</v>
      </c>
      <c r="C769" s="8" t="str">
        <f>'Data cleaning and validation(3)'!C757</f>
        <v>dfoxkz@foxnews.com</v>
      </c>
      <c r="D769" s="8" t="str">
        <f>'Data cleaning and validation(3)'!D757</f>
        <v>F</v>
      </c>
      <c r="E769" s="8" t="str">
        <f>'Data cleaning and validation(3)'!E757</f>
        <v>Grocery</v>
      </c>
      <c r="F769" s="15">
        <f>'Data cleaning and validation(3)'!F757</f>
        <v>38550</v>
      </c>
      <c r="G769" s="8">
        <f>'Data cleaning and validation(3)'!G757</f>
        <v>16</v>
      </c>
      <c r="H769" s="19">
        <f>'Data cleaning and validation(3)'!H757</f>
        <v>80417</v>
      </c>
      <c r="I769" s="8" t="str">
        <f>'Data cleaning and validation(3)'!I757</f>
        <v>Assistant Media Planner</v>
      </c>
      <c r="J769" s="8" t="str">
        <f>'Data cleaning and validation(3)'!J757</f>
        <v>Nova Scotia</v>
      </c>
      <c r="K769" s="8" t="str">
        <f>'Data cleaning and validation(3)'!K757</f>
        <v>Canada</v>
      </c>
      <c r="L769" s="8" t="str">
        <f>'Data cleaning and validation(3)'!L757</f>
        <v>Domestic</v>
      </c>
      <c r="M769" s="8" t="str">
        <f>'Data cleaning and validation(3)'!M757</f>
        <v>Active</v>
      </c>
      <c r="N769" s="17">
        <f>'Data cleaning and validation(3)'!N757</f>
        <v>965004</v>
      </c>
      <c r="O769" s="18">
        <f>'Data cleaning and validation(3)'!O757</f>
        <v>8041.7000000000007</v>
      </c>
    </row>
    <row r="770" spans="1:15" x14ac:dyDescent="0.35">
      <c r="A770" s="8">
        <f>'Data cleaning and validation(3)'!A758</f>
        <v>757</v>
      </c>
      <c r="B770" s="8" t="str">
        <f>'Data cleaning and validation(3)'!B758</f>
        <v>Evans</v>
      </c>
      <c r="C770" s="8" t="str">
        <f>'Data cleaning and validation(3)'!C758</f>
        <v>aevansl0@nba.com</v>
      </c>
      <c r="D770" s="8" t="str">
        <f>'Data cleaning and validation(3)'!D758</f>
        <v>M</v>
      </c>
      <c r="E770" s="8" t="str">
        <f>'Data cleaning and validation(3)'!E758</f>
        <v>Games</v>
      </c>
      <c r="F770" s="15">
        <f>'Data cleaning and validation(3)'!F758</f>
        <v>41004</v>
      </c>
      <c r="G770" s="8">
        <f>'Data cleaning and validation(3)'!G758</f>
        <v>9</v>
      </c>
      <c r="H770" s="19">
        <f>'Data cleaning and validation(3)'!H758</f>
        <v>122595</v>
      </c>
      <c r="I770" s="8" t="str">
        <f>'Data cleaning and validation(3)'!I758</f>
        <v>Automation Specialist I</v>
      </c>
      <c r="J770" s="8" t="str">
        <f>'Data cleaning and validation(3)'!J758</f>
        <v>Quebec</v>
      </c>
      <c r="K770" s="8" t="str">
        <f>'Data cleaning and validation(3)'!K758</f>
        <v>Canada</v>
      </c>
      <c r="L770" s="8" t="str">
        <f>'Data cleaning and validation(3)'!L758</f>
        <v>Domestic</v>
      </c>
      <c r="M770" s="8" t="str">
        <f>'Data cleaning and validation(3)'!M758</f>
        <v>Active</v>
      </c>
      <c r="N770" s="17">
        <f>'Data cleaning and validation(3)'!N758</f>
        <v>1471140</v>
      </c>
      <c r="O770" s="18">
        <f>'Data cleaning and validation(3)'!O758</f>
        <v>12259.5</v>
      </c>
    </row>
    <row r="771" spans="1:15" x14ac:dyDescent="0.35">
      <c r="A771" s="8">
        <f>'Data cleaning and validation(3)'!A759</f>
        <v>758</v>
      </c>
      <c r="B771" s="8" t="str">
        <f>'Data cleaning and validation(3)'!B759</f>
        <v>Ray</v>
      </c>
      <c r="C771" s="8" t="str">
        <f>'Data cleaning and validation(3)'!C759</f>
        <v>nrayl1@mail.ru</v>
      </c>
      <c r="D771" s="8" t="str">
        <f>'Data cleaning and validation(3)'!D759</f>
        <v>M</v>
      </c>
      <c r="E771" s="8" t="str">
        <f>'Data cleaning and validation(3)'!E759</f>
        <v>Toys</v>
      </c>
      <c r="F771" s="15">
        <f>'Data cleaning and validation(3)'!F759</f>
        <v>41570</v>
      </c>
      <c r="G771" s="8">
        <f>'Data cleaning and validation(3)'!G759</f>
        <v>8</v>
      </c>
      <c r="H771" s="19">
        <f>'Data cleaning and validation(3)'!H759</f>
        <v>126661</v>
      </c>
      <c r="I771" s="8" t="str">
        <f>'Data cleaning and validation(3)'!I759</f>
        <v>Systems Administrator I</v>
      </c>
      <c r="J771" s="8" t="str">
        <f>'Data cleaning and validation(3)'!J759</f>
        <v>Southeast</v>
      </c>
      <c r="K771" s="8" t="str">
        <f>'Data cleaning and validation(3)'!K759</f>
        <v>USA</v>
      </c>
      <c r="L771" s="8" t="str">
        <f>'Data cleaning and validation(3)'!L759</f>
        <v>Games &amp; Sports</v>
      </c>
      <c r="M771" s="8" t="str">
        <f>'Data cleaning and validation(3)'!M759</f>
        <v>Active</v>
      </c>
      <c r="N771" s="17">
        <f>'Data cleaning and validation(3)'!N759</f>
        <v>1519932</v>
      </c>
      <c r="O771" s="18">
        <f>'Data cleaning and validation(3)'!O759</f>
        <v>12666.1</v>
      </c>
    </row>
    <row r="772" spans="1:15" x14ac:dyDescent="0.35">
      <c r="A772" s="8">
        <f>'Data cleaning and validation(3)'!A760</f>
        <v>759</v>
      </c>
      <c r="B772" s="8" t="str">
        <f>'Data cleaning and validation(3)'!B760</f>
        <v>Vasquez</v>
      </c>
      <c r="C772" s="8" t="str">
        <f>'Data cleaning and validation(3)'!C760</f>
        <v>jvasquezl2@edublogs.org</v>
      </c>
      <c r="D772" s="8" t="str">
        <f>'Data cleaning and validation(3)'!D760</f>
        <v>M</v>
      </c>
      <c r="E772" s="8" t="str">
        <f>'Data cleaning and validation(3)'!E760</f>
        <v>Garden</v>
      </c>
      <c r="F772" s="15">
        <f>'Data cleaning and validation(3)'!F760</f>
        <v>36618</v>
      </c>
      <c r="G772" s="8">
        <f>'Data cleaning and validation(3)'!G760</f>
        <v>21</v>
      </c>
      <c r="H772" s="19">
        <f>'Data cleaning and validation(3)'!H760</f>
        <v>127695</v>
      </c>
      <c r="I772" s="8" t="str">
        <f>'Data cleaning and validation(3)'!I760</f>
        <v>Systems Administrator I</v>
      </c>
      <c r="J772" s="8" t="str">
        <f>'Data cleaning and validation(3)'!J760</f>
        <v>Nova Scotia</v>
      </c>
      <c r="K772" s="8" t="str">
        <f>'Data cleaning and validation(3)'!K760</f>
        <v>Canada</v>
      </c>
      <c r="L772" s="8" t="str">
        <f>'Data cleaning and validation(3)'!L760</f>
        <v>Outdoors &amp; Garden</v>
      </c>
      <c r="M772" s="8" t="str">
        <f>'Data cleaning and validation(3)'!M760</f>
        <v>Active</v>
      </c>
      <c r="N772" s="17">
        <f>'Data cleaning and validation(3)'!N760</f>
        <v>1532340</v>
      </c>
      <c r="O772" s="18">
        <f>'Data cleaning and validation(3)'!O760</f>
        <v>12769.5</v>
      </c>
    </row>
    <row r="773" spans="1:15" x14ac:dyDescent="0.35">
      <c r="A773" s="8">
        <f>'Data cleaning and validation(3)'!A761</f>
        <v>760</v>
      </c>
      <c r="B773" s="8" t="str">
        <f>'Data cleaning and validation(3)'!B761</f>
        <v>Bell</v>
      </c>
      <c r="C773" s="8" t="str">
        <f>'Data cleaning and validation(3)'!C761</f>
        <v>sbelll3@goo.gl</v>
      </c>
      <c r="D773" s="8" t="str">
        <f>'Data cleaning and validation(3)'!D761</f>
        <v>M</v>
      </c>
      <c r="E773" s="8" t="str">
        <f>'Data cleaning and validation(3)'!E761</f>
        <v>Baby</v>
      </c>
      <c r="F773" s="15">
        <f>'Data cleaning and validation(3)'!F761</f>
        <v>39653</v>
      </c>
      <c r="G773" s="8">
        <f>'Data cleaning and validation(3)'!G761</f>
        <v>13</v>
      </c>
      <c r="H773" s="19">
        <f>'Data cleaning and validation(3)'!H761</f>
        <v>66608</v>
      </c>
      <c r="I773" s="8" t="str">
        <f>'Data cleaning and validation(3)'!I761</f>
        <v>General Manager</v>
      </c>
      <c r="J773" s="8" t="str">
        <f>'Data cleaning and validation(3)'!J761</f>
        <v>Northeast</v>
      </c>
      <c r="K773" s="8" t="str">
        <f>'Data cleaning and validation(3)'!K761</f>
        <v>USA</v>
      </c>
      <c r="L773" s="8" t="str">
        <f>'Data cleaning and validation(3)'!L761</f>
        <v>Domestic</v>
      </c>
      <c r="M773" s="8" t="str">
        <f>'Data cleaning and validation(3)'!M761</f>
        <v>Active</v>
      </c>
      <c r="N773" s="17">
        <f>'Data cleaning and validation(3)'!N761</f>
        <v>799296</v>
      </c>
      <c r="O773" s="18">
        <f>'Data cleaning and validation(3)'!O761</f>
        <v>6660.8</v>
      </c>
    </row>
    <row r="774" spans="1:15" x14ac:dyDescent="0.35">
      <c r="A774" s="8">
        <f>'Data cleaning and validation(3)'!A762</f>
        <v>761</v>
      </c>
      <c r="B774" s="8" t="str">
        <f>'Data cleaning and validation(3)'!B762</f>
        <v>Burke</v>
      </c>
      <c r="C774" s="8" t="str">
        <f>'Data cleaning and validation(3)'!C762</f>
        <v>eburkel4@newsvine.com</v>
      </c>
      <c r="D774" s="8" t="str">
        <f>'Data cleaning and validation(3)'!D762</f>
        <v>F</v>
      </c>
      <c r="E774" s="8" t="str">
        <f>'Data cleaning and validation(3)'!E762</f>
        <v>Home</v>
      </c>
      <c r="F774" s="15">
        <f>'Data cleaning and validation(3)'!F762</f>
        <v>46735</v>
      </c>
      <c r="G774" s="8">
        <f>'Data cleaning and validation(3)'!G762</f>
        <v>7</v>
      </c>
      <c r="H774" s="19">
        <f>'Data cleaning and validation(3)'!H762</f>
        <v>106033</v>
      </c>
      <c r="I774" s="8" t="str">
        <f>'Data cleaning and validation(3)'!I762</f>
        <v>Quality Control Specialist</v>
      </c>
      <c r="J774" s="8" t="str">
        <f>'Data cleaning and validation(3)'!J762</f>
        <v>Northeast</v>
      </c>
      <c r="K774" s="8" t="str">
        <f>'Data cleaning and validation(3)'!K762</f>
        <v>USA</v>
      </c>
      <c r="L774" s="8" t="str">
        <f>'Data cleaning and validation(3)'!L762</f>
        <v>Domestic</v>
      </c>
      <c r="M774" s="8" t="str">
        <f>'Data cleaning and validation(3)'!M762</f>
        <v>Active</v>
      </c>
      <c r="N774" s="17">
        <f>'Data cleaning and validation(3)'!N762</f>
        <v>1272396</v>
      </c>
      <c r="O774" s="18">
        <f>'Data cleaning and validation(3)'!O762</f>
        <v>10603.300000000001</v>
      </c>
    </row>
    <row r="775" spans="1:15" x14ac:dyDescent="0.35">
      <c r="A775" s="8">
        <f>'Data cleaning and validation(3)'!A763</f>
        <v>762</v>
      </c>
      <c r="B775" s="8" t="str">
        <f>'Data cleaning and validation(3)'!B763</f>
        <v>Stanley</v>
      </c>
      <c r="C775" s="8" t="str">
        <f>'Data cleaning and validation(3)'!C763</f>
        <v>cstanleyl5@springer.com</v>
      </c>
      <c r="D775" s="8" t="str">
        <f>'Data cleaning and validation(3)'!D763</f>
        <v>M</v>
      </c>
      <c r="E775" s="8" t="str">
        <f>'Data cleaning and validation(3)'!E763</f>
        <v>Electronics</v>
      </c>
      <c r="F775" s="15">
        <f>'Data cleaning and validation(3)'!F763</f>
        <v>41495</v>
      </c>
      <c r="G775" s="8">
        <f>'Data cleaning and validation(3)'!G763</f>
        <v>8</v>
      </c>
      <c r="H775" s="19">
        <f>'Data cleaning and validation(3)'!H763</f>
        <v>103237</v>
      </c>
      <c r="I775" s="8" t="str">
        <f>'Data cleaning and validation(3)'!I763</f>
        <v>Account Executive</v>
      </c>
      <c r="J775" s="8" t="str">
        <f>'Data cleaning and validation(3)'!J763</f>
        <v>Nova Scotia</v>
      </c>
      <c r="K775" s="8" t="str">
        <f>'Data cleaning and validation(3)'!K763</f>
        <v>Canada</v>
      </c>
      <c r="L775" s="8" t="str">
        <f>'Data cleaning and validation(3)'!L763</f>
        <v>Electronic Equipment</v>
      </c>
      <c r="M775" s="8" t="str">
        <f>'Data cleaning and validation(3)'!M763</f>
        <v>Active</v>
      </c>
      <c r="N775" s="17">
        <f>'Data cleaning and validation(3)'!N763</f>
        <v>1238844</v>
      </c>
      <c r="O775" s="18">
        <f>'Data cleaning and validation(3)'!O763</f>
        <v>10323.700000000001</v>
      </c>
    </row>
    <row r="776" spans="1:15" x14ac:dyDescent="0.35">
      <c r="A776" s="8">
        <f>'Data cleaning and validation(3)'!A764</f>
        <v>763</v>
      </c>
      <c r="B776" s="8" t="str">
        <f>'Data cleaning and validation(3)'!B764</f>
        <v>Bell</v>
      </c>
      <c r="C776" s="8" t="str">
        <f>'Data cleaning and validation(3)'!C764</f>
        <v>dbelll6@wisc.edu</v>
      </c>
      <c r="D776" s="8" t="str">
        <f>'Data cleaning and validation(3)'!D764</f>
        <v>M</v>
      </c>
      <c r="E776" s="8" t="str">
        <f>'Data cleaning and validation(3)'!E764</f>
        <v>Computers</v>
      </c>
      <c r="F776" s="15">
        <f>'Data cleaning and validation(3)'!F764</f>
        <v>37368</v>
      </c>
      <c r="G776" s="8">
        <f>'Data cleaning and validation(3)'!G764</f>
        <v>19</v>
      </c>
      <c r="H776" s="19">
        <f>'Data cleaning and validation(3)'!H764</f>
        <v>122843</v>
      </c>
      <c r="I776" s="8" t="str">
        <f>'Data cleaning and validation(3)'!I764</f>
        <v>Accountant IV</v>
      </c>
      <c r="J776" s="8" t="str">
        <f>'Data cleaning and validation(3)'!J764</f>
        <v>Southeast</v>
      </c>
      <c r="K776" s="8" t="str">
        <f>'Data cleaning and validation(3)'!K764</f>
        <v>USA</v>
      </c>
      <c r="L776" s="8" t="str">
        <f>'Data cleaning and validation(3)'!L764</f>
        <v>Electronic Equipment</v>
      </c>
      <c r="M776" s="8" t="str">
        <f>'Data cleaning and validation(3)'!M764</f>
        <v>Active</v>
      </c>
      <c r="N776" s="17">
        <f>'Data cleaning and validation(3)'!N764</f>
        <v>1474116</v>
      </c>
      <c r="O776" s="18">
        <f>'Data cleaning and validation(3)'!O764</f>
        <v>12284.300000000001</v>
      </c>
    </row>
    <row r="777" spans="1:15" x14ac:dyDescent="0.35">
      <c r="A777" s="8">
        <f>'Data cleaning and validation(3)'!A765</f>
        <v>764</v>
      </c>
      <c r="B777" s="8" t="str">
        <f>'Data cleaning and validation(3)'!B765</f>
        <v>Jacobs</v>
      </c>
      <c r="C777" s="8" t="str">
        <f>'Data cleaning and validation(3)'!C765</f>
        <v>mjacobsl7@ibm.com</v>
      </c>
      <c r="D777" s="8" t="str">
        <f>'Data cleaning and validation(3)'!D765</f>
        <v>F</v>
      </c>
      <c r="E777" s="8" t="str">
        <f>'Data cleaning and validation(3)'!E765</f>
        <v>Music</v>
      </c>
      <c r="F777" s="15">
        <f>'Data cleaning and validation(3)'!F765</f>
        <v>38174</v>
      </c>
      <c r="G777" s="8">
        <f>'Data cleaning and validation(3)'!G765</f>
        <v>17</v>
      </c>
      <c r="H777" s="19">
        <f>'Data cleaning and validation(3)'!H765</f>
        <v>51771</v>
      </c>
      <c r="I777" s="8" t="str">
        <f>'Data cleaning and validation(3)'!I765</f>
        <v>Accountant III</v>
      </c>
      <c r="J777" s="8" t="str">
        <f>'Data cleaning and validation(3)'!J765</f>
        <v>Northwest</v>
      </c>
      <c r="K777" s="8" t="str">
        <f>'Data cleaning and validation(3)'!K765</f>
        <v>USA</v>
      </c>
      <c r="L777" s="8" t="str">
        <f>'Data cleaning and validation(3)'!L765</f>
        <v>Entertainment</v>
      </c>
      <c r="M777" s="8" t="str">
        <f>'Data cleaning and validation(3)'!M765</f>
        <v>Active</v>
      </c>
      <c r="N777" s="17">
        <f>'Data cleaning and validation(3)'!N765</f>
        <v>621252</v>
      </c>
      <c r="O777" s="18">
        <f>'Data cleaning and validation(3)'!O765</f>
        <v>5177.1000000000004</v>
      </c>
    </row>
    <row r="778" spans="1:15" x14ac:dyDescent="0.35">
      <c r="A778" s="8">
        <f>'Data cleaning and validation(3)'!A766</f>
        <v>765</v>
      </c>
      <c r="B778" s="8" t="str">
        <f>'Data cleaning and validation(3)'!B766</f>
        <v>Williams</v>
      </c>
      <c r="C778" s="8" t="str">
        <f>'Data cleaning and validation(3)'!C766</f>
        <v>dwilliamsl8@google.com.br</v>
      </c>
      <c r="D778" s="8" t="str">
        <f>'Data cleaning and validation(3)'!D766</f>
        <v>M</v>
      </c>
      <c r="E778" s="8" t="str">
        <f>'Data cleaning and validation(3)'!E766</f>
        <v>Tools</v>
      </c>
      <c r="F778" s="15">
        <f>'Data cleaning and validation(3)'!F766</f>
        <v>40124</v>
      </c>
      <c r="G778" s="8">
        <f>'Data cleaning and validation(3)'!G766</f>
        <v>12</v>
      </c>
      <c r="H778" s="19">
        <f>'Data cleaning and validation(3)'!H766</f>
        <v>107709</v>
      </c>
      <c r="I778" s="8" t="str">
        <f>'Data cleaning and validation(3)'!I766</f>
        <v>Nuclear Power Engineer</v>
      </c>
      <c r="J778" s="8" t="str">
        <f>'Data cleaning and validation(3)'!J766</f>
        <v>Northeast</v>
      </c>
      <c r="K778" s="8" t="str">
        <f>'Data cleaning and validation(3)'!K766</f>
        <v>USA</v>
      </c>
      <c r="L778" s="8" t="str">
        <f>'Data cleaning and validation(3)'!L766</f>
        <v>Auto &amp; Hardware</v>
      </c>
      <c r="M778" s="8" t="str">
        <f>'Data cleaning and validation(3)'!M766</f>
        <v>Active</v>
      </c>
      <c r="N778" s="17">
        <f>'Data cleaning and validation(3)'!N766</f>
        <v>1292508</v>
      </c>
      <c r="O778" s="18">
        <f>'Data cleaning and validation(3)'!O766</f>
        <v>10770.900000000001</v>
      </c>
    </row>
    <row r="779" spans="1:15" x14ac:dyDescent="0.35">
      <c r="A779" s="8">
        <f>'Data cleaning and validation(3)'!A767</f>
        <v>766</v>
      </c>
      <c r="B779" s="8" t="str">
        <f>'Data cleaning and validation(3)'!B767</f>
        <v>Elliott</v>
      </c>
      <c r="C779" s="8" t="str">
        <f>'Data cleaning and validation(3)'!C767</f>
        <v>kelliottl9@hhs.gov</v>
      </c>
      <c r="D779" s="8" t="str">
        <f>'Data cleaning and validation(3)'!D767</f>
        <v>M</v>
      </c>
      <c r="E779" s="8" t="str">
        <f>'Data cleaning and validation(3)'!E767</f>
        <v>Books</v>
      </c>
      <c r="F779" s="15">
        <f>'Data cleaning and validation(3)'!F767</f>
        <v>40165</v>
      </c>
      <c r="G779" s="8">
        <f>'Data cleaning and validation(3)'!G767</f>
        <v>12</v>
      </c>
      <c r="H779" s="19">
        <f>'Data cleaning and validation(3)'!H767</f>
        <v>104149</v>
      </c>
      <c r="I779" s="8" t="str">
        <f>'Data cleaning and validation(3)'!I767</f>
        <v>Food Chemist</v>
      </c>
      <c r="J779" s="8" t="str">
        <f>'Data cleaning and validation(3)'!J767</f>
        <v>Southeast</v>
      </c>
      <c r="K779" s="8" t="str">
        <f>'Data cleaning and validation(3)'!K767</f>
        <v>USA</v>
      </c>
      <c r="L779" s="8" t="str">
        <f>'Data cleaning and validation(3)'!L767</f>
        <v>Library</v>
      </c>
      <c r="M779" s="8" t="str">
        <f>'Data cleaning and validation(3)'!M767</f>
        <v>Active</v>
      </c>
      <c r="N779" s="17">
        <f>'Data cleaning and validation(3)'!N767</f>
        <v>1249788</v>
      </c>
      <c r="O779" s="18">
        <f>'Data cleaning and validation(3)'!O767</f>
        <v>10414.900000000001</v>
      </c>
    </row>
    <row r="780" spans="1:15" x14ac:dyDescent="0.35">
      <c r="A780" s="8">
        <f>'Data cleaning and validation(3)'!A768</f>
        <v>767</v>
      </c>
      <c r="B780" s="8" t="str">
        <f>'Data cleaning and validation(3)'!B768</f>
        <v>Hall</v>
      </c>
      <c r="C780" s="8" t="str">
        <f>'Data cleaning and validation(3)'!C768</f>
        <v>jhallla@hao123.com</v>
      </c>
      <c r="D780" s="8" t="str">
        <f>'Data cleaning and validation(3)'!D768</f>
        <v>M</v>
      </c>
      <c r="E780" s="8" t="str">
        <f>'Data cleaning and validation(3)'!E768</f>
        <v>Books</v>
      </c>
      <c r="F780" s="15">
        <f>'Data cleaning and validation(3)'!F768</f>
        <v>38201</v>
      </c>
      <c r="G780" s="8">
        <f>'Data cleaning and validation(3)'!G768</f>
        <v>17</v>
      </c>
      <c r="H780" s="19">
        <f>'Data cleaning and validation(3)'!H768</f>
        <v>91501</v>
      </c>
      <c r="I780" s="8" t="str">
        <f>'Data cleaning and validation(3)'!I768</f>
        <v>Editor</v>
      </c>
      <c r="J780" s="8" t="str">
        <f>'Data cleaning and validation(3)'!J768</f>
        <v>Nova Scotia</v>
      </c>
      <c r="K780" s="8" t="str">
        <f>'Data cleaning and validation(3)'!K768</f>
        <v>Canada</v>
      </c>
      <c r="L780" s="8" t="str">
        <f>'Data cleaning and validation(3)'!L768</f>
        <v>Library</v>
      </c>
      <c r="M780" s="8" t="str">
        <f>'Data cleaning and validation(3)'!M768</f>
        <v>Active</v>
      </c>
      <c r="N780" s="17">
        <f>'Data cleaning and validation(3)'!N768</f>
        <v>1098012</v>
      </c>
      <c r="O780" s="18">
        <f>'Data cleaning and validation(3)'!O768</f>
        <v>9150.1</v>
      </c>
    </row>
    <row r="781" spans="1:15" x14ac:dyDescent="0.35">
      <c r="A781" s="8">
        <f>'Data cleaning and validation(3)'!A769</f>
        <v>768</v>
      </c>
      <c r="B781" s="8" t="str">
        <f>'Data cleaning and validation(3)'!B769</f>
        <v>Meyer</v>
      </c>
      <c r="C781" s="8" t="str">
        <f>'Data cleaning and validation(3)'!C769</f>
        <v>jmeyerlb@yandex.ru</v>
      </c>
      <c r="D781" s="8" t="str">
        <f>'Data cleaning and validation(3)'!D769</f>
        <v>F</v>
      </c>
      <c r="E781" s="8" t="str">
        <f>'Data cleaning and validation(3)'!E769</f>
        <v>Automotive</v>
      </c>
      <c r="F781" s="15">
        <f>'Data cleaning and validation(3)'!F769</f>
        <v>46592</v>
      </c>
      <c r="G781" s="8">
        <f>'Data cleaning and validation(3)'!G769</f>
        <v>7</v>
      </c>
      <c r="H781" s="19">
        <f>'Data cleaning and validation(3)'!H769</f>
        <v>42602</v>
      </c>
      <c r="I781" s="8" t="str">
        <f>'Data cleaning and validation(3)'!I769</f>
        <v>Programmer IV</v>
      </c>
      <c r="J781" s="8" t="str">
        <f>'Data cleaning and validation(3)'!J769</f>
        <v>Southeast</v>
      </c>
      <c r="K781" s="8" t="str">
        <f>'Data cleaning and validation(3)'!K769</f>
        <v>USA</v>
      </c>
      <c r="L781" s="8" t="str">
        <f>'Data cleaning and validation(3)'!L769</f>
        <v>Auto &amp; Hardware</v>
      </c>
      <c r="M781" s="8" t="str">
        <f>'Data cleaning and validation(3)'!M769</f>
        <v>Active</v>
      </c>
      <c r="N781" s="17">
        <f>'Data cleaning and validation(3)'!N769</f>
        <v>511224</v>
      </c>
      <c r="O781" s="18">
        <f>'Data cleaning and validation(3)'!O769</f>
        <v>4260.2</v>
      </c>
    </row>
    <row r="782" spans="1:15" x14ac:dyDescent="0.35">
      <c r="A782" s="8">
        <f>'Data cleaning and validation(3)'!A770</f>
        <v>769</v>
      </c>
      <c r="B782" s="8" t="str">
        <f>'Data cleaning and validation(3)'!B770</f>
        <v>Kelly</v>
      </c>
      <c r="C782" s="8" t="str">
        <f>'Data cleaning and validation(3)'!C770</f>
        <v>jkellylc@linkedin.com</v>
      </c>
      <c r="D782" s="8" t="str">
        <f>'Data cleaning and validation(3)'!D770</f>
        <v>F</v>
      </c>
      <c r="E782" s="8" t="str">
        <f>'Data cleaning and validation(3)'!E770</f>
        <v>Kids</v>
      </c>
      <c r="F782" s="15">
        <f>'Data cleaning and validation(3)'!F770</f>
        <v>46350</v>
      </c>
      <c r="G782" s="8">
        <f>'Data cleaning and validation(3)'!G770</f>
        <v>8</v>
      </c>
      <c r="H782" s="19">
        <f>'Data cleaning and validation(3)'!H770</f>
        <v>132676</v>
      </c>
      <c r="I782" s="8" t="str">
        <f>'Data cleaning and validation(3)'!I770</f>
        <v>Dental Hygienist</v>
      </c>
      <c r="J782" s="8" t="str">
        <f>'Data cleaning and validation(3)'!J770</f>
        <v>Southwest</v>
      </c>
      <c r="K782" s="8" t="str">
        <f>'Data cleaning and validation(3)'!K770</f>
        <v>USA</v>
      </c>
      <c r="L782" s="8" t="str">
        <f>'Data cleaning and validation(3)'!L770</f>
        <v>Domestic</v>
      </c>
      <c r="M782" s="8" t="str">
        <f>'Data cleaning and validation(3)'!M770</f>
        <v>Active</v>
      </c>
      <c r="N782" s="17">
        <f>'Data cleaning and validation(3)'!N770</f>
        <v>1592112</v>
      </c>
      <c r="O782" s="18">
        <f>'Data cleaning and validation(3)'!O770</f>
        <v>13267.6</v>
      </c>
    </row>
    <row r="783" spans="1:15" x14ac:dyDescent="0.35">
      <c r="A783" s="8">
        <f>'Data cleaning and validation(3)'!A771</f>
        <v>770</v>
      </c>
      <c r="B783" s="8" t="str">
        <f>'Data cleaning and validation(3)'!B771</f>
        <v>Burton</v>
      </c>
      <c r="C783" s="8" t="str">
        <f>'Data cleaning and validation(3)'!C771</f>
        <v>jburtonld@delicious.com</v>
      </c>
      <c r="D783" s="8" t="str">
        <f>'Data cleaning and validation(3)'!D771</f>
        <v>F</v>
      </c>
      <c r="E783" s="8" t="str">
        <f>'Data cleaning and validation(3)'!E771</f>
        <v>Games</v>
      </c>
      <c r="F783" s="15">
        <f>'Data cleaning and validation(3)'!F771</f>
        <v>38841</v>
      </c>
      <c r="G783" s="8">
        <f>'Data cleaning and validation(3)'!G771</f>
        <v>15</v>
      </c>
      <c r="H783" s="19">
        <f>'Data cleaning and validation(3)'!H771</f>
        <v>140688</v>
      </c>
      <c r="I783" s="8" t="str">
        <f>'Data cleaning and validation(3)'!I771</f>
        <v>Programmer Analyst III</v>
      </c>
      <c r="J783" s="8" t="str">
        <f>'Data cleaning and validation(3)'!J771</f>
        <v>Northwest</v>
      </c>
      <c r="K783" s="8" t="str">
        <f>'Data cleaning and validation(3)'!K771</f>
        <v>USA</v>
      </c>
      <c r="L783" s="8" t="str">
        <f>'Data cleaning and validation(3)'!L771</f>
        <v>Domestic</v>
      </c>
      <c r="M783" s="8" t="str">
        <f>'Data cleaning and validation(3)'!M771</f>
        <v>Active</v>
      </c>
      <c r="N783" s="17">
        <f>'Data cleaning and validation(3)'!N771</f>
        <v>1688256</v>
      </c>
      <c r="O783" s="18">
        <f>'Data cleaning and validation(3)'!O771</f>
        <v>14068.800000000001</v>
      </c>
    </row>
    <row r="784" spans="1:15" x14ac:dyDescent="0.35">
      <c r="A784" s="8">
        <f>'Data cleaning and validation(3)'!A772</f>
        <v>771</v>
      </c>
      <c r="B784" s="8" t="str">
        <f>'Data cleaning and validation(3)'!B772</f>
        <v>Clark</v>
      </c>
      <c r="C784" s="8" t="str">
        <f>'Data cleaning and validation(3)'!C772</f>
        <v>rclarkle@ted.com</v>
      </c>
      <c r="D784" s="8" t="str">
        <f>'Data cleaning and validation(3)'!D772</f>
        <v>F</v>
      </c>
      <c r="E784" s="8" t="str">
        <f>'Data cleaning and validation(3)'!E772</f>
        <v>Garden</v>
      </c>
      <c r="F784" s="15">
        <f>'Data cleaning and validation(3)'!F772</f>
        <v>46639</v>
      </c>
      <c r="G784" s="8">
        <f>'Data cleaning and validation(3)'!G772</f>
        <v>7</v>
      </c>
      <c r="H784" s="19">
        <f>'Data cleaning and validation(3)'!H772</f>
        <v>51792</v>
      </c>
      <c r="I784" s="8" t="str">
        <f>'Data cleaning and validation(3)'!I772</f>
        <v>Software Consultant</v>
      </c>
      <c r="J784" s="8" t="str">
        <f>'Data cleaning and validation(3)'!J772</f>
        <v>Southwest</v>
      </c>
      <c r="K784" s="8" t="str">
        <f>'Data cleaning and validation(3)'!K772</f>
        <v>USA</v>
      </c>
      <c r="L784" s="8" t="str">
        <f>'Data cleaning and validation(3)'!L772</f>
        <v>Outdoors &amp; Garden</v>
      </c>
      <c r="M784" s="8" t="str">
        <f>'Data cleaning and validation(3)'!M772</f>
        <v>Active</v>
      </c>
      <c r="N784" s="17">
        <f>'Data cleaning and validation(3)'!N772</f>
        <v>621504</v>
      </c>
      <c r="O784" s="18">
        <f>'Data cleaning and validation(3)'!O772</f>
        <v>5179.2000000000007</v>
      </c>
    </row>
    <row r="785" spans="1:15" x14ac:dyDescent="0.35">
      <c r="A785" s="8">
        <f>'Data cleaning and validation(3)'!A773</f>
        <v>772</v>
      </c>
      <c r="B785" s="8" t="str">
        <f>'Data cleaning and validation(3)'!B773</f>
        <v>Elliott</v>
      </c>
      <c r="C785" s="8" t="str">
        <f>'Data cleaning and validation(3)'!C773</f>
        <v>delliottlf@fda.gov</v>
      </c>
      <c r="D785" s="8" t="str">
        <f>'Data cleaning and validation(3)'!D773</f>
        <v>M</v>
      </c>
      <c r="E785" s="8" t="str">
        <f>'Data cleaning and validation(3)'!E773</f>
        <v>Movies</v>
      </c>
      <c r="F785" s="15">
        <f>'Data cleaning and validation(3)'!F773</f>
        <v>38273</v>
      </c>
      <c r="G785" s="8">
        <f>'Data cleaning and validation(3)'!G773</f>
        <v>17</v>
      </c>
      <c r="H785" s="19">
        <f>'Data cleaning and validation(3)'!H773</f>
        <v>100570</v>
      </c>
      <c r="I785" s="8" t="str">
        <f>'Data cleaning and validation(3)'!I773</f>
        <v>Senior Financial Analyst</v>
      </c>
      <c r="J785" s="8" t="str">
        <f>'Data cleaning and validation(3)'!J773</f>
        <v>British Columbia</v>
      </c>
      <c r="K785" s="8" t="str">
        <f>'Data cleaning and validation(3)'!K773</f>
        <v>Canada</v>
      </c>
      <c r="L785" s="8" t="str">
        <f>'Data cleaning and validation(3)'!L773</f>
        <v>Entertainment</v>
      </c>
      <c r="M785" s="8" t="str">
        <f>'Data cleaning and validation(3)'!M773</f>
        <v>Active</v>
      </c>
      <c r="N785" s="17">
        <f>'Data cleaning and validation(3)'!N773</f>
        <v>1206840</v>
      </c>
      <c r="O785" s="18">
        <f>'Data cleaning and validation(3)'!O773</f>
        <v>10057</v>
      </c>
    </row>
    <row r="786" spans="1:15" x14ac:dyDescent="0.35">
      <c r="A786" s="8">
        <f>'Data cleaning and validation(3)'!A774</f>
        <v>773</v>
      </c>
      <c r="B786" s="8" t="str">
        <f>'Data cleaning and validation(3)'!B774</f>
        <v>Dixon</v>
      </c>
      <c r="C786" s="8" t="str">
        <f>'Data cleaning and validation(3)'!C774</f>
        <v>rdixonlg@parallels.com</v>
      </c>
      <c r="D786" s="8" t="str">
        <f>'Data cleaning and validation(3)'!D774</f>
        <v>M</v>
      </c>
      <c r="E786" s="8" t="str">
        <f>'Data cleaning and validation(3)'!E774</f>
        <v>Tools</v>
      </c>
      <c r="F786" s="15">
        <f>'Data cleaning and validation(3)'!F774</f>
        <v>39265</v>
      </c>
      <c r="G786" s="8">
        <f>'Data cleaning and validation(3)'!G774</f>
        <v>14</v>
      </c>
      <c r="H786" s="19">
        <f>'Data cleaning and validation(3)'!H774</f>
        <v>60383</v>
      </c>
      <c r="I786" s="8" t="str">
        <f>'Data cleaning and validation(3)'!I774</f>
        <v>VP Product Management</v>
      </c>
      <c r="J786" s="8" t="str">
        <f>'Data cleaning and validation(3)'!J774</f>
        <v>Northeast</v>
      </c>
      <c r="K786" s="8" t="str">
        <f>'Data cleaning and validation(3)'!K774</f>
        <v>USA</v>
      </c>
      <c r="L786" s="8" t="str">
        <f>'Data cleaning and validation(3)'!L774</f>
        <v>Auto &amp; Hardware</v>
      </c>
      <c r="M786" s="8" t="str">
        <f>'Data cleaning and validation(3)'!M774</f>
        <v>Active</v>
      </c>
      <c r="N786" s="17">
        <f>'Data cleaning and validation(3)'!N774</f>
        <v>724596</v>
      </c>
      <c r="O786" s="18">
        <f>'Data cleaning and validation(3)'!O774</f>
        <v>6038.3</v>
      </c>
    </row>
    <row r="787" spans="1:15" x14ac:dyDescent="0.35">
      <c r="A787" s="8">
        <f>'Data cleaning and validation(3)'!A775</f>
        <v>774</v>
      </c>
      <c r="B787" s="8" t="str">
        <f>'Data cleaning and validation(3)'!B775</f>
        <v>Richards</v>
      </c>
      <c r="C787" s="8" t="str">
        <f>'Data cleaning and validation(3)'!C775</f>
        <v>vrichardslh@forbes.com</v>
      </c>
      <c r="D787" s="8" t="str">
        <f>'Data cleaning and validation(3)'!D775</f>
        <v>M</v>
      </c>
      <c r="E787" s="8" t="str">
        <f>'Data cleaning and validation(3)'!E775</f>
        <v>Shoes</v>
      </c>
      <c r="F787" s="15">
        <f>'Data cleaning and validation(3)'!F775</f>
        <v>38797</v>
      </c>
      <c r="G787" s="8">
        <f>'Data cleaning and validation(3)'!G775</f>
        <v>15</v>
      </c>
      <c r="H787" s="19">
        <f>'Data cleaning and validation(3)'!H775</f>
        <v>68761</v>
      </c>
      <c r="I787" s="8" t="str">
        <f>'Data cleaning and validation(3)'!I775</f>
        <v>Graphic Designer</v>
      </c>
      <c r="J787" s="8" t="str">
        <f>'Data cleaning and validation(3)'!J775</f>
        <v>Northeast</v>
      </c>
      <c r="K787" s="8" t="str">
        <f>'Data cleaning and validation(3)'!K775</f>
        <v>USA</v>
      </c>
      <c r="L787" s="8" t="str">
        <f>'Data cleaning and validation(3)'!L775</f>
        <v>Domestic</v>
      </c>
      <c r="M787" s="8" t="str">
        <f>'Data cleaning and validation(3)'!M775</f>
        <v>Active</v>
      </c>
      <c r="N787" s="17">
        <f>'Data cleaning and validation(3)'!N775</f>
        <v>825132</v>
      </c>
      <c r="O787" s="18">
        <f>'Data cleaning and validation(3)'!O775</f>
        <v>6876.1</v>
      </c>
    </row>
    <row r="788" spans="1:15" x14ac:dyDescent="0.35">
      <c r="A788" s="8">
        <f>'Data cleaning and validation(3)'!A776</f>
        <v>775</v>
      </c>
      <c r="B788" s="8" t="str">
        <f>'Data cleaning and validation(3)'!B776</f>
        <v>Gonzalez</v>
      </c>
      <c r="C788" s="8" t="str">
        <f>'Data cleaning and validation(3)'!C776</f>
        <v>egonzalezli@naver.com</v>
      </c>
      <c r="D788" s="8" t="str">
        <f>'Data cleaning and validation(3)'!D776</f>
        <v>F</v>
      </c>
      <c r="E788" s="8" t="str">
        <f>'Data cleaning and validation(3)'!E776</f>
        <v>Tools</v>
      </c>
      <c r="F788" s="15">
        <f>'Data cleaning and validation(3)'!F776</f>
        <v>44848</v>
      </c>
      <c r="G788" s="8">
        <f>'Data cleaning and validation(3)'!G776</f>
        <v>12</v>
      </c>
      <c r="H788" s="19">
        <f>'Data cleaning and validation(3)'!H776</f>
        <v>131830</v>
      </c>
      <c r="I788" s="8" t="str">
        <f>'Data cleaning and validation(3)'!I776</f>
        <v>GIS Technical Architect</v>
      </c>
      <c r="J788" s="8" t="str">
        <f>'Data cleaning and validation(3)'!J776</f>
        <v>Southeast</v>
      </c>
      <c r="K788" s="8" t="str">
        <f>'Data cleaning and validation(3)'!K776</f>
        <v>USA</v>
      </c>
      <c r="L788" s="8" t="str">
        <f>'Data cleaning and validation(3)'!L776</f>
        <v>Auto &amp; Hardware</v>
      </c>
      <c r="M788" s="8" t="str">
        <f>'Data cleaning and validation(3)'!M776</f>
        <v>Active</v>
      </c>
      <c r="N788" s="17">
        <f>'Data cleaning and validation(3)'!N776</f>
        <v>1581960</v>
      </c>
      <c r="O788" s="18">
        <f>'Data cleaning and validation(3)'!O776</f>
        <v>13183</v>
      </c>
    </row>
    <row r="789" spans="1:15" x14ac:dyDescent="0.35">
      <c r="A789" s="8">
        <f>'Data cleaning and validation(3)'!A777</f>
        <v>776</v>
      </c>
      <c r="B789" s="8" t="str">
        <f>'Data cleaning and validation(3)'!B777</f>
        <v>Olson</v>
      </c>
      <c r="C789" s="8" t="str">
        <f>'Data cleaning and validation(3)'!C777</f>
        <v>kolsonlj@friendfeed.com</v>
      </c>
      <c r="D789" s="8" t="str">
        <f>'Data cleaning and validation(3)'!D777</f>
        <v>F</v>
      </c>
      <c r="E789" s="8" t="str">
        <f>'Data cleaning and validation(3)'!E777</f>
        <v>Clothing</v>
      </c>
      <c r="F789" s="15">
        <f>'Data cleaning and validation(3)'!F777</f>
        <v>46292</v>
      </c>
      <c r="G789" s="8">
        <f>'Data cleaning and validation(3)'!G777</f>
        <v>8</v>
      </c>
      <c r="H789" s="19">
        <f>'Data cleaning and validation(3)'!H777</f>
        <v>107535</v>
      </c>
      <c r="I789" s="8" t="str">
        <f>'Data cleaning and validation(3)'!I777</f>
        <v>Office Assistant III</v>
      </c>
      <c r="J789" s="8" t="str">
        <f>'Data cleaning and validation(3)'!J777</f>
        <v>Nova Scotia</v>
      </c>
      <c r="K789" s="8" t="str">
        <f>'Data cleaning and validation(3)'!K777</f>
        <v>Canada</v>
      </c>
      <c r="L789" s="8" t="str">
        <f>'Data cleaning and validation(3)'!L777</f>
        <v>Domestic</v>
      </c>
      <c r="M789" s="8" t="str">
        <f>'Data cleaning and validation(3)'!M777</f>
        <v>Active</v>
      </c>
      <c r="N789" s="17">
        <f>'Data cleaning and validation(3)'!N777</f>
        <v>1290420</v>
      </c>
      <c r="O789" s="18">
        <f>'Data cleaning and validation(3)'!O777</f>
        <v>10753.5</v>
      </c>
    </row>
    <row r="790" spans="1:15" x14ac:dyDescent="0.35">
      <c r="A790" s="8">
        <f>'Data cleaning and validation(3)'!A778</f>
        <v>777</v>
      </c>
      <c r="B790" s="8" t="str">
        <f>'Data cleaning and validation(3)'!B778</f>
        <v>Sims</v>
      </c>
      <c r="C790" s="8" t="str">
        <f>'Data cleaning and validation(3)'!C778</f>
        <v>jsimslk@angelfire.com</v>
      </c>
      <c r="D790" s="8" t="str">
        <f>'Data cleaning and validation(3)'!D778</f>
        <v>M</v>
      </c>
      <c r="E790" s="8" t="str">
        <f>'Data cleaning and validation(3)'!E778</f>
        <v>Industrial</v>
      </c>
      <c r="F790" s="15">
        <f>'Data cleaning and validation(3)'!F778</f>
        <v>37210</v>
      </c>
      <c r="G790" s="8">
        <f>'Data cleaning and validation(3)'!G778</f>
        <v>20</v>
      </c>
      <c r="H790" s="19">
        <f>'Data cleaning and validation(3)'!H778</f>
        <v>95548</v>
      </c>
      <c r="I790" s="8" t="str">
        <f>'Data cleaning and validation(3)'!I778</f>
        <v>Sales Associate</v>
      </c>
      <c r="J790" s="8" t="str">
        <f>'Data cleaning and validation(3)'!J778</f>
        <v>Northwest</v>
      </c>
      <c r="K790" s="8" t="str">
        <f>'Data cleaning and validation(3)'!K778</f>
        <v>USA</v>
      </c>
      <c r="L790" s="8" t="str">
        <f>'Data cleaning and validation(3)'!L778</f>
        <v>Auto &amp; Hardware</v>
      </c>
      <c r="M790" s="8" t="str">
        <f>'Data cleaning and validation(3)'!M778</f>
        <v>Active</v>
      </c>
      <c r="N790" s="17">
        <f>'Data cleaning and validation(3)'!N778</f>
        <v>1146576</v>
      </c>
      <c r="O790" s="18">
        <f>'Data cleaning and validation(3)'!O778</f>
        <v>9554.8000000000011</v>
      </c>
    </row>
    <row r="791" spans="1:15" x14ac:dyDescent="0.35">
      <c r="A791" s="8">
        <f>'Data cleaning and validation(3)'!A779</f>
        <v>778</v>
      </c>
      <c r="B791" s="8" t="str">
        <f>'Data cleaning and validation(3)'!B779</f>
        <v>Thomas</v>
      </c>
      <c r="C791" s="8" t="str">
        <f>'Data cleaning and validation(3)'!C779</f>
        <v>ethomasll@aol.com</v>
      </c>
      <c r="D791" s="8" t="str">
        <f>'Data cleaning and validation(3)'!D779</f>
        <v>M</v>
      </c>
      <c r="E791" s="8" t="str">
        <f>'Data cleaning and validation(3)'!E779</f>
        <v>Automotive</v>
      </c>
      <c r="F791" s="15">
        <f>'Data cleaning and validation(3)'!F779</f>
        <v>41410</v>
      </c>
      <c r="G791" s="8">
        <f>'Data cleaning and validation(3)'!G779</f>
        <v>8</v>
      </c>
      <c r="H791" s="19">
        <f>'Data cleaning and validation(3)'!H779</f>
        <v>116487</v>
      </c>
      <c r="I791" s="8" t="str">
        <f>'Data cleaning and validation(3)'!I779</f>
        <v>Graphic Designer</v>
      </c>
      <c r="J791" s="8" t="str">
        <f>'Data cleaning and validation(3)'!J779</f>
        <v>Northeast</v>
      </c>
      <c r="K791" s="8" t="str">
        <f>'Data cleaning and validation(3)'!K779</f>
        <v>USA</v>
      </c>
      <c r="L791" s="8" t="str">
        <f>'Data cleaning and validation(3)'!L779</f>
        <v>Auto &amp; Hardware</v>
      </c>
      <c r="M791" s="8" t="str">
        <f>'Data cleaning and validation(3)'!M779</f>
        <v>Active</v>
      </c>
      <c r="N791" s="17">
        <f>'Data cleaning and validation(3)'!N779</f>
        <v>1397844</v>
      </c>
      <c r="O791" s="18">
        <f>'Data cleaning and validation(3)'!O779</f>
        <v>11648.7</v>
      </c>
    </row>
    <row r="792" spans="1:15" x14ac:dyDescent="0.35">
      <c r="A792" s="8">
        <f>'Data cleaning and validation(3)'!A780</f>
        <v>779</v>
      </c>
      <c r="B792" s="8" t="str">
        <f>'Data cleaning and validation(3)'!B780</f>
        <v>Gonzalez</v>
      </c>
      <c r="C792" s="8" t="str">
        <f>'Data cleaning and validation(3)'!C780</f>
        <v>mgonzalezlm@illinois.edu</v>
      </c>
      <c r="D792" s="8" t="str">
        <f>'Data cleaning and validation(3)'!D780</f>
        <v>M</v>
      </c>
      <c r="E792" s="8" t="str">
        <f>'Data cleaning and validation(3)'!E780</f>
        <v>Grocery</v>
      </c>
      <c r="F792" s="15">
        <f>'Data cleaning and validation(3)'!F780</f>
        <v>38386</v>
      </c>
      <c r="G792" s="8">
        <f>'Data cleaning and validation(3)'!G780</f>
        <v>16</v>
      </c>
      <c r="H792" s="19">
        <f>'Data cleaning and validation(3)'!H780</f>
        <v>148106</v>
      </c>
      <c r="I792" s="8" t="str">
        <f>'Data cleaning and validation(3)'!I780</f>
        <v>Sales Representative</v>
      </c>
      <c r="J792" s="8" t="str">
        <f>'Data cleaning and validation(3)'!J780</f>
        <v>Southeast</v>
      </c>
      <c r="K792" s="8" t="str">
        <f>'Data cleaning and validation(3)'!K780</f>
        <v>USA</v>
      </c>
      <c r="L792" s="8" t="str">
        <f>'Data cleaning and validation(3)'!L780</f>
        <v>Domestic</v>
      </c>
      <c r="M792" s="8" t="str">
        <f>'Data cleaning and validation(3)'!M780</f>
        <v>Active</v>
      </c>
      <c r="N792" s="17">
        <f>'Data cleaning and validation(3)'!N780</f>
        <v>1777272</v>
      </c>
      <c r="O792" s="18">
        <f>'Data cleaning and validation(3)'!O780</f>
        <v>14810.6</v>
      </c>
    </row>
    <row r="793" spans="1:15" x14ac:dyDescent="0.35">
      <c r="A793" s="8">
        <f>'Data cleaning and validation(3)'!A781</f>
        <v>780</v>
      </c>
      <c r="B793" s="8" t="str">
        <f>'Data cleaning and validation(3)'!B781</f>
        <v>Cox</v>
      </c>
      <c r="C793" s="8" t="str">
        <f>'Data cleaning and validation(3)'!C781</f>
        <v>dcoxln@studiopress.com</v>
      </c>
      <c r="D793" s="8" t="str">
        <f>'Data cleaning and validation(3)'!D781</f>
        <v>M</v>
      </c>
      <c r="E793" s="8" t="str">
        <f>'Data cleaning and validation(3)'!E781</f>
        <v>Games</v>
      </c>
      <c r="F793" s="15">
        <f>'Data cleaning and validation(3)'!F781</f>
        <v>39176</v>
      </c>
      <c r="G793" s="8">
        <f>'Data cleaning and validation(3)'!G781</f>
        <v>14</v>
      </c>
      <c r="H793" s="19">
        <f>'Data cleaning and validation(3)'!H781</f>
        <v>135719</v>
      </c>
      <c r="I793" s="8" t="str">
        <f>'Data cleaning and validation(3)'!I781</f>
        <v>Database Administrator I</v>
      </c>
      <c r="J793" s="8" t="str">
        <f>'Data cleaning and validation(3)'!J781</f>
        <v>British Columbia</v>
      </c>
      <c r="K793" s="8" t="str">
        <f>'Data cleaning and validation(3)'!K781</f>
        <v>Canada</v>
      </c>
      <c r="L793" s="8" t="str">
        <f>'Data cleaning and validation(3)'!L781</f>
        <v>Domestic</v>
      </c>
      <c r="M793" s="8" t="str">
        <f>'Data cleaning and validation(3)'!M781</f>
        <v>Active</v>
      </c>
      <c r="N793" s="17">
        <f>'Data cleaning and validation(3)'!N781</f>
        <v>1628628</v>
      </c>
      <c r="O793" s="18">
        <f>'Data cleaning and validation(3)'!O781</f>
        <v>13571.900000000001</v>
      </c>
    </row>
    <row r="794" spans="1:15" x14ac:dyDescent="0.35">
      <c r="A794" s="8">
        <f>'Data cleaning and validation(3)'!A782</f>
        <v>781</v>
      </c>
      <c r="B794" s="8" t="str">
        <f>'Data cleaning and validation(3)'!B782</f>
        <v>Schmidt</v>
      </c>
      <c r="C794" s="8" t="str">
        <f>'Data cleaning and validation(3)'!C782</f>
        <v>rschmidtlo@harvard.edu</v>
      </c>
      <c r="D794" s="8" t="str">
        <f>'Data cleaning and validation(3)'!D782</f>
        <v>F</v>
      </c>
      <c r="E794" s="8" t="str">
        <f>'Data cleaning and validation(3)'!E782</f>
        <v>Automotive</v>
      </c>
      <c r="F794" s="15">
        <f>'Data cleaning and validation(3)'!F782</f>
        <v>45020</v>
      </c>
      <c r="G794" s="8">
        <f>'Data cleaning and validation(3)'!G782</f>
        <v>11</v>
      </c>
      <c r="H794" s="19">
        <f>'Data cleaning and validation(3)'!H782</f>
        <v>121300</v>
      </c>
      <c r="I794" s="8" t="str">
        <f>'Data cleaning and validation(3)'!I782</f>
        <v>Human Resources Assistant II</v>
      </c>
      <c r="J794" s="8" t="str">
        <f>'Data cleaning and validation(3)'!J782</f>
        <v>British Columbia</v>
      </c>
      <c r="K794" s="8" t="str">
        <f>'Data cleaning and validation(3)'!K782</f>
        <v>Canada</v>
      </c>
      <c r="L794" s="8" t="str">
        <f>'Data cleaning and validation(3)'!L782</f>
        <v>Auto &amp; Hardware</v>
      </c>
      <c r="M794" s="8" t="str">
        <f>'Data cleaning and validation(3)'!M782</f>
        <v>Active</v>
      </c>
      <c r="N794" s="17">
        <f>'Data cleaning and validation(3)'!N782</f>
        <v>1455600</v>
      </c>
      <c r="O794" s="18">
        <f>'Data cleaning and validation(3)'!O782</f>
        <v>12130</v>
      </c>
    </row>
    <row r="795" spans="1:15" x14ac:dyDescent="0.35">
      <c r="A795" s="8">
        <f>'Data cleaning and validation(3)'!A783</f>
        <v>782</v>
      </c>
      <c r="B795" s="8" t="str">
        <f>'Data cleaning and validation(3)'!B783</f>
        <v>Weaver</v>
      </c>
      <c r="C795" s="8" t="str">
        <f>'Data cleaning and validation(3)'!C783</f>
        <v>jweaverlp@unblog.fr</v>
      </c>
      <c r="D795" s="8" t="str">
        <f>'Data cleaning and validation(3)'!D783</f>
        <v>M</v>
      </c>
      <c r="E795" s="8" t="str">
        <f>'Data cleaning and validation(3)'!E783</f>
        <v>Movies</v>
      </c>
      <c r="F795" s="15">
        <f>'Data cleaning and validation(3)'!F783</f>
        <v>40856</v>
      </c>
      <c r="G795" s="8">
        <f>'Data cleaning and validation(3)'!G783</f>
        <v>10</v>
      </c>
      <c r="H795" s="19">
        <f>'Data cleaning and validation(3)'!H783</f>
        <v>120226</v>
      </c>
      <c r="I795" s="8" t="str">
        <f>'Data cleaning and validation(3)'!I783</f>
        <v>Software Engineer II</v>
      </c>
      <c r="J795" s="8" t="str">
        <f>'Data cleaning and validation(3)'!J783</f>
        <v>Southwest</v>
      </c>
      <c r="K795" s="8" t="str">
        <f>'Data cleaning and validation(3)'!K783</f>
        <v>USA</v>
      </c>
      <c r="L795" s="8" t="str">
        <f>'Data cleaning and validation(3)'!L783</f>
        <v>Entertainment</v>
      </c>
      <c r="M795" s="8" t="str">
        <f>'Data cleaning and validation(3)'!M783</f>
        <v>Active</v>
      </c>
      <c r="N795" s="17">
        <f>'Data cleaning and validation(3)'!N783</f>
        <v>1442712</v>
      </c>
      <c r="O795" s="18">
        <f>'Data cleaning and validation(3)'!O783</f>
        <v>12022.6</v>
      </c>
    </row>
    <row r="796" spans="1:15" x14ac:dyDescent="0.35">
      <c r="A796" s="8">
        <f>'Data cleaning and validation(3)'!A784</f>
        <v>783</v>
      </c>
      <c r="B796" s="8" t="str">
        <f>'Data cleaning and validation(3)'!B784</f>
        <v>Burns</v>
      </c>
      <c r="C796" s="8" t="str">
        <f>'Data cleaning and validation(3)'!C784</f>
        <v>kburnslq@163.com</v>
      </c>
      <c r="D796" s="8" t="str">
        <f>'Data cleaning and validation(3)'!D784</f>
        <v>M</v>
      </c>
      <c r="E796" s="8" t="str">
        <f>'Data cleaning and validation(3)'!E784</f>
        <v>Automotive</v>
      </c>
      <c r="F796" s="15">
        <f>'Data cleaning and validation(3)'!F784</f>
        <v>38212</v>
      </c>
      <c r="G796" s="8">
        <f>'Data cleaning and validation(3)'!G784</f>
        <v>17</v>
      </c>
      <c r="H796" s="19">
        <f>'Data cleaning and validation(3)'!H784</f>
        <v>44377</v>
      </c>
      <c r="I796" s="8" t="str">
        <f>'Data cleaning and validation(3)'!I784</f>
        <v>Technical Writer</v>
      </c>
      <c r="J796" s="8" t="str">
        <f>'Data cleaning and validation(3)'!J784</f>
        <v>Southwest</v>
      </c>
      <c r="K796" s="8" t="str">
        <f>'Data cleaning and validation(3)'!K784</f>
        <v>USA</v>
      </c>
      <c r="L796" s="8" t="str">
        <f>'Data cleaning and validation(3)'!L784</f>
        <v>Auto &amp; Hardware</v>
      </c>
      <c r="M796" s="8" t="str">
        <f>'Data cleaning and validation(3)'!M784</f>
        <v>Active</v>
      </c>
      <c r="N796" s="17">
        <f>'Data cleaning and validation(3)'!N784</f>
        <v>532524</v>
      </c>
      <c r="O796" s="18">
        <f>'Data cleaning and validation(3)'!O784</f>
        <v>4437.7</v>
      </c>
    </row>
    <row r="797" spans="1:15" x14ac:dyDescent="0.35">
      <c r="A797" s="8">
        <f>'Data cleaning and validation(3)'!A785</f>
        <v>784</v>
      </c>
      <c r="B797" s="8" t="str">
        <f>'Data cleaning and validation(3)'!B785</f>
        <v>Burns</v>
      </c>
      <c r="C797" s="8" t="str">
        <f>'Data cleaning and validation(3)'!C785</f>
        <v>aburnslr@squidoo.com</v>
      </c>
      <c r="D797" s="8" t="str">
        <f>'Data cleaning and validation(3)'!D785</f>
        <v>M</v>
      </c>
      <c r="E797" s="8" t="str">
        <f>'Data cleaning and validation(3)'!E785</f>
        <v>Electronics</v>
      </c>
      <c r="F797" s="15">
        <f>'Data cleaning and validation(3)'!F785</f>
        <v>39493</v>
      </c>
      <c r="G797" s="8">
        <f>'Data cleaning and validation(3)'!G785</f>
        <v>13</v>
      </c>
      <c r="H797" s="19">
        <f>'Data cleaning and validation(3)'!H785</f>
        <v>102001</v>
      </c>
      <c r="I797" s="8" t="str">
        <f>'Data cleaning and validation(3)'!I785</f>
        <v>Developer III</v>
      </c>
      <c r="J797" s="8" t="str">
        <f>'Data cleaning and validation(3)'!J785</f>
        <v>Southwest</v>
      </c>
      <c r="K797" s="8" t="str">
        <f>'Data cleaning and validation(3)'!K785</f>
        <v>USA</v>
      </c>
      <c r="L797" s="8" t="str">
        <f>'Data cleaning and validation(3)'!L785</f>
        <v>Electronic Equipment</v>
      </c>
      <c r="M797" s="8" t="str">
        <f>'Data cleaning and validation(3)'!M785</f>
        <v>Active</v>
      </c>
      <c r="N797" s="17">
        <f>'Data cleaning and validation(3)'!N785</f>
        <v>1224012</v>
      </c>
      <c r="O797" s="18">
        <f>'Data cleaning and validation(3)'!O785</f>
        <v>10200.1</v>
      </c>
    </row>
    <row r="798" spans="1:15" x14ac:dyDescent="0.35">
      <c r="A798" s="8">
        <f>'Data cleaning and validation(3)'!A786</f>
        <v>785</v>
      </c>
      <c r="B798" s="8" t="str">
        <f>'Data cleaning and validation(3)'!B786</f>
        <v>Miller</v>
      </c>
      <c r="C798" s="8" t="str">
        <f>'Data cleaning and validation(3)'!C786</f>
        <v>nmillerls@behance.net</v>
      </c>
      <c r="D798" s="8" t="str">
        <f>'Data cleaning and validation(3)'!D786</f>
        <v>M</v>
      </c>
      <c r="E798" s="8" t="str">
        <f>'Data cleaning and validation(3)'!E786</f>
        <v>Music</v>
      </c>
      <c r="F798" s="15">
        <f>'Data cleaning and validation(3)'!F786</f>
        <v>39882</v>
      </c>
      <c r="G798" s="8">
        <f>'Data cleaning and validation(3)'!G786</f>
        <v>12</v>
      </c>
      <c r="H798" s="19">
        <f>'Data cleaning and validation(3)'!H786</f>
        <v>99151</v>
      </c>
      <c r="I798" s="8" t="str">
        <f>'Data cleaning and validation(3)'!I786</f>
        <v>Information Systems Manager</v>
      </c>
      <c r="J798" s="8" t="str">
        <f>'Data cleaning and validation(3)'!J786</f>
        <v>Northeast</v>
      </c>
      <c r="K798" s="8" t="str">
        <f>'Data cleaning and validation(3)'!K786</f>
        <v>USA</v>
      </c>
      <c r="L798" s="8" t="str">
        <f>'Data cleaning and validation(3)'!L786</f>
        <v>Entertainment</v>
      </c>
      <c r="M798" s="8" t="str">
        <f>'Data cleaning and validation(3)'!M786</f>
        <v>Active</v>
      </c>
      <c r="N798" s="17">
        <f>'Data cleaning and validation(3)'!N786</f>
        <v>1189812</v>
      </c>
      <c r="O798" s="18">
        <f>'Data cleaning and validation(3)'!O786</f>
        <v>9915.1</v>
      </c>
    </row>
    <row r="799" spans="1:15" x14ac:dyDescent="0.35">
      <c r="A799" s="8">
        <f>'Data cleaning and validation(3)'!A787</f>
        <v>786</v>
      </c>
      <c r="B799" s="8" t="str">
        <f>'Data cleaning and validation(3)'!B787</f>
        <v>Willis</v>
      </c>
      <c r="C799" s="8" t="str">
        <f>'Data cleaning and validation(3)'!C787</f>
        <v>jwillislt@instagram.com</v>
      </c>
      <c r="D799" s="8" t="str">
        <f>'Data cleaning and validation(3)'!D787</f>
        <v>M</v>
      </c>
      <c r="E799" s="8" t="str">
        <f>'Data cleaning and validation(3)'!E787</f>
        <v>Garden</v>
      </c>
      <c r="F799" s="15">
        <f>'Data cleaning and validation(3)'!F787</f>
        <v>36807</v>
      </c>
      <c r="G799" s="8">
        <f>'Data cleaning and validation(3)'!G787</f>
        <v>21</v>
      </c>
      <c r="H799" s="19">
        <f>'Data cleaning and validation(3)'!H787</f>
        <v>123427</v>
      </c>
      <c r="I799" s="8" t="str">
        <f>'Data cleaning and validation(3)'!I787</f>
        <v>General Manager</v>
      </c>
      <c r="J799" s="8" t="str">
        <f>'Data cleaning and validation(3)'!J787</f>
        <v>Southwest</v>
      </c>
      <c r="K799" s="8" t="str">
        <f>'Data cleaning and validation(3)'!K787</f>
        <v>USA</v>
      </c>
      <c r="L799" s="8" t="str">
        <f>'Data cleaning and validation(3)'!L787</f>
        <v>Outdoors &amp; Garden</v>
      </c>
      <c r="M799" s="8" t="str">
        <f>'Data cleaning and validation(3)'!M787</f>
        <v>Active</v>
      </c>
      <c r="N799" s="17">
        <f>'Data cleaning and validation(3)'!N787</f>
        <v>1481124</v>
      </c>
      <c r="O799" s="18">
        <f>'Data cleaning and validation(3)'!O787</f>
        <v>12342.7</v>
      </c>
    </row>
    <row r="800" spans="1:15" x14ac:dyDescent="0.35">
      <c r="A800" s="8">
        <f>'Data cleaning and validation(3)'!A788</f>
        <v>787</v>
      </c>
      <c r="B800" s="8" t="str">
        <f>'Data cleaning and validation(3)'!B788</f>
        <v>Williamson</v>
      </c>
      <c r="C800" s="8" t="str">
        <f>'Data cleaning and validation(3)'!C788</f>
        <v>twilliamsonlu@ow.ly</v>
      </c>
      <c r="D800" s="8" t="str">
        <f>'Data cleaning and validation(3)'!D788</f>
        <v>F</v>
      </c>
      <c r="E800" s="8" t="str">
        <f>'Data cleaning and validation(3)'!E788</f>
        <v>Tools</v>
      </c>
      <c r="F800" s="15">
        <f>'Data cleaning and validation(3)'!F788</f>
        <v>37689</v>
      </c>
      <c r="G800" s="8">
        <f>'Data cleaning and validation(3)'!G788</f>
        <v>18</v>
      </c>
      <c r="H800" s="19">
        <f>'Data cleaning and validation(3)'!H788</f>
        <v>135695</v>
      </c>
      <c r="I800" s="8" t="str">
        <f>'Data cleaning and validation(3)'!I788</f>
        <v>Budget/Accounting Analyst III</v>
      </c>
      <c r="J800" s="8" t="str">
        <f>'Data cleaning and validation(3)'!J788</f>
        <v>Quebec</v>
      </c>
      <c r="K800" s="8" t="str">
        <f>'Data cleaning and validation(3)'!K788</f>
        <v>Canada</v>
      </c>
      <c r="L800" s="8" t="str">
        <f>'Data cleaning and validation(3)'!L788</f>
        <v>Auto &amp; Hardware</v>
      </c>
      <c r="M800" s="8" t="str">
        <f>'Data cleaning and validation(3)'!M788</f>
        <v>Active</v>
      </c>
      <c r="N800" s="17">
        <f>'Data cleaning and validation(3)'!N788</f>
        <v>1628340</v>
      </c>
      <c r="O800" s="18">
        <f>'Data cleaning and validation(3)'!O788</f>
        <v>13569.5</v>
      </c>
    </row>
    <row r="801" spans="1:15" x14ac:dyDescent="0.35">
      <c r="A801" s="8">
        <f>'Data cleaning and validation(3)'!A789</f>
        <v>788</v>
      </c>
      <c r="B801" s="8" t="str">
        <f>'Data cleaning and validation(3)'!B789</f>
        <v>Phillips</v>
      </c>
      <c r="C801" s="8" t="str">
        <f>'Data cleaning and validation(3)'!C789</f>
        <v>dphillipslv@domainmarket.com</v>
      </c>
      <c r="D801" s="8" t="str">
        <f>'Data cleaning and validation(3)'!D789</f>
        <v>F</v>
      </c>
      <c r="E801" s="8" t="str">
        <f>'Data cleaning and validation(3)'!E789</f>
        <v>Toys</v>
      </c>
      <c r="F801" s="15">
        <f>'Data cleaning and validation(3)'!F789</f>
        <v>38106</v>
      </c>
      <c r="G801" s="8">
        <f>'Data cleaning and validation(3)'!G789</f>
        <v>17</v>
      </c>
      <c r="H801" s="19">
        <f>'Data cleaning and validation(3)'!H789</f>
        <v>102793</v>
      </c>
      <c r="I801" s="8" t="str">
        <f>'Data cleaning and validation(3)'!I789</f>
        <v>Editor</v>
      </c>
      <c r="J801" s="8" t="str">
        <f>'Data cleaning and validation(3)'!J789</f>
        <v>Southwest</v>
      </c>
      <c r="K801" s="8" t="str">
        <f>'Data cleaning and validation(3)'!K789</f>
        <v>USA</v>
      </c>
      <c r="L801" s="8" t="str">
        <f>'Data cleaning and validation(3)'!L789</f>
        <v>Games &amp; Sports</v>
      </c>
      <c r="M801" s="8" t="str">
        <f>'Data cleaning and validation(3)'!M789</f>
        <v>Active</v>
      </c>
      <c r="N801" s="17">
        <f>'Data cleaning and validation(3)'!N789</f>
        <v>1233516</v>
      </c>
      <c r="O801" s="18">
        <f>'Data cleaning and validation(3)'!O789</f>
        <v>10279.300000000001</v>
      </c>
    </row>
    <row r="802" spans="1:15" x14ac:dyDescent="0.35">
      <c r="A802" s="8">
        <f>'Data cleaning and validation(3)'!A790</f>
        <v>789</v>
      </c>
      <c r="B802" s="8" t="str">
        <f>'Data cleaning and validation(3)'!B790</f>
        <v>James</v>
      </c>
      <c r="C802" s="8" t="str">
        <f>'Data cleaning and validation(3)'!C790</f>
        <v>kjameslw@yellowbook.com</v>
      </c>
      <c r="D802" s="8" t="str">
        <f>'Data cleaning and validation(3)'!D790</f>
        <v>M</v>
      </c>
      <c r="E802" s="8" t="str">
        <f>'Data cleaning and validation(3)'!E790</f>
        <v>Clothing</v>
      </c>
      <c r="F802" s="15">
        <f>'Data cleaning and validation(3)'!F790</f>
        <v>38431</v>
      </c>
      <c r="G802" s="8">
        <f>'Data cleaning and validation(3)'!G790</f>
        <v>16</v>
      </c>
      <c r="H802" s="19">
        <f>'Data cleaning and validation(3)'!H790</f>
        <v>130188</v>
      </c>
      <c r="I802" s="8" t="str">
        <f>'Data cleaning and validation(3)'!I790</f>
        <v>Structural Analysis Engineer</v>
      </c>
      <c r="J802" s="8" t="str">
        <f>'Data cleaning and validation(3)'!J790</f>
        <v>Northeast</v>
      </c>
      <c r="K802" s="8" t="str">
        <f>'Data cleaning and validation(3)'!K790</f>
        <v>USA</v>
      </c>
      <c r="L802" s="8" t="str">
        <f>'Data cleaning and validation(3)'!L790</f>
        <v>Domestic</v>
      </c>
      <c r="M802" s="8" t="str">
        <f>'Data cleaning and validation(3)'!M790</f>
        <v>Active</v>
      </c>
      <c r="N802" s="17">
        <f>'Data cleaning and validation(3)'!N790</f>
        <v>1562256</v>
      </c>
      <c r="O802" s="18">
        <f>'Data cleaning and validation(3)'!O790</f>
        <v>13018.800000000001</v>
      </c>
    </row>
    <row r="803" spans="1:15" x14ac:dyDescent="0.35">
      <c r="A803" s="8">
        <f>'Data cleaning and validation(3)'!A791</f>
        <v>790</v>
      </c>
      <c r="B803" s="8" t="str">
        <f>'Data cleaning and validation(3)'!B791</f>
        <v>Murray</v>
      </c>
      <c r="C803" s="8" t="str">
        <f>'Data cleaning and validation(3)'!C791</f>
        <v>cmurraylx@icio.us</v>
      </c>
      <c r="D803" s="8" t="str">
        <f>'Data cleaning and validation(3)'!D791</f>
        <v>F</v>
      </c>
      <c r="E803" s="8" t="str">
        <f>'Data cleaning and validation(3)'!E791</f>
        <v>Home</v>
      </c>
      <c r="F803" s="15">
        <f>'Data cleaning and validation(3)'!F791</f>
        <v>46137</v>
      </c>
      <c r="G803" s="8">
        <f>'Data cleaning and validation(3)'!G791</f>
        <v>8</v>
      </c>
      <c r="H803" s="19">
        <f>'Data cleaning and validation(3)'!H791</f>
        <v>97607</v>
      </c>
      <c r="I803" s="8" t="str">
        <f>'Data cleaning and validation(3)'!I791</f>
        <v>Accountant IV</v>
      </c>
      <c r="J803" s="8" t="str">
        <f>'Data cleaning and validation(3)'!J791</f>
        <v>Northwest</v>
      </c>
      <c r="K803" s="8" t="str">
        <f>'Data cleaning and validation(3)'!K791</f>
        <v>USA</v>
      </c>
      <c r="L803" s="8" t="str">
        <f>'Data cleaning and validation(3)'!L791</f>
        <v>Domestic</v>
      </c>
      <c r="M803" s="8" t="str">
        <f>'Data cleaning and validation(3)'!M791</f>
        <v>Active</v>
      </c>
      <c r="N803" s="17">
        <f>'Data cleaning and validation(3)'!N791</f>
        <v>1171284</v>
      </c>
      <c r="O803" s="18">
        <f>'Data cleaning and validation(3)'!O791</f>
        <v>9760.7000000000007</v>
      </c>
    </row>
    <row r="804" spans="1:15" x14ac:dyDescent="0.35">
      <c r="A804" s="8">
        <f>'Data cleaning and validation(3)'!A792</f>
        <v>791</v>
      </c>
      <c r="B804" s="8" t="str">
        <f>'Data cleaning and validation(3)'!B792</f>
        <v>Phillips</v>
      </c>
      <c r="C804" s="8" t="str">
        <f>'Data cleaning and validation(3)'!C792</f>
        <v>tphillipsly@globo.com</v>
      </c>
      <c r="D804" s="8" t="str">
        <f>'Data cleaning and validation(3)'!D792</f>
        <v>F</v>
      </c>
      <c r="E804" s="8" t="str">
        <f>'Data cleaning and validation(3)'!E792</f>
        <v>Sports</v>
      </c>
      <c r="F804" s="15">
        <f>'Data cleaning and validation(3)'!F792</f>
        <v>46367</v>
      </c>
      <c r="G804" s="8">
        <f>'Data cleaning and validation(3)'!G792</f>
        <v>8</v>
      </c>
      <c r="H804" s="19">
        <f>'Data cleaning and validation(3)'!H792</f>
        <v>93534</v>
      </c>
      <c r="I804" s="8" t="str">
        <f>'Data cleaning and validation(3)'!I792</f>
        <v>Health Coach IV</v>
      </c>
      <c r="J804" s="8" t="str">
        <f>'Data cleaning and validation(3)'!J792</f>
        <v>Northeast</v>
      </c>
      <c r="K804" s="8" t="str">
        <f>'Data cleaning and validation(3)'!K792</f>
        <v>USA</v>
      </c>
      <c r="L804" s="8" t="str">
        <f>'Data cleaning and validation(3)'!L792</f>
        <v>Games &amp; Sports</v>
      </c>
      <c r="M804" s="8" t="str">
        <f>'Data cleaning and validation(3)'!M792</f>
        <v>Active</v>
      </c>
      <c r="N804" s="17">
        <f>'Data cleaning and validation(3)'!N792</f>
        <v>1122408</v>
      </c>
      <c r="O804" s="18">
        <f>'Data cleaning and validation(3)'!O792</f>
        <v>9353.4</v>
      </c>
    </row>
    <row r="805" spans="1:15" x14ac:dyDescent="0.35">
      <c r="A805" s="8">
        <f>'Data cleaning and validation(3)'!A793</f>
        <v>792</v>
      </c>
      <c r="B805" s="8" t="str">
        <f>'Data cleaning and validation(3)'!B793</f>
        <v>Mccoy</v>
      </c>
      <c r="C805" s="8" t="str">
        <f>'Data cleaning and validation(3)'!C793</f>
        <v>jmccoylz@samsung.com</v>
      </c>
      <c r="D805" s="8" t="str">
        <f>'Data cleaning and validation(3)'!D793</f>
        <v>M</v>
      </c>
      <c r="E805" s="8" t="str">
        <f>'Data cleaning and validation(3)'!E793</f>
        <v>Industrial</v>
      </c>
      <c r="F805" s="15">
        <f>'Data cleaning and validation(3)'!F793</f>
        <v>39345</v>
      </c>
      <c r="G805" s="8">
        <f>'Data cleaning and validation(3)'!G793</f>
        <v>14</v>
      </c>
      <c r="H805" s="19">
        <f>'Data cleaning and validation(3)'!H793</f>
        <v>95787</v>
      </c>
      <c r="I805" s="8" t="str">
        <f>'Data cleaning and validation(3)'!I793</f>
        <v>Engineer IV</v>
      </c>
      <c r="J805" s="8" t="str">
        <f>'Data cleaning and validation(3)'!J793</f>
        <v>Southeast</v>
      </c>
      <c r="K805" s="8" t="str">
        <f>'Data cleaning and validation(3)'!K793</f>
        <v>USA</v>
      </c>
      <c r="L805" s="8" t="str">
        <f>'Data cleaning and validation(3)'!L793</f>
        <v>Auto &amp; Hardware</v>
      </c>
      <c r="M805" s="8" t="str">
        <f>'Data cleaning and validation(3)'!M793</f>
        <v>Active</v>
      </c>
      <c r="N805" s="17">
        <f>'Data cleaning and validation(3)'!N793</f>
        <v>1149444</v>
      </c>
      <c r="O805" s="18">
        <f>'Data cleaning and validation(3)'!O793</f>
        <v>9578.7000000000007</v>
      </c>
    </row>
    <row r="806" spans="1:15" x14ac:dyDescent="0.35">
      <c r="A806" s="8">
        <f>'Data cleaning and validation(3)'!A794</f>
        <v>793</v>
      </c>
      <c r="B806" s="8" t="str">
        <f>'Data cleaning and validation(3)'!B794</f>
        <v>Kelly</v>
      </c>
      <c r="C806" s="8" t="str">
        <f>'Data cleaning and validation(3)'!C794</f>
        <v>akellym0@unblog.fr</v>
      </c>
      <c r="D806" s="8" t="str">
        <f>'Data cleaning and validation(3)'!D794</f>
        <v>F</v>
      </c>
      <c r="E806" s="8" t="str">
        <f>'Data cleaning and validation(3)'!E794</f>
        <v>Games</v>
      </c>
      <c r="F806" s="15">
        <f>'Data cleaning and validation(3)'!F794</f>
        <v>45398</v>
      </c>
      <c r="G806" s="8">
        <f>'Data cleaning and validation(3)'!G794</f>
        <v>10</v>
      </c>
      <c r="H806" s="19">
        <f>'Data cleaning and validation(3)'!H794</f>
        <v>120086</v>
      </c>
      <c r="I806" s="8" t="str">
        <f>'Data cleaning and validation(3)'!I794</f>
        <v>Professor</v>
      </c>
      <c r="J806" s="8" t="str">
        <f>'Data cleaning and validation(3)'!J794</f>
        <v>Quebec</v>
      </c>
      <c r="K806" s="8" t="str">
        <f>'Data cleaning and validation(3)'!K794</f>
        <v>Canada</v>
      </c>
      <c r="L806" s="8" t="str">
        <f>'Data cleaning and validation(3)'!L794</f>
        <v>Domestic</v>
      </c>
      <c r="M806" s="8" t="str">
        <f>'Data cleaning and validation(3)'!M794</f>
        <v>Active</v>
      </c>
      <c r="N806" s="17">
        <f>'Data cleaning and validation(3)'!N794</f>
        <v>1441032</v>
      </c>
      <c r="O806" s="18">
        <f>'Data cleaning and validation(3)'!O794</f>
        <v>12008.6</v>
      </c>
    </row>
    <row r="807" spans="1:15" x14ac:dyDescent="0.35">
      <c r="A807" s="8">
        <f>'Data cleaning and validation(3)'!A795</f>
        <v>794</v>
      </c>
      <c r="B807" s="8" t="str">
        <f>'Data cleaning and validation(3)'!B795</f>
        <v>Larson</v>
      </c>
      <c r="C807" s="8" t="str">
        <f>'Data cleaning and validation(3)'!C795</f>
        <v>mlarsonm1@blinklist.com</v>
      </c>
      <c r="D807" s="8" t="str">
        <f>'Data cleaning and validation(3)'!D795</f>
        <v>F</v>
      </c>
      <c r="E807" s="8" t="str">
        <f>'Data cleaning and validation(3)'!E795</f>
        <v>Outdoors</v>
      </c>
      <c r="F807" s="15">
        <f>'Data cleaning and validation(3)'!F795</f>
        <v>44562</v>
      </c>
      <c r="G807" s="8">
        <f>'Data cleaning and validation(3)'!G795</f>
        <v>12</v>
      </c>
      <c r="H807" s="19">
        <f>'Data cleaning and validation(3)'!H795</f>
        <v>119414</v>
      </c>
      <c r="I807" s="8" t="str">
        <f>'Data cleaning and validation(3)'!I795</f>
        <v>Research Assistant II</v>
      </c>
      <c r="J807" s="8" t="str">
        <f>'Data cleaning and validation(3)'!J795</f>
        <v>Northeast</v>
      </c>
      <c r="K807" s="8" t="str">
        <f>'Data cleaning and validation(3)'!K795</f>
        <v>USA</v>
      </c>
      <c r="L807" s="8" t="str">
        <f>'Data cleaning and validation(3)'!L795</f>
        <v>Outdoors &amp; Garden</v>
      </c>
      <c r="M807" s="8" t="str">
        <f>'Data cleaning and validation(3)'!M795</f>
        <v>Active</v>
      </c>
      <c r="N807" s="17">
        <f>'Data cleaning and validation(3)'!N795</f>
        <v>1432968</v>
      </c>
      <c r="O807" s="18">
        <f>'Data cleaning and validation(3)'!O795</f>
        <v>11941.400000000001</v>
      </c>
    </row>
    <row r="808" spans="1:15" x14ac:dyDescent="0.35">
      <c r="A808" s="8">
        <f>'Data cleaning and validation(3)'!A796</f>
        <v>795</v>
      </c>
      <c r="B808" s="8" t="str">
        <f>'Data cleaning and validation(3)'!B796</f>
        <v>Hansen</v>
      </c>
      <c r="C808" s="8" t="str">
        <f>'Data cleaning and validation(3)'!C796</f>
        <v>dhansenm2@thetimes.co.uk</v>
      </c>
      <c r="D808" s="8" t="str">
        <f>'Data cleaning and validation(3)'!D796</f>
        <v>F</v>
      </c>
      <c r="E808" s="8" t="str">
        <f>'Data cleaning and validation(3)'!E796</f>
        <v>Garden</v>
      </c>
      <c r="F808" s="15">
        <f>'Data cleaning and validation(3)'!F796</f>
        <v>44451</v>
      </c>
      <c r="G808" s="8">
        <f>'Data cleaning and validation(3)'!G796</f>
        <v>13</v>
      </c>
      <c r="H808" s="19">
        <f>'Data cleaning and validation(3)'!H796</f>
        <v>79952</v>
      </c>
      <c r="I808" s="8" t="str">
        <f>'Data cleaning and validation(3)'!I796</f>
        <v>Compensation Analyst</v>
      </c>
      <c r="J808" s="8" t="str">
        <f>'Data cleaning and validation(3)'!J796</f>
        <v>Southwest</v>
      </c>
      <c r="K808" s="8" t="str">
        <f>'Data cleaning and validation(3)'!K796</f>
        <v>USA</v>
      </c>
      <c r="L808" s="8" t="str">
        <f>'Data cleaning and validation(3)'!L796</f>
        <v>Outdoors &amp; Garden</v>
      </c>
      <c r="M808" s="8" t="str">
        <f>'Data cleaning and validation(3)'!M796</f>
        <v>Active</v>
      </c>
      <c r="N808" s="17">
        <f>'Data cleaning and validation(3)'!N796</f>
        <v>959424</v>
      </c>
      <c r="O808" s="18">
        <f>'Data cleaning and validation(3)'!O796</f>
        <v>7995.2000000000007</v>
      </c>
    </row>
    <row r="809" spans="1:15" x14ac:dyDescent="0.35">
      <c r="A809" s="8">
        <f>'Data cleaning and validation(3)'!A797</f>
        <v>796</v>
      </c>
      <c r="B809" s="8" t="str">
        <f>'Data cleaning and validation(3)'!B797</f>
        <v>Owens</v>
      </c>
      <c r="C809" s="8" t="str">
        <f>'Data cleaning and validation(3)'!C797</f>
        <v>jowensm3@mail.ru</v>
      </c>
      <c r="D809" s="8" t="str">
        <f>'Data cleaning and validation(3)'!D797</f>
        <v>M</v>
      </c>
      <c r="E809" s="8" t="str">
        <f>'Data cleaning and validation(3)'!E797</f>
        <v>Beauty</v>
      </c>
      <c r="F809" s="15">
        <f>'Data cleaning and validation(3)'!F797</f>
        <v>38216</v>
      </c>
      <c r="G809" s="8">
        <f>'Data cleaning and validation(3)'!G797</f>
        <v>17</v>
      </c>
      <c r="H809" s="19">
        <f>'Data cleaning and validation(3)'!H797</f>
        <v>138682</v>
      </c>
      <c r="I809" s="8" t="str">
        <f>'Data cleaning and validation(3)'!I797</f>
        <v>Analyst Programmer</v>
      </c>
      <c r="J809" s="8" t="str">
        <f>'Data cleaning and validation(3)'!J797</f>
        <v>Nova Scotia</v>
      </c>
      <c r="K809" s="8" t="str">
        <f>'Data cleaning and validation(3)'!K797</f>
        <v>Canada</v>
      </c>
      <c r="L809" s="8" t="str">
        <f>'Data cleaning and validation(3)'!L797</f>
        <v>Domestic</v>
      </c>
      <c r="M809" s="8" t="str">
        <f>'Data cleaning and validation(3)'!M797</f>
        <v>Active</v>
      </c>
      <c r="N809" s="17">
        <f>'Data cleaning and validation(3)'!N797</f>
        <v>1664184</v>
      </c>
      <c r="O809" s="18">
        <f>'Data cleaning and validation(3)'!O797</f>
        <v>13868.2</v>
      </c>
    </row>
    <row r="810" spans="1:15" x14ac:dyDescent="0.35">
      <c r="A810" s="8">
        <f>'Data cleaning and validation(3)'!A798</f>
        <v>797</v>
      </c>
      <c r="B810" s="8" t="str">
        <f>'Data cleaning and validation(3)'!B798</f>
        <v>Ramos</v>
      </c>
      <c r="C810" s="8" t="str">
        <f>'Data cleaning and validation(3)'!C798</f>
        <v>aramosm4@issuu.com</v>
      </c>
      <c r="D810" s="8" t="str">
        <f>'Data cleaning and validation(3)'!D798</f>
        <v>F</v>
      </c>
      <c r="E810" s="8" t="str">
        <f>'Data cleaning and validation(3)'!E798</f>
        <v>Health</v>
      </c>
      <c r="F810" s="15">
        <f>'Data cleaning and validation(3)'!F798</f>
        <v>37761</v>
      </c>
      <c r="G810" s="8">
        <f>'Data cleaning and validation(3)'!G798</f>
        <v>18</v>
      </c>
      <c r="H810" s="19">
        <f>'Data cleaning and validation(3)'!H798</f>
        <v>49667</v>
      </c>
      <c r="I810" s="8" t="str">
        <f>'Data cleaning and validation(3)'!I798</f>
        <v>Help Desk Technician</v>
      </c>
      <c r="J810" s="8" t="str">
        <f>'Data cleaning and validation(3)'!J798</f>
        <v>Quebec</v>
      </c>
      <c r="K810" s="8" t="str">
        <f>'Data cleaning and validation(3)'!K798</f>
        <v>Canada</v>
      </c>
      <c r="L810" s="8" t="str">
        <f>'Data cleaning and validation(3)'!L798</f>
        <v>Domestic</v>
      </c>
      <c r="M810" s="8" t="str">
        <f>'Data cleaning and validation(3)'!M798</f>
        <v>Active</v>
      </c>
      <c r="N810" s="17">
        <f>'Data cleaning and validation(3)'!N798</f>
        <v>596004</v>
      </c>
      <c r="O810" s="18">
        <f>'Data cleaning and validation(3)'!O798</f>
        <v>4966.7000000000007</v>
      </c>
    </row>
    <row r="811" spans="1:15" x14ac:dyDescent="0.35">
      <c r="A811" s="8">
        <f>'Data cleaning and validation(3)'!A799</f>
        <v>798</v>
      </c>
      <c r="B811" s="8" t="str">
        <f>'Data cleaning and validation(3)'!B799</f>
        <v>Kim</v>
      </c>
      <c r="C811" s="8" t="str">
        <f>'Data cleaning and validation(3)'!C799</f>
        <v>akimm5@vimeo.com</v>
      </c>
      <c r="D811" s="8" t="str">
        <f>'Data cleaning and validation(3)'!D799</f>
        <v>M</v>
      </c>
      <c r="E811" s="8" t="str">
        <f>'Data cleaning and validation(3)'!E799</f>
        <v>Garden</v>
      </c>
      <c r="F811" s="15">
        <f>'Data cleaning and validation(3)'!F799</f>
        <v>39642</v>
      </c>
      <c r="G811" s="8">
        <f>'Data cleaning and validation(3)'!G799</f>
        <v>13</v>
      </c>
      <c r="H811" s="19">
        <f>'Data cleaning and validation(3)'!H799</f>
        <v>83798</v>
      </c>
      <c r="I811" s="8" t="str">
        <f>'Data cleaning and validation(3)'!I799</f>
        <v>Technical Writer</v>
      </c>
      <c r="J811" s="8" t="str">
        <f>'Data cleaning and validation(3)'!J799</f>
        <v>British Columbia</v>
      </c>
      <c r="K811" s="8" t="str">
        <f>'Data cleaning and validation(3)'!K799</f>
        <v>Canada</v>
      </c>
      <c r="L811" s="8" t="str">
        <f>'Data cleaning and validation(3)'!L799</f>
        <v>Outdoors &amp; Garden</v>
      </c>
      <c r="M811" s="8" t="str">
        <f>'Data cleaning and validation(3)'!M799</f>
        <v>Active</v>
      </c>
      <c r="N811" s="17">
        <f>'Data cleaning and validation(3)'!N799</f>
        <v>1005576</v>
      </c>
      <c r="O811" s="18">
        <f>'Data cleaning and validation(3)'!O799</f>
        <v>8379.8000000000011</v>
      </c>
    </row>
    <row r="812" spans="1:15" x14ac:dyDescent="0.35">
      <c r="A812" s="8">
        <f>'Data cleaning and validation(3)'!A800</f>
        <v>799</v>
      </c>
      <c r="B812" s="8" t="str">
        <f>'Data cleaning and validation(3)'!B800</f>
        <v>Sims</v>
      </c>
      <c r="C812" s="8" t="str">
        <f>'Data cleaning and validation(3)'!C800</f>
        <v>asimsm6@lycos.com</v>
      </c>
      <c r="D812" s="8" t="str">
        <f>'Data cleaning and validation(3)'!D800</f>
        <v>F</v>
      </c>
      <c r="E812" s="8" t="str">
        <f>'Data cleaning and validation(3)'!E800</f>
        <v>Clothing</v>
      </c>
      <c r="F812" s="15">
        <f>'Data cleaning and validation(3)'!F800</f>
        <v>46090</v>
      </c>
      <c r="G812" s="8">
        <f>'Data cleaning and validation(3)'!G800</f>
        <v>8</v>
      </c>
      <c r="H812" s="19">
        <f>'Data cleaning and validation(3)'!H800</f>
        <v>146024</v>
      </c>
      <c r="I812" s="8" t="str">
        <f>'Data cleaning and validation(3)'!I800</f>
        <v>Actuary</v>
      </c>
      <c r="J812" s="8" t="str">
        <f>'Data cleaning and validation(3)'!J800</f>
        <v>Nova Scotia</v>
      </c>
      <c r="K812" s="8" t="str">
        <f>'Data cleaning and validation(3)'!K800</f>
        <v>Canada</v>
      </c>
      <c r="L812" s="8" t="str">
        <f>'Data cleaning and validation(3)'!L800</f>
        <v>Domestic</v>
      </c>
      <c r="M812" s="8" t="str">
        <f>'Data cleaning and validation(3)'!M800</f>
        <v>Active</v>
      </c>
      <c r="N812" s="17">
        <f>'Data cleaning and validation(3)'!N800</f>
        <v>1752288</v>
      </c>
      <c r="O812" s="18">
        <f>'Data cleaning and validation(3)'!O800</f>
        <v>14602.400000000001</v>
      </c>
    </row>
    <row r="813" spans="1:15" x14ac:dyDescent="0.35">
      <c r="A813" s="8">
        <f>'Data cleaning and validation(3)'!A801</f>
        <v>800</v>
      </c>
      <c r="B813" s="8" t="str">
        <f>'Data cleaning and validation(3)'!B801</f>
        <v>Peterson</v>
      </c>
      <c r="C813" s="8" t="str">
        <f>'Data cleaning and validation(3)'!C801</f>
        <v>apetersonm7@eepurl.com</v>
      </c>
      <c r="D813" s="8" t="str">
        <f>'Data cleaning and validation(3)'!D801</f>
        <v>M</v>
      </c>
      <c r="E813" s="8" t="str">
        <f>'Data cleaning and validation(3)'!E801</f>
        <v>Outdoors</v>
      </c>
      <c r="F813" s="15">
        <f>'Data cleaning and validation(3)'!F801</f>
        <v>36777</v>
      </c>
      <c r="G813" s="8">
        <f>'Data cleaning and validation(3)'!G801</f>
        <v>21</v>
      </c>
      <c r="H813" s="19">
        <f>'Data cleaning and validation(3)'!H801</f>
        <v>144841</v>
      </c>
      <c r="I813" s="8" t="str">
        <f>'Data cleaning and validation(3)'!I801</f>
        <v>Web Developer I</v>
      </c>
      <c r="J813" s="8" t="str">
        <f>'Data cleaning and validation(3)'!J801</f>
        <v>Southwest</v>
      </c>
      <c r="K813" s="8" t="str">
        <f>'Data cleaning and validation(3)'!K801</f>
        <v>USA</v>
      </c>
      <c r="L813" s="8" t="str">
        <f>'Data cleaning and validation(3)'!L801</f>
        <v>Outdoors &amp; Garden</v>
      </c>
      <c r="M813" s="8" t="str">
        <f>'Data cleaning and validation(3)'!M801</f>
        <v>Active</v>
      </c>
      <c r="N813" s="17">
        <f>'Data cleaning and validation(3)'!N801</f>
        <v>1738092</v>
      </c>
      <c r="O813" s="18">
        <f>'Data cleaning and validation(3)'!O801</f>
        <v>14484.1</v>
      </c>
    </row>
    <row r="814" spans="1:15" x14ac:dyDescent="0.35">
      <c r="A814" s="8">
        <f>'Data cleaning and validation(3)'!A802</f>
        <v>801</v>
      </c>
      <c r="B814" s="8" t="str">
        <f>'Data cleaning and validation(3)'!B802</f>
        <v>Gomez</v>
      </c>
      <c r="C814" s="8" t="str">
        <f>'Data cleaning and validation(3)'!C802</f>
        <v>tgomezm8@ucoz.ru</v>
      </c>
      <c r="D814" s="8" t="str">
        <f>'Data cleaning and validation(3)'!D802</f>
        <v>F</v>
      </c>
      <c r="E814" s="8" t="str">
        <f>'Data cleaning and validation(3)'!E802</f>
        <v>Movies</v>
      </c>
      <c r="F814" s="15">
        <f>'Data cleaning and validation(3)'!F802</f>
        <v>45920</v>
      </c>
      <c r="G814" s="8">
        <f>'Data cleaning and validation(3)'!G802</f>
        <v>9</v>
      </c>
      <c r="H814" s="19">
        <f>'Data cleaning and validation(3)'!H802</f>
        <v>101582</v>
      </c>
      <c r="I814" s="8" t="str">
        <f>'Data cleaning and validation(3)'!I802</f>
        <v>Biostatistician II</v>
      </c>
      <c r="J814" s="8" t="str">
        <f>'Data cleaning and validation(3)'!J802</f>
        <v>Nova Scotia</v>
      </c>
      <c r="K814" s="8" t="str">
        <f>'Data cleaning and validation(3)'!K802</f>
        <v>Canada</v>
      </c>
      <c r="L814" s="8" t="str">
        <f>'Data cleaning and validation(3)'!L802</f>
        <v>Entertainment</v>
      </c>
      <c r="M814" s="8" t="str">
        <f>'Data cleaning and validation(3)'!M802</f>
        <v>Active</v>
      </c>
      <c r="N814" s="17">
        <f>'Data cleaning and validation(3)'!N802</f>
        <v>1218984</v>
      </c>
      <c r="O814" s="18">
        <f>'Data cleaning and validation(3)'!O802</f>
        <v>10158.200000000001</v>
      </c>
    </row>
    <row r="815" spans="1:15" x14ac:dyDescent="0.35">
      <c r="A815" s="8">
        <f>'Data cleaning and validation(3)'!A803</f>
        <v>802</v>
      </c>
      <c r="B815" s="8" t="str">
        <f>'Data cleaning and validation(3)'!B803</f>
        <v>Knight</v>
      </c>
      <c r="C815" s="8" t="str">
        <f>'Data cleaning and validation(3)'!C803</f>
        <v>dknightm9@quantcast.com</v>
      </c>
      <c r="D815" s="8" t="str">
        <f>'Data cleaning and validation(3)'!D803</f>
        <v>F</v>
      </c>
      <c r="E815" s="8" t="str">
        <f>'Data cleaning and validation(3)'!E803</f>
        <v>Movies</v>
      </c>
      <c r="F815" s="15">
        <f>'Data cleaning and validation(3)'!F803</f>
        <v>38867</v>
      </c>
      <c r="G815" s="8">
        <f>'Data cleaning and validation(3)'!G803</f>
        <v>15</v>
      </c>
      <c r="H815" s="19">
        <f>'Data cleaning and validation(3)'!H803</f>
        <v>100716</v>
      </c>
      <c r="I815" s="8" t="str">
        <f>'Data cleaning and validation(3)'!I803</f>
        <v>Help Desk Operator</v>
      </c>
      <c r="J815" s="8" t="str">
        <f>'Data cleaning and validation(3)'!J803</f>
        <v>Northwest</v>
      </c>
      <c r="K815" s="8" t="str">
        <f>'Data cleaning and validation(3)'!K803</f>
        <v>USA</v>
      </c>
      <c r="L815" s="8" t="str">
        <f>'Data cleaning and validation(3)'!L803</f>
        <v>Entertainment</v>
      </c>
      <c r="M815" s="8" t="str">
        <f>'Data cleaning and validation(3)'!M803</f>
        <v>Active</v>
      </c>
      <c r="N815" s="17">
        <f>'Data cleaning and validation(3)'!N803</f>
        <v>1208592</v>
      </c>
      <c r="O815" s="18">
        <f>'Data cleaning and validation(3)'!O803</f>
        <v>10071.6</v>
      </c>
    </row>
    <row r="816" spans="1:15" x14ac:dyDescent="0.35">
      <c r="A816" s="8">
        <f>'Data cleaning and validation(3)'!A804</f>
        <v>803</v>
      </c>
      <c r="B816" s="8" t="str">
        <f>'Data cleaning and validation(3)'!B804</f>
        <v>Hunt</v>
      </c>
      <c r="C816" s="8" t="str">
        <f>'Data cleaning and validation(3)'!C804</f>
        <v>ahuntma@g.co</v>
      </c>
      <c r="D816" s="8" t="str">
        <f>'Data cleaning and validation(3)'!D804</f>
        <v>F</v>
      </c>
      <c r="E816" s="8" t="str">
        <f>'Data cleaning and validation(3)'!E804</f>
        <v>Beauty</v>
      </c>
      <c r="F816" s="15">
        <f>'Data cleaning and validation(3)'!F804</f>
        <v>45367</v>
      </c>
      <c r="G816" s="8">
        <f>'Data cleaning and validation(3)'!G804</f>
        <v>10</v>
      </c>
      <c r="H816" s="19">
        <f>'Data cleaning and validation(3)'!H804</f>
        <v>72016</v>
      </c>
      <c r="I816" s="8" t="str">
        <f>'Data cleaning and validation(3)'!I804</f>
        <v>Computer Systems Analyst I</v>
      </c>
      <c r="J816" s="8" t="str">
        <f>'Data cleaning and validation(3)'!J804</f>
        <v>Southwest</v>
      </c>
      <c r="K816" s="8" t="str">
        <f>'Data cleaning and validation(3)'!K804</f>
        <v>USA</v>
      </c>
      <c r="L816" s="8" t="str">
        <f>'Data cleaning and validation(3)'!L804</f>
        <v>Domestic</v>
      </c>
      <c r="M816" s="8" t="str">
        <f>'Data cleaning and validation(3)'!M804</f>
        <v>Active</v>
      </c>
      <c r="N816" s="17">
        <f>'Data cleaning and validation(3)'!N804</f>
        <v>864192</v>
      </c>
      <c r="O816" s="18">
        <f>'Data cleaning and validation(3)'!O804</f>
        <v>7201.6</v>
      </c>
    </row>
    <row r="817" spans="1:15" x14ac:dyDescent="0.35">
      <c r="A817" s="8">
        <f>'Data cleaning and validation(3)'!A805</f>
        <v>804</v>
      </c>
      <c r="B817" s="8" t="str">
        <f>'Data cleaning and validation(3)'!B805</f>
        <v>Hunter</v>
      </c>
      <c r="C817" s="8" t="str">
        <f>'Data cleaning and validation(3)'!C805</f>
        <v>hhuntermb@reverbnation.com</v>
      </c>
      <c r="D817" s="8" t="str">
        <f>'Data cleaning and validation(3)'!D805</f>
        <v>F</v>
      </c>
      <c r="E817" s="8" t="str">
        <f>'Data cleaning and validation(3)'!E805</f>
        <v>Books</v>
      </c>
      <c r="F817" s="15">
        <f>'Data cleaning and validation(3)'!F805</f>
        <v>38564</v>
      </c>
      <c r="G817" s="8">
        <f>'Data cleaning and validation(3)'!G805</f>
        <v>16</v>
      </c>
      <c r="H817" s="19">
        <f>'Data cleaning and validation(3)'!H805</f>
        <v>123156</v>
      </c>
      <c r="I817" s="8" t="str">
        <f>'Data cleaning and validation(3)'!I805</f>
        <v>Social Worker</v>
      </c>
      <c r="J817" s="8" t="str">
        <f>'Data cleaning and validation(3)'!J805</f>
        <v>Northeast</v>
      </c>
      <c r="K817" s="8" t="str">
        <f>'Data cleaning and validation(3)'!K805</f>
        <v>USA</v>
      </c>
      <c r="L817" s="8" t="str">
        <f>'Data cleaning and validation(3)'!L805</f>
        <v>Library</v>
      </c>
      <c r="M817" s="8" t="str">
        <f>'Data cleaning and validation(3)'!M805</f>
        <v>Active</v>
      </c>
      <c r="N817" s="17">
        <f>'Data cleaning and validation(3)'!N805</f>
        <v>1477872</v>
      </c>
      <c r="O817" s="18">
        <f>'Data cleaning and validation(3)'!O805</f>
        <v>12315.6</v>
      </c>
    </row>
    <row r="818" spans="1:15" x14ac:dyDescent="0.35">
      <c r="A818" s="8">
        <f>'Data cleaning and validation(3)'!A806</f>
        <v>805</v>
      </c>
      <c r="B818" s="8" t="str">
        <f>'Data cleaning and validation(3)'!B806</f>
        <v>Gordon</v>
      </c>
      <c r="C818" s="8" t="str">
        <f>'Data cleaning and validation(3)'!C806</f>
        <v>pgordonmc@creativecommons.org</v>
      </c>
      <c r="D818" s="8" t="str">
        <f>'Data cleaning and validation(3)'!D806</f>
        <v>M</v>
      </c>
      <c r="E818" s="8" t="str">
        <f>'Data cleaning and validation(3)'!E806</f>
        <v>Baby</v>
      </c>
      <c r="F818" s="15">
        <f>'Data cleaning and validation(3)'!F806</f>
        <v>41864</v>
      </c>
      <c r="G818" s="8">
        <f>'Data cleaning and validation(3)'!G806</f>
        <v>7</v>
      </c>
      <c r="H818" s="19">
        <f>'Data cleaning and validation(3)'!H806</f>
        <v>110058</v>
      </c>
      <c r="I818" s="8" t="str">
        <f>'Data cleaning and validation(3)'!I806</f>
        <v>Business Systems Development Analyst</v>
      </c>
      <c r="J818" s="8" t="str">
        <f>'Data cleaning and validation(3)'!J806</f>
        <v>Northeast</v>
      </c>
      <c r="K818" s="8" t="str">
        <f>'Data cleaning and validation(3)'!K806</f>
        <v>USA</v>
      </c>
      <c r="L818" s="8" t="str">
        <f>'Data cleaning and validation(3)'!L806</f>
        <v>Domestic</v>
      </c>
      <c r="M818" s="8" t="str">
        <f>'Data cleaning and validation(3)'!M806</f>
        <v>Active</v>
      </c>
      <c r="N818" s="17">
        <f>'Data cleaning and validation(3)'!N806</f>
        <v>1320696</v>
      </c>
      <c r="O818" s="18">
        <f>'Data cleaning and validation(3)'!O806</f>
        <v>11005.800000000001</v>
      </c>
    </row>
    <row r="819" spans="1:15" x14ac:dyDescent="0.35">
      <c r="A819" s="8">
        <f>'Data cleaning and validation(3)'!A807</f>
        <v>806</v>
      </c>
      <c r="B819" s="8" t="str">
        <f>'Data cleaning and validation(3)'!B807</f>
        <v>Hill</v>
      </c>
      <c r="C819" s="8" t="str">
        <f>'Data cleaning and validation(3)'!C807</f>
        <v>shillmd@ca.gov</v>
      </c>
      <c r="D819" s="8" t="str">
        <f>'Data cleaning and validation(3)'!D807</f>
        <v>M</v>
      </c>
      <c r="E819" s="8" t="str">
        <f>'Data cleaning and validation(3)'!E807</f>
        <v>Shoes</v>
      </c>
      <c r="F819" s="15">
        <f>'Data cleaning and validation(3)'!F807</f>
        <v>40892</v>
      </c>
      <c r="G819" s="8">
        <f>'Data cleaning and validation(3)'!G807</f>
        <v>10</v>
      </c>
      <c r="H819" s="19">
        <f>'Data cleaning and validation(3)'!H807</f>
        <v>117092</v>
      </c>
      <c r="I819" s="8" t="str">
        <f>'Data cleaning and validation(3)'!I807</f>
        <v>VP Product Management</v>
      </c>
      <c r="J819" s="8" t="str">
        <f>'Data cleaning and validation(3)'!J807</f>
        <v>British Columbia</v>
      </c>
      <c r="K819" s="8" t="str">
        <f>'Data cleaning and validation(3)'!K807</f>
        <v>Canada</v>
      </c>
      <c r="L819" s="8" t="str">
        <f>'Data cleaning and validation(3)'!L807</f>
        <v>Domestic</v>
      </c>
      <c r="M819" s="8" t="str">
        <f>'Data cleaning and validation(3)'!M807</f>
        <v>Active</v>
      </c>
      <c r="N819" s="17">
        <f>'Data cleaning and validation(3)'!N807</f>
        <v>1405104</v>
      </c>
      <c r="O819" s="18">
        <f>'Data cleaning and validation(3)'!O807</f>
        <v>11709.2</v>
      </c>
    </row>
    <row r="820" spans="1:15" x14ac:dyDescent="0.35">
      <c r="A820" s="8">
        <f>'Data cleaning and validation(3)'!A808</f>
        <v>807</v>
      </c>
      <c r="B820" s="8" t="str">
        <f>'Data cleaning and validation(3)'!B808</f>
        <v>Gibson</v>
      </c>
      <c r="C820" s="8" t="str">
        <f>'Data cleaning and validation(3)'!C808</f>
        <v>hgibsonme@ox.ac.uk</v>
      </c>
      <c r="D820" s="8" t="str">
        <f>'Data cleaning and validation(3)'!D808</f>
        <v>M</v>
      </c>
      <c r="E820" s="8" t="str">
        <f>'Data cleaning and validation(3)'!E808</f>
        <v>Industrial</v>
      </c>
      <c r="F820" s="15">
        <f>'Data cleaning and validation(3)'!F808</f>
        <v>38701</v>
      </c>
      <c r="G820" s="8">
        <f>'Data cleaning and validation(3)'!G808</f>
        <v>16</v>
      </c>
      <c r="H820" s="19">
        <f>'Data cleaning and validation(3)'!H808</f>
        <v>148816</v>
      </c>
      <c r="I820" s="8" t="str">
        <f>'Data cleaning and validation(3)'!I808</f>
        <v>Operator</v>
      </c>
      <c r="J820" s="8" t="str">
        <f>'Data cleaning and validation(3)'!J808</f>
        <v>Southwest</v>
      </c>
      <c r="K820" s="8" t="str">
        <f>'Data cleaning and validation(3)'!K808</f>
        <v>USA</v>
      </c>
      <c r="L820" s="8" t="str">
        <f>'Data cleaning and validation(3)'!L808</f>
        <v>Auto &amp; Hardware</v>
      </c>
      <c r="M820" s="8" t="str">
        <f>'Data cleaning and validation(3)'!M808</f>
        <v>Active</v>
      </c>
      <c r="N820" s="17">
        <f>'Data cleaning and validation(3)'!N808</f>
        <v>1785792</v>
      </c>
      <c r="O820" s="18">
        <f>'Data cleaning and validation(3)'!O808</f>
        <v>14881.6</v>
      </c>
    </row>
    <row r="821" spans="1:15" x14ac:dyDescent="0.35">
      <c r="A821" s="8">
        <f>'Data cleaning and validation(3)'!A809</f>
        <v>808</v>
      </c>
      <c r="B821" s="8" t="str">
        <f>'Data cleaning and validation(3)'!B809</f>
        <v>Mills</v>
      </c>
      <c r="C821" s="8" t="str">
        <f>'Data cleaning and validation(3)'!C809</f>
        <v>jmillsmf@seesaa.net</v>
      </c>
      <c r="D821" s="8" t="str">
        <f>'Data cleaning and validation(3)'!D809</f>
        <v>F</v>
      </c>
      <c r="E821" s="8" t="str">
        <f>'Data cleaning and validation(3)'!E809</f>
        <v>Games</v>
      </c>
      <c r="F821" s="15">
        <f>'Data cleaning and validation(3)'!F809</f>
        <v>44665</v>
      </c>
      <c r="G821" s="8">
        <f>'Data cleaning and validation(3)'!G809</f>
        <v>12</v>
      </c>
      <c r="H821" s="19">
        <f>'Data cleaning and validation(3)'!H809</f>
        <v>79031</v>
      </c>
      <c r="I821" s="8" t="str">
        <f>'Data cleaning and validation(3)'!I809</f>
        <v>Electrical Engineer</v>
      </c>
      <c r="J821" s="8" t="str">
        <f>'Data cleaning and validation(3)'!J809</f>
        <v>Northwest</v>
      </c>
      <c r="K821" s="8" t="str">
        <f>'Data cleaning and validation(3)'!K809</f>
        <v>USA</v>
      </c>
      <c r="L821" s="8" t="str">
        <f>'Data cleaning and validation(3)'!L809</f>
        <v>Domestic</v>
      </c>
      <c r="M821" s="8" t="str">
        <f>'Data cleaning and validation(3)'!M809</f>
        <v>Active</v>
      </c>
      <c r="N821" s="17">
        <f>'Data cleaning and validation(3)'!N809</f>
        <v>948372</v>
      </c>
      <c r="O821" s="18">
        <f>'Data cleaning and validation(3)'!O809</f>
        <v>7903.1</v>
      </c>
    </row>
    <row r="822" spans="1:15" x14ac:dyDescent="0.35">
      <c r="A822" s="8">
        <f>'Data cleaning and validation(3)'!A810</f>
        <v>809</v>
      </c>
      <c r="B822" s="8" t="str">
        <f>'Data cleaning and validation(3)'!B810</f>
        <v>Butler</v>
      </c>
      <c r="C822" s="8" t="str">
        <f>'Data cleaning and validation(3)'!C810</f>
        <v>rbutlermg@netvibes.com</v>
      </c>
      <c r="D822" s="8" t="str">
        <f>'Data cleaning and validation(3)'!D810</f>
        <v>M</v>
      </c>
      <c r="E822" s="8" t="str">
        <f>'Data cleaning and validation(3)'!E810</f>
        <v>Automotive</v>
      </c>
      <c r="F822" s="15">
        <f>'Data cleaning and validation(3)'!F810</f>
        <v>38938</v>
      </c>
      <c r="G822" s="8">
        <f>'Data cleaning and validation(3)'!G810</f>
        <v>15</v>
      </c>
      <c r="H822" s="19">
        <f>'Data cleaning and validation(3)'!H810</f>
        <v>128448</v>
      </c>
      <c r="I822" s="8" t="str">
        <f>'Data cleaning and validation(3)'!I810</f>
        <v>Technical Writer</v>
      </c>
      <c r="J822" s="8" t="str">
        <f>'Data cleaning and validation(3)'!J810</f>
        <v>Northwest</v>
      </c>
      <c r="K822" s="8" t="str">
        <f>'Data cleaning and validation(3)'!K810</f>
        <v>USA</v>
      </c>
      <c r="L822" s="8" t="str">
        <f>'Data cleaning and validation(3)'!L810</f>
        <v>Auto &amp; Hardware</v>
      </c>
      <c r="M822" s="8" t="str">
        <f>'Data cleaning and validation(3)'!M810</f>
        <v>Active</v>
      </c>
      <c r="N822" s="17">
        <f>'Data cleaning and validation(3)'!N810</f>
        <v>1541376</v>
      </c>
      <c r="O822" s="18">
        <f>'Data cleaning and validation(3)'!O810</f>
        <v>12844.800000000001</v>
      </c>
    </row>
    <row r="823" spans="1:15" x14ac:dyDescent="0.35">
      <c r="A823" s="8">
        <f>'Data cleaning and validation(3)'!A811</f>
        <v>810</v>
      </c>
      <c r="B823" s="8" t="str">
        <f>'Data cleaning and validation(3)'!B811</f>
        <v>Foster</v>
      </c>
      <c r="C823" s="8" t="str">
        <f>'Data cleaning and validation(3)'!C811</f>
        <v>lfostermh@blog.com</v>
      </c>
      <c r="D823" s="8" t="str">
        <f>'Data cleaning and validation(3)'!D811</f>
        <v>F</v>
      </c>
      <c r="E823" s="8" t="str">
        <f>'Data cleaning and validation(3)'!E811</f>
        <v>Health</v>
      </c>
      <c r="F823" s="15">
        <f>'Data cleaning and validation(3)'!F811</f>
        <v>46029</v>
      </c>
      <c r="G823" s="8">
        <f>'Data cleaning and validation(3)'!G811</f>
        <v>8</v>
      </c>
      <c r="H823" s="19">
        <f>'Data cleaning and validation(3)'!H811</f>
        <v>138478</v>
      </c>
      <c r="I823" s="8" t="str">
        <f>'Data cleaning and validation(3)'!I811</f>
        <v>Software Test Engineer IV</v>
      </c>
      <c r="J823" s="8" t="str">
        <f>'Data cleaning and validation(3)'!J811</f>
        <v>Southwest</v>
      </c>
      <c r="K823" s="8" t="str">
        <f>'Data cleaning and validation(3)'!K811</f>
        <v>USA</v>
      </c>
      <c r="L823" s="8" t="str">
        <f>'Data cleaning and validation(3)'!L811</f>
        <v>Domestic</v>
      </c>
      <c r="M823" s="8" t="str">
        <f>'Data cleaning and validation(3)'!M811</f>
        <v>Active</v>
      </c>
      <c r="N823" s="17">
        <f>'Data cleaning and validation(3)'!N811</f>
        <v>1661736</v>
      </c>
      <c r="O823" s="18">
        <f>'Data cleaning and validation(3)'!O811</f>
        <v>13847.800000000001</v>
      </c>
    </row>
    <row r="824" spans="1:15" x14ac:dyDescent="0.35">
      <c r="A824" s="8">
        <f>'Data cleaning and validation(3)'!A812</f>
        <v>811</v>
      </c>
      <c r="B824" s="8" t="str">
        <f>'Data cleaning and validation(3)'!B812</f>
        <v>Harrison</v>
      </c>
      <c r="C824" s="8" t="str">
        <f>'Data cleaning and validation(3)'!C812</f>
        <v>eharrisonmi@cdbaby.com</v>
      </c>
      <c r="D824" s="8" t="str">
        <f>'Data cleaning and validation(3)'!D812</f>
        <v>M</v>
      </c>
      <c r="E824" s="8" t="str">
        <f>'Data cleaning and validation(3)'!E812</f>
        <v>Jewelery</v>
      </c>
      <c r="F824" s="15">
        <f>'Data cleaning and validation(3)'!F812</f>
        <v>40459</v>
      </c>
      <c r="G824" s="8">
        <f>'Data cleaning and validation(3)'!G812</f>
        <v>11</v>
      </c>
      <c r="H824" s="19">
        <f>'Data cleaning and validation(3)'!H812</f>
        <v>41026</v>
      </c>
      <c r="I824" s="8" t="str">
        <f>'Data cleaning and validation(3)'!I812</f>
        <v>Professor</v>
      </c>
      <c r="J824" s="8" t="str">
        <f>'Data cleaning and validation(3)'!J812</f>
        <v>Northeast</v>
      </c>
      <c r="K824" s="8" t="str">
        <f>'Data cleaning and validation(3)'!K812</f>
        <v>USA</v>
      </c>
      <c r="L824" s="8" t="str">
        <f>'Data cleaning and validation(3)'!L812</f>
        <v>Fashion</v>
      </c>
      <c r="M824" s="8" t="str">
        <f>'Data cleaning and validation(3)'!M812</f>
        <v>Active</v>
      </c>
      <c r="N824" s="17">
        <f>'Data cleaning and validation(3)'!N812</f>
        <v>492312</v>
      </c>
      <c r="O824" s="18">
        <f>'Data cleaning and validation(3)'!O812</f>
        <v>4102.6000000000004</v>
      </c>
    </row>
    <row r="825" spans="1:15" x14ac:dyDescent="0.35">
      <c r="A825" s="8">
        <f>'Data cleaning and validation(3)'!A813</f>
        <v>812</v>
      </c>
      <c r="B825" s="8" t="str">
        <f>'Data cleaning and validation(3)'!B813</f>
        <v>Harvey</v>
      </c>
      <c r="C825" s="8" t="str">
        <f>'Data cleaning and validation(3)'!C813</f>
        <v>jharveymj@yandex.ru</v>
      </c>
      <c r="D825" s="8" t="str">
        <f>'Data cleaning and validation(3)'!D813</f>
        <v>M</v>
      </c>
      <c r="E825" s="8" t="str">
        <f>'Data cleaning and validation(3)'!E813</f>
        <v>Beauty</v>
      </c>
      <c r="F825" s="15">
        <f>'Data cleaning and validation(3)'!F813</f>
        <v>38985</v>
      </c>
      <c r="G825" s="8">
        <f>'Data cleaning and validation(3)'!G813</f>
        <v>15</v>
      </c>
      <c r="H825" s="19">
        <f>'Data cleaning and validation(3)'!H813</f>
        <v>131816</v>
      </c>
      <c r="I825" s="8" t="str">
        <f>'Data cleaning and validation(3)'!I813</f>
        <v>Sales Representative</v>
      </c>
      <c r="J825" s="8" t="str">
        <f>'Data cleaning and validation(3)'!J813</f>
        <v>Northeast</v>
      </c>
      <c r="K825" s="8" t="str">
        <f>'Data cleaning and validation(3)'!K813</f>
        <v>USA</v>
      </c>
      <c r="L825" s="8" t="str">
        <f>'Data cleaning and validation(3)'!L813</f>
        <v>Domestic</v>
      </c>
      <c r="M825" s="8" t="str">
        <f>'Data cleaning and validation(3)'!M813</f>
        <v>Active</v>
      </c>
      <c r="N825" s="17">
        <f>'Data cleaning and validation(3)'!N813</f>
        <v>1581792</v>
      </c>
      <c r="O825" s="18">
        <f>'Data cleaning and validation(3)'!O813</f>
        <v>13181.6</v>
      </c>
    </row>
    <row r="826" spans="1:15" x14ac:dyDescent="0.35">
      <c r="A826" s="8">
        <f>'Data cleaning and validation(3)'!A814</f>
        <v>813</v>
      </c>
      <c r="B826" s="8" t="str">
        <f>'Data cleaning and validation(3)'!B814</f>
        <v>Collins</v>
      </c>
      <c r="C826" s="8" t="str">
        <f>'Data cleaning and validation(3)'!C814</f>
        <v>dcollinsmk@salon.com</v>
      </c>
      <c r="D826" s="8" t="str">
        <f>'Data cleaning and validation(3)'!D814</f>
        <v>F</v>
      </c>
      <c r="E826" s="8" t="str">
        <f>'Data cleaning and validation(3)'!E814</f>
        <v>Grocery</v>
      </c>
      <c r="F826" s="15">
        <f>'Data cleaning and validation(3)'!F814</f>
        <v>46337</v>
      </c>
      <c r="G826" s="8">
        <f>'Data cleaning and validation(3)'!G814</f>
        <v>8</v>
      </c>
      <c r="H826" s="19">
        <f>'Data cleaning and validation(3)'!H814</f>
        <v>85647</v>
      </c>
      <c r="I826" s="8" t="str">
        <f>'Data cleaning and validation(3)'!I814</f>
        <v>Speech Pathologist</v>
      </c>
      <c r="J826" s="8" t="str">
        <f>'Data cleaning and validation(3)'!J814</f>
        <v>Quebec</v>
      </c>
      <c r="K826" s="8" t="str">
        <f>'Data cleaning and validation(3)'!K814</f>
        <v>Canada</v>
      </c>
      <c r="L826" s="8" t="str">
        <f>'Data cleaning and validation(3)'!L814</f>
        <v>Domestic</v>
      </c>
      <c r="M826" s="8" t="str">
        <f>'Data cleaning and validation(3)'!M814</f>
        <v>Active</v>
      </c>
      <c r="N826" s="17">
        <f>'Data cleaning and validation(3)'!N814</f>
        <v>1027764</v>
      </c>
      <c r="O826" s="18">
        <f>'Data cleaning and validation(3)'!O814</f>
        <v>8564.7000000000007</v>
      </c>
    </row>
    <row r="827" spans="1:15" x14ac:dyDescent="0.35">
      <c r="A827" s="8">
        <f>'Data cleaning and validation(3)'!A815</f>
        <v>814</v>
      </c>
      <c r="B827" s="8" t="str">
        <f>'Data cleaning and validation(3)'!B815</f>
        <v>Hayes</v>
      </c>
      <c r="C827" s="8" t="str">
        <f>'Data cleaning and validation(3)'!C815</f>
        <v>shayesml@usda.gov</v>
      </c>
      <c r="D827" s="8" t="str">
        <f>'Data cleaning and validation(3)'!D815</f>
        <v>M</v>
      </c>
      <c r="E827" s="8" t="str">
        <f>'Data cleaning and validation(3)'!E815</f>
        <v>Jewelery</v>
      </c>
      <c r="F827" s="15">
        <f>'Data cleaning and validation(3)'!F815</f>
        <v>36584</v>
      </c>
      <c r="G827" s="8">
        <f>'Data cleaning and validation(3)'!G815</f>
        <v>21</v>
      </c>
      <c r="H827" s="19">
        <f>'Data cleaning and validation(3)'!H815</f>
        <v>49457</v>
      </c>
      <c r="I827" s="8" t="str">
        <f>'Data cleaning and validation(3)'!I815</f>
        <v>Compensation Analyst</v>
      </c>
      <c r="J827" s="8" t="str">
        <f>'Data cleaning and validation(3)'!J815</f>
        <v>Southwest</v>
      </c>
      <c r="K827" s="8" t="str">
        <f>'Data cleaning and validation(3)'!K815</f>
        <v>USA</v>
      </c>
      <c r="L827" s="8" t="str">
        <f>'Data cleaning and validation(3)'!L815</f>
        <v>Fashion</v>
      </c>
      <c r="M827" s="8" t="str">
        <f>'Data cleaning and validation(3)'!M815</f>
        <v>Active</v>
      </c>
      <c r="N827" s="17">
        <f>'Data cleaning and validation(3)'!N815</f>
        <v>593484</v>
      </c>
      <c r="O827" s="18">
        <f>'Data cleaning and validation(3)'!O815</f>
        <v>4945.7000000000007</v>
      </c>
    </row>
    <row r="828" spans="1:15" x14ac:dyDescent="0.35">
      <c r="A828" s="8">
        <f>'Data cleaning and validation(3)'!A816</f>
        <v>815</v>
      </c>
      <c r="B828" s="8" t="str">
        <f>'Data cleaning and validation(3)'!B816</f>
        <v>Burton</v>
      </c>
      <c r="C828" s="8" t="str">
        <f>'Data cleaning and validation(3)'!C816</f>
        <v>rburtonmm@ow.ly</v>
      </c>
      <c r="D828" s="8" t="str">
        <f>'Data cleaning and validation(3)'!D816</f>
        <v>F</v>
      </c>
      <c r="E828" s="8" t="str">
        <f>'Data cleaning and validation(3)'!E816</f>
        <v>Garden</v>
      </c>
      <c r="F828" s="15">
        <f>'Data cleaning and validation(3)'!F816</f>
        <v>46661</v>
      </c>
      <c r="G828" s="8">
        <f>'Data cleaning and validation(3)'!G816</f>
        <v>7</v>
      </c>
      <c r="H828" s="19">
        <f>'Data cleaning and validation(3)'!H816</f>
        <v>80763</v>
      </c>
      <c r="I828" s="8" t="str">
        <f>'Data cleaning and validation(3)'!I816</f>
        <v>Community Outreach Specialist</v>
      </c>
      <c r="J828" s="8" t="str">
        <f>'Data cleaning and validation(3)'!J816</f>
        <v>Northwest</v>
      </c>
      <c r="K828" s="8" t="str">
        <f>'Data cleaning and validation(3)'!K816</f>
        <v>USA</v>
      </c>
      <c r="L828" s="8" t="str">
        <f>'Data cleaning and validation(3)'!L816</f>
        <v>Outdoors &amp; Garden</v>
      </c>
      <c r="M828" s="8" t="str">
        <f>'Data cleaning and validation(3)'!M816</f>
        <v>Active</v>
      </c>
      <c r="N828" s="17">
        <f>'Data cleaning and validation(3)'!N816</f>
        <v>969156</v>
      </c>
      <c r="O828" s="18">
        <f>'Data cleaning and validation(3)'!O816</f>
        <v>8076.3</v>
      </c>
    </row>
    <row r="829" spans="1:15" x14ac:dyDescent="0.35">
      <c r="A829" s="8">
        <f>'Data cleaning and validation(3)'!A817</f>
        <v>816</v>
      </c>
      <c r="B829" s="8" t="str">
        <f>'Data cleaning and validation(3)'!B817</f>
        <v>Jackson</v>
      </c>
      <c r="C829" s="8" t="str">
        <f>'Data cleaning and validation(3)'!C817</f>
        <v>pjacksonmn@dailymotion.com</v>
      </c>
      <c r="D829" s="8" t="str">
        <f>'Data cleaning and validation(3)'!D817</f>
        <v>F</v>
      </c>
      <c r="E829" s="8" t="str">
        <f>'Data cleaning and validation(3)'!E817</f>
        <v>Beauty</v>
      </c>
      <c r="F829" s="15">
        <f>'Data cleaning and validation(3)'!F817</f>
        <v>46385</v>
      </c>
      <c r="G829" s="8">
        <f>'Data cleaning and validation(3)'!G817</f>
        <v>8</v>
      </c>
      <c r="H829" s="19">
        <f>'Data cleaning and validation(3)'!H817</f>
        <v>107093</v>
      </c>
      <c r="I829" s="8" t="str">
        <f>'Data cleaning and validation(3)'!I817</f>
        <v>Electrical Engineer</v>
      </c>
      <c r="J829" s="8" t="str">
        <f>'Data cleaning and validation(3)'!J817</f>
        <v>Northwest</v>
      </c>
      <c r="K829" s="8" t="str">
        <f>'Data cleaning and validation(3)'!K817</f>
        <v>USA</v>
      </c>
      <c r="L829" s="8" t="str">
        <f>'Data cleaning and validation(3)'!L817</f>
        <v>Domestic</v>
      </c>
      <c r="M829" s="8" t="str">
        <f>'Data cleaning and validation(3)'!M817</f>
        <v>Active</v>
      </c>
      <c r="N829" s="17">
        <f>'Data cleaning and validation(3)'!N817</f>
        <v>1285116</v>
      </c>
      <c r="O829" s="18">
        <f>'Data cleaning and validation(3)'!O817</f>
        <v>10709.300000000001</v>
      </c>
    </row>
    <row r="830" spans="1:15" x14ac:dyDescent="0.35">
      <c r="A830" s="8">
        <f>'Data cleaning and validation(3)'!A818</f>
        <v>817</v>
      </c>
      <c r="B830" s="8" t="str">
        <f>'Data cleaning and validation(3)'!B818</f>
        <v>Dixon</v>
      </c>
      <c r="C830" s="8" t="str">
        <f>'Data cleaning and validation(3)'!C818</f>
        <v>sdixonmo@marriott.com</v>
      </c>
      <c r="D830" s="8" t="str">
        <f>'Data cleaning and validation(3)'!D818</f>
        <v>M</v>
      </c>
      <c r="E830" s="8" t="str">
        <f>'Data cleaning and validation(3)'!E818</f>
        <v>Baby</v>
      </c>
      <c r="F830" s="15">
        <f>'Data cleaning and validation(3)'!F818</f>
        <v>39462</v>
      </c>
      <c r="G830" s="8">
        <f>'Data cleaning and validation(3)'!G818</f>
        <v>13</v>
      </c>
      <c r="H830" s="19">
        <f>'Data cleaning and validation(3)'!H818</f>
        <v>138970</v>
      </c>
      <c r="I830" s="8" t="str">
        <f>'Data cleaning and validation(3)'!I818</f>
        <v>Structural Analysis Engineer</v>
      </c>
      <c r="J830" s="8" t="str">
        <f>'Data cleaning and validation(3)'!J818</f>
        <v>Nova Scotia</v>
      </c>
      <c r="K830" s="8" t="str">
        <f>'Data cleaning and validation(3)'!K818</f>
        <v>Canada</v>
      </c>
      <c r="L830" s="8" t="str">
        <f>'Data cleaning and validation(3)'!L818</f>
        <v>Domestic</v>
      </c>
      <c r="M830" s="8" t="str">
        <f>'Data cleaning and validation(3)'!M818</f>
        <v>Active</v>
      </c>
      <c r="N830" s="17">
        <f>'Data cleaning and validation(3)'!N818</f>
        <v>1667640</v>
      </c>
      <c r="O830" s="18">
        <f>'Data cleaning and validation(3)'!O818</f>
        <v>13897</v>
      </c>
    </row>
    <row r="831" spans="1:15" x14ac:dyDescent="0.35">
      <c r="A831" s="8">
        <f>'Data cleaning and validation(3)'!A819</f>
        <v>818</v>
      </c>
      <c r="B831" s="8" t="str">
        <f>'Data cleaning and validation(3)'!B819</f>
        <v>Rice</v>
      </c>
      <c r="C831" s="8" t="str">
        <f>'Data cleaning and validation(3)'!C819</f>
        <v>jricemp@columbia.edu</v>
      </c>
      <c r="D831" s="8" t="str">
        <f>'Data cleaning and validation(3)'!D819</f>
        <v>F</v>
      </c>
      <c r="E831" s="8" t="str">
        <f>'Data cleaning and validation(3)'!E819</f>
        <v>Movies</v>
      </c>
      <c r="F831" s="15">
        <f>'Data cleaning and validation(3)'!F819</f>
        <v>37351</v>
      </c>
      <c r="G831" s="8">
        <f>'Data cleaning and validation(3)'!G819</f>
        <v>19</v>
      </c>
      <c r="H831" s="19">
        <f>'Data cleaning and validation(3)'!H819</f>
        <v>82077</v>
      </c>
      <c r="I831" s="8" t="str">
        <f>'Data cleaning and validation(3)'!I819</f>
        <v>Data Coordiator</v>
      </c>
      <c r="J831" s="8" t="str">
        <f>'Data cleaning and validation(3)'!J819</f>
        <v>Southwest</v>
      </c>
      <c r="K831" s="8" t="str">
        <f>'Data cleaning and validation(3)'!K819</f>
        <v>USA</v>
      </c>
      <c r="L831" s="8" t="str">
        <f>'Data cleaning and validation(3)'!L819</f>
        <v>Entertainment</v>
      </c>
      <c r="M831" s="8" t="str">
        <f>'Data cleaning and validation(3)'!M819</f>
        <v>Active</v>
      </c>
      <c r="N831" s="17">
        <f>'Data cleaning and validation(3)'!N819</f>
        <v>984924</v>
      </c>
      <c r="O831" s="18">
        <f>'Data cleaning and validation(3)'!O819</f>
        <v>8207.7000000000007</v>
      </c>
    </row>
    <row r="832" spans="1:15" x14ac:dyDescent="0.35">
      <c r="A832" s="8">
        <f>'Data cleaning and validation(3)'!A820</f>
        <v>819</v>
      </c>
      <c r="B832" s="8" t="str">
        <f>'Data cleaning and validation(3)'!B820</f>
        <v>Murray</v>
      </c>
      <c r="C832" s="8" t="str">
        <f>'Data cleaning and validation(3)'!C820</f>
        <v>jmurraymq@spiegel.de</v>
      </c>
      <c r="D832" s="8" t="str">
        <f>'Data cleaning and validation(3)'!D820</f>
        <v>M</v>
      </c>
      <c r="E832" s="8" t="str">
        <f>'Data cleaning and validation(3)'!E820</f>
        <v>Industrial</v>
      </c>
      <c r="F832" s="15">
        <f>'Data cleaning and validation(3)'!F820</f>
        <v>41979</v>
      </c>
      <c r="G832" s="8">
        <f>'Data cleaning and validation(3)'!G820</f>
        <v>7</v>
      </c>
      <c r="H832" s="19">
        <f>'Data cleaning and validation(3)'!H820</f>
        <v>83237</v>
      </c>
      <c r="I832" s="8" t="str">
        <f>'Data cleaning and validation(3)'!I820</f>
        <v>Editor</v>
      </c>
      <c r="J832" s="8" t="str">
        <f>'Data cleaning and validation(3)'!J820</f>
        <v>Southwest</v>
      </c>
      <c r="K832" s="8" t="str">
        <f>'Data cleaning and validation(3)'!K820</f>
        <v>USA</v>
      </c>
      <c r="L832" s="8" t="str">
        <f>'Data cleaning and validation(3)'!L820</f>
        <v>Auto &amp; Hardware</v>
      </c>
      <c r="M832" s="8" t="str">
        <f>'Data cleaning and validation(3)'!M820</f>
        <v>Active</v>
      </c>
      <c r="N832" s="17">
        <f>'Data cleaning and validation(3)'!N820</f>
        <v>998844</v>
      </c>
      <c r="O832" s="18">
        <f>'Data cleaning and validation(3)'!O820</f>
        <v>8323.7000000000007</v>
      </c>
    </row>
    <row r="833" spans="1:15" x14ac:dyDescent="0.35">
      <c r="A833" s="8">
        <f>'Data cleaning and validation(3)'!A821</f>
        <v>820</v>
      </c>
      <c r="B833" s="8" t="str">
        <f>'Data cleaning and validation(3)'!B821</f>
        <v>Baker</v>
      </c>
      <c r="C833" s="8" t="str">
        <f>'Data cleaning and validation(3)'!C821</f>
        <v>jbakermr@cafepress.com</v>
      </c>
      <c r="D833" s="8" t="str">
        <f>'Data cleaning and validation(3)'!D821</f>
        <v>M</v>
      </c>
      <c r="E833" s="8" t="str">
        <f>'Data cleaning and validation(3)'!E821</f>
        <v>Toys</v>
      </c>
      <c r="F833" s="15">
        <f>'Data cleaning and validation(3)'!F821</f>
        <v>37276</v>
      </c>
      <c r="G833" s="8">
        <f>'Data cleaning and validation(3)'!G821</f>
        <v>19</v>
      </c>
      <c r="H833" s="19">
        <f>'Data cleaning and validation(3)'!H821</f>
        <v>107749</v>
      </c>
      <c r="I833" s="8" t="str">
        <f>'Data cleaning and validation(3)'!I821</f>
        <v>Graphic Designer</v>
      </c>
      <c r="J833" s="8" t="str">
        <f>'Data cleaning and validation(3)'!J821</f>
        <v>Southeast</v>
      </c>
      <c r="K833" s="8" t="str">
        <f>'Data cleaning and validation(3)'!K821</f>
        <v>USA</v>
      </c>
      <c r="L833" s="8" t="str">
        <f>'Data cleaning and validation(3)'!L821</f>
        <v>Games &amp; Sports</v>
      </c>
      <c r="M833" s="8" t="str">
        <f>'Data cleaning and validation(3)'!M821</f>
        <v>Active</v>
      </c>
      <c r="N833" s="17">
        <f>'Data cleaning and validation(3)'!N821</f>
        <v>1292988</v>
      </c>
      <c r="O833" s="18">
        <f>'Data cleaning and validation(3)'!O821</f>
        <v>10774.900000000001</v>
      </c>
    </row>
    <row r="834" spans="1:15" x14ac:dyDescent="0.35">
      <c r="A834" s="8">
        <f>'Data cleaning and validation(3)'!A822</f>
        <v>821</v>
      </c>
      <c r="B834" s="8" t="str">
        <f>'Data cleaning and validation(3)'!B822</f>
        <v>Riley</v>
      </c>
      <c r="C834" s="8" t="str">
        <f>'Data cleaning and validation(3)'!C822</f>
        <v>rrileyms@uiuc.edu</v>
      </c>
      <c r="D834" s="8" t="str">
        <f>'Data cleaning and validation(3)'!D822</f>
        <v>M</v>
      </c>
      <c r="E834" s="8" t="str">
        <f>'Data cleaning and validation(3)'!E822</f>
        <v>Jewelery</v>
      </c>
      <c r="F834" s="15">
        <f>'Data cleaning and validation(3)'!F822</f>
        <v>41079</v>
      </c>
      <c r="G834" s="8">
        <f>'Data cleaning and validation(3)'!G822</f>
        <v>9</v>
      </c>
      <c r="H834" s="19">
        <f>'Data cleaning and validation(3)'!H822</f>
        <v>149114</v>
      </c>
      <c r="I834" s="8" t="str">
        <f>'Data cleaning and validation(3)'!I822</f>
        <v>Business Systems Development Analyst</v>
      </c>
      <c r="J834" s="8" t="str">
        <f>'Data cleaning and validation(3)'!J822</f>
        <v>Nova Scotia</v>
      </c>
      <c r="K834" s="8" t="str">
        <f>'Data cleaning and validation(3)'!K822</f>
        <v>Canada</v>
      </c>
      <c r="L834" s="8" t="str">
        <f>'Data cleaning and validation(3)'!L822</f>
        <v>Fashion</v>
      </c>
      <c r="M834" s="8" t="str">
        <f>'Data cleaning and validation(3)'!M822</f>
        <v>Active</v>
      </c>
      <c r="N834" s="17">
        <f>'Data cleaning and validation(3)'!N822</f>
        <v>1789368</v>
      </c>
      <c r="O834" s="18">
        <f>'Data cleaning and validation(3)'!O822</f>
        <v>14911.400000000001</v>
      </c>
    </row>
    <row r="835" spans="1:15" x14ac:dyDescent="0.35">
      <c r="A835" s="8">
        <f>'Data cleaning and validation(3)'!A823</f>
        <v>822</v>
      </c>
      <c r="B835" s="8" t="str">
        <f>'Data cleaning and validation(3)'!B823</f>
        <v>Gonzalez</v>
      </c>
      <c r="C835" s="8" t="str">
        <f>'Data cleaning and validation(3)'!C823</f>
        <v>jgonzalezmt@nsw.gov.au</v>
      </c>
      <c r="D835" s="8" t="str">
        <f>'Data cleaning and validation(3)'!D823</f>
        <v>M</v>
      </c>
      <c r="E835" s="8" t="str">
        <f>'Data cleaning and validation(3)'!E823</f>
        <v>Health</v>
      </c>
      <c r="F835" s="15">
        <f>'Data cleaning and validation(3)'!F823</f>
        <v>39303</v>
      </c>
      <c r="G835" s="8">
        <f>'Data cleaning and validation(3)'!G823</f>
        <v>14</v>
      </c>
      <c r="H835" s="19">
        <f>'Data cleaning and validation(3)'!H823</f>
        <v>107240</v>
      </c>
      <c r="I835" s="8" t="str">
        <f>'Data cleaning and validation(3)'!I823</f>
        <v>Financial Analyst</v>
      </c>
      <c r="J835" s="8" t="str">
        <f>'Data cleaning and validation(3)'!J823</f>
        <v>Southwest</v>
      </c>
      <c r="K835" s="8" t="str">
        <f>'Data cleaning and validation(3)'!K823</f>
        <v>USA</v>
      </c>
      <c r="L835" s="8" t="str">
        <f>'Data cleaning and validation(3)'!L823</f>
        <v>Domestic</v>
      </c>
      <c r="M835" s="8" t="str">
        <f>'Data cleaning and validation(3)'!M823</f>
        <v>Active</v>
      </c>
      <c r="N835" s="17">
        <f>'Data cleaning and validation(3)'!N823</f>
        <v>1286880</v>
      </c>
      <c r="O835" s="18">
        <f>'Data cleaning and validation(3)'!O823</f>
        <v>10724</v>
      </c>
    </row>
    <row r="836" spans="1:15" x14ac:dyDescent="0.35">
      <c r="A836" s="8">
        <f>'Data cleaning and validation(3)'!A824</f>
        <v>823</v>
      </c>
      <c r="B836" s="8" t="str">
        <f>'Data cleaning and validation(3)'!B824</f>
        <v>Harrison</v>
      </c>
      <c r="C836" s="8" t="str">
        <f>'Data cleaning and validation(3)'!C824</f>
        <v>mharrisonmu@guardian.co.uk</v>
      </c>
      <c r="D836" s="8" t="str">
        <f>'Data cleaning and validation(3)'!D824</f>
        <v>F</v>
      </c>
      <c r="E836" s="8" t="str">
        <f>'Data cleaning and validation(3)'!E824</f>
        <v>Baby</v>
      </c>
      <c r="F836" s="15">
        <f>'Data cleaning and validation(3)'!F824</f>
        <v>44346</v>
      </c>
      <c r="G836" s="8">
        <f>'Data cleaning and validation(3)'!G824</f>
        <v>13</v>
      </c>
      <c r="H836" s="19">
        <f>'Data cleaning and validation(3)'!H824</f>
        <v>134334</v>
      </c>
      <c r="I836" s="8" t="str">
        <f>'Data cleaning and validation(3)'!I824</f>
        <v>Accountant II</v>
      </c>
      <c r="J836" s="8" t="str">
        <f>'Data cleaning and validation(3)'!J824</f>
        <v>Nova Scotia</v>
      </c>
      <c r="K836" s="8" t="str">
        <f>'Data cleaning and validation(3)'!K824</f>
        <v>Canada</v>
      </c>
      <c r="L836" s="8" t="str">
        <f>'Data cleaning and validation(3)'!L824</f>
        <v>Domestic</v>
      </c>
      <c r="M836" s="8" t="str">
        <f>'Data cleaning and validation(3)'!M824</f>
        <v>Active</v>
      </c>
      <c r="N836" s="17">
        <f>'Data cleaning and validation(3)'!N824</f>
        <v>1612008</v>
      </c>
      <c r="O836" s="18">
        <f>'Data cleaning and validation(3)'!O824</f>
        <v>13433.400000000001</v>
      </c>
    </row>
    <row r="837" spans="1:15" x14ac:dyDescent="0.35">
      <c r="A837" s="8">
        <f>'Data cleaning and validation(3)'!A825</f>
        <v>824</v>
      </c>
      <c r="B837" s="8" t="str">
        <f>'Data cleaning and validation(3)'!B825</f>
        <v>Morris</v>
      </c>
      <c r="C837" s="8" t="str">
        <f>'Data cleaning and validation(3)'!C825</f>
        <v>mmorrismv@tumblr.com</v>
      </c>
      <c r="D837" s="8" t="str">
        <f>'Data cleaning and validation(3)'!D825</f>
        <v>M</v>
      </c>
      <c r="E837" s="8" t="str">
        <f>'Data cleaning and validation(3)'!E825</f>
        <v>Grocery</v>
      </c>
      <c r="F837" s="15">
        <f>'Data cleaning and validation(3)'!F825</f>
        <v>37525</v>
      </c>
      <c r="G837" s="8">
        <f>'Data cleaning and validation(3)'!G825</f>
        <v>19</v>
      </c>
      <c r="H837" s="19">
        <f>'Data cleaning and validation(3)'!H825</f>
        <v>72008</v>
      </c>
      <c r="I837" s="8" t="str">
        <f>'Data cleaning and validation(3)'!I825</f>
        <v>GIS Technical Architect</v>
      </c>
      <c r="J837" s="8" t="str">
        <f>'Data cleaning and validation(3)'!J825</f>
        <v>Southeast</v>
      </c>
      <c r="K837" s="8" t="str">
        <f>'Data cleaning and validation(3)'!K825</f>
        <v>USA</v>
      </c>
      <c r="L837" s="8" t="str">
        <f>'Data cleaning and validation(3)'!L825</f>
        <v>Domestic</v>
      </c>
      <c r="M837" s="8" t="str">
        <f>'Data cleaning and validation(3)'!M825</f>
        <v>Active</v>
      </c>
      <c r="N837" s="17">
        <f>'Data cleaning and validation(3)'!N825</f>
        <v>864096</v>
      </c>
      <c r="O837" s="18">
        <f>'Data cleaning and validation(3)'!O825</f>
        <v>7200.8</v>
      </c>
    </row>
    <row r="838" spans="1:15" x14ac:dyDescent="0.35">
      <c r="A838" s="8">
        <f>'Data cleaning and validation(3)'!A826</f>
        <v>825</v>
      </c>
      <c r="B838" s="8" t="str">
        <f>'Data cleaning and validation(3)'!B826</f>
        <v>Turner</v>
      </c>
      <c r="C838" s="8" t="str">
        <f>'Data cleaning and validation(3)'!C826</f>
        <v>jturnermw@mapy.cz</v>
      </c>
      <c r="D838" s="8" t="str">
        <f>'Data cleaning and validation(3)'!D826</f>
        <v>M</v>
      </c>
      <c r="E838" s="8" t="str">
        <f>'Data cleaning and validation(3)'!E826</f>
        <v>Books</v>
      </c>
      <c r="F838" s="15">
        <f>'Data cleaning and validation(3)'!F826</f>
        <v>36619</v>
      </c>
      <c r="G838" s="8">
        <f>'Data cleaning and validation(3)'!G826</f>
        <v>21</v>
      </c>
      <c r="H838" s="19">
        <f>'Data cleaning and validation(3)'!H826</f>
        <v>89285</v>
      </c>
      <c r="I838" s="8" t="str">
        <f>'Data cleaning and validation(3)'!I826</f>
        <v>Community Outreach Specialist</v>
      </c>
      <c r="J838" s="8" t="str">
        <f>'Data cleaning and validation(3)'!J826</f>
        <v>British Columbia</v>
      </c>
      <c r="K838" s="8" t="str">
        <f>'Data cleaning and validation(3)'!K826</f>
        <v>Canada</v>
      </c>
      <c r="L838" s="8" t="str">
        <f>'Data cleaning and validation(3)'!L826</f>
        <v>Library</v>
      </c>
      <c r="M838" s="8" t="str">
        <f>'Data cleaning and validation(3)'!M826</f>
        <v>Active</v>
      </c>
      <c r="N838" s="17">
        <f>'Data cleaning and validation(3)'!N826</f>
        <v>1071420</v>
      </c>
      <c r="O838" s="18">
        <f>'Data cleaning and validation(3)'!O826</f>
        <v>8928.5</v>
      </c>
    </row>
    <row r="839" spans="1:15" x14ac:dyDescent="0.35">
      <c r="A839" s="8">
        <f>'Data cleaning and validation(3)'!A827</f>
        <v>826</v>
      </c>
      <c r="B839" s="8" t="str">
        <f>'Data cleaning and validation(3)'!B827</f>
        <v>Garcia</v>
      </c>
      <c r="C839" s="8" t="str">
        <f>'Data cleaning and validation(3)'!C827</f>
        <v>cgarciamx@vistaprint.com</v>
      </c>
      <c r="D839" s="8" t="str">
        <f>'Data cleaning and validation(3)'!D827</f>
        <v>F</v>
      </c>
      <c r="E839" s="8" t="str">
        <f>'Data cleaning and validation(3)'!E827</f>
        <v>Grocery</v>
      </c>
      <c r="F839" s="15">
        <f>'Data cleaning and validation(3)'!F827</f>
        <v>37843</v>
      </c>
      <c r="G839" s="8">
        <f>'Data cleaning and validation(3)'!G827</f>
        <v>18</v>
      </c>
      <c r="H839" s="19">
        <f>'Data cleaning and validation(3)'!H827</f>
        <v>131075</v>
      </c>
      <c r="I839" s="8" t="str">
        <f>'Data cleaning and validation(3)'!I827</f>
        <v>Help Desk Operator</v>
      </c>
      <c r="J839" s="8" t="str">
        <f>'Data cleaning and validation(3)'!J827</f>
        <v>Southeast</v>
      </c>
      <c r="K839" s="8" t="str">
        <f>'Data cleaning and validation(3)'!K827</f>
        <v>USA</v>
      </c>
      <c r="L839" s="8" t="str">
        <f>'Data cleaning and validation(3)'!L827</f>
        <v>Domestic</v>
      </c>
      <c r="M839" s="8" t="str">
        <f>'Data cleaning and validation(3)'!M827</f>
        <v>Active</v>
      </c>
      <c r="N839" s="17">
        <f>'Data cleaning and validation(3)'!N827</f>
        <v>1572900</v>
      </c>
      <c r="O839" s="18">
        <f>'Data cleaning and validation(3)'!O827</f>
        <v>13107.5</v>
      </c>
    </row>
    <row r="840" spans="1:15" x14ac:dyDescent="0.35">
      <c r="A840" s="8">
        <f>'Data cleaning and validation(3)'!A828</f>
        <v>827</v>
      </c>
      <c r="B840" s="8" t="str">
        <f>'Data cleaning and validation(3)'!B828</f>
        <v>Fowler</v>
      </c>
      <c r="C840" s="8" t="str">
        <f>'Data cleaning and validation(3)'!C828</f>
        <v>hfowlermy@nps.gov</v>
      </c>
      <c r="D840" s="8" t="str">
        <f>'Data cleaning and validation(3)'!D828</f>
        <v>M</v>
      </c>
      <c r="E840" s="8" t="str">
        <f>'Data cleaning and validation(3)'!E828</f>
        <v>Baby</v>
      </c>
      <c r="F840" s="15">
        <f>'Data cleaning and validation(3)'!F828</f>
        <v>39940</v>
      </c>
      <c r="G840" s="8">
        <f>'Data cleaning and validation(3)'!G828</f>
        <v>12</v>
      </c>
      <c r="H840" s="19">
        <f>'Data cleaning and validation(3)'!H828</f>
        <v>110383</v>
      </c>
      <c r="I840" s="8" t="str">
        <f>'Data cleaning and validation(3)'!I828</f>
        <v>Chief Design Engineer</v>
      </c>
      <c r="J840" s="8" t="str">
        <f>'Data cleaning and validation(3)'!J828</f>
        <v>Southwest</v>
      </c>
      <c r="K840" s="8" t="str">
        <f>'Data cleaning and validation(3)'!K828</f>
        <v>USA</v>
      </c>
      <c r="L840" s="8" t="str">
        <f>'Data cleaning and validation(3)'!L828</f>
        <v>Domestic</v>
      </c>
      <c r="M840" s="8" t="str">
        <f>'Data cleaning and validation(3)'!M828</f>
        <v>Active</v>
      </c>
      <c r="N840" s="17">
        <f>'Data cleaning and validation(3)'!N828</f>
        <v>1324596</v>
      </c>
      <c r="O840" s="18">
        <f>'Data cleaning and validation(3)'!O828</f>
        <v>11038.300000000001</v>
      </c>
    </row>
    <row r="841" spans="1:15" x14ac:dyDescent="0.35">
      <c r="A841" s="8">
        <f>'Data cleaning and validation(3)'!A829</f>
        <v>828</v>
      </c>
      <c r="B841" s="8" t="str">
        <f>'Data cleaning and validation(3)'!B829</f>
        <v>Allen</v>
      </c>
      <c r="C841" s="8" t="str">
        <f>'Data cleaning and validation(3)'!C829</f>
        <v>wallenmz@gnu.org</v>
      </c>
      <c r="D841" s="8" t="str">
        <f>'Data cleaning and validation(3)'!D829</f>
        <v>F</v>
      </c>
      <c r="E841" s="8" t="str">
        <f>'Data cleaning and validation(3)'!E829</f>
        <v>Tools</v>
      </c>
      <c r="F841" s="15">
        <f>'Data cleaning and validation(3)'!F829</f>
        <v>38551</v>
      </c>
      <c r="G841" s="8">
        <f>'Data cleaning and validation(3)'!G829</f>
        <v>16</v>
      </c>
      <c r="H841" s="19">
        <f>'Data cleaning and validation(3)'!H829</f>
        <v>149586</v>
      </c>
      <c r="I841" s="8" t="str">
        <f>'Data cleaning and validation(3)'!I829</f>
        <v>Account Coordinator</v>
      </c>
      <c r="J841" s="8" t="str">
        <f>'Data cleaning and validation(3)'!J829</f>
        <v>Northeast</v>
      </c>
      <c r="K841" s="8" t="str">
        <f>'Data cleaning and validation(3)'!K829</f>
        <v>USA</v>
      </c>
      <c r="L841" s="8" t="str">
        <f>'Data cleaning and validation(3)'!L829</f>
        <v>Auto &amp; Hardware</v>
      </c>
      <c r="M841" s="8" t="str">
        <f>'Data cleaning and validation(3)'!M829</f>
        <v>Active</v>
      </c>
      <c r="N841" s="17">
        <f>'Data cleaning and validation(3)'!N829</f>
        <v>1795032</v>
      </c>
      <c r="O841" s="18">
        <f>'Data cleaning and validation(3)'!O829</f>
        <v>14958.6</v>
      </c>
    </row>
    <row r="842" spans="1:15" x14ac:dyDescent="0.35">
      <c r="A842" s="8">
        <f>'Data cleaning and validation(3)'!A830</f>
        <v>829</v>
      </c>
      <c r="B842" s="8" t="str">
        <f>'Data cleaning and validation(3)'!B830</f>
        <v>Parker</v>
      </c>
      <c r="C842" s="8" t="str">
        <f>'Data cleaning and validation(3)'!C830</f>
        <v>bparkern0@weibo.com</v>
      </c>
      <c r="D842" s="8" t="str">
        <f>'Data cleaning and validation(3)'!D830</f>
        <v>M</v>
      </c>
      <c r="E842" s="8" t="str">
        <f>'Data cleaning and validation(3)'!E830</f>
        <v>Health</v>
      </c>
      <c r="F842" s="15">
        <f>'Data cleaning and validation(3)'!F830</f>
        <v>37587</v>
      </c>
      <c r="G842" s="8">
        <f>'Data cleaning and validation(3)'!G830</f>
        <v>19</v>
      </c>
      <c r="H842" s="19">
        <f>'Data cleaning and validation(3)'!H830</f>
        <v>89503</v>
      </c>
      <c r="I842" s="8" t="str">
        <f>'Data cleaning and validation(3)'!I830</f>
        <v>Research Associate</v>
      </c>
      <c r="J842" s="8" t="str">
        <f>'Data cleaning and validation(3)'!J830</f>
        <v>Southeast</v>
      </c>
      <c r="K842" s="8" t="str">
        <f>'Data cleaning and validation(3)'!K830</f>
        <v>USA</v>
      </c>
      <c r="L842" s="8" t="str">
        <f>'Data cleaning and validation(3)'!L830</f>
        <v>Domestic</v>
      </c>
      <c r="M842" s="8" t="str">
        <f>'Data cleaning and validation(3)'!M830</f>
        <v>Active</v>
      </c>
      <c r="N842" s="17">
        <f>'Data cleaning and validation(3)'!N830</f>
        <v>1074036</v>
      </c>
      <c r="O842" s="18">
        <f>'Data cleaning and validation(3)'!O830</f>
        <v>8950.3000000000011</v>
      </c>
    </row>
    <row r="843" spans="1:15" x14ac:dyDescent="0.35">
      <c r="A843" s="8">
        <f>'Data cleaning and validation(3)'!A831</f>
        <v>830</v>
      </c>
      <c r="B843" s="8" t="str">
        <f>'Data cleaning and validation(3)'!B831</f>
        <v>Stewart</v>
      </c>
      <c r="C843" s="8" t="str">
        <f>'Data cleaning and validation(3)'!C831</f>
        <v>cstewartn1@hugedomains.com</v>
      </c>
      <c r="D843" s="8" t="str">
        <f>'Data cleaning and validation(3)'!D831</f>
        <v>F</v>
      </c>
      <c r="E843" s="8" t="str">
        <f>'Data cleaning and validation(3)'!E831</f>
        <v>Computers</v>
      </c>
      <c r="F843" s="15">
        <f>'Data cleaning and validation(3)'!F831</f>
        <v>44999</v>
      </c>
      <c r="G843" s="8">
        <f>'Data cleaning and validation(3)'!G831</f>
        <v>11</v>
      </c>
      <c r="H843" s="19">
        <f>'Data cleaning and validation(3)'!H831</f>
        <v>149336</v>
      </c>
      <c r="I843" s="8" t="str">
        <f>'Data cleaning and validation(3)'!I831</f>
        <v>Senior Sales Associate</v>
      </c>
      <c r="J843" s="8" t="str">
        <f>'Data cleaning and validation(3)'!J831</f>
        <v>Northeast</v>
      </c>
      <c r="K843" s="8" t="str">
        <f>'Data cleaning and validation(3)'!K831</f>
        <v>USA</v>
      </c>
      <c r="L843" s="8" t="str">
        <f>'Data cleaning and validation(3)'!L831</f>
        <v>Electronic Equipment</v>
      </c>
      <c r="M843" s="8" t="str">
        <f>'Data cleaning and validation(3)'!M831</f>
        <v>Active</v>
      </c>
      <c r="N843" s="17">
        <f>'Data cleaning and validation(3)'!N831</f>
        <v>1792032</v>
      </c>
      <c r="O843" s="18">
        <f>'Data cleaning and validation(3)'!O831</f>
        <v>14933.6</v>
      </c>
    </row>
    <row r="844" spans="1:15" x14ac:dyDescent="0.35">
      <c r="A844" s="8">
        <f>'Data cleaning and validation(3)'!A832</f>
        <v>831</v>
      </c>
      <c r="B844" s="8" t="str">
        <f>'Data cleaning and validation(3)'!B832</f>
        <v>Rodriguez</v>
      </c>
      <c r="C844" s="8" t="str">
        <f>'Data cleaning and validation(3)'!C832</f>
        <v>drodriguezn2@guardian.co.uk</v>
      </c>
      <c r="D844" s="8" t="str">
        <f>'Data cleaning and validation(3)'!D832</f>
        <v>F</v>
      </c>
      <c r="E844" s="8" t="str">
        <f>'Data cleaning and validation(3)'!E832</f>
        <v>Outdoors</v>
      </c>
      <c r="F844" s="15">
        <f>'Data cleaning and validation(3)'!F832</f>
        <v>38959</v>
      </c>
      <c r="G844" s="8">
        <f>'Data cleaning and validation(3)'!G832</f>
        <v>15</v>
      </c>
      <c r="H844" s="19">
        <f>'Data cleaning and validation(3)'!H832</f>
        <v>140276</v>
      </c>
      <c r="I844" s="8" t="str">
        <f>'Data cleaning and validation(3)'!I832</f>
        <v>Electrical Engineer</v>
      </c>
      <c r="J844" s="8" t="str">
        <f>'Data cleaning and validation(3)'!J832</f>
        <v>British Columbia</v>
      </c>
      <c r="K844" s="8" t="str">
        <f>'Data cleaning and validation(3)'!K832</f>
        <v>Canada</v>
      </c>
      <c r="L844" s="8" t="str">
        <f>'Data cleaning and validation(3)'!L832</f>
        <v>Outdoors &amp; Garden</v>
      </c>
      <c r="M844" s="8" t="str">
        <f>'Data cleaning and validation(3)'!M832</f>
        <v>Active</v>
      </c>
      <c r="N844" s="17">
        <f>'Data cleaning and validation(3)'!N832</f>
        <v>1683312</v>
      </c>
      <c r="O844" s="18">
        <f>'Data cleaning and validation(3)'!O832</f>
        <v>14027.6</v>
      </c>
    </row>
    <row r="845" spans="1:15" x14ac:dyDescent="0.35">
      <c r="A845" s="8">
        <f>'Data cleaning and validation(3)'!A833</f>
        <v>832</v>
      </c>
      <c r="B845" s="8" t="str">
        <f>'Data cleaning and validation(3)'!B833</f>
        <v>Turner</v>
      </c>
      <c r="C845" s="8" t="str">
        <f>'Data cleaning and validation(3)'!C833</f>
        <v>hturnern3@tumblr.com</v>
      </c>
      <c r="D845" s="8" t="str">
        <f>'Data cleaning and validation(3)'!D833</f>
        <v>F</v>
      </c>
      <c r="E845" s="8" t="str">
        <f>'Data cleaning and validation(3)'!E833</f>
        <v>Games</v>
      </c>
      <c r="F845" s="15">
        <f>'Data cleaning and validation(3)'!F833</f>
        <v>36989</v>
      </c>
      <c r="G845" s="8">
        <f>'Data cleaning and validation(3)'!G833</f>
        <v>20</v>
      </c>
      <c r="H845" s="19">
        <f>'Data cleaning and validation(3)'!H833</f>
        <v>127875</v>
      </c>
      <c r="I845" s="8" t="str">
        <f>'Data cleaning and validation(3)'!I833</f>
        <v>Accountant III</v>
      </c>
      <c r="J845" s="8" t="str">
        <f>'Data cleaning and validation(3)'!J833</f>
        <v>Nova Scotia</v>
      </c>
      <c r="K845" s="8" t="str">
        <f>'Data cleaning and validation(3)'!K833</f>
        <v>Canada</v>
      </c>
      <c r="L845" s="8" t="str">
        <f>'Data cleaning and validation(3)'!L833</f>
        <v>Domestic</v>
      </c>
      <c r="M845" s="8" t="str">
        <f>'Data cleaning and validation(3)'!M833</f>
        <v>Active</v>
      </c>
      <c r="N845" s="17">
        <f>'Data cleaning and validation(3)'!N833</f>
        <v>1534500</v>
      </c>
      <c r="O845" s="18">
        <f>'Data cleaning and validation(3)'!O833</f>
        <v>12787.5</v>
      </c>
    </row>
    <row r="846" spans="1:15" x14ac:dyDescent="0.35">
      <c r="A846" s="8">
        <f>'Data cleaning and validation(3)'!A834</f>
        <v>833</v>
      </c>
      <c r="B846" s="8" t="str">
        <f>'Data cleaning and validation(3)'!B834</f>
        <v>Chavez</v>
      </c>
      <c r="C846" s="8" t="str">
        <f>'Data cleaning and validation(3)'!C834</f>
        <v>rchavezn4@tamu.edu</v>
      </c>
      <c r="D846" s="8" t="str">
        <f>'Data cleaning and validation(3)'!D834</f>
        <v>F</v>
      </c>
      <c r="E846" s="8" t="str">
        <f>'Data cleaning and validation(3)'!E834</f>
        <v>Music</v>
      </c>
      <c r="F846" s="15">
        <f>'Data cleaning and validation(3)'!F834</f>
        <v>44710</v>
      </c>
      <c r="G846" s="8">
        <f>'Data cleaning and validation(3)'!G834</f>
        <v>12</v>
      </c>
      <c r="H846" s="19">
        <f>'Data cleaning and validation(3)'!H834</f>
        <v>137704</v>
      </c>
      <c r="I846" s="8" t="str">
        <f>'Data cleaning and validation(3)'!I834</f>
        <v>Help Desk Technician</v>
      </c>
      <c r="J846" s="8" t="str">
        <f>'Data cleaning and validation(3)'!J834</f>
        <v>Southwest</v>
      </c>
      <c r="K846" s="8" t="str">
        <f>'Data cleaning and validation(3)'!K834</f>
        <v>USA</v>
      </c>
      <c r="L846" s="8" t="str">
        <f>'Data cleaning and validation(3)'!L834</f>
        <v>Entertainment</v>
      </c>
      <c r="M846" s="8" t="str">
        <f>'Data cleaning and validation(3)'!M834</f>
        <v>Active</v>
      </c>
      <c r="N846" s="17">
        <f>'Data cleaning and validation(3)'!N834</f>
        <v>1652448</v>
      </c>
      <c r="O846" s="18">
        <f>'Data cleaning and validation(3)'!O834</f>
        <v>13770.400000000001</v>
      </c>
    </row>
    <row r="847" spans="1:15" x14ac:dyDescent="0.35">
      <c r="A847" s="8">
        <f>'Data cleaning and validation(3)'!A835</f>
        <v>834</v>
      </c>
      <c r="B847" s="8" t="str">
        <f>'Data cleaning and validation(3)'!B835</f>
        <v>Cox</v>
      </c>
      <c r="C847" s="8" t="str">
        <f>'Data cleaning and validation(3)'!C835</f>
        <v>kcoxn5@dyndns.org</v>
      </c>
      <c r="D847" s="8" t="str">
        <f>'Data cleaning and validation(3)'!D835</f>
        <v>F</v>
      </c>
      <c r="E847" s="8" t="str">
        <f>'Data cleaning and validation(3)'!E835</f>
        <v>Games</v>
      </c>
      <c r="F847" s="15">
        <f>'Data cleaning and validation(3)'!F835</f>
        <v>46039</v>
      </c>
      <c r="G847" s="8">
        <f>'Data cleaning and validation(3)'!G835</f>
        <v>8</v>
      </c>
      <c r="H847" s="19">
        <f>'Data cleaning and validation(3)'!H835</f>
        <v>149221</v>
      </c>
      <c r="I847" s="8" t="str">
        <f>'Data cleaning and validation(3)'!I835</f>
        <v>Senior Financial Analyst</v>
      </c>
      <c r="J847" s="8" t="str">
        <f>'Data cleaning and validation(3)'!J835</f>
        <v>Southeast</v>
      </c>
      <c r="K847" s="8" t="str">
        <f>'Data cleaning and validation(3)'!K835</f>
        <v>USA</v>
      </c>
      <c r="L847" s="8" t="str">
        <f>'Data cleaning and validation(3)'!L835</f>
        <v>Domestic</v>
      </c>
      <c r="M847" s="8" t="str">
        <f>'Data cleaning and validation(3)'!M835</f>
        <v>Active</v>
      </c>
      <c r="N847" s="17">
        <f>'Data cleaning and validation(3)'!N835</f>
        <v>1790652</v>
      </c>
      <c r="O847" s="18">
        <f>'Data cleaning and validation(3)'!O835</f>
        <v>14922.1</v>
      </c>
    </row>
    <row r="848" spans="1:15" x14ac:dyDescent="0.35">
      <c r="A848" s="8">
        <f>'Data cleaning and validation(3)'!A836</f>
        <v>835</v>
      </c>
      <c r="B848" s="8" t="str">
        <f>'Data cleaning and validation(3)'!B836</f>
        <v>Tucker</v>
      </c>
      <c r="C848" s="8" t="str">
        <f>'Data cleaning and validation(3)'!C836</f>
        <v>btuckern6@ovh.net</v>
      </c>
      <c r="D848" s="8" t="str">
        <f>'Data cleaning and validation(3)'!D836</f>
        <v>M</v>
      </c>
      <c r="E848" s="8" t="str">
        <f>'Data cleaning and validation(3)'!E836</f>
        <v>Baby</v>
      </c>
      <c r="F848" s="15">
        <f>'Data cleaning and validation(3)'!F836</f>
        <v>41794</v>
      </c>
      <c r="G848" s="8">
        <f>'Data cleaning and validation(3)'!G836</f>
        <v>7</v>
      </c>
      <c r="H848" s="19">
        <f>'Data cleaning and validation(3)'!H836</f>
        <v>148573</v>
      </c>
      <c r="I848" s="8" t="str">
        <f>'Data cleaning and validation(3)'!I836</f>
        <v>Nurse Practicioner</v>
      </c>
      <c r="J848" s="8" t="str">
        <f>'Data cleaning and validation(3)'!J836</f>
        <v>Southwest</v>
      </c>
      <c r="K848" s="8" t="str">
        <f>'Data cleaning and validation(3)'!K836</f>
        <v>USA</v>
      </c>
      <c r="L848" s="8" t="str">
        <f>'Data cleaning and validation(3)'!L836</f>
        <v>Domestic</v>
      </c>
      <c r="M848" s="8" t="str">
        <f>'Data cleaning and validation(3)'!M836</f>
        <v>Active</v>
      </c>
      <c r="N848" s="17">
        <f>'Data cleaning and validation(3)'!N836</f>
        <v>1782876</v>
      </c>
      <c r="O848" s="18">
        <f>'Data cleaning and validation(3)'!O836</f>
        <v>14857.300000000001</v>
      </c>
    </row>
    <row r="849" spans="1:15" x14ac:dyDescent="0.35">
      <c r="A849" s="8">
        <f>'Data cleaning and validation(3)'!A837</f>
        <v>836</v>
      </c>
      <c r="B849" s="8" t="str">
        <f>'Data cleaning and validation(3)'!B837</f>
        <v>Vasquez</v>
      </c>
      <c r="C849" s="8" t="str">
        <f>'Data cleaning and validation(3)'!C837</f>
        <v>svasquezn7@1und1.de</v>
      </c>
      <c r="D849" s="8" t="str">
        <f>'Data cleaning and validation(3)'!D837</f>
        <v>F</v>
      </c>
      <c r="E849" s="8" t="str">
        <f>'Data cleaning and validation(3)'!E837</f>
        <v>Games</v>
      </c>
      <c r="F849" s="15">
        <f>'Data cleaning and validation(3)'!F837</f>
        <v>37519</v>
      </c>
      <c r="G849" s="8">
        <f>'Data cleaning and validation(3)'!G837</f>
        <v>19</v>
      </c>
      <c r="H849" s="19">
        <f>'Data cleaning and validation(3)'!H837</f>
        <v>125378</v>
      </c>
      <c r="I849" s="8" t="str">
        <f>'Data cleaning and validation(3)'!I837</f>
        <v>Senior Developer</v>
      </c>
      <c r="J849" s="8" t="str">
        <f>'Data cleaning and validation(3)'!J837</f>
        <v>Southwest</v>
      </c>
      <c r="K849" s="8" t="str">
        <f>'Data cleaning and validation(3)'!K837</f>
        <v>USA</v>
      </c>
      <c r="L849" s="8" t="str">
        <f>'Data cleaning and validation(3)'!L837</f>
        <v>Domestic</v>
      </c>
      <c r="M849" s="8" t="str">
        <f>'Data cleaning and validation(3)'!M837</f>
        <v>Active</v>
      </c>
      <c r="N849" s="17">
        <f>'Data cleaning and validation(3)'!N837</f>
        <v>1504536</v>
      </c>
      <c r="O849" s="18">
        <f>'Data cleaning and validation(3)'!O837</f>
        <v>12537.800000000001</v>
      </c>
    </row>
    <row r="850" spans="1:15" x14ac:dyDescent="0.35">
      <c r="A850" s="8">
        <f>'Data cleaning and validation(3)'!A838</f>
        <v>837</v>
      </c>
      <c r="B850" s="8" t="str">
        <f>'Data cleaning and validation(3)'!B838</f>
        <v>Cole</v>
      </c>
      <c r="C850" s="8" t="str">
        <f>'Data cleaning and validation(3)'!C838</f>
        <v>wcolen8@php.net</v>
      </c>
      <c r="D850" s="8" t="str">
        <f>'Data cleaning and validation(3)'!D838</f>
        <v>F</v>
      </c>
      <c r="E850" s="8" t="str">
        <f>'Data cleaning and validation(3)'!E838</f>
        <v>Jewelery</v>
      </c>
      <c r="F850" s="15">
        <f>'Data cleaning and validation(3)'!F838</f>
        <v>38972</v>
      </c>
      <c r="G850" s="8">
        <f>'Data cleaning and validation(3)'!G838</f>
        <v>15</v>
      </c>
      <c r="H850" s="19">
        <f>'Data cleaning and validation(3)'!H838</f>
        <v>66420</v>
      </c>
      <c r="I850" s="8" t="str">
        <f>'Data cleaning and validation(3)'!I838</f>
        <v>Clinical Specialist</v>
      </c>
      <c r="J850" s="8" t="str">
        <f>'Data cleaning and validation(3)'!J838</f>
        <v>Nova Scotia</v>
      </c>
      <c r="K850" s="8" t="str">
        <f>'Data cleaning and validation(3)'!K838</f>
        <v>Canada</v>
      </c>
      <c r="L850" s="8" t="str">
        <f>'Data cleaning and validation(3)'!L838</f>
        <v>Fashion</v>
      </c>
      <c r="M850" s="8" t="str">
        <f>'Data cleaning and validation(3)'!M838</f>
        <v>Active</v>
      </c>
      <c r="N850" s="17">
        <f>'Data cleaning and validation(3)'!N838</f>
        <v>797040</v>
      </c>
      <c r="O850" s="18">
        <f>'Data cleaning and validation(3)'!O838</f>
        <v>6642</v>
      </c>
    </row>
    <row r="851" spans="1:15" x14ac:dyDescent="0.35">
      <c r="A851" s="8">
        <f>'Data cleaning and validation(3)'!A839</f>
        <v>838</v>
      </c>
      <c r="B851" s="8" t="str">
        <f>'Data cleaning and validation(3)'!B839</f>
        <v>Black</v>
      </c>
      <c r="C851" s="8" t="str">
        <f>'Data cleaning and validation(3)'!C839</f>
        <v>rblackn9@sun.com</v>
      </c>
      <c r="D851" s="8" t="str">
        <f>'Data cleaning and validation(3)'!D839</f>
        <v>M</v>
      </c>
      <c r="E851" s="8" t="str">
        <f>'Data cleaning and validation(3)'!E839</f>
        <v>Toys</v>
      </c>
      <c r="F851" s="15">
        <f>'Data cleaning and validation(3)'!F839</f>
        <v>39719</v>
      </c>
      <c r="G851" s="8">
        <f>'Data cleaning and validation(3)'!G839</f>
        <v>13</v>
      </c>
      <c r="H851" s="19">
        <f>'Data cleaning and validation(3)'!H839</f>
        <v>117171</v>
      </c>
      <c r="I851" s="8" t="str">
        <f>'Data cleaning and validation(3)'!I839</f>
        <v>Electrical Engineer</v>
      </c>
      <c r="J851" s="8" t="str">
        <f>'Data cleaning and validation(3)'!J839</f>
        <v>Southwest</v>
      </c>
      <c r="K851" s="8" t="str">
        <f>'Data cleaning and validation(3)'!K839</f>
        <v>USA</v>
      </c>
      <c r="L851" s="8" t="str">
        <f>'Data cleaning and validation(3)'!L839</f>
        <v>Games &amp; Sports</v>
      </c>
      <c r="M851" s="8" t="str">
        <f>'Data cleaning and validation(3)'!M839</f>
        <v>Active</v>
      </c>
      <c r="N851" s="17">
        <f>'Data cleaning and validation(3)'!N839</f>
        <v>1406052</v>
      </c>
      <c r="O851" s="18">
        <f>'Data cleaning and validation(3)'!O839</f>
        <v>11717.1</v>
      </c>
    </row>
    <row r="852" spans="1:15" x14ac:dyDescent="0.35">
      <c r="A852" s="8">
        <f>'Data cleaning and validation(3)'!A840</f>
        <v>839</v>
      </c>
      <c r="B852" s="8" t="str">
        <f>'Data cleaning and validation(3)'!B840</f>
        <v>Richardson</v>
      </c>
      <c r="C852" s="8" t="str">
        <f>'Data cleaning and validation(3)'!C840</f>
        <v>trichardsonna@cbsnews.com</v>
      </c>
      <c r="D852" s="8" t="str">
        <f>'Data cleaning and validation(3)'!D840</f>
        <v>F</v>
      </c>
      <c r="E852" s="8" t="str">
        <f>'Data cleaning and validation(3)'!E840</f>
        <v>Health</v>
      </c>
      <c r="F852" s="15">
        <f>'Data cleaning and validation(3)'!F840</f>
        <v>44492</v>
      </c>
      <c r="G852" s="8">
        <f>'Data cleaning and validation(3)'!G840</f>
        <v>13</v>
      </c>
      <c r="H852" s="19">
        <f>'Data cleaning and validation(3)'!H840</f>
        <v>145962</v>
      </c>
      <c r="I852" s="8" t="str">
        <f>'Data cleaning and validation(3)'!I840</f>
        <v>Cost Accountant</v>
      </c>
      <c r="J852" s="8" t="str">
        <f>'Data cleaning and validation(3)'!J840</f>
        <v>Northwest</v>
      </c>
      <c r="K852" s="8" t="str">
        <f>'Data cleaning and validation(3)'!K840</f>
        <v>USA</v>
      </c>
      <c r="L852" s="8" t="str">
        <f>'Data cleaning and validation(3)'!L840</f>
        <v>Domestic</v>
      </c>
      <c r="M852" s="8" t="str">
        <f>'Data cleaning and validation(3)'!M840</f>
        <v>Active</v>
      </c>
      <c r="N852" s="17">
        <f>'Data cleaning and validation(3)'!N840</f>
        <v>1751544</v>
      </c>
      <c r="O852" s="18">
        <f>'Data cleaning and validation(3)'!O840</f>
        <v>14596.2</v>
      </c>
    </row>
    <row r="853" spans="1:15" x14ac:dyDescent="0.35">
      <c r="A853" s="8">
        <f>'Data cleaning and validation(3)'!A841</f>
        <v>840</v>
      </c>
      <c r="B853" s="8" t="str">
        <f>'Data cleaning and validation(3)'!B841</f>
        <v>Hamilton</v>
      </c>
      <c r="C853" s="8" t="str">
        <f>'Data cleaning and validation(3)'!C841</f>
        <v>phamiltonnb@earthlink.net</v>
      </c>
      <c r="D853" s="8" t="str">
        <f>'Data cleaning and validation(3)'!D841</f>
        <v>M</v>
      </c>
      <c r="E853" s="8" t="str">
        <f>'Data cleaning and validation(3)'!E841</f>
        <v>Books</v>
      </c>
      <c r="F853" s="15">
        <f>'Data cleaning and validation(3)'!F841</f>
        <v>37183</v>
      </c>
      <c r="G853" s="8">
        <f>'Data cleaning and validation(3)'!G841</f>
        <v>20</v>
      </c>
      <c r="H853" s="19">
        <f>'Data cleaning and validation(3)'!H841</f>
        <v>73778</v>
      </c>
      <c r="I853" s="8" t="str">
        <f>'Data cleaning and validation(3)'!I841</f>
        <v>Sales Representative</v>
      </c>
      <c r="J853" s="8" t="str">
        <f>'Data cleaning and validation(3)'!J841</f>
        <v>Southeast</v>
      </c>
      <c r="K853" s="8" t="str">
        <f>'Data cleaning and validation(3)'!K841</f>
        <v>USA</v>
      </c>
      <c r="L853" s="8" t="str">
        <f>'Data cleaning and validation(3)'!L841</f>
        <v>Library</v>
      </c>
      <c r="M853" s="8" t="str">
        <f>'Data cleaning and validation(3)'!M841</f>
        <v>Active</v>
      </c>
      <c r="N853" s="17">
        <f>'Data cleaning and validation(3)'!N841</f>
        <v>885336</v>
      </c>
      <c r="O853" s="18">
        <f>'Data cleaning and validation(3)'!O841</f>
        <v>7377.8</v>
      </c>
    </row>
    <row r="854" spans="1:15" x14ac:dyDescent="0.35">
      <c r="A854" s="8">
        <f>'Data cleaning and validation(3)'!A842</f>
        <v>841</v>
      </c>
      <c r="B854" s="8" t="str">
        <f>'Data cleaning and validation(3)'!B842</f>
        <v>Sullivan</v>
      </c>
      <c r="C854" s="8" t="str">
        <f>'Data cleaning and validation(3)'!C842</f>
        <v>ssullivannc@clickbank.net</v>
      </c>
      <c r="D854" s="8" t="str">
        <f>'Data cleaning and validation(3)'!D842</f>
        <v>M</v>
      </c>
      <c r="E854" s="8" t="str">
        <f>'Data cleaning and validation(3)'!E842</f>
        <v>Kids</v>
      </c>
      <c r="F854" s="15">
        <f>'Data cleaning and validation(3)'!F842</f>
        <v>39511</v>
      </c>
      <c r="G854" s="8">
        <f>'Data cleaning and validation(3)'!G842</f>
        <v>13</v>
      </c>
      <c r="H854" s="19">
        <f>'Data cleaning and validation(3)'!H842</f>
        <v>76731</v>
      </c>
      <c r="I854" s="8" t="str">
        <f>'Data cleaning and validation(3)'!I842</f>
        <v>Accounting Assistant II</v>
      </c>
      <c r="J854" s="8" t="str">
        <f>'Data cleaning and validation(3)'!J842</f>
        <v>Southeast</v>
      </c>
      <c r="K854" s="8" t="str">
        <f>'Data cleaning and validation(3)'!K842</f>
        <v>USA</v>
      </c>
      <c r="L854" s="8" t="str">
        <f>'Data cleaning and validation(3)'!L842</f>
        <v>Domestic</v>
      </c>
      <c r="M854" s="8" t="str">
        <f>'Data cleaning and validation(3)'!M842</f>
        <v>Active</v>
      </c>
      <c r="N854" s="17">
        <f>'Data cleaning and validation(3)'!N842</f>
        <v>920772</v>
      </c>
      <c r="O854" s="18">
        <f>'Data cleaning and validation(3)'!O842</f>
        <v>7673.1</v>
      </c>
    </row>
    <row r="855" spans="1:15" x14ac:dyDescent="0.35">
      <c r="A855" s="8">
        <f>'Data cleaning and validation(3)'!A843</f>
        <v>842</v>
      </c>
      <c r="B855" s="8" t="str">
        <f>'Data cleaning and validation(3)'!B843</f>
        <v>Carpenter</v>
      </c>
      <c r="C855" s="8" t="str">
        <f>'Data cleaning and validation(3)'!C843</f>
        <v>acarpenternd@prlog.org</v>
      </c>
      <c r="D855" s="8" t="str">
        <f>'Data cleaning and validation(3)'!D843</f>
        <v>F</v>
      </c>
      <c r="E855" s="8" t="str">
        <f>'Data cleaning and validation(3)'!E843</f>
        <v>Beauty</v>
      </c>
      <c r="F855" s="15">
        <f>'Data cleaning and validation(3)'!F843</f>
        <v>44390</v>
      </c>
      <c r="G855" s="8">
        <f>'Data cleaning and validation(3)'!G843</f>
        <v>13</v>
      </c>
      <c r="H855" s="19">
        <f>'Data cleaning and validation(3)'!H843</f>
        <v>101653</v>
      </c>
      <c r="I855" s="8" t="str">
        <f>'Data cleaning and validation(3)'!I843</f>
        <v>Web Designer II</v>
      </c>
      <c r="J855" s="8" t="str">
        <f>'Data cleaning and validation(3)'!J843</f>
        <v>Quebec</v>
      </c>
      <c r="K855" s="8" t="str">
        <f>'Data cleaning and validation(3)'!K843</f>
        <v>Canada</v>
      </c>
      <c r="L855" s="8" t="str">
        <f>'Data cleaning and validation(3)'!L843</f>
        <v>Domestic</v>
      </c>
      <c r="M855" s="8" t="str">
        <f>'Data cleaning and validation(3)'!M843</f>
        <v>Active</v>
      </c>
      <c r="N855" s="17">
        <f>'Data cleaning and validation(3)'!N843</f>
        <v>1219836</v>
      </c>
      <c r="O855" s="18">
        <f>'Data cleaning and validation(3)'!O843</f>
        <v>10165.300000000001</v>
      </c>
    </row>
    <row r="856" spans="1:15" x14ac:dyDescent="0.35">
      <c r="A856" s="8">
        <f>'Data cleaning and validation(3)'!A844</f>
        <v>843</v>
      </c>
      <c r="B856" s="8" t="str">
        <f>'Data cleaning and validation(3)'!B844</f>
        <v>Ross</v>
      </c>
      <c r="C856" s="8" t="str">
        <f>'Data cleaning and validation(3)'!C844</f>
        <v>rrossne@salon.com</v>
      </c>
      <c r="D856" s="8" t="str">
        <f>'Data cleaning and validation(3)'!D844</f>
        <v>M</v>
      </c>
      <c r="E856" s="8" t="str">
        <f>'Data cleaning and validation(3)'!E844</f>
        <v>Garden</v>
      </c>
      <c r="F856" s="15">
        <f>'Data cleaning and validation(3)'!F844</f>
        <v>36902</v>
      </c>
      <c r="G856" s="8">
        <f>'Data cleaning and validation(3)'!G844</f>
        <v>20</v>
      </c>
      <c r="H856" s="19">
        <f>'Data cleaning and validation(3)'!H844</f>
        <v>62534</v>
      </c>
      <c r="I856" s="8" t="str">
        <f>'Data cleaning and validation(3)'!I844</f>
        <v>Senior Editor</v>
      </c>
      <c r="J856" s="8" t="str">
        <f>'Data cleaning and validation(3)'!J844</f>
        <v>Northwest</v>
      </c>
      <c r="K856" s="8" t="str">
        <f>'Data cleaning and validation(3)'!K844</f>
        <v>USA</v>
      </c>
      <c r="L856" s="8" t="str">
        <f>'Data cleaning and validation(3)'!L844</f>
        <v>Outdoors &amp; Garden</v>
      </c>
      <c r="M856" s="8" t="str">
        <f>'Data cleaning and validation(3)'!M844</f>
        <v>Active</v>
      </c>
      <c r="N856" s="17">
        <f>'Data cleaning and validation(3)'!N844</f>
        <v>750408</v>
      </c>
      <c r="O856" s="18">
        <f>'Data cleaning and validation(3)'!O844</f>
        <v>6253.4000000000005</v>
      </c>
    </row>
    <row r="857" spans="1:15" x14ac:dyDescent="0.35">
      <c r="A857" s="8">
        <f>'Data cleaning and validation(3)'!A845</f>
        <v>844</v>
      </c>
      <c r="B857" s="8" t="str">
        <f>'Data cleaning and validation(3)'!B845</f>
        <v>Hall</v>
      </c>
      <c r="C857" s="8" t="str">
        <f>'Data cleaning and validation(3)'!C845</f>
        <v>jhallnf@1und1.de</v>
      </c>
      <c r="D857" s="8" t="str">
        <f>'Data cleaning and validation(3)'!D845</f>
        <v>M</v>
      </c>
      <c r="E857" s="8" t="str">
        <f>'Data cleaning and validation(3)'!E845</f>
        <v>Outdoors</v>
      </c>
      <c r="F857" s="15">
        <f>'Data cleaning and validation(3)'!F845</f>
        <v>41394</v>
      </c>
      <c r="G857" s="8">
        <f>'Data cleaning and validation(3)'!G845</f>
        <v>8</v>
      </c>
      <c r="H857" s="19">
        <f>'Data cleaning and validation(3)'!H845</f>
        <v>100428</v>
      </c>
      <c r="I857" s="8" t="str">
        <f>'Data cleaning and validation(3)'!I845</f>
        <v>Web Designer I</v>
      </c>
      <c r="J857" s="8" t="str">
        <f>'Data cleaning and validation(3)'!J845</f>
        <v>Northwest</v>
      </c>
      <c r="K857" s="8" t="str">
        <f>'Data cleaning and validation(3)'!K845</f>
        <v>USA</v>
      </c>
      <c r="L857" s="8" t="str">
        <f>'Data cleaning and validation(3)'!L845</f>
        <v>Outdoors &amp; Garden</v>
      </c>
      <c r="M857" s="8" t="str">
        <f>'Data cleaning and validation(3)'!M845</f>
        <v>Active</v>
      </c>
      <c r="N857" s="17">
        <f>'Data cleaning and validation(3)'!N845</f>
        <v>1205136</v>
      </c>
      <c r="O857" s="18">
        <f>'Data cleaning and validation(3)'!O845</f>
        <v>10042.800000000001</v>
      </c>
    </row>
    <row r="858" spans="1:15" x14ac:dyDescent="0.35">
      <c r="A858" s="8">
        <f>'Data cleaning and validation(3)'!A846</f>
        <v>845</v>
      </c>
      <c r="B858" s="8" t="str">
        <f>'Data cleaning and validation(3)'!B846</f>
        <v>Washington</v>
      </c>
      <c r="C858" s="8" t="str">
        <f>'Data cleaning and validation(3)'!C846</f>
        <v>iwashingtonng@freewebs.com</v>
      </c>
      <c r="D858" s="8" t="str">
        <f>'Data cleaning and validation(3)'!D846</f>
        <v>M</v>
      </c>
      <c r="E858" s="8" t="str">
        <f>'Data cleaning and validation(3)'!E846</f>
        <v>Kids</v>
      </c>
      <c r="F858" s="15">
        <f>'Data cleaning and validation(3)'!F846</f>
        <v>37227</v>
      </c>
      <c r="G858" s="8">
        <f>'Data cleaning and validation(3)'!G846</f>
        <v>20</v>
      </c>
      <c r="H858" s="19">
        <f>'Data cleaning and validation(3)'!H846</f>
        <v>109828</v>
      </c>
      <c r="I858" s="8" t="str">
        <f>'Data cleaning and validation(3)'!I846</f>
        <v>VP Quality Control</v>
      </c>
      <c r="J858" s="8" t="str">
        <f>'Data cleaning and validation(3)'!J846</f>
        <v>Quebec</v>
      </c>
      <c r="K858" s="8" t="str">
        <f>'Data cleaning and validation(3)'!K846</f>
        <v>Canada</v>
      </c>
      <c r="L858" s="8" t="str">
        <f>'Data cleaning and validation(3)'!L846</f>
        <v>Domestic</v>
      </c>
      <c r="M858" s="8" t="str">
        <f>'Data cleaning and validation(3)'!M846</f>
        <v>Active</v>
      </c>
      <c r="N858" s="17">
        <f>'Data cleaning and validation(3)'!N846</f>
        <v>1317936</v>
      </c>
      <c r="O858" s="18">
        <f>'Data cleaning and validation(3)'!O846</f>
        <v>10982.800000000001</v>
      </c>
    </row>
    <row r="859" spans="1:15" x14ac:dyDescent="0.35">
      <c r="A859" s="8">
        <f>'Data cleaning and validation(3)'!A847</f>
        <v>846</v>
      </c>
      <c r="B859" s="8" t="str">
        <f>'Data cleaning and validation(3)'!B847</f>
        <v>Moreno</v>
      </c>
      <c r="C859" s="8" t="str">
        <f>'Data cleaning and validation(3)'!C847</f>
        <v>dmorenonh@webs.com</v>
      </c>
      <c r="D859" s="8" t="str">
        <f>'Data cleaning and validation(3)'!D847</f>
        <v>F</v>
      </c>
      <c r="E859" s="8" t="str">
        <f>'Data cleaning and validation(3)'!E847</f>
        <v>Jewelery</v>
      </c>
      <c r="F859" s="15">
        <f>'Data cleaning and validation(3)'!F847</f>
        <v>36971</v>
      </c>
      <c r="G859" s="8">
        <f>'Data cleaning and validation(3)'!G847</f>
        <v>20</v>
      </c>
      <c r="H859" s="19">
        <f>'Data cleaning and validation(3)'!H847</f>
        <v>63133</v>
      </c>
      <c r="I859" s="8" t="str">
        <f>'Data cleaning and validation(3)'!I847</f>
        <v>Clinical Specialist</v>
      </c>
      <c r="J859" s="8" t="str">
        <f>'Data cleaning and validation(3)'!J847</f>
        <v>British Columbia</v>
      </c>
      <c r="K859" s="8" t="str">
        <f>'Data cleaning and validation(3)'!K847</f>
        <v>Canada</v>
      </c>
      <c r="L859" s="8" t="str">
        <f>'Data cleaning and validation(3)'!L847</f>
        <v>Fashion</v>
      </c>
      <c r="M859" s="8" t="str">
        <f>'Data cleaning and validation(3)'!M847</f>
        <v>Active</v>
      </c>
      <c r="N859" s="17">
        <f>'Data cleaning and validation(3)'!N847</f>
        <v>757596</v>
      </c>
      <c r="O859" s="18">
        <f>'Data cleaning and validation(3)'!O847</f>
        <v>6313.3</v>
      </c>
    </row>
    <row r="860" spans="1:15" x14ac:dyDescent="0.35">
      <c r="A860" s="8">
        <f>'Data cleaning and validation(3)'!A848</f>
        <v>847</v>
      </c>
      <c r="B860" s="8" t="str">
        <f>'Data cleaning and validation(3)'!B848</f>
        <v>Knight</v>
      </c>
      <c r="C860" s="8" t="str">
        <f>'Data cleaning and validation(3)'!C848</f>
        <v>dknightni@unc.edu</v>
      </c>
      <c r="D860" s="8" t="str">
        <f>'Data cleaning and validation(3)'!D848</f>
        <v>F</v>
      </c>
      <c r="E860" s="8" t="str">
        <f>'Data cleaning and validation(3)'!E848</f>
        <v>Clothing</v>
      </c>
      <c r="F860" s="15">
        <f>'Data cleaning and validation(3)'!F848</f>
        <v>44277</v>
      </c>
      <c r="G860" s="8">
        <f>'Data cleaning and validation(3)'!G848</f>
        <v>13</v>
      </c>
      <c r="H860" s="19">
        <f>'Data cleaning and validation(3)'!H848</f>
        <v>91532</v>
      </c>
      <c r="I860" s="8" t="str">
        <f>'Data cleaning and validation(3)'!I848</f>
        <v>Operator</v>
      </c>
      <c r="J860" s="8" t="str">
        <f>'Data cleaning and validation(3)'!J848</f>
        <v>Southwest</v>
      </c>
      <c r="K860" s="8" t="str">
        <f>'Data cleaning and validation(3)'!K848</f>
        <v>USA</v>
      </c>
      <c r="L860" s="8" t="str">
        <f>'Data cleaning and validation(3)'!L848</f>
        <v>Domestic</v>
      </c>
      <c r="M860" s="8" t="str">
        <f>'Data cleaning and validation(3)'!M848</f>
        <v>Active</v>
      </c>
      <c r="N860" s="17">
        <f>'Data cleaning and validation(3)'!N848</f>
        <v>1098384</v>
      </c>
      <c r="O860" s="18">
        <f>'Data cleaning and validation(3)'!O848</f>
        <v>9153.2000000000007</v>
      </c>
    </row>
    <row r="861" spans="1:15" x14ac:dyDescent="0.35">
      <c r="A861" s="8">
        <f>'Data cleaning and validation(3)'!A849</f>
        <v>848</v>
      </c>
      <c r="B861" s="8" t="str">
        <f>'Data cleaning and validation(3)'!B849</f>
        <v>Austin</v>
      </c>
      <c r="C861" s="8" t="str">
        <f>'Data cleaning and validation(3)'!C849</f>
        <v>jaustinnj@gov.uk</v>
      </c>
      <c r="D861" s="8" t="str">
        <f>'Data cleaning and validation(3)'!D849</f>
        <v>F</v>
      </c>
      <c r="E861" s="8" t="str">
        <f>'Data cleaning and validation(3)'!E849</f>
        <v>Shoes</v>
      </c>
      <c r="F861" s="15">
        <f>'Data cleaning and validation(3)'!F849</f>
        <v>38378</v>
      </c>
      <c r="G861" s="8">
        <f>'Data cleaning and validation(3)'!G849</f>
        <v>16</v>
      </c>
      <c r="H861" s="19">
        <f>'Data cleaning and validation(3)'!H849</f>
        <v>101646</v>
      </c>
      <c r="I861" s="8" t="str">
        <f>'Data cleaning and validation(3)'!I849</f>
        <v>Environmental Tech</v>
      </c>
      <c r="J861" s="8" t="str">
        <f>'Data cleaning and validation(3)'!J849</f>
        <v>Northeast</v>
      </c>
      <c r="K861" s="8" t="str">
        <f>'Data cleaning and validation(3)'!K849</f>
        <v>USA</v>
      </c>
      <c r="L861" s="8" t="str">
        <f>'Data cleaning and validation(3)'!L849</f>
        <v>Domestic</v>
      </c>
      <c r="M861" s="8" t="str">
        <f>'Data cleaning and validation(3)'!M849</f>
        <v>Active</v>
      </c>
      <c r="N861" s="17">
        <f>'Data cleaning and validation(3)'!N849</f>
        <v>1219752</v>
      </c>
      <c r="O861" s="18">
        <f>'Data cleaning and validation(3)'!O849</f>
        <v>10164.6</v>
      </c>
    </row>
    <row r="862" spans="1:15" x14ac:dyDescent="0.35">
      <c r="A862" s="8">
        <f>'Data cleaning and validation(3)'!A850</f>
        <v>849</v>
      </c>
      <c r="B862" s="8" t="str">
        <f>'Data cleaning and validation(3)'!B850</f>
        <v>Rice</v>
      </c>
      <c r="C862" s="8" t="str">
        <f>'Data cleaning and validation(3)'!C850</f>
        <v>kricenk@cyberchimps.com</v>
      </c>
      <c r="D862" s="8" t="str">
        <f>'Data cleaning and validation(3)'!D850</f>
        <v>M</v>
      </c>
      <c r="E862" s="8" t="str">
        <f>'Data cleaning and validation(3)'!E850</f>
        <v>Grocery</v>
      </c>
      <c r="F862" s="15">
        <f>'Data cleaning and validation(3)'!F850</f>
        <v>37470</v>
      </c>
      <c r="G862" s="8">
        <f>'Data cleaning and validation(3)'!G850</f>
        <v>19</v>
      </c>
      <c r="H862" s="19">
        <f>'Data cleaning and validation(3)'!H850</f>
        <v>68034</v>
      </c>
      <c r="I862" s="8" t="str">
        <f>'Data cleaning and validation(3)'!I850</f>
        <v>Senior Financial Analyst</v>
      </c>
      <c r="J862" s="8" t="str">
        <f>'Data cleaning and validation(3)'!J850</f>
        <v>Southwest</v>
      </c>
      <c r="K862" s="8" t="str">
        <f>'Data cleaning and validation(3)'!K850</f>
        <v>USA</v>
      </c>
      <c r="L862" s="8" t="str">
        <f>'Data cleaning and validation(3)'!L850</f>
        <v>Domestic</v>
      </c>
      <c r="M862" s="8" t="str">
        <f>'Data cleaning and validation(3)'!M850</f>
        <v>Active</v>
      </c>
      <c r="N862" s="17">
        <f>'Data cleaning and validation(3)'!N850</f>
        <v>816408</v>
      </c>
      <c r="O862" s="18">
        <f>'Data cleaning and validation(3)'!O850</f>
        <v>6803.4000000000005</v>
      </c>
    </row>
    <row r="863" spans="1:15" x14ac:dyDescent="0.35">
      <c r="A863" s="8">
        <f>'Data cleaning and validation(3)'!A851</f>
        <v>850</v>
      </c>
      <c r="B863" s="8" t="str">
        <f>'Data cleaning and validation(3)'!B851</f>
        <v>Kelley</v>
      </c>
      <c r="C863" s="8" t="str">
        <f>'Data cleaning and validation(3)'!C851</f>
        <v>pkelleynl@biglobe.ne.jp</v>
      </c>
      <c r="D863" s="8" t="str">
        <f>'Data cleaning and validation(3)'!D851</f>
        <v>M</v>
      </c>
      <c r="E863" s="8" t="str">
        <f>'Data cleaning and validation(3)'!E851</f>
        <v>Kids</v>
      </c>
      <c r="F863" s="15">
        <f>'Data cleaning and validation(3)'!F851</f>
        <v>41003</v>
      </c>
      <c r="G863" s="8">
        <f>'Data cleaning and validation(3)'!G851</f>
        <v>9</v>
      </c>
      <c r="H863" s="19">
        <f>'Data cleaning and validation(3)'!H851</f>
        <v>55214</v>
      </c>
      <c r="I863" s="8" t="str">
        <f>'Data cleaning and validation(3)'!I851</f>
        <v>Senior Quality Engineer</v>
      </c>
      <c r="J863" s="8" t="str">
        <f>'Data cleaning and validation(3)'!J851</f>
        <v>Southeast</v>
      </c>
      <c r="K863" s="8" t="str">
        <f>'Data cleaning and validation(3)'!K851</f>
        <v>USA</v>
      </c>
      <c r="L863" s="8" t="str">
        <f>'Data cleaning and validation(3)'!L851</f>
        <v>Domestic</v>
      </c>
      <c r="M863" s="8" t="str">
        <f>'Data cleaning and validation(3)'!M851</f>
        <v>Active</v>
      </c>
      <c r="N863" s="17">
        <f>'Data cleaning and validation(3)'!N851</f>
        <v>662568</v>
      </c>
      <c r="O863" s="18">
        <f>'Data cleaning and validation(3)'!O851</f>
        <v>5521.4000000000005</v>
      </c>
    </row>
    <row r="864" spans="1:15" x14ac:dyDescent="0.35">
      <c r="A864" s="8">
        <f>'Data cleaning and validation(3)'!A852</f>
        <v>851</v>
      </c>
      <c r="B864" s="8" t="str">
        <f>'Data cleaning and validation(3)'!B852</f>
        <v>Gordon</v>
      </c>
      <c r="C864" s="8" t="str">
        <f>'Data cleaning and validation(3)'!C852</f>
        <v>bgordonnm@imdb.com</v>
      </c>
      <c r="D864" s="8" t="str">
        <f>'Data cleaning and validation(3)'!D852</f>
        <v>F</v>
      </c>
      <c r="E864" s="8" t="str">
        <f>'Data cleaning and validation(3)'!E852</f>
        <v>Automotive</v>
      </c>
      <c r="F864" s="15">
        <f>'Data cleaning and validation(3)'!F852</f>
        <v>37619</v>
      </c>
      <c r="G864" s="8">
        <f>'Data cleaning and validation(3)'!G852</f>
        <v>19</v>
      </c>
      <c r="H864" s="19">
        <f>'Data cleaning and validation(3)'!H852</f>
        <v>136448</v>
      </c>
      <c r="I864" s="8" t="str">
        <f>'Data cleaning and validation(3)'!I852</f>
        <v>Media Manager II</v>
      </c>
      <c r="J864" s="8" t="str">
        <f>'Data cleaning and validation(3)'!J852</f>
        <v>Southwest</v>
      </c>
      <c r="K864" s="8" t="str">
        <f>'Data cleaning and validation(3)'!K852</f>
        <v>USA</v>
      </c>
      <c r="L864" s="8" t="str">
        <f>'Data cleaning and validation(3)'!L852</f>
        <v>Auto &amp; Hardware</v>
      </c>
      <c r="M864" s="8" t="str">
        <f>'Data cleaning and validation(3)'!M852</f>
        <v>Active</v>
      </c>
      <c r="N864" s="17">
        <f>'Data cleaning and validation(3)'!N852</f>
        <v>1637376</v>
      </c>
      <c r="O864" s="18">
        <f>'Data cleaning and validation(3)'!O852</f>
        <v>13644.800000000001</v>
      </c>
    </row>
    <row r="865" spans="1:15" x14ac:dyDescent="0.35">
      <c r="A865" s="8">
        <f>'Data cleaning and validation(3)'!A853</f>
        <v>852</v>
      </c>
      <c r="B865" s="8" t="str">
        <f>'Data cleaning and validation(3)'!B853</f>
        <v>Rose</v>
      </c>
      <c r="C865" s="8" t="str">
        <f>'Data cleaning and validation(3)'!C853</f>
        <v>srosenn@flavors.me</v>
      </c>
      <c r="D865" s="8" t="str">
        <f>'Data cleaning and validation(3)'!D853</f>
        <v>M</v>
      </c>
      <c r="E865" s="8" t="str">
        <f>'Data cleaning and validation(3)'!E853</f>
        <v>Shoes</v>
      </c>
      <c r="F865" s="15">
        <f>'Data cleaning and validation(3)'!F853</f>
        <v>40299</v>
      </c>
      <c r="G865" s="8">
        <f>'Data cleaning and validation(3)'!G853</f>
        <v>11</v>
      </c>
      <c r="H865" s="19">
        <f>'Data cleaning and validation(3)'!H853</f>
        <v>76086</v>
      </c>
      <c r="I865" s="8" t="str">
        <f>'Data cleaning and validation(3)'!I853</f>
        <v>Statistician I</v>
      </c>
      <c r="J865" s="8" t="str">
        <f>'Data cleaning and validation(3)'!J853</f>
        <v>Nova Scotia</v>
      </c>
      <c r="K865" s="8" t="str">
        <f>'Data cleaning and validation(3)'!K853</f>
        <v>Canada</v>
      </c>
      <c r="L865" s="8" t="str">
        <f>'Data cleaning and validation(3)'!L853</f>
        <v>Domestic</v>
      </c>
      <c r="M865" s="8" t="str">
        <f>'Data cleaning and validation(3)'!M853</f>
        <v>Active</v>
      </c>
      <c r="N865" s="17">
        <f>'Data cleaning and validation(3)'!N853</f>
        <v>913032</v>
      </c>
      <c r="O865" s="18">
        <f>'Data cleaning and validation(3)'!O853</f>
        <v>7608.6</v>
      </c>
    </row>
    <row r="866" spans="1:15" x14ac:dyDescent="0.35">
      <c r="A866" s="8">
        <f>'Data cleaning and validation(3)'!A854</f>
        <v>853</v>
      </c>
      <c r="B866" s="8" t="str">
        <f>'Data cleaning and validation(3)'!B854</f>
        <v>Mendoza</v>
      </c>
      <c r="C866" s="8" t="str">
        <f>'Data cleaning and validation(3)'!C854</f>
        <v>emendozano@edublogs.org</v>
      </c>
      <c r="D866" s="8" t="str">
        <f>'Data cleaning and validation(3)'!D854</f>
        <v>M</v>
      </c>
      <c r="E866" s="8" t="str">
        <f>'Data cleaning and validation(3)'!E854</f>
        <v>Beauty</v>
      </c>
      <c r="F866" s="15">
        <f>'Data cleaning and validation(3)'!F854</f>
        <v>41489</v>
      </c>
      <c r="G866" s="8">
        <f>'Data cleaning and validation(3)'!G854</f>
        <v>8</v>
      </c>
      <c r="H866" s="19">
        <f>'Data cleaning and validation(3)'!H854</f>
        <v>128947</v>
      </c>
      <c r="I866" s="8" t="str">
        <f>'Data cleaning and validation(3)'!I854</f>
        <v>Help Desk Operator</v>
      </c>
      <c r="J866" s="8" t="str">
        <f>'Data cleaning and validation(3)'!J854</f>
        <v>British Columbia</v>
      </c>
      <c r="K866" s="8" t="str">
        <f>'Data cleaning and validation(3)'!K854</f>
        <v>Canada</v>
      </c>
      <c r="L866" s="8" t="str">
        <f>'Data cleaning and validation(3)'!L854</f>
        <v>Domestic</v>
      </c>
      <c r="M866" s="8" t="str">
        <f>'Data cleaning and validation(3)'!M854</f>
        <v>Active</v>
      </c>
      <c r="N866" s="17">
        <f>'Data cleaning and validation(3)'!N854</f>
        <v>1547364</v>
      </c>
      <c r="O866" s="18">
        <f>'Data cleaning and validation(3)'!O854</f>
        <v>12894.7</v>
      </c>
    </row>
    <row r="867" spans="1:15" x14ac:dyDescent="0.35">
      <c r="A867" s="8">
        <f>'Data cleaning and validation(3)'!A855</f>
        <v>854</v>
      </c>
      <c r="B867" s="8" t="str">
        <f>'Data cleaning and validation(3)'!B855</f>
        <v>Hanson</v>
      </c>
      <c r="C867" s="8" t="str">
        <f>'Data cleaning and validation(3)'!C855</f>
        <v>ghansonnp@free.fr</v>
      </c>
      <c r="D867" s="8" t="str">
        <f>'Data cleaning and validation(3)'!D855</f>
        <v>M</v>
      </c>
      <c r="E867" s="8" t="str">
        <f>'Data cleaning and validation(3)'!E855</f>
        <v>Tools</v>
      </c>
      <c r="F867" s="15">
        <f>'Data cleaning and validation(3)'!F855</f>
        <v>39004</v>
      </c>
      <c r="G867" s="8">
        <f>'Data cleaning and validation(3)'!G855</f>
        <v>15</v>
      </c>
      <c r="H867" s="19">
        <f>'Data cleaning and validation(3)'!H855</f>
        <v>113354</v>
      </c>
      <c r="I867" s="8" t="str">
        <f>'Data cleaning and validation(3)'!I855</f>
        <v>VP Quality Control</v>
      </c>
      <c r="J867" s="8" t="str">
        <f>'Data cleaning and validation(3)'!J855</f>
        <v>Southwest</v>
      </c>
      <c r="K867" s="8" t="str">
        <f>'Data cleaning and validation(3)'!K855</f>
        <v>USA</v>
      </c>
      <c r="L867" s="8" t="str">
        <f>'Data cleaning and validation(3)'!L855</f>
        <v>Auto &amp; Hardware</v>
      </c>
      <c r="M867" s="8" t="str">
        <f>'Data cleaning and validation(3)'!M855</f>
        <v>Active</v>
      </c>
      <c r="N867" s="17">
        <f>'Data cleaning and validation(3)'!N855</f>
        <v>1360248</v>
      </c>
      <c r="O867" s="18">
        <f>'Data cleaning and validation(3)'!O855</f>
        <v>11335.400000000001</v>
      </c>
    </row>
    <row r="868" spans="1:15" x14ac:dyDescent="0.35">
      <c r="A868" s="8">
        <f>'Data cleaning and validation(3)'!A856</f>
        <v>855</v>
      </c>
      <c r="B868" s="8" t="str">
        <f>'Data cleaning and validation(3)'!B856</f>
        <v>Perry</v>
      </c>
      <c r="C868" s="8" t="str">
        <f>'Data cleaning and validation(3)'!C856</f>
        <v>eperrynq@imdb.com</v>
      </c>
      <c r="D868" s="8" t="str">
        <f>'Data cleaning and validation(3)'!D856</f>
        <v>M</v>
      </c>
      <c r="E868" s="8" t="str">
        <f>'Data cleaning and validation(3)'!E856</f>
        <v>Garden</v>
      </c>
      <c r="F868" s="15">
        <f>'Data cleaning and validation(3)'!F856</f>
        <v>41050</v>
      </c>
      <c r="G868" s="8">
        <f>'Data cleaning and validation(3)'!G856</f>
        <v>9</v>
      </c>
      <c r="H868" s="19">
        <f>'Data cleaning and validation(3)'!H856</f>
        <v>75125</v>
      </c>
      <c r="I868" s="8" t="str">
        <f>'Data cleaning and validation(3)'!I856</f>
        <v>VP Marketing</v>
      </c>
      <c r="J868" s="8" t="str">
        <f>'Data cleaning and validation(3)'!J856</f>
        <v>Nova Scotia</v>
      </c>
      <c r="K868" s="8" t="str">
        <f>'Data cleaning and validation(3)'!K856</f>
        <v>Canada</v>
      </c>
      <c r="L868" s="8" t="str">
        <f>'Data cleaning and validation(3)'!L856</f>
        <v>Outdoors &amp; Garden</v>
      </c>
      <c r="M868" s="8" t="str">
        <f>'Data cleaning and validation(3)'!M856</f>
        <v>Active</v>
      </c>
      <c r="N868" s="17">
        <f>'Data cleaning and validation(3)'!N856</f>
        <v>901500</v>
      </c>
      <c r="O868" s="18">
        <f>'Data cleaning and validation(3)'!O856</f>
        <v>7512.5</v>
      </c>
    </row>
    <row r="869" spans="1:15" x14ac:dyDescent="0.35">
      <c r="A869" s="8">
        <f>'Data cleaning and validation(3)'!A857</f>
        <v>856</v>
      </c>
      <c r="B869" s="8" t="str">
        <f>'Data cleaning and validation(3)'!B857</f>
        <v>Roberts</v>
      </c>
      <c r="C869" s="8" t="str">
        <f>'Data cleaning and validation(3)'!C857</f>
        <v>trobertsnr@over-blog.com</v>
      </c>
      <c r="D869" s="8" t="str">
        <f>'Data cleaning and validation(3)'!D857</f>
        <v>F</v>
      </c>
      <c r="E869" s="8" t="str">
        <f>'Data cleaning and validation(3)'!E857</f>
        <v>Clothing</v>
      </c>
      <c r="F869" s="15">
        <f>'Data cleaning and validation(3)'!F857</f>
        <v>38038</v>
      </c>
      <c r="G869" s="8">
        <f>'Data cleaning and validation(3)'!G857</f>
        <v>17</v>
      </c>
      <c r="H869" s="19">
        <f>'Data cleaning and validation(3)'!H857</f>
        <v>139714</v>
      </c>
      <c r="I869" s="8" t="str">
        <f>'Data cleaning and validation(3)'!I857</f>
        <v>Help Desk Operator</v>
      </c>
      <c r="J869" s="8" t="str">
        <f>'Data cleaning and validation(3)'!J857</f>
        <v>Southeast</v>
      </c>
      <c r="K869" s="8" t="str">
        <f>'Data cleaning and validation(3)'!K857</f>
        <v>USA</v>
      </c>
      <c r="L869" s="8" t="str">
        <f>'Data cleaning and validation(3)'!L857</f>
        <v>Domestic</v>
      </c>
      <c r="M869" s="8" t="str">
        <f>'Data cleaning and validation(3)'!M857</f>
        <v>Active</v>
      </c>
      <c r="N869" s="17">
        <f>'Data cleaning and validation(3)'!N857</f>
        <v>1676568</v>
      </c>
      <c r="O869" s="18">
        <f>'Data cleaning and validation(3)'!O857</f>
        <v>13971.400000000001</v>
      </c>
    </row>
    <row r="870" spans="1:15" x14ac:dyDescent="0.35">
      <c r="A870" s="8">
        <f>'Data cleaning and validation(3)'!A858</f>
        <v>857</v>
      </c>
      <c r="B870" s="8" t="str">
        <f>'Data cleaning and validation(3)'!B858</f>
        <v>Nichols</v>
      </c>
      <c r="C870" s="8" t="str">
        <f>'Data cleaning and validation(3)'!C858</f>
        <v>dnicholsns@ifeng.com</v>
      </c>
      <c r="D870" s="8" t="str">
        <f>'Data cleaning and validation(3)'!D858</f>
        <v>M</v>
      </c>
      <c r="E870" s="8" t="str">
        <f>'Data cleaning and validation(3)'!E858</f>
        <v>Toys</v>
      </c>
      <c r="F870" s="15">
        <f>'Data cleaning and validation(3)'!F858</f>
        <v>37914</v>
      </c>
      <c r="G870" s="8">
        <f>'Data cleaning and validation(3)'!G858</f>
        <v>18</v>
      </c>
      <c r="H870" s="19">
        <f>'Data cleaning and validation(3)'!H858</f>
        <v>43537</v>
      </c>
      <c r="I870" s="8" t="str">
        <f>'Data cleaning and validation(3)'!I858</f>
        <v>Help Desk Operator</v>
      </c>
      <c r="J870" s="8" t="str">
        <f>'Data cleaning and validation(3)'!J858</f>
        <v>Southwest</v>
      </c>
      <c r="K870" s="8" t="str">
        <f>'Data cleaning and validation(3)'!K858</f>
        <v>USA</v>
      </c>
      <c r="L870" s="8" t="str">
        <f>'Data cleaning and validation(3)'!L858</f>
        <v>Games &amp; Sports</v>
      </c>
      <c r="M870" s="8" t="str">
        <f>'Data cleaning and validation(3)'!M858</f>
        <v>Active</v>
      </c>
      <c r="N870" s="17">
        <f>'Data cleaning and validation(3)'!N858</f>
        <v>522444</v>
      </c>
      <c r="O870" s="18">
        <f>'Data cleaning and validation(3)'!O858</f>
        <v>4353.7</v>
      </c>
    </row>
    <row r="871" spans="1:15" x14ac:dyDescent="0.35">
      <c r="A871" s="8">
        <f>'Data cleaning and validation(3)'!A859</f>
        <v>858</v>
      </c>
      <c r="B871" s="8" t="str">
        <f>'Data cleaning and validation(3)'!B859</f>
        <v>Wright</v>
      </c>
      <c r="C871" s="8" t="str">
        <f>'Data cleaning and validation(3)'!C859</f>
        <v>lwrightnt@house.gov</v>
      </c>
      <c r="D871" s="8" t="str">
        <f>'Data cleaning and validation(3)'!D859</f>
        <v>F</v>
      </c>
      <c r="E871" s="8" t="str">
        <f>'Data cleaning and validation(3)'!E859</f>
        <v>Automotive</v>
      </c>
      <c r="F871" s="15">
        <f>'Data cleaning and validation(3)'!F859</f>
        <v>37218</v>
      </c>
      <c r="G871" s="8">
        <f>'Data cleaning and validation(3)'!G859</f>
        <v>20</v>
      </c>
      <c r="H871" s="19">
        <f>'Data cleaning and validation(3)'!H859</f>
        <v>127521</v>
      </c>
      <c r="I871" s="8" t="str">
        <f>'Data cleaning and validation(3)'!I859</f>
        <v>Nurse</v>
      </c>
      <c r="J871" s="8" t="str">
        <f>'Data cleaning and validation(3)'!J859</f>
        <v>Southwest</v>
      </c>
      <c r="K871" s="8" t="str">
        <f>'Data cleaning and validation(3)'!K859</f>
        <v>USA</v>
      </c>
      <c r="L871" s="8" t="str">
        <f>'Data cleaning and validation(3)'!L859</f>
        <v>Auto &amp; Hardware</v>
      </c>
      <c r="M871" s="8" t="str">
        <f>'Data cleaning and validation(3)'!M859</f>
        <v>Active</v>
      </c>
      <c r="N871" s="17">
        <f>'Data cleaning and validation(3)'!N859</f>
        <v>1530252</v>
      </c>
      <c r="O871" s="18">
        <f>'Data cleaning and validation(3)'!O859</f>
        <v>12752.1</v>
      </c>
    </row>
    <row r="872" spans="1:15" x14ac:dyDescent="0.35">
      <c r="A872" s="8">
        <f>'Data cleaning and validation(3)'!A860</f>
        <v>859</v>
      </c>
      <c r="B872" s="8" t="str">
        <f>'Data cleaning and validation(3)'!B860</f>
        <v>Clark</v>
      </c>
      <c r="C872" s="8" t="str">
        <f>'Data cleaning and validation(3)'!C860</f>
        <v>mclarknu@bigcartel.com</v>
      </c>
      <c r="D872" s="8" t="str">
        <f>'Data cleaning and validation(3)'!D860</f>
        <v>M</v>
      </c>
      <c r="E872" s="8" t="str">
        <f>'Data cleaning and validation(3)'!E860</f>
        <v>Health</v>
      </c>
      <c r="F872" s="15">
        <f>'Data cleaning and validation(3)'!F860</f>
        <v>39132</v>
      </c>
      <c r="G872" s="8">
        <f>'Data cleaning and validation(3)'!G860</f>
        <v>14</v>
      </c>
      <c r="H872" s="19">
        <f>'Data cleaning and validation(3)'!H860</f>
        <v>112510</v>
      </c>
      <c r="I872" s="8" t="str">
        <f>'Data cleaning and validation(3)'!I860</f>
        <v>Information Systems Manager</v>
      </c>
      <c r="J872" s="8" t="str">
        <f>'Data cleaning and validation(3)'!J860</f>
        <v>Southwest</v>
      </c>
      <c r="K872" s="8" t="str">
        <f>'Data cleaning and validation(3)'!K860</f>
        <v>USA</v>
      </c>
      <c r="L872" s="8" t="str">
        <f>'Data cleaning and validation(3)'!L860</f>
        <v>Domestic</v>
      </c>
      <c r="M872" s="8" t="str">
        <f>'Data cleaning and validation(3)'!M860</f>
        <v>Active</v>
      </c>
      <c r="N872" s="17">
        <f>'Data cleaning and validation(3)'!N860</f>
        <v>1350120</v>
      </c>
      <c r="O872" s="18">
        <f>'Data cleaning and validation(3)'!O860</f>
        <v>11251</v>
      </c>
    </row>
    <row r="873" spans="1:15" x14ac:dyDescent="0.35">
      <c r="A873" s="8">
        <f>'Data cleaning and validation(3)'!A861</f>
        <v>860</v>
      </c>
      <c r="B873" s="8" t="str">
        <f>'Data cleaning and validation(3)'!B861</f>
        <v>Anderson</v>
      </c>
      <c r="C873" s="8" t="str">
        <f>'Data cleaning and validation(3)'!C861</f>
        <v>landersonnv@sakura.ne.jp</v>
      </c>
      <c r="D873" s="8" t="str">
        <f>'Data cleaning and validation(3)'!D861</f>
        <v>M</v>
      </c>
      <c r="E873" s="8" t="str">
        <f>'Data cleaning and validation(3)'!E861</f>
        <v>Sports</v>
      </c>
      <c r="F873" s="15">
        <f>'Data cleaning and validation(3)'!F861</f>
        <v>38347</v>
      </c>
      <c r="G873" s="8">
        <f>'Data cleaning and validation(3)'!G861</f>
        <v>17</v>
      </c>
      <c r="H873" s="19">
        <f>'Data cleaning and validation(3)'!H861</f>
        <v>115009</v>
      </c>
      <c r="I873" s="8" t="str">
        <f>'Data cleaning and validation(3)'!I861</f>
        <v>Structural Engineer</v>
      </c>
      <c r="J873" s="8" t="str">
        <f>'Data cleaning and validation(3)'!J861</f>
        <v>Southwest</v>
      </c>
      <c r="K873" s="8" t="str">
        <f>'Data cleaning and validation(3)'!K861</f>
        <v>USA</v>
      </c>
      <c r="L873" s="8" t="str">
        <f>'Data cleaning and validation(3)'!L861</f>
        <v>Games &amp; Sports</v>
      </c>
      <c r="M873" s="8" t="str">
        <f>'Data cleaning and validation(3)'!M861</f>
        <v>Active</v>
      </c>
      <c r="N873" s="17">
        <f>'Data cleaning and validation(3)'!N861</f>
        <v>1380108</v>
      </c>
      <c r="O873" s="18">
        <f>'Data cleaning and validation(3)'!O861</f>
        <v>11500.900000000001</v>
      </c>
    </row>
    <row r="874" spans="1:15" x14ac:dyDescent="0.35">
      <c r="A874" s="8">
        <f>'Data cleaning and validation(3)'!A862</f>
        <v>861</v>
      </c>
      <c r="B874" s="8" t="str">
        <f>'Data cleaning and validation(3)'!B862</f>
        <v>Foster</v>
      </c>
      <c r="C874" s="8" t="str">
        <f>'Data cleaning and validation(3)'!C862</f>
        <v>kfosternw@a8.net</v>
      </c>
      <c r="D874" s="8" t="str">
        <f>'Data cleaning and validation(3)'!D862</f>
        <v>F</v>
      </c>
      <c r="E874" s="8" t="str">
        <f>'Data cleaning and validation(3)'!E862</f>
        <v>Electronics</v>
      </c>
      <c r="F874" s="15">
        <f>'Data cleaning and validation(3)'!F862</f>
        <v>46143</v>
      </c>
      <c r="G874" s="8">
        <f>'Data cleaning and validation(3)'!G862</f>
        <v>8</v>
      </c>
      <c r="H874" s="19">
        <f>'Data cleaning and validation(3)'!H862</f>
        <v>64381</v>
      </c>
      <c r="I874" s="8" t="str">
        <f>'Data cleaning and validation(3)'!I862</f>
        <v>Professor</v>
      </c>
      <c r="J874" s="8" t="str">
        <f>'Data cleaning and validation(3)'!J862</f>
        <v>Nova Scotia</v>
      </c>
      <c r="K874" s="8" t="str">
        <f>'Data cleaning and validation(3)'!K862</f>
        <v>Canada</v>
      </c>
      <c r="L874" s="8" t="str">
        <f>'Data cleaning and validation(3)'!L862</f>
        <v>Electronic Equipment</v>
      </c>
      <c r="M874" s="8" t="str">
        <f>'Data cleaning and validation(3)'!M862</f>
        <v>Active</v>
      </c>
      <c r="N874" s="17">
        <f>'Data cleaning and validation(3)'!N862</f>
        <v>772572</v>
      </c>
      <c r="O874" s="18">
        <f>'Data cleaning and validation(3)'!O862</f>
        <v>6438.1</v>
      </c>
    </row>
    <row r="875" spans="1:15" x14ac:dyDescent="0.35">
      <c r="A875" s="8">
        <f>'Data cleaning and validation(3)'!A863</f>
        <v>862</v>
      </c>
      <c r="B875" s="8" t="str">
        <f>'Data cleaning and validation(3)'!B863</f>
        <v>Stanley</v>
      </c>
      <c r="C875" s="8" t="str">
        <f>'Data cleaning and validation(3)'!C863</f>
        <v>bstanleynx@phoca.cz</v>
      </c>
      <c r="D875" s="8" t="str">
        <f>'Data cleaning and validation(3)'!D863</f>
        <v>F</v>
      </c>
      <c r="E875" s="8" t="str">
        <f>'Data cleaning and validation(3)'!E863</f>
        <v>Grocery</v>
      </c>
      <c r="F875" s="15">
        <f>'Data cleaning and validation(3)'!F863</f>
        <v>36932</v>
      </c>
      <c r="G875" s="8">
        <f>'Data cleaning and validation(3)'!G863</f>
        <v>20</v>
      </c>
      <c r="H875" s="19">
        <f>'Data cleaning and validation(3)'!H863</f>
        <v>149929</v>
      </c>
      <c r="I875" s="8" t="str">
        <f>'Data cleaning and validation(3)'!I863</f>
        <v>Director of Sales</v>
      </c>
      <c r="J875" s="8" t="str">
        <f>'Data cleaning and validation(3)'!J863</f>
        <v>Quebec</v>
      </c>
      <c r="K875" s="8" t="str">
        <f>'Data cleaning and validation(3)'!K863</f>
        <v>Canada</v>
      </c>
      <c r="L875" s="8" t="str">
        <f>'Data cleaning and validation(3)'!L863</f>
        <v>Domestic</v>
      </c>
      <c r="M875" s="8" t="str">
        <f>'Data cleaning and validation(3)'!M863</f>
        <v>Active</v>
      </c>
      <c r="N875" s="17">
        <f>'Data cleaning and validation(3)'!N863</f>
        <v>1799148</v>
      </c>
      <c r="O875" s="18">
        <f>'Data cleaning and validation(3)'!O863</f>
        <v>14992.900000000001</v>
      </c>
    </row>
    <row r="876" spans="1:15" x14ac:dyDescent="0.35">
      <c r="A876" s="8">
        <f>'Data cleaning and validation(3)'!A864</f>
        <v>863</v>
      </c>
      <c r="B876" s="8" t="str">
        <f>'Data cleaning and validation(3)'!B864</f>
        <v>Gonzales</v>
      </c>
      <c r="C876" s="8" t="str">
        <f>'Data cleaning and validation(3)'!C864</f>
        <v>fgonzalesny@squarespace.com</v>
      </c>
      <c r="D876" s="8" t="str">
        <f>'Data cleaning and validation(3)'!D864</f>
        <v>F</v>
      </c>
      <c r="E876" s="8" t="str">
        <f>'Data cleaning and validation(3)'!E864</f>
        <v>Automotive</v>
      </c>
      <c r="F876" s="15">
        <f>'Data cleaning and validation(3)'!F864</f>
        <v>37141</v>
      </c>
      <c r="G876" s="8">
        <f>'Data cleaning and validation(3)'!G864</f>
        <v>20</v>
      </c>
      <c r="H876" s="19">
        <f>'Data cleaning and validation(3)'!H864</f>
        <v>101006</v>
      </c>
      <c r="I876" s="8" t="str">
        <f>'Data cleaning and validation(3)'!I864</f>
        <v>Sales Associate</v>
      </c>
      <c r="J876" s="8" t="str">
        <f>'Data cleaning and validation(3)'!J864</f>
        <v>Southeast</v>
      </c>
      <c r="K876" s="8" t="str">
        <f>'Data cleaning and validation(3)'!K864</f>
        <v>USA</v>
      </c>
      <c r="L876" s="8" t="str">
        <f>'Data cleaning and validation(3)'!L864</f>
        <v>Auto &amp; Hardware</v>
      </c>
      <c r="M876" s="8" t="str">
        <f>'Data cleaning and validation(3)'!M864</f>
        <v>Active</v>
      </c>
      <c r="N876" s="17">
        <f>'Data cleaning and validation(3)'!N864</f>
        <v>1212072</v>
      </c>
      <c r="O876" s="18">
        <f>'Data cleaning and validation(3)'!O864</f>
        <v>10100.6</v>
      </c>
    </row>
    <row r="877" spans="1:15" x14ac:dyDescent="0.35">
      <c r="A877" s="8">
        <f>'Data cleaning and validation(3)'!A865</f>
        <v>864</v>
      </c>
      <c r="B877" s="8" t="str">
        <f>'Data cleaning and validation(3)'!B865</f>
        <v>Jones</v>
      </c>
      <c r="C877" s="8" t="str">
        <f>'Data cleaning and validation(3)'!C865</f>
        <v>sjonesnz@chron.com</v>
      </c>
      <c r="D877" s="8" t="str">
        <f>'Data cleaning and validation(3)'!D865</f>
        <v>F</v>
      </c>
      <c r="E877" s="8" t="str">
        <f>'Data cleaning and validation(3)'!E865</f>
        <v>Beauty</v>
      </c>
      <c r="F877" s="15">
        <f>'Data cleaning and validation(3)'!F865</f>
        <v>46266</v>
      </c>
      <c r="G877" s="8">
        <f>'Data cleaning and validation(3)'!G865</f>
        <v>8</v>
      </c>
      <c r="H877" s="19">
        <f>'Data cleaning and validation(3)'!H865</f>
        <v>47716</v>
      </c>
      <c r="I877" s="8" t="str">
        <f>'Data cleaning and validation(3)'!I865</f>
        <v>Quality Engineer</v>
      </c>
      <c r="J877" s="8" t="str">
        <f>'Data cleaning and validation(3)'!J865</f>
        <v>Southeast</v>
      </c>
      <c r="K877" s="8" t="str">
        <f>'Data cleaning and validation(3)'!K865</f>
        <v>USA</v>
      </c>
      <c r="L877" s="8" t="str">
        <f>'Data cleaning and validation(3)'!L865</f>
        <v>Domestic</v>
      </c>
      <c r="M877" s="8" t="str">
        <f>'Data cleaning and validation(3)'!M865</f>
        <v>Active</v>
      </c>
      <c r="N877" s="17">
        <f>'Data cleaning and validation(3)'!N865</f>
        <v>572592</v>
      </c>
      <c r="O877" s="18">
        <f>'Data cleaning and validation(3)'!O865</f>
        <v>4771.6000000000004</v>
      </c>
    </row>
    <row r="878" spans="1:15" x14ac:dyDescent="0.35">
      <c r="A878" s="8">
        <f>'Data cleaning and validation(3)'!A866</f>
        <v>865</v>
      </c>
      <c r="B878" s="8" t="str">
        <f>'Data cleaning and validation(3)'!B866</f>
        <v>Dixon</v>
      </c>
      <c r="C878" s="8" t="str">
        <f>'Data cleaning and validation(3)'!C866</f>
        <v>mdixono0@cbc.ca</v>
      </c>
      <c r="D878" s="8" t="str">
        <f>'Data cleaning and validation(3)'!D866</f>
        <v>F</v>
      </c>
      <c r="E878" s="8" t="str">
        <f>'Data cleaning and validation(3)'!E866</f>
        <v>Sports</v>
      </c>
      <c r="F878" s="15">
        <f>'Data cleaning and validation(3)'!F866</f>
        <v>44559</v>
      </c>
      <c r="G878" s="8">
        <f>'Data cleaning and validation(3)'!G866</f>
        <v>13</v>
      </c>
      <c r="H878" s="19">
        <f>'Data cleaning and validation(3)'!H866</f>
        <v>126420</v>
      </c>
      <c r="I878" s="8" t="str">
        <f>'Data cleaning and validation(3)'!I866</f>
        <v>Structural Analysis Engineer</v>
      </c>
      <c r="J878" s="8" t="str">
        <f>'Data cleaning and validation(3)'!J866</f>
        <v>Quebec</v>
      </c>
      <c r="K878" s="8" t="str">
        <f>'Data cleaning and validation(3)'!K866</f>
        <v>Canada</v>
      </c>
      <c r="L878" s="8" t="str">
        <f>'Data cleaning and validation(3)'!L866</f>
        <v>Games &amp; Sports</v>
      </c>
      <c r="M878" s="8" t="str">
        <f>'Data cleaning and validation(3)'!M866</f>
        <v>Active</v>
      </c>
      <c r="N878" s="17">
        <f>'Data cleaning and validation(3)'!N866</f>
        <v>1517040</v>
      </c>
      <c r="O878" s="18">
        <f>'Data cleaning and validation(3)'!O866</f>
        <v>12642</v>
      </c>
    </row>
    <row r="879" spans="1:15" x14ac:dyDescent="0.35">
      <c r="A879" s="8">
        <f>'Data cleaning and validation(3)'!A867</f>
        <v>866</v>
      </c>
      <c r="B879" s="8" t="str">
        <f>'Data cleaning and validation(3)'!B867</f>
        <v>Kelly</v>
      </c>
      <c r="C879" s="8" t="str">
        <f>'Data cleaning and validation(3)'!C867</f>
        <v>jkellyo1@ameblo.jp</v>
      </c>
      <c r="D879" s="8" t="str">
        <f>'Data cleaning and validation(3)'!D867</f>
        <v>F</v>
      </c>
      <c r="E879" s="8" t="str">
        <f>'Data cleaning and validation(3)'!E867</f>
        <v>Sports</v>
      </c>
      <c r="F879" s="15">
        <f>'Data cleaning and validation(3)'!F867</f>
        <v>45536</v>
      </c>
      <c r="G879" s="8">
        <f>'Data cleaning and validation(3)'!G867</f>
        <v>10</v>
      </c>
      <c r="H879" s="19">
        <f>'Data cleaning and validation(3)'!H867</f>
        <v>55265</v>
      </c>
      <c r="I879" s="8" t="str">
        <f>'Data cleaning and validation(3)'!I867</f>
        <v>Paralegal</v>
      </c>
      <c r="J879" s="8" t="str">
        <f>'Data cleaning and validation(3)'!J867</f>
        <v>Northeast</v>
      </c>
      <c r="K879" s="8" t="str">
        <f>'Data cleaning and validation(3)'!K867</f>
        <v>USA</v>
      </c>
      <c r="L879" s="8" t="str">
        <f>'Data cleaning and validation(3)'!L867</f>
        <v>Games &amp; Sports</v>
      </c>
      <c r="M879" s="8" t="str">
        <f>'Data cleaning and validation(3)'!M867</f>
        <v>Active</v>
      </c>
      <c r="N879" s="17">
        <f>'Data cleaning and validation(3)'!N867</f>
        <v>663180</v>
      </c>
      <c r="O879" s="18">
        <f>'Data cleaning and validation(3)'!O867</f>
        <v>5526.5</v>
      </c>
    </row>
    <row r="880" spans="1:15" x14ac:dyDescent="0.35">
      <c r="A880" s="8">
        <f>'Data cleaning and validation(3)'!A868</f>
        <v>867</v>
      </c>
      <c r="B880" s="8" t="str">
        <f>'Data cleaning and validation(3)'!B868</f>
        <v>Johnson</v>
      </c>
      <c r="C880" s="8" t="str">
        <f>'Data cleaning and validation(3)'!C868</f>
        <v>bjohnsono2@toplist.cz</v>
      </c>
      <c r="D880" s="8" t="str">
        <f>'Data cleaning and validation(3)'!D868</f>
        <v>F</v>
      </c>
      <c r="E880" s="8" t="str">
        <f>'Data cleaning and validation(3)'!E868</f>
        <v>Books</v>
      </c>
      <c r="F880" s="15">
        <f>'Data cleaning and validation(3)'!F868</f>
        <v>45734</v>
      </c>
      <c r="G880" s="8">
        <f>'Data cleaning and validation(3)'!G868</f>
        <v>9</v>
      </c>
      <c r="H880" s="19">
        <f>'Data cleaning and validation(3)'!H868</f>
        <v>95679</v>
      </c>
      <c r="I880" s="8" t="str">
        <f>'Data cleaning and validation(3)'!I868</f>
        <v>Associate Professor</v>
      </c>
      <c r="J880" s="8" t="str">
        <f>'Data cleaning and validation(3)'!J868</f>
        <v>Northwest</v>
      </c>
      <c r="K880" s="8" t="str">
        <f>'Data cleaning and validation(3)'!K868</f>
        <v>USA</v>
      </c>
      <c r="L880" s="8" t="str">
        <f>'Data cleaning and validation(3)'!L868</f>
        <v>Library</v>
      </c>
      <c r="M880" s="8" t="str">
        <f>'Data cleaning and validation(3)'!M868</f>
        <v>Active</v>
      </c>
      <c r="N880" s="17">
        <f>'Data cleaning and validation(3)'!N868</f>
        <v>1148148</v>
      </c>
      <c r="O880" s="18">
        <f>'Data cleaning and validation(3)'!O868</f>
        <v>9567.9</v>
      </c>
    </row>
    <row r="881" spans="1:15" x14ac:dyDescent="0.35">
      <c r="A881" s="8">
        <f>'Data cleaning and validation(3)'!A869</f>
        <v>868</v>
      </c>
      <c r="B881" s="8" t="str">
        <f>'Data cleaning and validation(3)'!B869</f>
        <v>Price</v>
      </c>
      <c r="C881" s="8" t="str">
        <f>'Data cleaning and validation(3)'!C869</f>
        <v>jpriceo3@google.it</v>
      </c>
      <c r="D881" s="8" t="str">
        <f>'Data cleaning and validation(3)'!D869</f>
        <v>M</v>
      </c>
      <c r="E881" s="8" t="str">
        <f>'Data cleaning and validation(3)'!E869</f>
        <v>Movies</v>
      </c>
      <c r="F881" s="15">
        <f>'Data cleaning and validation(3)'!F869</f>
        <v>37645</v>
      </c>
      <c r="G881" s="8">
        <f>'Data cleaning and validation(3)'!G869</f>
        <v>18</v>
      </c>
      <c r="H881" s="19">
        <f>'Data cleaning and validation(3)'!H869</f>
        <v>52612</v>
      </c>
      <c r="I881" s="8" t="str">
        <f>'Data cleaning and validation(3)'!I869</f>
        <v>Analyst Programmer</v>
      </c>
      <c r="J881" s="8" t="str">
        <f>'Data cleaning and validation(3)'!J869</f>
        <v>Nova Scotia</v>
      </c>
      <c r="K881" s="8" t="str">
        <f>'Data cleaning and validation(3)'!K869</f>
        <v>Canada</v>
      </c>
      <c r="L881" s="8" t="str">
        <f>'Data cleaning and validation(3)'!L869</f>
        <v>Entertainment</v>
      </c>
      <c r="M881" s="8" t="str">
        <f>'Data cleaning and validation(3)'!M869</f>
        <v>Active</v>
      </c>
      <c r="N881" s="17">
        <f>'Data cleaning and validation(3)'!N869</f>
        <v>631344</v>
      </c>
      <c r="O881" s="18">
        <f>'Data cleaning and validation(3)'!O869</f>
        <v>5261.2000000000007</v>
      </c>
    </row>
    <row r="882" spans="1:15" x14ac:dyDescent="0.35">
      <c r="A882" s="8">
        <f>'Data cleaning and validation(3)'!A870</f>
        <v>869</v>
      </c>
      <c r="B882" s="8" t="str">
        <f>'Data cleaning and validation(3)'!B870</f>
        <v>Turner</v>
      </c>
      <c r="C882" s="8" t="str">
        <f>'Data cleaning and validation(3)'!C870</f>
        <v>pturnero4@tamu.edu</v>
      </c>
      <c r="D882" s="8" t="str">
        <f>'Data cleaning and validation(3)'!D870</f>
        <v>F</v>
      </c>
      <c r="E882" s="8" t="str">
        <f>'Data cleaning and validation(3)'!E870</f>
        <v>Shoes</v>
      </c>
      <c r="F882" s="15">
        <f>'Data cleaning and validation(3)'!F870</f>
        <v>45270</v>
      </c>
      <c r="G882" s="8">
        <f>'Data cleaning and validation(3)'!G870</f>
        <v>11</v>
      </c>
      <c r="H882" s="19">
        <f>'Data cleaning and validation(3)'!H870</f>
        <v>130849</v>
      </c>
      <c r="I882" s="8" t="str">
        <f>'Data cleaning and validation(3)'!I870</f>
        <v>Desktop Support Technician</v>
      </c>
      <c r="J882" s="8" t="str">
        <f>'Data cleaning and validation(3)'!J870</f>
        <v>British Columbia</v>
      </c>
      <c r="K882" s="8" t="str">
        <f>'Data cleaning and validation(3)'!K870</f>
        <v>Canada</v>
      </c>
      <c r="L882" s="8" t="str">
        <f>'Data cleaning and validation(3)'!L870</f>
        <v>Domestic</v>
      </c>
      <c r="M882" s="8" t="str">
        <f>'Data cleaning and validation(3)'!M870</f>
        <v>Active</v>
      </c>
      <c r="N882" s="17">
        <f>'Data cleaning and validation(3)'!N870</f>
        <v>1570188</v>
      </c>
      <c r="O882" s="18">
        <f>'Data cleaning and validation(3)'!O870</f>
        <v>13084.900000000001</v>
      </c>
    </row>
    <row r="883" spans="1:15" x14ac:dyDescent="0.35">
      <c r="A883" s="8">
        <f>'Data cleaning and validation(3)'!A871</f>
        <v>870</v>
      </c>
      <c r="B883" s="8" t="str">
        <f>'Data cleaning and validation(3)'!B871</f>
        <v>Howard</v>
      </c>
      <c r="C883" s="8" t="str">
        <f>'Data cleaning and validation(3)'!C871</f>
        <v>ghowardo5@ow.ly</v>
      </c>
      <c r="D883" s="8" t="str">
        <f>'Data cleaning and validation(3)'!D871</f>
        <v>M</v>
      </c>
      <c r="E883" s="8" t="str">
        <f>'Data cleaning and validation(3)'!E871</f>
        <v>Outdoors</v>
      </c>
      <c r="F883" s="15">
        <f>'Data cleaning and validation(3)'!F871</f>
        <v>38950</v>
      </c>
      <c r="G883" s="8">
        <f>'Data cleaning and validation(3)'!G871</f>
        <v>15</v>
      </c>
      <c r="H883" s="19">
        <f>'Data cleaning and validation(3)'!H871</f>
        <v>141753</v>
      </c>
      <c r="I883" s="8" t="str">
        <f>'Data cleaning and validation(3)'!I871</f>
        <v>Assistant Professor</v>
      </c>
      <c r="J883" s="8" t="str">
        <f>'Data cleaning and validation(3)'!J871</f>
        <v>Northwest</v>
      </c>
      <c r="K883" s="8" t="str">
        <f>'Data cleaning and validation(3)'!K871</f>
        <v>USA</v>
      </c>
      <c r="L883" s="8" t="str">
        <f>'Data cleaning and validation(3)'!L871</f>
        <v>Outdoors &amp; Garden</v>
      </c>
      <c r="M883" s="8" t="str">
        <f>'Data cleaning and validation(3)'!M871</f>
        <v>Active</v>
      </c>
      <c r="N883" s="17">
        <f>'Data cleaning and validation(3)'!N871</f>
        <v>1701036</v>
      </c>
      <c r="O883" s="18">
        <f>'Data cleaning and validation(3)'!O871</f>
        <v>14175.300000000001</v>
      </c>
    </row>
    <row r="884" spans="1:15" x14ac:dyDescent="0.35">
      <c r="A884" s="8">
        <f>'Data cleaning and validation(3)'!A872</f>
        <v>871</v>
      </c>
      <c r="B884" s="8" t="str">
        <f>'Data cleaning and validation(3)'!B872</f>
        <v>Hanson</v>
      </c>
      <c r="C884" s="8" t="str">
        <f>'Data cleaning and validation(3)'!C872</f>
        <v>thansono6@paginegialle.it</v>
      </c>
      <c r="D884" s="8" t="str">
        <f>'Data cleaning and validation(3)'!D872</f>
        <v>M</v>
      </c>
      <c r="E884" s="8" t="str">
        <f>'Data cleaning and validation(3)'!E872</f>
        <v>Health</v>
      </c>
      <c r="F884" s="15">
        <f>'Data cleaning and validation(3)'!F872</f>
        <v>39321</v>
      </c>
      <c r="G884" s="8">
        <f>'Data cleaning and validation(3)'!G872</f>
        <v>14</v>
      </c>
      <c r="H884" s="19">
        <f>'Data cleaning and validation(3)'!H872</f>
        <v>133492</v>
      </c>
      <c r="I884" s="8" t="str">
        <f>'Data cleaning and validation(3)'!I872</f>
        <v>Accountant II</v>
      </c>
      <c r="J884" s="8" t="str">
        <f>'Data cleaning and validation(3)'!J872</f>
        <v>Northwest</v>
      </c>
      <c r="K884" s="8" t="str">
        <f>'Data cleaning and validation(3)'!K872</f>
        <v>USA</v>
      </c>
      <c r="L884" s="8" t="str">
        <f>'Data cleaning and validation(3)'!L872</f>
        <v>Domestic</v>
      </c>
      <c r="M884" s="8" t="str">
        <f>'Data cleaning and validation(3)'!M872</f>
        <v>Active</v>
      </c>
      <c r="N884" s="17">
        <f>'Data cleaning and validation(3)'!N872</f>
        <v>1601904</v>
      </c>
      <c r="O884" s="18">
        <f>'Data cleaning and validation(3)'!O872</f>
        <v>13349.2</v>
      </c>
    </row>
    <row r="885" spans="1:15" x14ac:dyDescent="0.35">
      <c r="A885" s="8">
        <f>'Data cleaning and validation(3)'!A873</f>
        <v>872</v>
      </c>
      <c r="B885" s="8" t="str">
        <f>'Data cleaning and validation(3)'!B873</f>
        <v>Hall</v>
      </c>
      <c r="C885" s="8" t="str">
        <f>'Data cleaning and validation(3)'!C873</f>
        <v>thallo7@hud.gov</v>
      </c>
      <c r="D885" s="8" t="str">
        <f>'Data cleaning and validation(3)'!D873</f>
        <v>M</v>
      </c>
      <c r="E885" s="8" t="str">
        <f>'Data cleaning and validation(3)'!E873</f>
        <v>Kids</v>
      </c>
      <c r="F885" s="15">
        <f>'Data cleaning and validation(3)'!F873</f>
        <v>38349</v>
      </c>
      <c r="G885" s="8">
        <f>'Data cleaning and validation(3)'!G873</f>
        <v>17</v>
      </c>
      <c r="H885" s="19">
        <f>'Data cleaning and validation(3)'!H873</f>
        <v>112126</v>
      </c>
      <c r="I885" s="8" t="str">
        <f>'Data cleaning and validation(3)'!I873</f>
        <v>Information Systems Manager</v>
      </c>
      <c r="J885" s="8" t="str">
        <f>'Data cleaning and validation(3)'!J873</f>
        <v>Northwest</v>
      </c>
      <c r="K885" s="8" t="str">
        <f>'Data cleaning and validation(3)'!K873</f>
        <v>USA</v>
      </c>
      <c r="L885" s="8" t="str">
        <f>'Data cleaning and validation(3)'!L873</f>
        <v>Domestic</v>
      </c>
      <c r="M885" s="8" t="str">
        <f>'Data cleaning and validation(3)'!M873</f>
        <v>Active</v>
      </c>
      <c r="N885" s="17">
        <f>'Data cleaning and validation(3)'!N873</f>
        <v>1345512</v>
      </c>
      <c r="O885" s="18">
        <f>'Data cleaning and validation(3)'!O873</f>
        <v>11212.6</v>
      </c>
    </row>
    <row r="886" spans="1:15" x14ac:dyDescent="0.35">
      <c r="A886" s="8">
        <f>'Data cleaning and validation(3)'!A874</f>
        <v>873</v>
      </c>
      <c r="B886" s="8" t="str">
        <f>'Data cleaning and validation(3)'!B874</f>
        <v>Alexander</v>
      </c>
      <c r="C886" s="8" t="str">
        <f>'Data cleaning and validation(3)'!C874</f>
        <v>aalexandero8@histats.com</v>
      </c>
      <c r="D886" s="8" t="str">
        <f>'Data cleaning and validation(3)'!D874</f>
        <v>F</v>
      </c>
      <c r="E886" s="8" t="str">
        <f>'Data cleaning and validation(3)'!E874</f>
        <v>Toys</v>
      </c>
      <c r="F886" s="15">
        <f>'Data cleaning and validation(3)'!F874</f>
        <v>38903</v>
      </c>
      <c r="G886" s="8">
        <f>'Data cleaning and validation(3)'!G874</f>
        <v>15</v>
      </c>
      <c r="H886" s="19">
        <f>'Data cleaning and validation(3)'!H874</f>
        <v>140078</v>
      </c>
      <c r="I886" s="8" t="str">
        <f>'Data cleaning and validation(3)'!I874</f>
        <v>Environmental Specialist</v>
      </c>
      <c r="J886" s="8" t="str">
        <f>'Data cleaning and validation(3)'!J874</f>
        <v>Northwest</v>
      </c>
      <c r="K886" s="8" t="str">
        <f>'Data cleaning and validation(3)'!K874</f>
        <v>USA</v>
      </c>
      <c r="L886" s="8" t="str">
        <f>'Data cleaning and validation(3)'!L874</f>
        <v>Games &amp; Sports</v>
      </c>
      <c r="M886" s="8" t="str">
        <f>'Data cleaning and validation(3)'!M874</f>
        <v>Active</v>
      </c>
      <c r="N886" s="17">
        <f>'Data cleaning and validation(3)'!N874</f>
        <v>1680936</v>
      </c>
      <c r="O886" s="18">
        <f>'Data cleaning and validation(3)'!O874</f>
        <v>14007.800000000001</v>
      </c>
    </row>
    <row r="887" spans="1:15" x14ac:dyDescent="0.35">
      <c r="A887" s="8">
        <f>'Data cleaning and validation(3)'!A875</f>
        <v>874</v>
      </c>
      <c r="B887" s="8" t="str">
        <f>'Data cleaning and validation(3)'!B875</f>
        <v>Spencer</v>
      </c>
      <c r="C887" s="8" t="str">
        <f>'Data cleaning and validation(3)'!C875</f>
        <v>kspencero9@eventbrite.com</v>
      </c>
      <c r="D887" s="8" t="str">
        <f>'Data cleaning and validation(3)'!D875</f>
        <v>M</v>
      </c>
      <c r="E887" s="8" t="str">
        <f>'Data cleaning and validation(3)'!E875</f>
        <v>Books</v>
      </c>
      <c r="F887" s="15">
        <f>'Data cleaning and validation(3)'!F875</f>
        <v>41181</v>
      </c>
      <c r="G887" s="8">
        <f>'Data cleaning and validation(3)'!G875</f>
        <v>9</v>
      </c>
      <c r="H887" s="19">
        <f>'Data cleaning and validation(3)'!H875</f>
        <v>119769</v>
      </c>
      <c r="I887" s="8" t="str">
        <f>'Data cleaning and validation(3)'!I875</f>
        <v>Director of Sales</v>
      </c>
      <c r="J887" s="8" t="str">
        <f>'Data cleaning and validation(3)'!J875</f>
        <v>Southeast</v>
      </c>
      <c r="K887" s="8" t="str">
        <f>'Data cleaning and validation(3)'!K875</f>
        <v>USA</v>
      </c>
      <c r="L887" s="8" t="str">
        <f>'Data cleaning and validation(3)'!L875</f>
        <v>Library</v>
      </c>
      <c r="M887" s="8" t="str">
        <f>'Data cleaning and validation(3)'!M875</f>
        <v>Active</v>
      </c>
      <c r="N887" s="17">
        <f>'Data cleaning and validation(3)'!N875</f>
        <v>1437228</v>
      </c>
      <c r="O887" s="18">
        <f>'Data cleaning and validation(3)'!O875</f>
        <v>11976.900000000001</v>
      </c>
    </row>
    <row r="888" spans="1:15" x14ac:dyDescent="0.35">
      <c r="A888" s="8">
        <f>'Data cleaning and validation(3)'!A876</f>
        <v>875</v>
      </c>
      <c r="B888" s="8" t="str">
        <f>'Data cleaning and validation(3)'!B876</f>
        <v>Jenkins</v>
      </c>
      <c r="C888" s="8" t="str">
        <f>'Data cleaning and validation(3)'!C876</f>
        <v>rjenkinsoa@answers.com</v>
      </c>
      <c r="D888" s="8" t="str">
        <f>'Data cleaning and validation(3)'!D876</f>
        <v>F</v>
      </c>
      <c r="E888" s="8" t="str">
        <f>'Data cleaning and validation(3)'!E876</f>
        <v>Health</v>
      </c>
      <c r="F888" s="15">
        <f>'Data cleaning and validation(3)'!F876</f>
        <v>43876</v>
      </c>
      <c r="G888" s="8">
        <f>'Data cleaning and validation(3)'!G876</f>
        <v>14</v>
      </c>
      <c r="H888" s="19">
        <f>'Data cleaning and validation(3)'!H876</f>
        <v>115911</v>
      </c>
      <c r="I888" s="8" t="str">
        <f>'Data cleaning and validation(3)'!I876</f>
        <v>Civil Engineer</v>
      </c>
      <c r="J888" s="8" t="str">
        <f>'Data cleaning and validation(3)'!J876</f>
        <v>Nova Scotia</v>
      </c>
      <c r="K888" s="8" t="str">
        <f>'Data cleaning and validation(3)'!K876</f>
        <v>Canada</v>
      </c>
      <c r="L888" s="8" t="str">
        <f>'Data cleaning and validation(3)'!L876</f>
        <v>Domestic</v>
      </c>
      <c r="M888" s="8" t="str">
        <f>'Data cleaning and validation(3)'!M876</f>
        <v>Active</v>
      </c>
      <c r="N888" s="17">
        <f>'Data cleaning and validation(3)'!N876</f>
        <v>1390932</v>
      </c>
      <c r="O888" s="18">
        <f>'Data cleaning and validation(3)'!O876</f>
        <v>11591.1</v>
      </c>
    </row>
    <row r="889" spans="1:15" x14ac:dyDescent="0.35">
      <c r="A889" s="8">
        <f>'Data cleaning and validation(3)'!A877</f>
        <v>876</v>
      </c>
      <c r="B889" s="8" t="str">
        <f>'Data cleaning and validation(3)'!B877</f>
        <v>Montgomery</v>
      </c>
      <c r="C889" s="8" t="str">
        <f>'Data cleaning and validation(3)'!C877</f>
        <v>amontgomeryob@dmoz.org</v>
      </c>
      <c r="D889" s="8" t="str">
        <f>'Data cleaning and validation(3)'!D877</f>
        <v>M</v>
      </c>
      <c r="E889" s="8" t="str">
        <f>'Data cleaning and validation(3)'!E877</f>
        <v>Shoes</v>
      </c>
      <c r="F889" s="15">
        <f>'Data cleaning and validation(3)'!F877</f>
        <v>37977</v>
      </c>
      <c r="G889" s="8">
        <f>'Data cleaning and validation(3)'!G877</f>
        <v>18</v>
      </c>
      <c r="H889" s="19">
        <f>'Data cleaning and validation(3)'!H877</f>
        <v>75676</v>
      </c>
      <c r="I889" s="8" t="str">
        <f>'Data cleaning and validation(3)'!I877</f>
        <v>Recruiting Manager</v>
      </c>
      <c r="J889" s="8" t="str">
        <f>'Data cleaning and validation(3)'!J877</f>
        <v>Northwest</v>
      </c>
      <c r="K889" s="8" t="str">
        <f>'Data cleaning and validation(3)'!K877</f>
        <v>USA</v>
      </c>
      <c r="L889" s="8" t="str">
        <f>'Data cleaning and validation(3)'!L877</f>
        <v>Domestic</v>
      </c>
      <c r="M889" s="8" t="str">
        <f>'Data cleaning and validation(3)'!M877</f>
        <v>Active</v>
      </c>
      <c r="N889" s="17">
        <f>'Data cleaning and validation(3)'!N877</f>
        <v>908112</v>
      </c>
      <c r="O889" s="18">
        <f>'Data cleaning and validation(3)'!O877</f>
        <v>7567.6</v>
      </c>
    </row>
    <row r="890" spans="1:15" x14ac:dyDescent="0.35">
      <c r="A890" s="8">
        <f>'Data cleaning and validation(3)'!A878</f>
        <v>877</v>
      </c>
      <c r="B890" s="8" t="str">
        <f>'Data cleaning and validation(3)'!B878</f>
        <v>Webb</v>
      </c>
      <c r="C890" s="8" t="str">
        <f>'Data cleaning and validation(3)'!C878</f>
        <v>rwebboc@a8.net</v>
      </c>
      <c r="D890" s="8" t="str">
        <f>'Data cleaning and validation(3)'!D878</f>
        <v>M</v>
      </c>
      <c r="E890" s="8" t="str">
        <f>'Data cleaning and validation(3)'!E878</f>
        <v>Outdoors</v>
      </c>
      <c r="F890" s="15">
        <f>'Data cleaning and validation(3)'!F878</f>
        <v>38455</v>
      </c>
      <c r="G890" s="8">
        <f>'Data cleaning and validation(3)'!G878</f>
        <v>16</v>
      </c>
      <c r="H890" s="19">
        <f>'Data cleaning and validation(3)'!H878</f>
        <v>144932</v>
      </c>
      <c r="I890" s="8" t="str">
        <f>'Data cleaning and validation(3)'!I878</f>
        <v>Marketing Assistant</v>
      </c>
      <c r="J890" s="8" t="str">
        <f>'Data cleaning and validation(3)'!J878</f>
        <v>Southwest</v>
      </c>
      <c r="K890" s="8" t="str">
        <f>'Data cleaning and validation(3)'!K878</f>
        <v>USA</v>
      </c>
      <c r="L890" s="8" t="str">
        <f>'Data cleaning and validation(3)'!L878</f>
        <v>Outdoors &amp; Garden</v>
      </c>
      <c r="M890" s="8" t="str">
        <f>'Data cleaning and validation(3)'!M878</f>
        <v>Active</v>
      </c>
      <c r="N890" s="17">
        <f>'Data cleaning and validation(3)'!N878</f>
        <v>1739184</v>
      </c>
      <c r="O890" s="18">
        <f>'Data cleaning and validation(3)'!O878</f>
        <v>14493.2</v>
      </c>
    </row>
    <row r="891" spans="1:15" x14ac:dyDescent="0.35">
      <c r="A891" s="8">
        <f>'Data cleaning and validation(3)'!A879</f>
        <v>878</v>
      </c>
      <c r="B891" s="8" t="str">
        <f>'Data cleaning and validation(3)'!B879</f>
        <v>Williamson</v>
      </c>
      <c r="C891" s="8" t="str">
        <f>'Data cleaning and validation(3)'!C879</f>
        <v>pwilliamsonod@utexas.edu</v>
      </c>
      <c r="D891" s="8" t="str">
        <f>'Data cleaning and validation(3)'!D879</f>
        <v>M</v>
      </c>
      <c r="E891" s="8" t="str">
        <f>'Data cleaning and validation(3)'!E879</f>
        <v>Industrial</v>
      </c>
      <c r="F891" s="15">
        <f>'Data cleaning and validation(3)'!F879</f>
        <v>40476</v>
      </c>
      <c r="G891" s="8">
        <f>'Data cleaning and validation(3)'!G879</f>
        <v>11</v>
      </c>
      <c r="H891" s="19">
        <f>'Data cleaning and validation(3)'!H879</f>
        <v>80102</v>
      </c>
      <c r="I891" s="8" t="str">
        <f>'Data cleaning and validation(3)'!I879</f>
        <v>Graphic Designer</v>
      </c>
      <c r="J891" s="8" t="str">
        <f>'Data cleaning and validation(3)'!J879</f>
        <v>Southeast</v>
      </c>
      <c r="K891" s="8" t="str">
        <f>'Data cleaning and validation(3)'!K879</f>
        <v>USA</v>
      </c>
      <c r="L891" s="8" t="str">
        <f>'Data cleaning and validation(3)'!L879</f>
        <v>Auto &amp; Hardware</v>
      </c>
      <c r="M891" s="8" t="str">
        <f>'Data cleaning and validation(3)'!M879</f>
        <v>Active</v>
      </c>
      <c r="N891" s="17">
        <f>'Data cleaning and validation(3)'!N879</f>
        <v>961224</v>
      </c>
      <c r="O891" s="18">
        <f>'Data cleaning and validation(3)'!O879</f>
        <v>8010.2000000000007</v>
      </c>
    </row>
    <row r="892" spans="1:15" x14ac:dyDescent="0.35">
      <c r="A892" s="8">
        <f>'Data cleaning and validation(3)'!A880</f>
        <v>879</v>
      </c>
      <c r="B892" s="8" t="str">
        <f>'Data cleaning and validation(3)'!B880</f>
        <v>Hill</v>
      </c>
      <c r="C892" s="8" t="str">
        <f>'Data cleaning and validation(3)'!C880</f>
        <v>shilloe@ft.com</v>
      </c>
      <c r="D892" s="8" t="str">
        <f>'Data cleaning and validation(3)'!D880</f>
        <v>M</v>
      </c>
      <c r="E892" s="8" t="str">
        <f>'Data cleaning and validation(3)'!E880</f>
        <v>Tools</v>
      </c>
      <c r="F892" s="15">
        <f>'Data cleaning and validation(3)'!F880</f>
        <v>40819</v>
      </c>
      <c r="G892" s="8">
        <f>'Data cleaning and validation(3)'!G880</f>
        <v>10</v>
      </c>
      <c r="H892" s="19">
        <f>'Data cleaning and validation(3)'!H880</f>
        <v>144661</v>
      </c>
      <c r="I892" s="8" t="str">
        <f>'Data cleaning and validation(3)'!I880</f>
        <v>Registered Nurse</v>
      </c>
      <c r="J892" s="8" t="str">
        <f>'Data cleaning and validation(3)'!J880</f>
        <v>Northwest</v>
      </c>
      <c r="K892" s="8" t="str">
        <f>'Data cleaning and validation(3)'!K880</f>
        <v>USA</v>
      </c>
      <c r="L892" s="8" t="str">
        <f>'Data cleaning and validation(3)'!L880</f>
        <v>Auto &amp; Hardware</v>
      </c>
      <c r="M892" s="8" t="str">
        <f>'Data cleaning and validation(3)'!M880</f>
        <v>Active</v>
      </c>
      <c r="N892" s="17">
        <f>'Data cleaning and validation(3)'!N880</f>
        <v>1735932</v>
      </c>
      <c r="O892" s="18">
        <f>'Data cleaning and validation(3)'!O880</f>
        <v>14466.1</v>
      </c>
    </row>
    <row r="893" spans="1:15" x14ac:dyDescent="0.35">
      <c r="A893" s="8">
        <f>'Data cleaning and validation(3)'!A881</f>
        <v>880</v>
      </c>
      <c r="B893" s="8" t="str">
        <f>'Data cleaning and validation(3)'!B881</f>
        <v>Grant</v>
      </c>
      <c r="C893" s="8" t="str">
        <f>'Data cleaning and validation(3)'!C881</f>
        <v>kgrantof@phoca.cz</v>
      </c>
      <c r="D893" s="8" t="str">
        <f>'Data cleaning and validation(3)'!D881</f>
        <v>F</v>
      </c>
      <c r="E893" s="8" t="str">
        <f>'Data cleaning and validation(3)'!E881</f>
        <v>Music</v>
      </c>
      <c r="F893" s="15">
        <f>'Data cleaning and validation(3)'!F881</f>
        <v>37160</v>
      </c>
      <c r="G893" s="8">
        <f>'Data cleaning and validation(3)'!G881</f>
        <v>20</v>
      </c>
      <c r="H893" s="19">
        <f>'Data cleaning and validation(3)'!H881</f>
        <v>60268</v>
      </c>
      <c r="I893" s="8" t="str">
        <f>'Data cleaning and validation(3)'!I881</f>
        <v>Registered Nurse</v>
      </c>
      <c r="J893" s="8" t="str">
        <f>'Data cleaning and validation(3)'!J881</f>
        <v>Northwest</v>
      </c>
      <c r="K893" s="8" t="str">
        <f>'Data cleaning and validation(3)'!K881</f>
        <v>USA</v>
      </c>
      <c r="L893" s="8" t="str">
        <f>'Data cleaning and validation(3)'!L881</f>
        <v>Entertainment</v>
      </c>
      <c r="M893" s="8" t="str">
        <f>'Data cleaning and validation(3)'!M881</f>
        <v>Active</v>
      </c>
      <c r="N893" s="17">
        <f>'Data cleaning and validation(3)'!N881</f>
        <v>723216</v>
      </c>
      <c r="O893" s="18">
        <f>'Data cleaning and validation(3)'!O881</f>
        <v>6026.8</v>
      </c>
    </row>
    <row r="894" spans="1:15" x14ac:dyDescent="0.35">
      <c r="A894" s="8">
        <f>'Data cleaning and validation(3)'!A882</f>
        <v>881</v>
      </c>
      <c r="B894" s="8" t="str">
        <f>'Data cleaning and validation(3)'!B882</f>
        <v>Wright</v>
      </c>
      <c r="C894" s="8" t="str">
        <f>'Data cleaning and validation(3)'!C882</f>
        <v>cwrightog@trellian.com</v>
      </c>
      <c r="D894" s="8" t="str">
        <f>'Data cleaning and validation(3)'!D882</f>
        <v>F</v>
      </c>
      <c r="E894" s="8" t="str">
        <f>'Data cleaning and validation(3)'!E882</f>
        <v>Tools</v>
      </c>
      <c r="F894" s="15">
        <f>'Data cleaning and validation(3)'!F882</f>
        <v>46640</v>
      </c>
      <c r="G894" s="8">
        <f>'Data cleaning and validation(3)'!G882</f>
        <v>7</v>
      </c>
      <c r="H894" s="19">
        <f>'Data cleaning and validation(3)'!H882</f>
        <v>94072</v>
      </c>
      <c r="I894" s="8" t="str">
        <f>'Data cleaning and validation(3)'!I882</f>
        <v>Social Worker</v>
      </c>
      <c r="J894" s="8" t="str">
        <f>'Data cleaning and validation(3)'!J882</f>
        <v>Northwest</v>
      </c>
      <c r="K894" s="8" t="str">
        <f>'Data cleaning and validation(3)'!K882</f>
        <v>USA</v>
      </c>
      <c r="L894" s="8" t="str">
        <f>'Data cleaning and validation(3)'!L882</f>
        <v>Auto &amp; Hardware</v>
      </c>
      <c r="M894" s="8" t="str">
        <f>'Data cleaning and validation(3)'!M882</f>
        <v>Active</v>
      </c>
      <c r="N894" s="17">
        <f>'Data cleaning and validation(3)'!N882</f>
        <v>1128864</v>
      </c>
      <c r="O894" s="18">
        <f>'Data cleaning and validation(3)'!O882</f>
        <v>9407.2000000000007</v>
      </c>
    </row>
    <row r="895" spans="1:15" x14ac:dyDescent="0.35">
      <c r="A895" s="8">
        <f>'Data cleaning and validation(3)'!A883</f>
        <v>882</v>
      </c>
      <c r="B895" s="8" t="str">
        <f>'Data cleaning and validation(3)'!B883</f>
        <v>George</v>
      </c>
      <c r="C895" s="8" t="str">
        <f>'Data cleaning and validation(3)'!C883</f>
        <v>wgeorgeoh@mail.ru</v>
      </c>
      <c r="D895" s="8" t="str">
        <f>'Data cleaning and validation(3)'!D883</f>
        <v>M</v>
      </c>
      <c r="E895" s="8" t="str">
        <f>'Data cleaning and validation(3)'!E883</f>
        <v>Shoes</v>
      </c>
      <c r="F895" s="15">
        <f>'Data cleaning and validation(3)'!F883</f>
        <v>38771</v>
      </c>
      <c r="G895" s="8">
        <f>'Data cleaning and validation(3)'!G883</f>
        <v>15</v>
      </c>
      <c r="H895" s="19">
        <f>'Data cleaning and validation(3)'!H883</f>
        <v>85249</v>
      </c>
      <c r="I895" s="8" t="str">
        <f>'Data cleaning and validation(3)'!I883</f>
        <v>Engineer I</v>
      </c>
      <c r="J895" s="8" t="str">
        <f>'Data cleaning and validation(3)'!J883</f>
        <v>Southeast</v>
      </c>
      <c r="K895" s="8" t="str">
        <f>'Data cleaning and validation(3)'!K883</f>
        <v>USA</v>
      </c>
      <c r="L895" s="8" t="str">
        <f>'Data cleaning and validation(3)'!L883</f>
        <v>Domestic</v>
      </c>
      <c r="M895" s="8" t="str">
        <f>'Data cleaning and validation(3)'!M883</f>
        <v>Active</v>
      </c>
      <c r="N895" s="17">
        <f>'Data cleaning and validation(3)'!N883</f>
        <v>1022988</v>
      </c>
      <c r="O895" s="18">
        <f>'Data cleaning and validation(3)'!O883</f>
        <v>8524.9</v>
      </c>
    </row>
    <row r="896" spans="1:15" x14ac:dyDescent="0.35">
      <c r="A896" s="8">
        <f>'Data cleaning and validation(3)'!A884</f>
        <v>883</v>
      </c>
      <c r="B896" s="8" t="str">
        <f>'Data cleaning and validation(3)'!B884</f>
        <v>George</v>
      </c>
      <c r="C896" s="8" t="str">
        <f>'Data cleaning and validation(3)'!C884</f>
        <v>lgeorgeoi@jigsy.com</v>
      </c>
      <c r="D896" s="8" t="str">
        <f>'Data cleaning and validation(3)'!D884</f>
        <v>M</v>
      </c>
      <c r="E896" s="8" t="str">
        <f>'Data cleaning and validation(3)'!E884</f>
        <v>Grocery</v>
      </c>
      <c r="F896" s="15">
        <f>'Data cleaning and validation(3)'!F884</f>
        <v>39367</v>
      </c>
      <c r="G896" s="8">
        <f>'Data cleaning and validation(3)'!G884</f>
        <v>14</v>
      </c>
      <c r="H896" s="19">
        <f>'Data cleaning and validation(3)'!H884</f>
        <v>66059</v>
      </c>
      <c r="I896" s="8" t="str">
        <f>'Data cleaning and validation(3)'!I884</f>
        <v>Software Test Engineer IV</v>
      </c>
      <c r="J896" s="8" t="str">
        <f>'Data cleaning and validation(3)'!J884</f>
        <v>British Columbia</v>
      </c>
      <c r="K896" s="8" t="str">
        <f>'Data cleaning and validation(3)'!K884</f>
        <v>Canada</v>
      </c>
      <c r="L896" s="8" t="str">
        <f>'Data cleaning and validation(3)'!L884</f>
        <v>Domestic</v>
      </c>
      <c r="M896" s="8" t="str">
        <f>'Data cleaning and validation(3)'!M884</f>
        <v>Active</v>
      </c>
      <c r="N896" s="17">
        <f>'Data cleaning and validation(3)'!N884</f>
        <v>792708</v>
      </c>
      <c r="O896" s="18">
        <f>'Data cleaning and validation(3)'!O884</f>
        <v>6605.9000000000005</v>
      </c>
    </row>
    <row r="897" spans="1:15" x14ac:dyDescent="0.35">
      <c r="A897" s="8">
        <f>'Data cleaning and validation(3)'!A885</f>
        <v>884</v>
      </c>
      <c r="B897" s="8" t="str">
        <f>'Data cleaning and validation(3)'!B885</f>
        <v>Ford</v>
      </c>
      <c r="C897" s="8" t="str">
        <f>'Data cleaning and validation(3)'!C885</f>
        <v>bfordoj@spiegel.de</v>
      </c>
      <c r="D897" s="8" t="str">
        <f>'Data cleaning and validation(3)'!D885</f>
        <v>F</v>
      </c>
      <c r="E897" s="8" t="str">
        <f>'Data cleaning and validation(3)'!E885</f>
        <v>Electronics</v>
      </c>
      <c r="F897" s="15">
        <f>'Data cleaning and validation(3)'!F885</f>
        <v>38682</v>
      </c>
      <c r="G897" s="8">
        <f>'Data cleaning and validation(3)'!G885</f>
        <v>16</v>
      </c>
      <c r="H897" s="19">
        <f>'Data cleaning and validation(3)'!H885</f>
        <v>80931</v>
      </c>
      <c r="I897" s="8" t="str">
        <f>'Data cleaning and validation(3)'!I885</f>
        <v>Cost Accountant</v>
      </c>
      <c r="J897" s="8" t="str">
        <f>'Data cleaning and validation(3)'!J885</f>
        <v>Northeast</v>
      </c>
      <c r="K897" s="8" t="str">
        <f>'Data cleaning and validation(3)'!K885</f>
        <v>USA</v>
      </c>
      <c r="L897" s="8" t="str">
        <f>'Data cleaning and validation(3)'!L885</f>
        <v>Electronic Equipment</v>
      </c>
      <c r="M897" s="8" t="str">
        <f>'Data cleaning and validation(3)'!M885</f>
        <v>Active</v>
      </c>
      <c r="N897" s="17">
        <f>'Data cleaning and validation(3)'!N885</f>
        <v>971172</v>
      </c>
      <c r="O897" s="18">
        <f>'Data cleaning and validation(3)'!O885</f>
        <v>8093.1</v>
      </c>
    </row>
    <row r="898" spans="1:15" x14ac:dyDescent="0.35">
      <c r="A898" s="8">
        <f>'Data cleaning and validation(3)'!A886</f>
        <v>885</v>
      </c>
      <c r="B898" s="8" t="str">
        <f>'Data cleaning and validation(3)'!B886</f>
        <v>Wallace</v>
      </c>
      <c r="C898" s="8" t="str">
        <f>'Data cleaning and validation(3)'!C886</f>
        <v>mwallaceok@abc.net.au</v>
      </c>
      <c r="D898" s="8" t="str">
        <f>'Data cleaning and validation(3)'!D886</f>
        <v>F</v>
      </c>
      <c r="E898" s="8" t="str">
        <f>'Data cleaning and validation(3)'!E886</f>
        <v>Toys</v>
      </c>
      <c r="F898" s="15">
        <f>'Data cleaning and validation(3)'!F886</f>
        <v>45552</v>
      </c>
      <c r="G898" s="8">
        <f>'Data cleaning and validation(3)'!G886</f>
        <v>10</v>
      </c>
      <c r="H898" s="19">
        <f>'Data cleaning and validation(3)'!H886</f>
        <v>118793</v>
      </c>
      <c r="I898" s="8" t="str">
        <f>'Data cleaning and validation(3)'!I886</f>
        <v>Research Assistant III</v>
      </c>
      <c r="J898" s="8" t="str">
        <f>'Data cleaning and validation(3)'!J886</f>
        <v>Northwest</v>
      </c>
      <c r="K898" s="8" t="str">
        <f>'Data cleaning and validation(3)'!K886</f>
        <v>USA</v>
      </c>
      <c r="L898" s="8" t="str">
        <f>'Data cleaning and validation(3)'!L886</f>
        <v>Games &amp; Sports</v>
      </c>
      <c r="M898" s="8" t="str">
        <f>'Data cleaning and validation(3)'!M886</f>
        <v>Active</v>
      </c>
      <c r="N898" s="17">
        <f>'Data cleaning and validation(3)'!N886</f>
        <v>1425516</v>
      </c>
      <c r="O898" s="18">
        <f>'Data cleaning and validation(3)'!O886</f>
        <v>11879.300000000001</v>
      </c>
    </row>
    <row r="899" spans="1:15" x14ac:dyDescent="0.35">
      <c r="A899" s="8">
        <f>'Data cleaning and validation(3)'!A887</f>
        <v>886</v>
      </c>
      <c r="B899" s="8" t="str">
        <f>'Data cleaning and validation(3)'!B887</f>
        <v>Murphy</v>
      </c>
      <c r="C899" s="8" t="str">
        <f>'Data cleaning and validation(3)'!C887</f>
        <v>fmurphyol@tumblr.com</v>
      </c>
      <c r="D899" s="8" t="str">
        <f>'Data cleaning and validation(3)'!D887</f>
        <v>F</v>
      </c>
      <c r="E899" s="8" t="str">
        <f>'Data cleaning and validation(3)'!E887</f>
        <v>Baby</v>
      </c>
      <c r="F899" s="15">
        <f>'Data cleaning and validation(3)'!F887</f>
        <v>46656</v>
      </c>
      <c r="G899" s="8">
        <f>'Data cleaning and validation(3)'!G887</f>
        <v>7</v>
      </c>
      <c r="H899" s="19">
        <f>'Data cleaning and validation(3)'!H887</f>
        <v>62114</v>
      </c>
      <c r="I899" s="8" t="str">
        <f>'Data cleaning and validation(3)'!I887</f>
        <v>Analyst Programmer</v>
      </c>
      <c r="J899" s="8" t="str">
        <f>'Data cleaning and validation(3)'!J887</f>
        <v>Nova Scotia</v>
      </c>
      <c r="K899" s="8" t="str">
        <f>'Data cleaning and validation(3)'!K887</f>
        <v>Canada</v>
      </c>
      <c r="L899" s="8" t="str">
        <f>'Data cleaning and validation(3)'!L887</f>
        <v>Domestic</v>
      </c>
      <c r="M899" s="8" t="str">
        <f>'Data cleaning and validation(3)'!M887</f>
        <v>Active</v>
      </c>
      <c r="N899" s="17">
        <f>'Data cleaning and validation(3)'!N887</f>
        <v>745368</v>
      </c>
      <c r="O899" s="18">
        <f>'Data cleaning and validation(3)'!O887</f>
        <v>6211.4000000000005</v>
      </c>
    </row>
    <row r="900" spans="1:15" x14ac:dyDescent="0.35">
      <c r="A900" s="8">
        <f>'Data cleaning and validation(3)'!A888</f>
        <v>887</v>
      </c>
      <c r="B900" s="8" t="str">
        <f>'Data cleaning and validation(3)'!B888</f>
        <v>Vasquez</v>
      </c>
      <c r="C900" s="8" t="str">
        <f>'Data cleaning and validation(3)'!C888</f>
        <v>jvasquezom@networksolutions.com</v>
      </c>
      <c r="D900" s="8" t="str">
        <f>'Data cleaning and validation(3)'!D888</f>
        <v>M</v>
      </c>
      <c r="E900" s="8" t="str">
        <f>'Data cleaning and validation(3)'!E888</f>
        <v>Beauty</v>
      </c>
      <c r="F900" s="15">
        <f>'Data cleaning and validation(3)'!F888</f>
        <v>41762</v>
      </c>
      <c r="G900" s="8">
        <f>'Data cleaning and validation(3)'!G888</f>
        <v>7</v>
      </c>
      <c r="H900" s="19">
        <f>'Data cleaning and validation(3)'!H888</f>
        <v>131811</v>
      </c>
      <c r="I900" s="8" t="str">
        <f>'Data cleaning and validation(3)'!I888</f>
        <v>Social Worker</v>
      </c>
      <c r="J900" s="8" t="str">
        <f>'Data cleaning and validation(3)'!J888</f>
        <v>Southwest</v>
      </c>
      <c r="K900" s="8" t="str">
        <f>'Data cleaning and validation(3)'!K888</f>
        <v>USA</v>
      </c>
      <c r="L900" s="8" t="str">
        <f>'Data cleaning and validation(3)'!L888</f>
        <v>Domestic</v>
      </c>
      <c r="M900" s="8" t="str">
        <f>'Data cleaning and validation(3)'!M888</f>
        <v>Active</v>
      </c>
      <c r="N900" s="17">
        <f>'Data cleaning and validation(3)'!N888</f>
        <v>1581732</v>
      </c>
      <c r="O900" s="18">
        <f>'Data cleaning and validation(3)'!O888</f>
        <v>13181.1</v>
      </c>
    </row>
    <row r="901" spans="1:15" x14ac:dyDescent="0.35">
      <c r="A901" s="8">
        <f>'Data cleaning and validation(3)'!A889</f>
        <v>888</v>
      </c>
      <c r="B901" s="8" t="str">
        <f>'Data cleaning and validation(3)'!B889</f>
        <v>Collins</v>
      </c>
      <c r="C901" s="8" t="str">
        <f>'Data cleaning and validation(3)'!C889</f>
        <v>bcollinson@google.pl</v>
      </c>
      <c r="D901" s="8" t="str">
        <f>'Data cleaning and validation(3)'!D889</f>
        <v>F</v>
      </c>
      <c r="E901" s="8" t="str">
        <f>'Data cleaning and validation(3)'!E889</f>
        <v>Outdoors</v>
      </c>
      <c r="F901" s="15">
        <f>'Data cleaning and validation(3)'!F889</f>
        <v>44104</v>
      </c>
      <c r="G901" s="8">
        <f>'Data cleaning and validation(3)'!G889</f>
        <v>14</v>
      </c>
      <c r="H901" s="19">
        <f>'Data cleaning and validation(3)'!H889</f>
        <v>143034</v>
      </c>
      <c r="I901" s="8" t="str">
        <f>'Data cleaning and validation(3)'!I889</f>
        <v>Budget/Accounting Analyst III</v>
      </c>
      <c r="J901" s="8" t="str">
        <f>'Data cleaning and validation(3)'!J889</f>
        <v>Northwest</v>
      </c>
      <c r="K901" s="8" t="str">
        <f>'Data cleaning and validation(3)'!K889</f>
        <v>USA</v>
      </c>
      <c r="L901" s="8" t="str">
        <f>'Data cleaning and validation(3)'!L889</f>
        <v>Outdoors &amp; Garden</v>
      </c>
      <c r="M901" s="8" t="str">
        <f>'Data cleaning and validation(3)'!M889</f>
        <v>Active</v>
      </c>
      <c r="N901" s="17">
        <f>'Data cleaning and validation(3)'!N889</f>
        <v>1716408</v>
      </c>
      <c r="O901" s="18">
        <f>'Data cleaning and validation(3)'!O889</f>
        <v>14303.400000000001</v>
      </c>
    </row>
    <row r="902" spans="1:15" x14ac:dyDescent="0.35">
      <c r="A902" s="8">
        <f>'Data cleaning and validation(3)'!A890</f>
        <v>889</v>
      </c>
      <c r="B902" s="8" t="str">
        <f>'Data cleaning and validation(3)'!B890</f>
        <v>Jackson</v>
      </c>
      <c r="C902" s="8" t="str">
        <f>'Data cleaning and validation(3)'!C890</f>
        <v>ajacksonoo@slate.com</v>
      </c>
      <c r="D902" s="8" t="str">
        <f>'Data cleaning and validation(3)'!D890</f>
        <v>M</v>
      </c>
      <c r="E902" s="8" t="str">
        <f>'Data cleaning and validation(3)'!E890</f>
        <v>Games</v>
      </c>
      <c r="F902" s="15">
        <f>'Data cleaning and validation(3)'!F890</f>
        <v>41401</v>
      </c>
      <c r="G902" s="8">
        <f>'Data cleaning and validation(3)'!G890</f>
        <v>8</v>
      </c>
      <c r="H902" s="19">
        <f>'Data cleaning and validation(3)'!H890</f>
        <v>41516</v>
      </c>
      <c r="I902" s="8" t="str">
        <f>'Data cleaning and validation(3)'!I890</f>
        <v>Nurse</v>
      </c>
      <c r="J902" s="8" t="str">
        <f>'Data cleaning and validation(3)'!J890</f>
        <v>Northeast</v>
      </c>
      <c r="K902" s="8" t="str">
        <f>'Data cleaning and validation(3)'!K890</f>
        <v>USA</v>
      </c>
      <c r="L902" s="8" t="str">
        <f>'Data cleaning and validation(3)'!L890</f>
        <v>Domestic</v>
      </c>
      <c r="M902" s="8" t="str">
        <f>'Data cleaning and validation(3)'!M890</f>
        <v>Active</v>
      </c>
      <c r="N902" s="17">
        <f>'Data cleaning and validation(3)'!N890</f>
        <v>498192</v>
      </c>
      <c r="O902" s="18">
        <f>'Data cleaning and validation(3)'!O890</f>
        <v>4151.6000000000004</v>
      </c>
    </row>
    <row r="903" spans="1:15" x14ac:dyDescent="0.35">
      <c r="A903" s="8">
        <f>'Data cleaning and validation(3)'!A891</f>
        <v>890</v>
      </c>
      <c r="B903" s="8" t="str">
        <f>'Data cleaning and validation(3)'!B891</f>
        <v>Howell</v>
      </c>
      <c r="C903" s="8" t="str">
        <f>'Data cleaning and validation(3)'!C891</f>
        <v>ehowellop@dailymotion.com</v>
      </c>
      <c r="D903" s="8" t="str">
        <f>'Data cleaning and validation(3)'!D891</f>
        <v>F</v>
      </c>
      <c r="E903" s="8" t="str">
        <f>'Data cleaning and validation(3)'!E891</f>
        <v>Baby</v>
      </c>
      <c r="F903" s="15">
        <f>'Data cleaning and validation(3)'!F891</f>
        <v>45987</v>
      </c>
      <c r="G903" s="8">
        <f>'Data cleaning and validation(3)'!G891</f>
        <v>9</v>
      </c>
      <c r="H903" s="19">
        <f>'Data cleaning and validation(3)'!H891</f>
        <v>72534</v>
      </c>
      <c r="I903" s="8" t="str">
        <f>'Data cleaning and validation(3)'!I891</f>
        <v>Account Executive</v>
      </c>
      <c r="J903" s="8" t="str">
        <f>'Data cleaning and validation(3)'!J891</f>
        <v>Southwest</v>
      </c>
      <c r="K903" s="8" t="str">
        <f>'Data cleaning and validation(3)'!K891</f>
        <v>USA</v>
      </c>
      <c r="L903" s="8" t="str">
        <f>'Data cleaning and validation(3)'!L891</f>
        <v>Domestic</v>
      </c>
      <c r="M903" s="8" t="str">
        <f>'Data cleaning and validation(3)'!M891</f>
        <v>Active</v>
      </c>
      <c r="N903" s="17">
        <f>'Data cleaning and validation(3)'!N891</f>
        <v>870408</v>
      </c>
      <c r="O903" s="18">
        <f>'Data cleaning and validation(3)'!O891</f>
        <v>7253.4000000000005</v>
      </c>
    </row>
    <row r="904" spans="1:15" x14ac:dyDescent="0.35">
      <c r="A904" s="8">
        <f>'Data cleaning and validation(3)'!A892</f>
        <v>891</v>
      </c>
      <c r="B904" s="8" t="str">
        <f>'Data cleaning and validation(3)'!B892</f>
        <v>Richards</v>
      </c>
      <c r="C904" s="8" t="str">
        <f>'Data cleaning and validation(3)'!C892</f>
        <v>arichardsoq@so-net.ne.jp</v>
      </c>
      <c r="D904" s="8" t="str">
        <f>'Data cleaning and validation(3)'!D892</f>
        <v>M</v>
      </c>
      <c r="E904" s="8" t="str">
        <f>'Data cleaning and validation(3)'!E892</f>
        <v>Baby</v>
      </c>
      <c r="F904" s="15">
        <f>'Data cleaning and validation(3)'!F892</f>
        <v>40703</v>
      </c>
      <c r="G904" s="8">
        <f>'Data cleaning and validation(3)'!G892</f>
        <v>10</v>
      </c>
      <c r="H904" s="19">
        <f>'Data cleaning and validation(3)'!H892</f>
        <v>140004</v>
      </c>
      <c r="I904" s="8" t="str">
        <f>'Data cleaning and validation(3)'!I892</f>
        <v>Design Engineer</v>
      </c>
      <c r="J904" s="8" t="str">
        <f>'Data cleaning and validation(3)'!J892</f>
        <v>Nova Scotia</v>
      </c>
      <c r="K904" s="8" t="str">
        <f>'Data cleaning and validation(3)'!K892</f>
        <v>Canada</v>
      </c>
      <c r="L904" s="8" t="str">
        <f>'Data cleaning and validation(3)'!L892</f>
        <v>Domestic</v>
      </c>
      <c r="M904" s="8" t="str">
        <f>'Data cleaning and validation(3)'!M892</f>
        <v>Active</v>
      </c>
      <c r="N904" s="17">
        <f>'Data cleaning and validation(3)'!N892</f>
        <v>1680048</v>
      </c>
      <c r="O904" s="18">
        <f>'Data cleaning and validation(3)'!O892</f>
        <v>14000.400000000001</v>
      </c>
    </row>
    <row r="905" spans="1:15" x14ac:dyDescent="0.35">
      <c r="A905" s="8">
        <f>'Data cleaning and validation(3)'!A893</f>
        <v>892</v>
      </c>
      <c r="B905" s="8" t="str">
        <f>'Data cleaning and validation(3)'!B893</f>
        <v>Crawford</v>
      </c>
      <c r="C905" s="8" t="str">
        <f>'Data cleaning and validation(3)'!C893</f>
        <v>pcrawfordor@gnu.org</v>
      </c>
      <c r="D905" s="8" t="str">
        <f>'Data cleaning and validation(3)'!D893</f>
        <v>M</v>
      </c>
      <c r="E905" s="8" t="str">
        <f>'Data cleaning and validation(3)'!E893</f>
        <v>Beauty</v>
      </c>
      <c r="F905" s="15">
        <f>'Data cleaning and validation(3)'!F893</f>
        <v>38161</v>
      </c>
      <c r="G905" s="8">
        <f>'Data cleaning and validation(3)'!G893</f>
        <v>17</v>
      </c>
      <c r="H905" s="19">
        <f>'Data cleaning and validation(3)'!H893</f>
        <v>114436</v>
      </c>
      <c r="I905" s="8" t="str">
        <f>'Data cleaning and validation(3)'!I893</f>
        <v>Account Representative IV</v>
      </c>
      <c r="J905" s="8" t="str">
        <f>'Data cleaning and validation(3)'!J893</f>
        <v>British Columbia</v>
      </c>
      <c r="K905" s="8" t="str">
        <f>'Data cleaning and validation(3)'!K893</f>
        <v>Canada</v>
      </c>
      <c r="L905" s="8" t="str">
        <f>'Data cleaning and validation(3)'!L893</f>
        <v>Domestic</v>
      </c>
      <c r="M905" s="8" t="str">
        <f>'Data cleaning and validation(3)'!M893</f>
        <v>Active</v>
      </c>
      <c r="N905" s="17">
        <f>'Data cleaning and validation(3)'!N893</f>
        <v>1373232</v>
      </c>
      <c r="O905" s="18">
        <f>'Data cleaning and validation(3)'!O893</f>
        <v>11443.6</v>
      </c>
    </row>
    <row r="906" spans="1:15" x14ac:dyDescent="0.35">
      <c r="A906" s="8">
        <f>'Data cleaning and validation(3)'!A894</f>
        <v>893</v>
      </c>
      <c r="B906" s="8" t="str">
        <f>'Data cleaning and validation(3)'!B894</f>
        <v>Dixon</v>
      </c>
      <c r="C906" s="8" t="str">
        <f>'Data cleaning and validation(3)'!C894</f>
        <v>jdixonos@msu.edu</v>
      </c>
      <c r="D906" s="8" t="str">
        <f>'Data cleaning and validation(3)'!D894</f>
        <v>M</v>
      </c>
      <c r="E906" s="8" t="str">
        <f>'Data cleaning and validation(3)'!E894</f>
        <v>Grocery</v>
      </c>
      <c r="F906" s="15">
        <f>'Data cleaning and validation(3)'!F894</f>
        <v>39903</v>
      </c>
      <c r="G906" s="8">
        <f>'Data cleaning and validation(3)'!G894</f>
        <v>12</v>
      </c>
      <c r="H906" s="19">
        <f>'Data cleaning and validation(3)'!H894</f>
        <v>68684</v>
      </c>
      <c r="I906" s="8" t="str">
        <f>'Data cleaning and validation(3)'!I894</f>
        <v>Staff Scientist</v>
      </c>
      <c r="J906" s="8" t="str">
        <f>'Data cleaning and validation(3)'!J894</f>
        <v>Northwest</v>
      </c>
      <c r="K906" s="8" t="str">
        <f>'Data cleaning and validation(3)'!K894</f>
        <v>USA</v>
      </c>
      <c r="L906" s="8" t="str">
        <f>'Data cleaning and validation(3)'!L894</f>
        <v>Domestic</v>
      </c>
      <c r="M906" s="8" t="str">
        <f>'Data cleaning and validation(3)'!M894</f>
        <v>Active</v>
      </c>
      <c r="N906" s="17">
        <f>'Data cleaning and validation(3)'!N894</f>
        <v>824208</v>
      </c>
      <c r="O906" s="18">
        <f>'Data cleaning and validation(3)'!O894</f>
        <v>6868.4000000000005</v>
      </c>
    </row>
    <row r="907" spans="1:15" x14ac:dyDescent="0.35">
      <c r="A907" s="8">
        <f>'Data cleaning and validation(3)'!A895</f>
        <v>894</v>
      </c>
      <c r="B907" s="8" t="str">
        <f>'Data cleaning and validation(3)'!B895</f>
        <v>Owens</v>
      </c>
      <c r="C907" s="8" t="str">
        <f>'Data cleaning and validation(3)'!C895</f>
        <v>jowensot@gmpg.org</v>
      </c>
      <c r="D907" s="8" t="str">
        <f>'Data cleaning and validation(3)'!D895</f>
        <v>M</v>
      </c>
      <c r="E907" s="8" t="str">
        <f>'Data cleaning and validation(3)'!E895</f>
        <v>Automotive</v>
      </c>
      <c r="F907" s="15">
        <f>'Data cleaning and validation(3)'!F895</f>
        <v>36787</v>
      </c>
      <c r="G907" s="8">
        <f>'Data cleaning and validation(3)'!G895</f>
        <v>21</v>
      </c>
      <c r="H907" s="19">
        <f>'Data cleaning and validation(3)'!H895</f>
        <v>135326</v>
      </c>
      <c r="I907" s="8" t="str">
        <f>'Data cleaning and validation(3)'!I895</f>
        <v>Graphic Designer</v>
      </c>
      <c r="J907" s="8" t="str">
        <f>'Data cleaning and validation(3)'!J895</f>
        <v>Northeast</v>
      </c>
      <c r="K907" s="8" t="str">
        <f>'Data cleaning and validation(3)'!K895</f>
        <v>USA</v>
      </c>
      <c r="L907" s="8" t="str">
        <f>'Data cleaning and validation(3)'!L895</f>
        <v>Auto &amp; Hardware</v>
      </c>
      <c r="M907" s="8" t="str">
        <f>'Data cleaning and validation(3)'!M895</f>
        <v>Active</v>
      </c>
      <c r="N907" s="17">
        <f>'Data cleaning and validation(3)'!N895</f>
        <v>1623912</v>
      </c>
      <c r="O907" s="18">
        <f>'Data cleaning and validation(3)'!O895</f>
        <v>13532.6</v>
      </c>
    </row>
    <row r="908" spans="1:15" x14ac:dyDescent="0.35">
      <c r="A908" s="8">
        <f>'Data cleaning and validation(3)'!A896</f>
        <v>895</v>
      </c>
      <c r="B908" s="8" t="str">
        <f>'Data cleaning and validation(3)'!B896</f>
        <v>Moore</v>
      </c>
      <c r="C908" s="8" t="str">
        <f>'Data cleaning and validation(3)'!C896</f>
        <v>kmooreou@slate.com</v>
      </c>
      <c r="D908" s="8" t="str">
        <f>'Data cleaning and validation(3)'!D896</f>
        <v>M</v>
      </c>
      <c r="E908" s="8" t="str">
        <f>'Data cleaning and validation(3)'!E896</f>
        <v>Industrial</v>
      </c>
      <c r="F908" s="15">
        <f>'Data cleaning and validation(3)'!F896</f>
        <v>41693</v>
      </c>
      <c r="G908" s="8">
        <f>'Data cleaning and validation(3)'!G896</f>
        <v>7</v>
      </c>
      <c r="H908" s="19">
        <f>'Data cleaning and validation(3)'!H896</f>
        <v>40194</v>
      </c>
      <c r="I908" s="8" t="str">
        <f>'Data cleaning and validation(3)'!I896</f>
        <v>Environmental Specialist</v>
      </c>
      <c r="J908" s="8" t="str">
        <f>'Data cleaning and validation(3)'!J896</f>
        <v>British Columbia</v>
      </c>
      <c r="K908" s="8" t="str">
        <f>'Data cleaning and validation(3)'!K896</f>
        <v>Canada</v>
      </c>
      <c r="L908" s="8" t="str">
        <f>'Data cleaning and validation(3)'!L896</f>
        <v>Auto &amp; Hardware</v>
      </c>
      <c r="M908" s="8" t="str">
        <f>'Data cleaning and validation(3)'!M896</f>
        <v>Active</v>
      </c>
      <c r="N908" s="17">
        <f>'Data cleaning and validation(3)'!N896</f>
        <v>482328</v>
      </c>
      <c r="O908" s="18">
        <f>'Data cleaning and validation(3)'!O896</f>
        <v>4019.4</v>
      </c>
    </row>
    <row r="909" spans="1:15" x14ac:dyDescent="0.35">
      <c r="A909" s="8">
        <f>'Data cleaning and validation(3)'!A897</f>
        <v>896</v>
      </c>
      <c r="B909" s="8" t="str">
        <f>'Data cleaning and validation(3)'!B897</f>
        <v>Carpenter</v>
      </c>
      <c r="C909" s="8" t="str">
        <f>'Data cleaning and validation(3)'!C897</f>
        <v>rcarpenterov@pagesperso-orange.fr</v>
      </c>
      <c r="D909" s="8" t="str">
        <f>'Data cleaning and validation(3)'!D897</f>
        <v>F</v>
      </c>
      <c r="E909" s="8" t="str">
        <f>'Data cleaning and validation(3)'!E897</f>
        <v>Home</v>
      </c>
      <c r="F909" s="15">
        <f>'Data cleaning and validation(3)'!F897</f>
        <v>45227</v>
      </c>
      <c r="G909" s="8">
        <f>'Data cleaning and validation(3)'!G897</f>
        <v>11</v>
      </c>
      <c r="H909" s="19">
        <f>'Data cleaning and validation(3)'!H897</f>
        <v>134813</v>
      </c>
      <c r="I909" s="8" t="str">
        <f>'Data cleaning and validation(3)'!I897</f>
        <v>Health Coach I</v>
      </c>
      <c r="J909" s="8" t="str">
        <f>'Data cleaning and validation(3)'!J897</f>
        <v>Nova Scotia</v>
      </c>
      <c r="K909" s="8" t="str">
        <f>'Data cleaning and validation(3)'!K897</f>
        <v>Canada</v>
      </c>
      <c r="L909" s="8" t="str">
        <f>'Data cleaning and validation(3)'!L897</f>
        <v>Domestic</v>
      </c>
      <c r="M909" s="8" t="str">
        <f>'Data cleaning and validation(3)'!M897</f>
        <v>Active</v>
      </c>
      <c r="N909" s="17">
        <f>'Data cleaning and validation(3)'!N897</f>
        <v>1617756</v>
      </c>
      <c r="O909" s="18">
        <f>'Data cleaning and validation(3)'!O897</f>
        <v>13481.300000000001</v>
      </c>
    </row>
    <row r="910" spans="1:15" x14ac:dyDescent="0.35">
      <c r="A910" s="8">
        <f>'Data cleaning and validation(3)'!A898</f>
        <v>897</v>
      </c>
      <c r="B910" s="8" t="str">
        <f>'Data cleaning and validation(3)'!B898</f>
        <v>Reid</v>
      </c>
      <c r="C910" s="8" t="str">
        <f>'Data cleaning and validation(3)'!C898</f>
        <v>sreidow@smugmug.com</v>
      </c>
      <c r="D910" s="8" t="str">
        <f>'Data cleaning and validation(3)'!D898</f>
        <v>M</v>
      </c>
      <c r="E910" s="8" t="str">
        <f>'Data cleaning and validation(3)'!E898</f>
        <v>Beauty</v>
      </c>
      <c r="F910" s="15">
        <f>'Data cleaning and validation(3)'!F898</f>
        <v>37324</v>
      </c>
      <c r="G910" s="8">
        <f>'Data cleaning and validation(3)'!G898</f>
        <v>19</v>
      </c>
      <c r="H910" s="19">
        <f>'Data cleaning and validation(3)'!H898</f>
        <v>79718</v>
      </c>
      <c r="I910" s="8" t="str">
        <f>'Data cleaning and validation(3)'!I898</f>
        <v>Marketing Manager</v>
      </c>
      <c r="J910" s="8" t="str">
        <f>'Data cleaning and validation(3)'!J898</f>
        <v>Southwest</v>
      </c>
      <c r="K910" s="8" t="str">
        <f>'Data cleaning and validation(3)'!K898</f>
        <v>USA</v>
      </c>
      <c r="L910" s="8" t="str">
        <f>'Data cleaning and validation(3)'!L898</f>
        <v>Domestic</v>
      </c>
      <c r="M910" s="8" t="str">
        <f>'Data cleaning and validation(3)'!M898</f>
        <v>Active</v>
      </c>
      <c r="N910" s="17">
        <f>'Data cleaning and validation(3)'!N898</f>
        <v>956616</v>
      </c>
      <c r="O910" s="18">
        <f>'Data cleaning and validation(3)'!O898</f>
        <v>7971.8</v>
      </c>
    </row>
    <row r="911" spans="1:15" x14ac:dyDescent="0.35">
      <c r="A911" s="8">
        <f>'Data cleaning and validation(3)'!A899</f>
        <v>898</v>
      </c>
      <c r="B911" s="8" t="str">
        <f>'Data cleaning and validation(3)'!B899</f>
        <v>Lee</v>
      </c>
      <c r="C911" s="8" t="str">
        <f>'Data cleaning and validation(3)'!C899</f>
        <v>kleeox@nature.com</v>
      </c>
      <c r="D911" s="8" t="str">
        <f>'Data cleaning and validation(3)'!D899</f>
        <v>F</v>
      </c>
      <c r="E911" s="8" t="str">
        <f>'Data cleaning and validation(3)'!E899</f>
        <v>Industrial</v>
      </c>
      <c r="F911" s="15">
        <f>'Data cleaning and validation(3)'!F899</f>
        <v>45269</v>
      </c>
      <c r="G911" s="8">
        <f>'Data cleaning and validation(3)'!G899</f>
        <v>11</v>
      </c>
      <c r="H911" s="19">
        <f>'Data cleaning and validation(3)'!H899</f>
        <v>115085</v>
      </c>
      <c r="I911" s="8" t="str">
        <f>'Data cleaning and validation(3)'!I899</f>
        <v>Senior Quality Engineer</v>
      </c>
      <c r="J911" s="8" t="str">
        <f>'Data cleaning and validation(3)'!J899</f>
        <v>Nova Scotia</v>
      </c>
      <c r="K911" s="8" t="str">
        <f>'Data cleaning and validation(3)'!K899</f>
        <v>Canada</v>
      </c>
      <c r="L911" s="8" t="str">
        <f>'Data cleaning and validation(3)'!L899</f>
        <v>Auto &amp; Hardware</v>
      </c>
      <c r="M911" s="8" t="str">
        <f>'Data cleaning and validation(3)'!M899</f>
        <v>Active</v>
      </c>
      <c r="N911" s="17">
        <f>'Data cleaning and validation(3)'!N899</f>
        <v>1381020</v>
      </c>
      <c r="O911" s="18">
        <f>'Data cleaning and validation(3)'!O899</f>
        <v>11508.5</v>
      </c>
    </row>
    <row r="912" spans="1:15" x14ac:dyDescent="0.35">
      <c r="A912" s="8">
        <f>'Data cleaning and validation(3)'!A900</f>
        <v>899</v>
      </c>
      <c r="B912" s="8" t="str">
        <f>'Data cleaning and validation(3)'!B900</f>
        <v>Burton</v>
      </c>
      <c r="C912" s="8" t="str">
        <f>'Data cleaning and validation(3)'!C900</f>
        <v>kburtonoy@army.mil</v>
      </c>
      <c r="D912" s="8" t="str">
        <f>'Data cleaning and validation(3)'!D900</f>
        <v>F</v>
      </c>
      <c r="E912" s="8" t="str">
        <f>'Data cleaning and validation(3)'!E900</f>
        <v>Shoes</v>
      </c>
      <c r="F912" s="15">
        <f>'Data cleaning and validation(3)'!F900</f>
        <v>38416</v>
      </c>
      <c r="G912" s="8">
        <f>'Data cleaning and validation(3)'!G900</f>
        <v>16</v>
      </c>
      <c r="H912" s="19">
        <f>'Data cleaning and validation(3)'!H900</f>
        <v>67758</v>
      </c>
      <c r="I912" s="8" t="str">
        <f>'Data cleaning and validation(3)'!I900</f>
        <v>Chemical Engineer</v>
      </c>
      <c r="J912" s="8" t="str">
        <f>'Data cleaning and validation(3)'!J900</f>
        <v>Southeast</v>
      </c>
      <c r="K912" s="8" t="str">
        <f>'Data cleaning and validation(3)'!K900</f>
        <v>USA</v>
      </c>
      <c r="L912" s="8" t="str">
        <f>'Data cleaning and validation(3)'!L900</f>
        <v>Domestic</v>
      </c>
      <c r="M912" s="8" t="str">
        <f>'Data cleaning and validation(3)'!M900</f>
        <v>Active</v>
      </c>
      <c r="N912" s="17">
        <f>'Data cleaning and validation(3)'!N900</f>
        <v>813096</v>
      </c>
      <c r="O912" s="18">
        <f>'Data cleaning and validation(3)'!O900</f>
        <v>6775.8</v>
      </c>
    </row>
    <row r="913" spans="1:15" x14ac:dyDescent="0.35">
      <c r="A913" s="8">
        <f>'Data cleaning and validation(3)'!A901</f>
        <v>900</v>
      </c>
      <c r="B913" s="8" t="str">
        <f>'Data cleaning and validation(3)'!B901</f>
        <v>Jordan</v>
      </c>
      <c r="C913" s="8" t="str">
        <f>'Data cleaning and validation(3)'!C901</f>
        <v>tjordanoz@instagram.com</v>
      </c>
      <c r="D913" s="8" t="str">
        <f>'Data cleaning and validation(3)'!D901</f>
        <v>M</v>
      </c>
      <c r="E913" s="8" t="str">
        <f>'Data cleaning and validation(3)'!E901</f>
        <v>Toys</v>
      </c>
      <c r="F913" s="15">
        <f>'Data cleaning and validation(3)'!F901</f>
        <v>40962</v>
      </c>
      <c r="G913" s="8">
        <f>'Data cleaning and validation(3)'!G901</f>
        <v>9</v>
      </c>
      <c r="H913" s="19">
        <f>'Data cleaning and validation(3)'!H901</f>
        <v>115776</v>
      </c>
      <c r="I913" s="8" t="str">
        <f>'Data cleaning and validation(3)'!I901</f>
        <v>Database Administrator I</v>
      </c>
      <c r="J913" s="8" t="str">
        <f>'Data cleaning and validation(3)'!J901</f>
        <v>Southeast</v>
      </c>
      <c r="K913" s="8" t="str">
        <f>'Data cleaning and validation(3)'!K901</f>
        <v>USA</v>
      </c>
      <c r="L913" s="8" t="str">
        <f>'Data cleaning and validation(3)'!L901</f>
        <v>Games &amp; Sports</v>
      </c>
      <c r="M913" s="8" t="str">
        <f>'Data cleaning and validation(3)'!M901</f>
        <v>Active</v>
      </c>
      <c r="N913" s="17">
        <f>'Data cleaning and validation(3)'!N901</f>
        <v>1389312</v>
      </c>
      <c r="O913" s="18">
        <f>'Data cleaning and validation(3)'!O901</f>
        <v>11577.6</v>
      </c>
    </row>
    <row r="914" spans="1:15" x14ac:dyDescent="0.35">
      <c r="A914" s="8">
        <f>'Data cleaning and validation(3)'!A902</f>
        <v>901</v>
      </c>
      <c r="B914" s="8" t="str">
        <f>'Data cleaning and validation(3)'!B902</f>
        <v>Perry</v>
      </c>
      <c r="C914" s="8" t="str">
        <f>'Data cleaning and validation(3)'!C902</f>
        <v>kperryp0@chron.com</v>
      </c>
      <c r="D914" s="8" t="str">
        <f>'Data cleaning and validation(3)'!D902</f>
        <v>M</v>
      </c>
      <c r="E914" s="8" t="str">
        <f>'Data cleaning and validation(3)'!E902</f>
        <v>Books</v>
      </c>
      <c r="F914" s="15">
        <f>'Data cleaning and validation(3)'!F902</f>
        <v>41623</v>
      </c>
      <c r="G914" s="8">
        <f>'Data cleaning and validation(3)'!G902</f>
        <v>8</v>
      </c>
      <c r="H914" s="19">
        <f>'Data cleaning and validation(3)'!H902</f>
        <v>146701</v>
      </c>
      <c r="I914" s="8" t="str">
        <f>'Data cleaning and validation(3)'!I902</f>
        <v>Research Assistant II</v>
      </c>
      <c r="J914" s="8" t="str">
        <f>'Data cleaning and validation(3)'!J902</f>
        <v>Nova Scotia</v>
      </c>
      <c r="K914" s="8" t="str">
        <f>'Data cleaning and validation(3)'!K902</f>
        <v>Canada</v>
      </c>
      <c r="L914" s="8" t="str">
        <f>'Data cleaning and validation(3)'!L902</f>
        <v>Library</v>
      </c>
      <c r="M914" s="8" t="str">
        <f>'Data cleaning and validation(3)'!M902</f>
        <v>Active</v>
      </c>
      <c r="N914" s="17">
        <f>'Data cleaning and validation(3)'!N902</f>
        <v>1760412</v>
      </c>
      <c r="O914" s="18">
        <f>'Data cleaning and validation(3)'!O902</f>
        <v>14670.1</v>
      </c>
    </row>
    <row r="915" spans="1:15" x14ac:dyDescent="0.35">
      <c r="A915" s="8">
        <f>'Data cleaning and validation(3)'!A903</f>
        <v>902</v>
      </c>
      <c r="B915" s="8" t="str">
        <f>'Data cleaning and validation(3)'!B903</f>
        <v>Wright</v>
      </c>
      <c r="C915" s="8" t="str">
        <f>'Data cleaning and validation(3)'!C903</f>
        <v>bwrightp1@deviantart.com</v>
      </c>
      <c r="D915" s="8" t="str">
        <f>'Data cleaning and validation(3)'!D903</f>
        <v>M</v>
      </c>
      <c r="E915" s="8" t="str">
        <f>'Data cleaning and validation(3)'!E903</f>
        <v>Shoes</v>
      </c>
      <c r="F915" s="15">
        <f>'Data cleaning and validation(3)'!F903</f>
        <v>40893</v>
      </c>
      <c r="G915" s="8">
        <f>'Data cleaning and validation(3)'!G903</f>
        <v>10</v>
      </c>
      <c r="H915" s="19">
        <f>'Data cleaning and validation(3)'!H903</f>
        <v>109233</v>
      </c>
      <c r="I915" s="8" t="str">
        <f>'Data cleaning and validation(3)'!I903</f>
        <v>Mechanical Systems Engineer</v>
      </c>
      <c r="J915" s="8" t="str">
        <f>'Data cleaning and validation(3)'!J903</f>
        <v>Southwest</v>
      </c>
      <c r="K915" s="8" t="str">
        <f>'Data cleaning and validation(3)'!K903</f>
        <v>USA</v>
      </c>
      <c r="L915" s="8" t="str">
        <f>'Data cleaning and validation(3)'!L903</f>
        <v>Domestic</v>
      </c>
      <c r="M915" s="8" t="str">
        <f>'Data cleaning and validation(3)'!M903</f>
        <v>Active</v>
      </c>
      <c r="N915" s="17">
        <f>'Data cleaning and validation(3)'!N903</f>
        <v>1310796</v>
      </c>
      <c r="O915" s="18">
        <f>'Data cleaning and validation(3)'!O903</f>
        <v>10923.300000000001</v>
      </c>
    </row>
    <row r="916" spans="1:15" x14ac:dyDescent="0.35">
      <c r="A916" s="8">
        <f>'Data cleaning and validation(3)'!A904</f>
        <v>903</v>
      </c>
      <c r="B916" s="8" t="str">
        <f>'Data cleaning and validation(3)'!B904</f>
        <v>Burns</v>
      </c>
      <c r="C916" s="8" t="str">
        <f>'Data cleaning and validation(3)'!C904</f>
        <v>eburnsp2@discuz.net</v>
      </c>
      <c r="D916" s="8" t="str">
        <f>'Data cleaning and validation(3)'!D904</f>
        <v>F</v>
      </c>
      <c r="E916" s="8" t="str">
        <f>'Data cleaning and validation(3)'!E904</f>
        <v>Outdoors</v>
      </c>
      <c r="F916" s="15">
        <f>'Data cleaning and validation(3)'!F904</f>
        <v>43837</v>
      </c>
      <c r="G916" s="8">
        <f>'Data cleaning and validation(3)'!G904</f>
        <v>14</v>
      </c>
      <c r="H916" s="19">
        <f>'Data cleaning and validation(3)'!H904</f>
        <v>113654</v>
      </c>
      <c r="I916" s="8" t="str">
        <f>'Data cleaning and validation(3)'!I904</f>
        <v>Health Coach IV</v>
      </c>
      <c r="J916" s="8" t="str">
        <f>'Data cleaning and validation(3)'!J904</f>
        <v>Northeast</v>
      </c>
      <c r="K916" s="8" t="str">
        <f>'Data cleaning and validation(3)'!K904</f>
        <v>USA</v>
      </c>
      <c r="L916" s="8" t="str">
        <f>'Data cleaning and validation(3)'!L904</f>
        <v>Outdoors &amp; Garden</v>
      </c>
      <c r="M916" s="8" t="str">
        <f>'Data cleaning and validation(3)'!M904</f>
        <v>Active</v>
      </c>
      <c r="N916" s="17">
        <f>'Data cleaning and validation(3)'!N904</f>
        <v>1363848</v>
      </c>
      <c r="O916" s="18">
        <f>'Data cleaning and validation(3)'!O904</f>
        <v>11365.400000000001</v>
      </c>
    </row>
    <row r="917" spans="1:15" x14ac:dyDescent="0.35">
      <c r="A917" s="8">
        <f>'Data cleaning and validation(3)'!A905</f>
        <v>904</v>
      </c>
      <c r="B917" s="8" t="str">
        <f>'Data cleaning and validation(3)'!B905</f>
        <v>Roberts</v>
      </c>
      <c r="C917" s="8" t="str">
        <f>'Data cleaning and validation(3)'!C905</f>
        <v>drobertsp3@ed.gov</v>
      </c>
      <c r="D917" s="8" t="str">
        <f>'Data cleaning and validation(3)'!D905</f>
        <v>F</v>
      </c>
      <c r="E917" s="8" t="str">
        <f>'Data cleaning and validation(3)'!E905</f>
        <v>Tools</v>
      </c>
      <c r="F917" s="15">
        <f>'Data cleaning and validation(3)'!F905</f>
        <v>38224</v>
      </c>
      <c r="G917" s="8">
        <f>'Data cleaning and validation(3)'!G905</f>
        <v>17</v>
      </c>
      <c r="H917" s="19">
        <f>'Data cleaning and validation(3)'!H905</f>
        <v>90937</v>
      </c>
      <c r="I917" s="8" t="str">
        <f>'Data cleaning and validation(3)'!I905</f>
        <v>Cost Accountant</v>
      </c>
      <c r="J917" s="8" t="str">
        <f>'Data cleaning and validation(3)'!J905</f>
        <v>Quebec</v>
      </c>
      <c r="K917" s="8" t="str">
        <f>'Data cleaning and validation(3)'!K905</f>
        <v>Canada</v>
      </c>
      <c r="L917" s="8" t="str">
        <f>'Data cleaning and validation(3)'!L905</f>
        <v>Auto &amp; Hardware</v>
      </c>
      <c r="M917" s="8" t="str">
        <f>'Data cleaning and validation(3)'!M905</f>
        <v>Active</v>
      </c>
      <c r="N917" s="17">
        <f>'Data cleaning and validation(3)'!N905</f>
        <v>1091244</v>
      </c>
      <c r="O917" s="18">
        <f>'Data cleaning and validation(3)'!O905</f>
        <v>9093.7000000000007</v>
      </c>
    </row>
    <row r="918" spans="1:15" x14ac:dyDescent="0.35">
      <c r="A918" s="8">
        <f>'Data cleaning and validation(3)'!A906</f>
        <v>905</v>
      </c>
      <c r="B918" s="8" t="str">
        <f>'Data cleaning and validation(3)'!B906</f>
        <v>Webb</v>
      </c>
      <c r="C918" s="8" t="str">
        <f>'Data cleaning and validation(3)'!C906</f>
        <v>dwebbp4@about.com</v>
      </c>
      <c r="D918" s="8" t="str">
        <f>'Data cleaning and validation(3)'!D906</f>
        <v>M</v>
      </c>
      <c r="E918" s="8" t="str">
        <f>'Data cleaning and validation(3)'!E906</f>
        <v>Automotive</v>
      </c>
      <c r="F918" s="15">
        <f>'Data cleaning and validation(3)'!F906</f>
        <v>39365</v>
      </c>
      <c r="G918" s="8">
        <f>'Data cleaning and validation(3)'!G906</f>
        <v>14</v>
      </c>
      <c r="H918" s="19">
        <f>'Data cleaning and validation(3)'!H906</f>
        <v>111689</v>
      </c>
      <c r="I918" s="8" t="str">
        <f>'Data cleaning and validation(3)'!I906</f>
        <v>GIS Technical Architect</v>
      </c>
      <c r="J918" s="8" t="str">
        <f>'Data cleaning and validation(3)'!J906</f>
        <v>British Columbia</v>
      </c>
      <c r="K918" s="8" t="str">
        <f>'Data cleaning and validation(3)'!K906</f>
        <v>Canada</v>
      </c>
      <c r="L918" s="8" t="str">
        <f>'Data cleaning and validation(3)'!L906</f>
        <v>Auto &amp; Hardware</v>
      </c>
      <c r="M918" s="8" t="str">
        <f>'Data cleaning and validation(3)'!M906</f>
        <v>Active</v>
      </c>
      <c r="N918" s="17">
        <f>'Data cleaning and validation(3)'!N906</f>
        <v>1340268</v>
      </c>
      <c r="O918" s="18">
        <f>'Data cleaning and validation(3)'!O906</f>
        <v>11168.900000000001</v>
      </c>
    </row>
    <row r="919" spans="1:15" x14ac:dyDescent="0.35">
      <c r="A919" s="8">
        <f>'Data cleaning and validation(3)'!A907</f>
        <v>906</v>
      </c>
      <c r="B919" s="8" t="str">
        <f>'Data cleaning and validation(3)'!B907</f>
        <v>Spencer</v>
      </c>
      <c r="C919" s="8" t="str">
        <f>'Data cleaning and validation(3)'!C907</f>
        <v>sspencerp5@mtv.com</v>
      </c>
      <c r="D919" s="8" t="str">
        <f>'Data cleaning and validation(3)'!D907</f>
        <v>M</v>
      </c>
      <c r="E919" s="8" t="str">
        <f>'Data cleaning and validation(3)'!E907</f>
        <v>Electronics</v>
      </c>
      <c r="F919" s="15">
        <f>'Data cleaning and validation(3)'!F907</f>
        <v>41747</v>
      </c>
      <c r="G919" s="8">
        <f>'Data cleaning and validation(3)'!G907</f>
        <v>7</v>
      </c>
      <c r="H919" s="19">
        <f>'Data cleaning and validation(3)'!H907</f>
        <v>110881</v>
      </c>
      <c r="I919" s="8" t="str">
        <f>'Data cleaning and validation(3)'!I907</f>
        <v>Electrical Engineer</v>
      </c>
      <c r="J919" s="8" t="str">
        <f>'Data cleaning and validation(3)'!J907</f>
        <v>Northeast</v>
      </c>
      <c r="K919" s="8" t="str">
        <f>'Data cleaning and validation(3)'!K907</f>
        <v>USA</v>
      </c>
      <c r="L919" s="8" t="str">
        <f>'Data cleaning and validation(3)'!L907</f>
        <v>Electronic Equipment</v>
      </c>
      <c r="M919" s="8" t="str">
        <f>'Data cleaning and validation(3)'!M907</f>
        <v>Active</v>
      </c>
      <c r="N919" s="17">
        <f>'Data cleaning and validation(3)'!N907</f>
        <v>1330572</v>
      </c>
      <c r="O919" s="18">
        <f>'Data cleaning and validation(3)'!O907</f>
        <v>11088.1</v>
      </c>
    </row>
    <row r="920" spans="1:15" x14ac:dyDescent="0.35">
      <c r="A920" s="8">
        <f>'Data cleaning and validation(3)'!A908</f>
        <v>907</v>
      </c>
      <c r="B920" s="8" t="str">
        <f>'Data cleaning and validation(3)'!B908</f>
        <v>Frazier</v>
      </c>
      <c r="C920" s="8" t="str">
        <f>'Data cleaning and validation(3)'!C908</f>
        <v>kfrazierp6@dailymail.co.uk</v>
      </c>
      <c r="D920" s="8" t="str">
        <f>'Data cleaning and validation(3)'!D908</f>
        <v>F</v>
      </c>
      <c r="E920" s="8" t="str">
        <f>'Data cleaning and validation(3)'!E908</f>
        <v>Tools</v>
      </c>
      <c r="F920" s="15">
        <f>'Data cleaning and validation(3)'!F908</f>
        <v>44826</v>
      </c>
      <c r="G920" s="8">
        <f>'Data cleaning and validation(3)'!G908</f>
        <v>12</v>
      </c>
      <c r="H920" s="19">
        <f>'Data cleaning and validation(3)'!H908</f>
        <v>104326</v>
      </c>
      <c r="I920" s="8" t="str">
        <f>'Data cleaning and validation(3)'!I908</f>
        <v>Assistant Manager</v>
      </c>
      <c r="J920" s="8" t="str">
        <f>'Data cleaning and validation(3)'!J908</f>
        <v>British Columbia</v>
      </c>
      <c r="K920" s="8" t="str">
        <f>'Data cleaning and validation(3)'!K908</f>
        <v>Canada</v>
      </c>
      <c r="L920" s="8" t="str">
        <f>'Data cleaning and validation(3)'!L908</f>
        <v>Auto &amp; Hardware</v>
      </c>
      <c r="M920" s="8" t="str">
        <f>'Data cleaning and validation(3)'!M908</f>
        <v>Active</v>
      </c>
      <c r="N920" s="17">
        <f>'Data cleaning and validation(3)'!N908</f>
        <v>1251912</v>
      </c>
      <c r="O920" s="18">
        <f>'Data cleaning and validation(3)'!O908</f>
        <v>10432.6</v>
      </c>
    </row>
    <row r="921" spans="1:15" x14ac:dyDescent="0.35">
      <c r="A921" s="8">
        <f>'Data cleaning and validation(3)'!A909</f>
        <v>908</v>
      </c>
      <c r="B921" s="8" t="str">
        <f>'Data cleaning and validation(3)'!B909</f>
        <v>Hanson</v>
      </c>
      <c r="C921" s="8" t="str">
        <f>'Data cleaning and validation(3)'!C909</f>
        <v>jhansonp7@1688.com</v>
      </c>
      <c r="D921" s="8" t="str">
        <f>'Data cleaning and validation(3)'!D909</f>
        <v>F</v>
      </c>
      <c r="E921" s="8" t="str">
        <f>'Data cleaning and validation(3)'!E909</f>
        <v>Electronics</v>
      </c>
      <c r="F921" s="15">
        <f>'Data cleaning and validation(3)'!F909</f>
        <v>37952</v>
      </c>
      <c r="G921" s="8">
        <f>'Data cleaning and validation(3)'!G909</f>
        <v>18</v>
      </c>
      <c r="H921" s="19">
        <f>'Data cleaning and validation(3)'!H909</f>
        <v>144767</v>
      </c>
      <c r="I921" s="8" t="str">
        <f>'Data cleaning and validation(3)'!I909</f>
        <v>Executive Secretary</v>
      </c>
      <c r="J921" s="8" t="str">
        <f>'Data cleaning and validation(3)'!J909</f>
        <v>British Columbia</v>
      </c>
      <c r="K921" s="8" t="str">
        <f>'Data cleaning and validation(3)'!K909</f>
        <v>Canada</v>
      </c>
      <c r="L921" s="8" t="str">
        <f>'Data cleaning and validation(3)'!L909</f>
        <v>Electronic Equipment</v>
      </c>
      <c r="M921" s="8" t="str">
        <f>'Data cleaning and validation(3)'!M909</f>
        <v>Active</v>
      </c>
      <c r="N921" s="17">
        <f>'Data cleaning and validation(3)'!N909</f>
        <v>1737204</v>
      </c>
      <c r="O921" s="18">
        <f>'Data cleaning and validation(3)'!O909</f>
        <v>14476.7</v>
      </c>
    </row>
    <row r="922" spans="1:15" x14ac:dyDescent="0.35">
      <c r="A922" s="8">
        <f>'Data cleaning and validation(3)'!A910</f>
        <v>909</v>
      </c>
      <c r="B922" s="8" t="str">
        <f>'Data cleaning and validation(3)'!B910</f>
        <v>Mcdonald</v>
      </c>
      <c r="C922" s="8" t="str">
        <f>'Data cleaning and validation(3)'!C910</f>
        <v>hmcdonaldp8@facebook.com</v>
      </c>
      <c r="D922" s="8" t="str">
        <f>'Data cleaning and validation(3)'!D910</f>
        <v>M</v>
      </c>
      <c r="E922" s="8" t="str">
        <f>'Data cleaning and validation(3)'!E910</f>
        <v>Automotive</v>
      </c>
      <c r="F922" s="15">
        <f>'Data cleaning and validation(3)'!F910</f>
        <v>40173</v>
      </c>
      <c r="G922" s="8">
        <f>'Data cleaning and validation(3)'!G910</f>
        <v>12</v>
      </c>
      <c r="H922" s="19">
        <f>'Data cleaning and validation(3)'!H910</f>
        <v>111041</v>
      </c>
      <c r="I922" s="8" t="str">
        <f>'Data cleaning and validation(3)'!I910</f>
        <v>Research Assistant II</v>
      </c>
      <c r="J922" s="8" t="str">
        <f>'Data cleaning and validation(3)'!J910</f>
        <v>Quebec</v>
      </c>
      <c r="K922" s="8" t="str">
        <f>'Data cleaning and validation(3)'!K910</f>
        <v>Canada</v>
      </c>
      <c r="L922" s="8" t="str">
        <f>'Data cleaning and validation(3)'!L910</f>
        <v>Auto &amp; Hardware</v>
      </c>
      <c r="M922" s="8" t="str">
        <f>'Data cleaning and validation(3)'!M910</f>
        <v>Active</v>
      </c>
      <c r="N922" s="17">
        <f>'Data cleaning and validation(3)'!N910</f>
        <v>1332492</v>
      </c>
      <c r="O922" s="18">
        <f>'Data cleaning and validation(3)'!O910</f>
        <v>11104.1</v>
      </c>
    </row>
    <row r="923" spans="1:15" x14ac:dyDescent="0.35">
      <c r="A923" s="8">
        <f>'Data cleaning and validation(3)'!A911</f>
        <v>910</v>
      </c>
      <c r="B923" s="8" t="str">
        <f>'Data cleaning and validation(3)'!B911</f>
        <v>Reyes</v>
      </c>
      <c r="C923" s="8" t="str">
        <f>'Data cleaning and validation(3)'!C911</f>
        <v>freyesp9@ft.com</v>
      </c>
      <c r="D923" s="8" t="str">
        <f>'Data cleaning and validation(3)'!D911</f>
        <v>F</v>
      </c>
      <c r="E923" s="8" t="str">
        <f>'Data cleaning and validation(3)'!E911</f>
        <v>Garden</v>
      </c>
      <c r="F923" s="15">
        <f>'Data cleaning and validation(3)'!F911</f>
        <v>38707</v>
      </c>
      <c r="G923" s="8">
        <f>'Data cleaning and validation(3)'!G911</f>
        <v>16</v>
      </c>
      <c r="H923" s="19">
        <f>'Data cleaning and validation(3)'!H911</f>
        <v>148860</v>
      </c>
      <c r="I923" s="8" t="str">
        <f>'Data cleaning and validation(3)'!I911</f>
        <v>Product Engineer</v>
      </c>
      <c r="J923" s="8" t="str">
        <f>'Data cleaning and validation(3)'!J911</f>
        <v>Southwest</v>
      </c>
      <c r="K923" s="8" t="str">
        <f>'Data cleaning and validation(3)'!K911</f>
        <v>USA</v>
      </c>
      <c r="L923" s="8" t="str">
        <f>'Data cleaning and validation(3)'!L911</f>
        <v>Outdoors &amp; Garden</v>
      </c>
      <c r="M923" s="8" t="str">
        <f>'Data cleaning and validation(3)'!M911</f>
        <v>Active</v>
      </c>
      <c r="N923" s="17">
        <f>'Data cleaning and validation(3)'!N911</f>
        <v>1786320</v>
      </c>
      <c r="O923" s="18">
        <f>'Data cleaning and validation(3)'!O911</f>
        <v>14886</v>
      </c>
    </row>
    <row r="924" spans="1:15" x14ac:dyDescent="0.35">
      <c r="A924" s="8">
        <f>'Data cleaning and validation(3)'!A912</f>
        <v>911</v>
      </c>
      <c r="B924" s="8" t="str">
        <f>'Data cleaning and validation(3)'!B912</f>
        <v>Peterson</v>
      </c>
      <c r="C924" s="8" t="str">
        <f>'Data cleaning and validation(3)'!C912</f>
        <v>jpetersonpa@unblog.fr</v>
      </c>
      <c r="D924" s="8" t="str">
        <f>'Data cleaning and validation(3)'!D912</f>
        <v>M</v>
      </c>
      <c r="E924" s="8" t="str">
        <f>'Data cleaning and validation(3)'!E912</f>
        <v>Automotive</v>
      </c>
      <c r="F924" s="15">
        <f>'Data cleaning and validation(3)'!F912</f>
        <v>37276</v>
      </c>
      <c r="G924" s="8">
        <f>'Data cleaning and validation(3)'!G912</f>
        <v>19</v>
      </c>
      <c r="H924" s="19">
        <f>'Data cleaning and validation(3)'!H912</f>
        <v>53964</v>
      </c>
      <c r="I924" s="8" t="str">
        <f>'Data cleaning and validation(3)'!I912</f>
        <v>Pharmacist</v>
      </c>
      <c r="J924" s="8" t="str">
        <f>'Data cleaning and validation(3)'!J912</f>
        <v>Northeast</v>
      </c>
      <c r="K924" s="8" t="str">
        <f>'Data cleaning and validation(3)'!K912</f>
        <v>USA</v>
      </c>
      <c r="L924" s="8" t="str">
        <f>'Data cleaning and validation(3)'!L912</f>
        <v>Auto &amp; Hardware</v>
      </c>
      <c r="M924" s="8" t="str">
        <f>'Data cleaning and validation(3)'!M912</f>
        <v>Active</v>
      </c>
      <c r="N924" s="17">
        <f>'Data cleaning and validation(3)'!N912</f>
        <v>647568</v>
      </c>
      <c r="O924" s="18">
        <f>'Data cleaning and validation(3)'!O912</f>
        <v>5396.4000000000005</v>
      </c>
    </row>
    <row r="925" spans="1:15" x14ac:dyDescent="0.35">
      <c r="A925" s="8">
        <f>'Data cleaning and validation(3)'!A913</f>
        <v>912</v>
      </c>
      <c r="B925" s="8" t="str">
        <f>'Data cleaning and validation(3)'!B913</f>
        <v>Fisher</v>
      </c>
      <c r="C925" s="8" t="str">
        <f>'Data cleaning and validation(3)'!C913</f>
        <v>sfisherpb@answers.com</v>
      </c>
      <c r="D925" s="8" t="str">
        <f>'Data cleaning and validation(3)'!D913</f>
        <v>F</v>
      </c>
      <c r="E925" s="8" t="str">
        <f>'Data cleaning and validation(3)'!E913</f>
        <v>Beauty</v>
      </c>
      <c r="F925" s="15">
        <f>'Data cleaning and validation(3)'!F913</f>
        <v>43891</v>
      </c>
      <c r="G925" s="8">
        <f>'Data cleaning and validation(3)'!G913</f>
        <v>14</v>
      </c>
      <c r="H925" s="19">
        <f>'Data cleaning and validation(3)'!H913</f>
        <v>131152</v>
      </c>
      <c r="I925" s="8" t="str">
        <f>'Data cleaning and validation(3)'!I913</f>
        <v>Database Administrator IV</v>
      </c>
      <c r="J925" s="8" t="str">
        <f>'Data cleaning and validation(3)'!J913</f>
        <v>Southeast</v>
      </c>
      <c r="K925" s="8" t="str">
        <f>'Data cleaning and validation(3)'!K913</f>
        <v>USA</v>
      </c>
      <c r="L925" s="8" t="str">
        <f>'Data cleaning and validation(3)'!L913</f>
        <v>Domestic</v>
      </c>
      <c r="M925" s="8" t="str">
        <f>'Data cleaning and validation(3)'!M913</f>
        <v>Active</v>
      </c>
      <c r="N925" s="17">
        <f>'Data cleaning and validation(3)'!N913</f>
        <v>1573824</v>
      </c>
      <c r="O925" s="18">
        <f>'Data cleaning and validation(3)'!O913</f>
        <v>13115.2</v>
      </c>
    </row>
    <row r="926" spans="1:15" x14ac:dyDescent="0.35">
      <c r="A926" s="8">
        <f>'Data cleaning and validation(3)'!A914</f>
        <v>913</v>
      </c>
      <c r="B926" s="8" t="str">
        <f>'Data cleaning and validation(3)'!B914</f>
        <v>Kelley</v>
      </c>
      <c r="C926" s="8" t="str">
        <f>'Data cleaning and validation(3)'!C914</f>
        <v>mkelleypc@sourceforge.net</v>
      </c>
      <c r="D926" s="8" t="str">
        <f>'Data cleaning and validation(3)'!D914</f>
        <v>F</v>
      </c>
      <c r="E926" s="8" t="str">
        <f>'Data cleaning and validation(3)'!E914</f>
        <v>Clothing</v>
      </c>
      <c r="F926" s="15">
        <f>'Data cleaning and validation(3)'!F914</f>
        <v>45708</v>
      </c>
      <c r="G926" s="8">
        <f>'Data cleaning and validation(3)'!G914</f>
        <v>9</v>
      </c>
      <c r="H926" s="19">
        <f>'Data cleaning and validation(3)'!H914</f>
        <v>116266</v>
      </c>
      <c r="I926" s="8" t="str">
        <f>'Data cleaning and validation(3)'!I914</f>
        <v>Marketing Assistant</v>
      </c>
      <c r="J926" s="8" t="str">
        <f>'Data cleaning and validation(3)'!J914</f>
        <v>Quebec</v>
      </c>
      <c r="K926" s="8" t="str">
        <f>'Data cleaning and validation(3)'!K914</f>
        <v>Canada</v>
      </c>
      <c r="L926" s="8" t="str">
        <f>'Data cleaning and validation(3)'!L914</f>
        <v>Domestic</v>
      </c>
      <c r="M926" s="8" t="str">
        <f>'Data cleaning and validation(3)'!M914</f>
        <v>Active</v>
      </c>
      <c r="N926" s="17">
        <f>'Data cleaning and validation(3)'!N914</f>
        <v>1395192</v>
      </c>
      <c r="O926" s="18">
        <f>'Data cleaning and validation(3)'!O914</f>
        <v>11626.6</v>
      </c>
    </row>
    <row r="927" spans="1:15" x14ac:dyDescent="0.35">
      <c r="A927" s="8">
        <f>'Data cleaning and validation(3)'!A915</f>
        <v>914</v>
      </c>
      <c r="B927" s="8" t="str">
        <f>'Data cleaning and validation(3)'!B915</f>
        <v>Armstrong</v>
      </c>
      <c r="C927" s="8" t="str">
        <f>'Data cleaning and validation(3)'!C915</f>
        <v>carmstrongpd@4shared.com</v>
      </c>
      <c r="D927" s="8" t="str">
        <f>'Data cleaning and validation(3)'!D915</f>
        <v>F</v>
      </c>
      <c r="E927" s="8" t="str">
        <f>'Data cleaning and validation(3)'!E915</f>
        <v>Beauty</v>
      </c>
      <c r="F927" s="15">
        <f>'Data cleaning and validation(3)'!F915</f>
        <v>38875</v>
      </c>
      <c r="G927" s="8">
        <f>'Data cleaning and validation(3)'!G915</f>
        <v>15</v>
      </c>
      <c r="H927" s="19">
        <f>'Data cleaning and validation(3)'!H915</f>
        <v>143853</v>
      </c>
      <c r="I927" s="8" t="str">
        <f>'Data cleaning and validation(3)'!I915</f>
        <v>Design Engineer</v>
      </c>
      <c r="J927" s="8" t="str">
        <f>'Data cleaning and validation(3)'!J915</f>
        <v>Southeast</v>
      </c>
      <c r="K927" s="8" t="str">
        <f>'Data cleaning and validation(3)'!K915</f>
        <v>USA</v>
      </c>
      <c r="L927" s="8" t="str">
        <f>'Data cleaning and validation(3)'!L915</f>
        <v>Domestic</v>
      </c>
      <c r="M927" s="8" t="str">
        <f>'Data cleaning and validation(3)'!M915</f>
        <v>Active</v>
      </c>
      <c r="N927" s="17">
        <f>'Data cleaning and validation(3)'!N915</f>
        <v>1726236</v>
      </c>
      <c r="O927" s="18">
        <f>'Data cleaning and validation(3)'!O915</f>
        <v>14385.300000000001</v>
      </c>
    </row>
    <row r="928" spans="1:15" x14ac:dyDescent="0.35">
      <c r="A928" s="8">
        <f>'Data cleaning and validation(3)'!A916</f>
        <v>915</v>
      </c>
      <c r="B928" s="8" t="str">
        <f>'Data cleaning and validation(3)'!B916</f>
        <v>Bell</v>
      </c>
      <c r="C928" s="8" t="str">
        <f>'Data cleaning and validation(3)'!C916</f>
        <v>cbellpe@npr.org</v>
      </c>
      <c r="D928" s="8" t="str">
        <f>'Data cleaning and validation(3)'!D916</f>
        <v>M</v>
      </c>
      <c r="E928" s="8" t="str">
        <f>'Data cleaning and validation(3)'!E916</f>
        <v>Tools</v>
      </c>
      <c r="F928" s="15">
        <f>'Data cleaning and validation(3)'!F916</f>
        <v>40324</v>
      </c>
      <c r="G928" s="8">
        <f>'Data cleaning and validation(3)'!G916</f>
        <v>11</v>
      </c>
      <c r="H928" s="19">
        <f>'Data cleaning and validation(3)'!H916</f>
        <v>92561</v>
      </c>
      <c r="I928" s="8" t="str">
        <f>'Data cleaning and validation(3)'!I916</f>
        <v>Senior Sales Associate</v>
      </c>
      <c r="J928" s="8" t="str">
        <f>'Data cleaning and validation(3)'!J916</f>
        <v>Northeast</v>
      </c>
      <c r="K928" s="8" t="str">
        <f>'Data cleaning and validation(3)'!K916</f>
        <v>USA</v>
      </c>
      <c r="L928" s="8" t="str">
        <f>'Data cleaning and validation(3)'!L916</f>
        <v>Auto &amp; Hardware</v>
      </c>
      <c r="M928" s="8" t="str">
        <f>'Data cleaning and validation(3)'!M916</f>
        <v>Active</v>
      </c>
      <c r="N928" s="17">
        <f>'Data cleaning and validation(3)'!N916</f>
        <v>1110732</v>
      </c>
      <c r="O928" s="18">
        <f>'Data cleaning and validation(3)'!O916</f>
        <v>9256.1</v>
      </c>
    </row>
    <row r="929" spans="1:15" x14ac:dyDescent="0.35">
      <c r="A929" s="8">
        <f>'Data cleaning and validation(3)'!A917</f>
        <v>916</v>
      </c>
      <c r="B929" s="8" t="str">
        <f>'Data cleaning and validation(3)'!B917</f>
        <v>Payne</v>
      </c>
      <c r="C929" s="8" t="str">
        <f>'Data cleaning and validation(3)'!C917</f>
        <v>bpaynepf@cbsnews.com</v>
      </c>
      <c r="D929" s="8" t="str">
        <f>'Data cleaning and validation(3)'!D917</f>
        <v>F</v>
      </c>
      <c r="E929" s="8" t="str">
        <f>'Data cleaning and validation(3)'!E917</f>
        <v>Grocery</v>
      </c>
      <c r="F929" s="15">
        <f>'Data cleaning and validation(3)'!F917</f>
        <v>38939</v>
      </c>
      <c r="G929" s="8">
        <f>'Data cleaning and validation(3)'!G917</f>
        <v>15</v>
      </c>
      <c r="H929" s="19">
        <f>'Data cleaning and validation(3)'!H917</f>
        <v>45486</v>
      </c>
      <c r="I929" s="8" t="str">
        <f>'Data cleaning and validation(3)'!I917</f>
        <v>GIS Technical Architect</v>
      </c>
      <c r="J929" s="8" t="str">
        <f>'Data cleaning and validation(3)'!J917</f>
        <v>Northeast</v>
      </c>
      <c r="K929" s="8" t="str">
        <f>'Data cleaning and validation(3)'!K917</f>
        <v>USA</v>
      </c>
      <c r="L929" s="8" t="str">
        <f>'Data cleaning and validation(3)'!L917</f>
        <v>Domestic</v>
      </c>
      <c r="M929" s="8" t="str">
        <f>'Data cleaning and validation(3)'!M917</f>
        <v>Active</v>
      </c>
      <c r="N929" s="17">
        <f>'Data cleaning and validation(3)'!N917</f>
        <v>545832</v>
      </c>
      <c r="O929" s="18">
        <f>'Data cleaning and validation(3)'!O917</f>
        <v>4548.6000000000004</v>
      </c>
    </row>
    <row r="930" spans="1:15" x14ac:dyDescent="0.35">
      <c r="A930" s="8">
        <f>'Data cleaning and validation(3)'!A918</f>
        <v>917</v>
      </c>
      <c r="B930" s="8" t="str">
        <f>'Data cleaning and validation(3)'!B918</f>
        <v>Gutierrez</v>
      </c>
      <c r="C930" s="8" t="str">
        <f>'Data cleaning and validation(3)'!C918</f>
        <v>sgutierrezpg@bloglovin.com</v>
      </c>
      <c r="D930" s="8" t="str">
        <f>'Data cleaning and validation(3)'!D918</f>
        <v>M</v>
      </c>
      <c r="E930" s="8" t="str">
        <f>'Data cleaning and validation(3)'!E918</f>
        <v>Beauty</v>
      </c>
      <c r="F930" s="15">
        <f>'Data cleaning and validation(3)'!F918</f>
        <v>38332</v>
      </c>
      <c r="G930" s="8">
        <f>'Data cleaning and validation(3)'!G918</f>
        <v>17</v>
      </c>
      <c r="H930" s="19">
        <f>'Data cleaning and validation(3)'!H918</f>
        <v>95424</v>
      </c>
      <c r="I930" s="8" t="str">
        <f>'Data cleaning and validation(3)'!I918</f>
        <v>VP Product Management</v>
      </c>
      <c r="J930" s="8" t="str">
        <f>'Data cleaning and validation(3)'!J918</f>
        <v>Southeast</v>
      </c>
      <c r="K930" s="8" t="str">
        <f>'Data cleaning and validation(3)'!K918</f>
        <v>USA</v>
      </c>
      <c r="L930" s="8" t="str">
        <f>'Data cleaning and validation(3)'!L918</f>
        <v>Domestic</v>
      </c>
      <c r="M930" s="8" t="str">
        <f>'Data cleaning and validation(3)'!M918</f>
        <v>Active</v>
      </c>
      <c r="N930" s="17">
        <f>'Data cleaning and validation(3)'!N918</f>
        <v>1145088</v>
      </c>
      <c r="O930" s="18">
        <f>'Data cleaning and validation(3)'!O918</f>
        <v>9542.4</v>
      </c>
    </row>
    <row r="931" spans="1:15" x14ac:dyDescent="0.35">
      <c r="A931" s="8">
        <f>'Data cleaning and validation(3)'!A919</f>
        <v>918</v>
      </c>
      <c r="B931" s="8" t="str">
        <f>'Data cleaning and validation(3)'!B919</f>
        <v>Miller</v>
      </c>
      <c r="C931" s="8" t="str">
        <f>'Data cleaning and validation(3)'!C919</f>
        <v>amillerph@skype.com</v>
      </c>
      <c r="D931" s="8" t="str">
        <f>'Data cleaning and validation(3)'!D919</f>
        <v>F</v>
      </c>
      <c r="E931" s="8" t="str">
        <f>'Data cleaning and validation(3)'!E919</f>
        <v>Baby</v>
      </c>
      <c r="F931" s="15">
        <f>'Data cleaning and validation(3)'!F919</f>
        <v>38260</v>
      </c>
      <c r="G931" s="8">
        <f>'Data cleaning and validation(3)'!G919</f>
        <v>17</v>
      </c>
      <c r="H931" s="19">
        <f>'Data cleaning and validation(3)'!H919</f>
        <v>73905</v>
      </c>
      <c r="I931" s="8" t="str">
        <f>'Data cleaning and validation(3)'!I919</f>
        <v>Design Engineer</v>
      </c>
      <c r="J931" s="8" t="str">
        <f>'Data cleaning and validation(3)'!J919</f>
        <v>Nova Scotia</v>
      </c>
      <c r="K931" s="8" t="str">
        <f>'Data cleaning and validation(3)'!K919</f>
        <v>Canada</v>
      </c>
      <c r="L931" s="8" t="str">
        <f>'Data cleaning and validation(3)'!L919</f>
        <v>Domestic</v>
      </c>
      <c r="M931" s="8" t="str">
        <f>'Data cleaning and validation(3)'!M919</f>
        <v>Active</v>
      </c>
      <c r="N931" s="17">
        <f>'Data cleaning and validation(3)'!N919</f>
        <v>886860</v>
      </c>
      <c r="O931" s="18">
        <f>'Data cleaning and validation(3)'!O919</f>
        <v>7390.5</v>
      </c>
    </row>
    <row r="932" spans="1:15" x14ac:dyDescent="0.35">
      <c r="A932" s="8">
        <f>'Data cleaning and validation(3)'!A920</f>
        <v>919</v>
      </c>
      <c r="B932" s="8" t="str">
        <f>'Data cleaning and validation(3)'!B920</f>
        <v>Bishop</v>
      </c>
      <c r="C932" s="8" t="str">
        <f>'Data cleaning and validation(3)'!C920</f>
        <v>kbishoppi@ovh.net</v>
      </c>
      <c r="D932" s="8" t="str">
        <f>'Data cleaning and validation(3)'!D920</f>
        <v>F</v>
      </c>
      <c r="E932" s="8" t="str">
        <f>'Data cleaning and validation(3)'!E920</f>
        <v>Movies</v>
      </c>
      <c r="F932" s="15">
        <f>'Data cleaning and validation(3)'!F920</f>
        <v>45278</v>
      </c>
      <c r="G932" s="8">
        <f>'Data cleaning and validation(3)'!G920</f>
        <v>11</v>
      </c>
      <c r="H932" s="19">
        <f>'Data cleaning and validation(3)'!H920</f>
        <v>53798</v>
      </c>
      <c r="I932" s="8" t="str">
        <f>'Data cleaning and validation(3)'!I920</f>
        <v>Mechanical Systems Engineer</v>
      </c>
      <c r="J932" s="8" t="str">
        <f>'Data cleaning and validation(3)'!J920</f>
        <v>Northeast</v>
      </c>
      <c r="K932" s="8" t="str">
        <f>'Data cleaning and validation(3)'!K920</f>
        <v>USA</v>
      </c>
      <c r="L932" s="8" t="str">
        <f>'Data cleaning and validation(3)'!L920</f>
        <v>Entertainment</v>
      </c>
      <c r="M932" s="8" t="str">
        <f>'Data cleaning and validation(3)'!M920</f>
        <v>Active</v>
      </c>
      <c r="N932" s="17">
        <f>'Data cleaning and validation(3)'!N920</f>
        <v>645576</v>
      </c>
      <c r="O932" s="18">
        <f>'Data cleaning and validation(3)'!O920</f>
        <v>5379.8</v>
      </c>
    </row>
    <row r="933" spans="1:15" x14ac:dyDescent="0.35">
      <c r="A933" s="8">
        <f>'Data cleaning and validation(3)'!A921</f>
        <v>920</v>
      </c>
      <c r="B933" s="8" t="str">
        <f>'Data cleaning and validation(3)'!B921</f>
        <v>Cole</v>
      </c>
      <c r="C933" s="8" t="str">
        <f>'Data cleaning and validation(3)'!C921</f>
        <v>scolepj@odnoklassniki.ru</v>
      </c>
      <c r="D933" s="8" t="str">
        <f>'Data cleaning and validation(3)'!D921</f>
        <v>F</v>
      </c>
      <c r="E933" s="8" t="str">
        <f>'Data cleaning and validation(3)'!E921</f>
        <v>Tools</v>
      </c>
      <c r="F933" s="15">
        <f>'Data cleaning and validation(3)'!F921</f>
        <v>45048</v>
      </c>
      <c r="G933" s="8">
        <f>'Data cleaning and validation(3)'!G921</f>
        <v>11</v>
      </c>
      <c r="H933" s="19">
        <f>'Data cleaning and validation(3)'!H921</f>
        <v>116766</v>
      </c>
      <c r="I933" s="8" t="str">
        <f>'Data cleaning and validation(3)'!I921</f>
        <v>Account Representative IV</v>
      </c>
      <c r="J933" s="8" t="str">
        <f>'Data cleaning and validation(3)'!J921</f>
        <v>Southwest</v>
      </c>
      <c r="K933" s="8" t="str">
        <f>'Data cleaning and validation(3)'!K921</f>
        <v>USA</v>
      </c>
      <c r="L933" s="8" t="str">
        <f>'Data cleaning and validation(3)'!L921</f>
        <v>Auto &amp; Hardware</v>
      </c>
      <c r="M933" s="8" t="str">
        <f>'Data cleaning and validation(3)'!M921</f>
        <v>Active</v>
      </c>
      <c r="N933" s="17">
        <f>'Data cleaning and validation(3)'!N921</f>
        <v>1401192</v>
      </c>
      <c r="O933" s="18">
        <f>'Data cleaning and validation(3)'!O921</f>
        <v>11676.6</v>
      </c>
    </row>
    <row r="934" spans="1:15" x14ac:dyDescent="0.35">
      <c r="A934" s="8">
        <f>'Data cleaning and validation(3)'!A922</f>
        <v>921</v>
      </c>
      <c r="B934" s="8" t="str">
        <f>'Data cleaning and validation(3)'!B922</f>
        <v>Moore</v>
      </c>
      <c r="C934" s="8" t="str">
        <f>'Data cleaning and validation(3)'!C922</f>
        <v>jmoorepk@home.pl</v>
      </c>
      <c r="D934" s="8" t="str">
        <f>'Data cleaning and validation(3)'!D922</f>
        <v>F</v>
      </c>
      <c r="E934" s="8" t="str">
        <f>'Data cleaning and validation(3)'!E922</f>
        <v>Beauty</v>
      </c>
      <c r="F934" s="15">
        <f>'Data cleaning and validation(3)'!F922</f>
        <v>46196</v>
      </c>
      <c r="G934" s="8">
        <f>'Data cleaning and validation(3)'!G922</f>
        <v>8</v>
      </c>
      <c r="H934" s="19">
        <f>'Data cleaning and validation(3)'!H922</f>
        <v>142101</v>
      </c>
      <c r="I934" s="8" t="str">
        <f>'Data cleaning and validation(3)'!I922</f>
        <v>Paralegal</v>
      </c>
      <c r="J934" s="8" t="str">
        <f>'Data cleaning and validation(3)'!J922</f>
        <v>Southeast</v>
      </c>
      <c r="K934" s="8" t="str">
        <f>'Data cleaning and validation(3)'!K922</f>
        <v>USA</v>
      </c>
      <c r="L934" s="8" t="str">
        <f>'Data cleaning and validation(3)'!L922</f>
        <v>Domestic</v>
      </c>
      <c r="M934" s="8" t="str">
        <f>'Data cleaning and validation(3)'!M922</f>
        <v>Active</v>
      </c>
      <c r="N934" s="17">
        <f>'Data cleaning and validation(3)'!N922</f>
        <v>1705212</v>
      </c>
      <c r="O934" s="18">
        <f>'Data cleaning and validation(3)'!O922</f>
        <v>14210.1</v>
      </c>
    </row>
    <row r="935" spans="1:15" x14ac:dyDescent="0.35">
      <c r="A935" s="8">
        <f>'Data cleaning and validation(3)'!A923</f>
        <v>922</v>
      </c>
      <c r="B935" s="8" t="str">
        <f>'Data cleaning and validation(3)'!B923</f>
        <v>Watkins</v>
      </c>
      <c r="C935" s="8" t="str">
        <f>'Data cleaning and validation(3)'!C923</f>
        <v>swatkinspl@google.fr</v>
      </c>
      <c r="D935" s="8" t="str">
        <f>'Data cleaning and validation(3)'!D923</f>
        <v>F</v>
      </c>
      <c r="E935" s="8" t="str">
        <f>'Data cleaning and validation(3)'!E923</f>
        <v>Beauty</v>
      </c>
      <c r="F935" s="15">
        <f>'Data cleaning and validation(3)'!F923</f>
        <v>36635</v>
      </c>
      <c r="G935" s="8">
        <f>'Data cleaning and validation(3)'!G923</f>
        <v>21</v>
      </c>
      <c r="H935" s="19">
        <f>'Data cleaning and validation(3)'!H923</f>
        <v>41299</v>
      </c>
      <c r="I935" s="8" t="str">
        <f>'Data cleaning and validation(3)'!I923</f>
        <v>Computer Systems Analyst IV</v>
      </c>
      <c r="J935" s="8" t="str">
        <f>'Data cleaning and validation(3)'!J923</f>
        <v>British Columbia</v>
      </c>
      <c r="K935" s="8" t="str">
        <f>'Data cleaning and validation(3)'!K923</f>
        <v>Canada</v>
      </c>
      <c r="L935" s="8" t="str">
        <f>'Data cleaning and validation(3)'!L923</f>
        <v>Domestic</v>
      </c>
      <c r="M935" s="8" t="str">
        <f>'Data cleaning and validation(3)'!M923</f>
        <v>Active</v>
      </c>
      <c r="N935" s="17">
        <f>'Data cleaning and validation(3)'!N923</f>
        <v>495588</v>
      </c>
      <c r="O935" s="18">
        <f>'Data cleaning and validation(3)'!O923</f>
        <v>4129.9000000000005</v>
      </c>
    </row>
    <row r="936" spans="1:15" x14ac:dyDescent="0.35">
      <c r="A936" s="8">
        <f>'Data cleaning and validation(3)'!A924</f>
        <v>923</v>
      </c>
      <c r="B936" s="8" t="str">
        <f>'Data cleaning and validation(3)'!B924</f>
        <v>White</v>
      </c>
      <c r="C936" s="8" t="str">
        <f>'Data cleaning and validation(3)'!C924</f>
        <v>jwhitepm@elpais.com</v>
      </c>
      <c r="D936" s="8" t="str">
        <f>'Data cleaning and validation(3)'!D924</f>
        <v>M</v>
      </c>
      <c r="E936" s="8" t="str">
        <f>'Data cleaning and validation(3)'!E924</f>
        <v>Grocery</v>
      </c>
      <c r="F936" s="15">
        <f>'Data cleaning and validation(3)'!F924</f>
        <v>37628</v>
      </c>
      <c r="G936" s="8">
        <f>'Data cleaning and validation(3)'!G924</f>
        <v>18</v>
      </c>
      <c r="H936" s="19">
        <f>'Data cleaning and validation(3)'!H924</f>
        <v>122130</v>
      </c>
      <c r="I936" s="8" t="str">
        <f>'Data cleaning and validation(3)'!I924</f>
        <v>Project Manager</v>
      </c>
      <c r="J936" s="8" t="str">
        <f>'Data cleaning and validation(3)'!J924</f>
        <v>Northeast</v>
      </c>
      <c r="K936" s="8" t="str">
        <f>'Data cleaning and validation(3)'!K924</f>
        <v>USA</v>
      </c>
      <c r="L936" s="8" t="str">
        <f>'Data cleaning and validation(3)'!L924</f>
        <v>Domestic</v>
      </c>
      <c r="M936" s="8" t="str">
        <f>'Data cleaning and validation(3)'!M924</f>
        <v>Active</v>
      </c>
      <c r="N936" s="17">
        <f>'Data cleaning and validation(3)'!N924</f>
        <v>1465560</v>
      </c>
      <c r="O936" s="18">
        <f>'Data cleaning and validation(3)'!O924</f>
        <v>12213</v>
      </c>
    </row>
    <row r="937" spans="1:15" x14ac:dyDescent="0.35">
      <c r="A937" s="8">
        <f>'Data cleaning and validation(3)'!A925</f>
        <v>924</v>
      </c>
      <c r="B937" s="8" t="str">
        <f>'Data cleaning and validation(3)'!B925</f>
        <v>Wilson</v>
      </c>
      <c r="C937" s="8" t="str">
        <f>'Data cleaning and validation(3)'!C925</f>
        <v>bwilsonpn@chron.com</v>
      </c>
      <c r="D937" s="8" t="str">
        <f>'Data cleaning and validation(3)'!D925</f>
        <v>M</v>
      </c>
      <c r="E937" s="8" t="str">
        <f>'Data cleaning and validation(3)'!E925</f>
        <v>Beauty</v>
      </c>
      <c r="F937" s="15">
        <f>'Data cleaning and validation(3)'!F925</f>
        <v>37686</v>
      </c>
      <c r="G937" s="8">
        <f>'Data cleaning and validation(3)'!G925</f>
        <v>18</v>
      </c>
      <c r="H937" s="19">
        <f>'Data cleaning and validation(3)'!H925</f>
        <v>122446</v>
      </c>
      <c r="I937" s="8" t="str">
        <f>'Data cleaning and validation(3)'!I925</f>
        <v>Systems Administrator II</v>
      </c>
      <c r="J937" s="8" t="str">
        <f>'Data cleaning and validation(3)'!J925</f>
        <v>Quebec</v>
      </c>
      <c r="K937" s="8" t="str">
        <f>'Data cleaning and validation(3)'!K925</f>
        <v>Canada</v>
      </c>
      <c r="L937" s="8" t="str">
        <f>'Data cleaning and validation(3)'!L925</f>
        <v>Domestic</v>
      </c>
      <c r="M937" s="8" t="str">
        <f>'Data cleaning and validation(3)'!M925</f>
        <v>Active</v>
      </c>
      <c r="N937" s="17">
        <f>'Data cleaning and validation(3)'!N925</f>
        <v>1469352</v>
      </c>
      <c r="O937" s="18">
        <f>'Data cleaning and validation(3)'!O925</f>
        <v>12244.6</v>
      </c>
    </row>
    <row r="938" spans="1:15" x14ac:dyDescent="0.35">
      <c r="A938" s="8">
        <f>'Data cleaning and validation(3)'!A926</f>
        <v>925</v>
      </c>
      <c r="B938" s="8" t="str">
        <f>'Data cleaning and validation(3)'!B926</f>
        <v>Phillips</v>
      </c>
      <c r="C938" s="8" t="str">
        <f>'Data cleaning and validation(3)'!C926</f>
        <v>dphillipspo@adobe.com</v>
      </c>
      <c r="D938" s="8" t="str">
        <f>'Data cleaning and validation(3)'!D926</f>
        <v>F</v>
      </c>
      <c r="E938" s="8" t="str">
        <f>'Data cleaning and validation(3)'!E926</f>
        <v>Garden</v>
      </c>
      <c r="F938" s="15">
        <f>'Data cleaning and validation(3)'!F926</f>
        <v>45568</v>
      </c>
      <c r="G938" s="8">
        <f>'Data cleaning and validation(3)'!G926</f>
        <v>10</v>
      </c>
      <c r="H938" s="19">
        <f>'Data cleaning and validation(3)'!H926</f>
        <v>127367</v>
      </c>
      <c r="I938" s="8" t="str">
        <f>'Data cleaning and validation(3)'!I926</f>
        <v>Recruiting Manager</v>
      </c>
      <c r="J938" s="8" t="str">
        <f>'Data cleaning and validation(3)'!J926</f>
        <v>Southwest</v>
      </c>
      <c r="K938" s="8" t="str">
        <f>'Data cleaning and validation(3)'!K926</f>
        <v>USA</v>
      </c>
      <c r="L938" s="8" t="str">
        <f>'Data cleaning and validation(3)'!L926</f>
        <v>Outdoors &amp; Garden</v>
      </c>
      <c r="M938" s="8" t="str">
        <f>'Data cleaning and validation(3)'!M926</f>
        <v>Active</v>
      </c>
      <c r="N938" s="17">
        <f>'Data cleaning and validation(3)'!N926</f>
        <v>1528404</v>
      </c>
      <c r="O938" s="18">
        <f>'Data cleaning and validation(3)'!O926</f>
        <v>12736.7</v>
      </c>
    </row>
    <row r="939" spans="1:15" x14ac:dyDescent="0.35">
      <c r="A939" s="8">
        <f>'Data cleaning and validation(3)'!A927</f>
        <v>926</v>
      </c>
      <c r="B939" s="8" t="str">
        <f>'Data cleaning and validation(3)'!B927</f>
        <v>Austin</v>
      </c>
      <c r="C939" s="8" t="str">
        <f>'Data cleaning and validation(3)'!C927</f>
        <v>raustinpp@house.gov</v>
      </c>
      <c r="D939" s="8" t="str">
        <f>'Data cleaning and validation(3)'!D927</f>
        <v>M</v>
      </c>
      <c r="E939" s="8" t="str">
        <f>'Data cleaning and validation(3)'!E927</f>
        <v>Toys</v>
      </c>
      <c r="F939" s="15">
        <f>'Data cleaning and validation(3)'!F927</f>
        <v>41730</v>
      </c>
      <c r="G939" s="8">
        <f>'Data cleaning and validation(3)'!G927</f>
        <v>7</v>
      </c>
      <c r="H939" s="19">
        <f>'Data cleaning and validation(3)'!H927</f>
        <v>50161</v>
      </c>
      <c r="I939" s="8" t="str">
        <f>'Data cleaning and validation(3)'!I927</f>
        <v>Account Executive</v>
      </c>
      <c r="J939" s="8" t="str">
        <f>'Data cleaning and validation(3)'!J927</f>
        <v>Northwest</v>
      </c>
      <c r="K939" s="8" t="str">
        <f>'Data cleaning and validation(3)'!K927</f>
        <v>USA</v>
      </c>
      <c r="L939" s="8" t="str">
        <f>'Data cleaning and validation(3)'!L927</f>
        <v>Games &amp; Sports</v>
      </c>
      <c r="M939" s="8" t="str">
        <f>'Data cleaning and validation(3)'!M927</f>
        <v>Active</v>
      </c>
      <c r="N939" s="17">
        <f>'Data cleaning and validation(3)'!N927</f>
        <v>601932</v>
      </c>
      <c r="O939" s="18">
        <f>'Data cleaning and validation(3)'!O927</f>
        <v>5016.1000000000004</v>
      </c>
    </row>
    <row r="940" spans="1:15" x14ac:dyDescent="0.35">
      <c r="A940" s="8">
        <f>'Data cleaning and validation(3)'!A928</f>
        <v>927</v>
      </c>
      <c r="B940" s="8" t="str">
        <f>'Data cleaning and validation(3)'!B928</f>
        <v>Howard</v>
      </c>
      <c r="C940" s="8" t="str">
        <f>'Data cleaning and validation(3)'!C928</f>
        <v>dhowardpq@ocn.ne.jp</v>
      </c>
      <c r="D940" s="8" t="str">
        <f>'Data cleaning and validation(3)'!D928</f>
        <v>M</v>
      </c>
      <c r="E940" s="8" t="str">
        <f>'Data cleaning and validation(3)'!E928</f>
        <v>Music</v>
      </c>
      <c r="F940" s="15">
        <f>'Data cleaning and validation(3)'!F928</f>
        <v>37935</v>
      </c>
      <c r="G940" s="8">
        <f>'Data cleaning and validation(3)'!G928</f>
        <v>18</v>
      </c>
      <c r="H940" s="19">
        <f>'Data cleaning and validation(3)'!H928</f>
        <v>82080</v>
      </c>
      <c r="I940" s="8" t="str">
        <f>'Data cleaning and validation(3)'!I928</f>
        <v>Analog Circuit Design manager</v>
      </c>
      <c r="J940" s="8" t="str">
        <f>'Data cleaning and validation(3)'!J928</f>
        <v>Southeast</v>
      </c>
      <c r="K940" s="8" t="str">
        <f>'Data cleaning and validation(3)'!K928</f>
        <v>USA</v>
      </c>
      <c r="L940" s="8" t="str">
        <f>'Data cleaning and validation(3)'!L928</f>
        <v>Entertainment</v>
      </c>
      <c r="M940" s="8" t="str">
        <f>'Data cleaning and validation(3)'!M928</f>
        <v>Active</v>
      </c>
      <c r="N940" s="17">
        <f>'Data cleaning and validation(3)'!N928</f>
        <v>984960</v>
      </c>
      <c r="O940" s="18">
        <f>'Data cleaning and validation(3)'!O928</f>
        <v>8208</v>
      </c>
    </row>
    <row r="941" spans="1:15" x14ac:dyDescent="0.35">
      <c r="A941" s="8">
        <f>'Data cleaning and validation(3)'!A929</f>
        <v>928</v>
      </c>
      <c r="B941" s="8" t="str">
        <f>'Data cleaning and validation(3)'!B929</f>
        <v>Young</v>
      </c>
      <c r="C941" s="8" t="str">
        <f>'Data cleaning and validation(3)'!C929</f>
        <v>lyoungpr@psu.edu</v>
      </c>
      <c r="D941" s="8" t="str">
        <f>'Data cleaning and validation(3)'!D929</f>
        <v>F</v>
      </c>
      <c r="E941" s="8" t="str">
        <f>'Data cleaning and validation(3)'!E929</f>
        <v>Kids</v>
      </c>
      <c r="F941" s="15">
        <f>'Data cleaning and validation(3)'!F929</f>
        <v>44916</v>
      </c>
      <c r="G941" s="8">
        <f>'Data cleaning and validation(3)'!G929</f>
        <v>12</v>
      </c>
      <c r="H941" s="19">
        <f>'Data cleaning and validation(3)'!H929</f>
        <v>62799</v>
      </c>
      <c r="I941" s="8" t="str">
        <f>'Data cleaning and validation(3)'!I929</f>
        <v>Operator</v>
      </c>
      <c r="J941" s="8" t="str">
        <f>'Data cleaning and validation(3)'!J929</f>
        <v>Northeast</v>
      </c>
      <c r="K941" s="8" t="str">
        <f>'Data cleaning and validation(3)'!K929</f>
        <v>USA</v>
      </c>
      <c r="L941" s="8" t="str">
        <f>'Data cleaning and validation(3)'!L929</f>
        <v>Domestic</v>
      </c>
      <c r="M941" s="8" t="str">
        <f>'Data cleaning and validation(3)'!M929</f>
        <v>Active</v>
      </c>
      <c r="N941" s="17">
        <f>'Data cleaning and validation(3)'!N929</f>
        <v>753588</v>
      </c>
      <c r="O941" s="18">
        <f>'Data cleaning and validation(3)'!O929</f>
        <v>6279.9000000000005</v>
      </c>
    </row>
    <row r="942" spans="1:15" x14ac:dyDescent="0.35">
      <c r="A942" s="8">
        <f>'Data cleaning and validation(3)'!A930</f>
        <v>929</v>
      </c>
      <c r="B942" s="8" t="str">
        <f>'Data cleaning and validation(3)'!B930</f>
        <v>Rice</v>
      </c>
      <c r="C942" s="8" t="str">
        <f>'Data cleaning and validation(3)'!C930</f>
        <v>ericeps@reference.com</v>
      </c>
      <c r="D942" s="8" t="str">
        <f>'Data cleaning and validation(3)'!D930</f>
        <v>F</v>
      </c>
      <c r="E942" s="8" t="str">
        <f>'Data cleaning and validation(3)'!E930</f>
        <v>Clothing</v>
      </c>
      <c r="F942" s="15">
        <f>'Data cleaning and validation(3)'!F930</f>
        <v>37841</v>
      </c>
      <c r="G942" s="8">
        <f>'Data cleaning and validation(3)'!G930</f>
        <v>18</v>
      </c>
      <c r="H942" s="19">
        <f>'Data cleaning and validation(3)'!H930</f>
        <v>66357</v>
      </c>
      <c r="I942" s="8" t="str">
        <f>'Data cleaning and validation(3)'!I930</f>
        <v>Cost Accountant</v>
      </c>
      <c r="J942" s="8" t="str">
        <f>'Data cleaning and validation(3)'!J930</f>
        <v>Northwest</v>
      </c>
      <c r="K942" s="8" t="str">
        <f>'Data cleaning and validation(3)'!K930</f>
        <v>USA</v>
      </c>
      <c r="L942" s="8" t="str">
        <f>'Data cleaning and validation(3)'!L930</f>
        <v>Domestic</v>
      </c>
      <c r="M942" s="8" t="str">
        <f>'Data cleaning and validation(3)'!M930</f>
        <v>Active</v>
      </c>
      <c r="N942" s="17">
        <f>'Data cleaning and validation(3)'!N930</f>
        <v>796284</v>
      </c>
      <c r="O942" s="18">
        <f>'Data cleaning and validation(3)'!O930</f>
        <v>6635.7000000000007</v>
      </c>
    </row>
    <row r="943" spans="1:15" x14ac:dyDescent="0.35">
      <c r="A943" s="8">
        <f>'Data cleaning and validation(3)'!A931</f>
        <v>930</v>
      </c>
      <c r="B943" s="8" t="str">
        <f>'Data cleaning and validation(3)'!B931</f>
        <v>Hansen</v>
      </c>
      <c r="C943" s="8" t="str">
        <f>'Data cleaning and validation(3)'!C931</f>
        <v>jhansenpt@slate.com</v>
      </c>
      <c r="D943" s="8" t="str">
        <f>'Data cleaning and validation(3)'!D931</f>
        <v>F</v>
      </c>
      <c r="E943" s="8" t="str">
        <f>'Data cleaning and validation(3)'!E931</f>
        <v>Garden</v>
      </c>
      <c r="F943" s="15">
        <f>'Data cleaning and validation(3)'!F931</f>
        <v>46138</v>
      </c>
      <c r="G943" s="8">
        <f>'Data cleaning and validation(3)'!G931</f>
        <v>8</v>
      </c>
      <c r="H943" s="19">
        <f>'Data cleaning and validation(3)'!H931</f>
        <v>129746</v>
      </c>
      <c r="I943" s="8" t="str">
        <f>'Data cleaning and validation(3)'!I931</f>
        <v>Geological Engineer</v>
      </c>
      <c r="J943" s="8" t="str">
        <f>'Data cleaning and validation(3)'!J931</f>
        <v>Northeast</v>
      </c>
      <c r="K943" s="8" t="str">
        <f>'Data cleaning and validation(3)'!K931</f>
        <v>USA</v>
      </c>
      <c r="L943" s="8" t="str">
        <f>'Data cleaning and validation(3)'!L931</f>
        <v>Outdoors &amp; Garden</v>
      </c>
      <c r="M943" s="8" t="str">
        <f>'Data cleaning and validation(3)'!M931</f>
        <v>Active</v>
      </c>
      <c r="N943" s="17">
        <f>'Data cleaning and validation(3)'!N931</f>
        <v>1556952</v>
      </c>
      <c r="O943" s="18">
        <f>'Data cleaning and validation(3)'!O931</f>
        <v>12974.6</v>
      </c>
    </row>
    <row r="944" spans="1:15" x14ac:dyDescent="0.35">
      <c r="A944" s="8">
        <f>'Data cleaning and validation(3)'!A932</f>
        <v>931</v>
      </c>
      <c r="B944" s="8" t="str">
        <f>'Data cleaning and validation(3)'!B932</f>
        <v>Burton</v>
      </c>
      <c r="C944" s="8" t="str">
        <f>'Data cleaning and validation(3)'!C932</f>
        <v>jburtonpu@wufoo.com</v>
      </c>
      <c r="D944" s="8" t="str">
        <f>'Data cleaning and validation(3)'!D932</f>
        <v>F</v>
      </c>
      <c r="E944" s="8" t="str">
        <f>'Data cleaning and validation(3)'!E932</f>
        <v>Toys</v>
      </c>
      <c r="F944" s="15">
        <f>'Data cleaning and validation(3)'!F932</f>
        <v>38223</v>
      </c>
      <c r="G944" s="8">
        <f>'Data cleaning and validation(3)'!G932</f>
        <v>17</v>
      </c>
      <c r="H944" s="19">
        <f>'Data cleaning and validation(3)'!H932</f>
        <v>63682</v>
      </c>
      <c r="I944" s="8" t="str">
        <f>'Data cleaning and validation(3)'!I932</f>
        <v>Recruiting Manager</v>
      </c>
      <c r="J944" s="8" t="str">
        <f>'Data cleaning and validation(3)'!J932</f>
        <v>British Columbia</v>
      </c>
      <c r="K944" s="8" t="str">
        <f>'Data cleaning and validation(3)'!K932</f>
        <v>Canada</v>
      </c>
      <c r="L944" s="8" t="str">
        <f>'Data cleaning and validation(3)'!L932</f>
        <v>Games &amp; Sports</v>
      </c>
      <c r="M944" s="8" t="str">
        <f>'Data cleaning and validation(3)'!M932</f>
        <v>Active</v>
      </c>
      <c r="N944" s="17">
        <f>'Data cleaning and validation(3)'!N932</f>
        <v>764184</v>
      </c>
      <c r="O944" s="18">
        <f>'Data cleaning and validation(3)'!O932</f>
        <v>6368.2000000000007</v>
      </c>
    </row>
    <row r="945" spans="1:15" x14ac:dyDescent="0.35">
      <c r="A945" s="8">
        <f>'Data cleaning and validation(3)'!A933</f>
        <v>932</v>
      </c>
      <c r="B945" s="8" t="str">
        <f>'Data cleaning and validation(3)'!B933</f>
        <v>Reyes</v>
      </c>
      <c r="C945" s="8" t="str">
        <f>'Data cleaning and validation(3)'!C933</f>
        <v>lreyespv@tuttocitta.it</v>
      </c>
      <c r="D945" s="8" t="str">
        <f>'Data cleaning and validation(3)'!D933</f>
        <v>F</v>
      </c>
      <c r="E945" s="8" t="str">
        <f>'Data cleaning and validation(3)'!E933</f>
        <v>Garden</v>
      </c>
      <c r="F945" s="15">
        <f>'Data cleaning and validation(3)'!F933</f>
        <v>44708</v>
      </c>
      <c r="G945" s="8">
        <f>'Data cleaning and validation(3)'!G933</f>
        <v>12</v>
      </c>
      <c r="H945" s="19">
        <f>'Data cleaning and validation(3)'!H933</f>
        <v>134114</v>
      </c>
      <c r="I945" s="8" t="str">
        <f>'Data cleaning and validation(3)'!I933</f>
        <v>Accounting Assistant IV</v>
      </c>
      <c r="J945" s="8" t="str">
        <f>'Data cleaning and validation(3)'!J933</f>
        <v>Southeast</v>
      </c>
      <c r="K945" s="8" t="str">
        <f>'Data cleaning and validation(3)'!K933</f>
        <v>USA</v>
      </c>
      <c r="L945" s="8" t="str">
        <f>'Data cleaning and validation(3)'!L933</f>
        <v>Outdoors &amp; Garden</v>
      </c>
      <c r="M945" s="8" t="str">
        <f>'Data cleaning and validation(3)'!M933</f>
        <v>Active</v>
      </c>
      <c r="N945" s="17">
        <f>'Data cleaning and validation(3)'!N933</f>
        <v>1609368</v>
      </c>
      <c r="O945" s="18">
        <f>'Data cleaning and validation(3)'!O933</f>
        <v>13411.400000000001</v>
      </c>
    </row>
    <row r="946" spans="1:15" x14ac:dyDescent="0.35">
      <c r="A946" s="8">
        <f>'Data cleaning and validation(3)'!A934</f>
        <v>933</v>
      </c>
      <c r="B946" s="8" t="str">
        <f>'Data cleaning and validation(3)'!B934</f>
        <v>Williams</v>
      </c>
      <c r="C946" s="8" t="str">
        <f>'Data cleaning and validation(3)'!C934</f>
        <v>gwilliamspw@columbia.edu</v>
      </c>
      <c r="D946" s="8" t="str">
        <f>'Data cleaning and validation(3)'!D934</f>
        <v>M</v>
      </c>
      <c r="E946" s="8" t="str">
        <f>'Data cleaning and validation(3)'!E934</f>
        <v>Baby</v>
      </c>
      <c r="F946" s="15">
        <f>'Data cleaning and validation(3)'!F934</f>
        <v>41721</v>
      </c>
      <c r="G946" s="8">
        <f>'Data cleaning and validation(3)'!G934</f>
        <v>7</v>
      </c>
      <c r="H946" s="19">
        <f>'Data cleaning and validation(3)'!H934</f>
        <v>131273</v>
      </c>
      <c r="I946" s="8" t="str">
        <f>'Data cleaning and validation(3)'!I934</f>
        <v>Web Developer IV</v>
      </c>
      <c r="J946" s="8" t="str">
        <f>'Data cleaning and validation(3)'!J934</f>
        <v>Quebec</v>
      </c>
      <c r="K946" s="8" t="str">
        <f>'Data cleaning and validation(3)'!K934</f>
        <v>Canada</v>
      </c>
      <c r="L946" s="8" t="str">
        <f>'Data cleaning and validation(3)'!L934</f>
        <v>Domestic</v>
      </c>
      <c r="M946" s="8" t="str">
        <f>'Data cleaning and validation(3)'!M934</f>
        <v>Active</v>
      </c>
      <c r="N946" s="17">
        <f>'Data cleaning and validation(3)'!N934</f>
        <v>1575276</v>
      </c>
      <c r="O946" s="18">
        <f>'Data cleaning and validation(3)'!O934</f>
        <v>13127.300000000001</v>
      </c>
    </row>
    <row r="947" spans="1:15" x14ac:dyDescent="0.35">
      <c r="A947" s="8">
        <f>'Data cleaning and validation(3)'!A935</f>
        <v>934</v>
      </c>
      <c r="B947" s="8" t="str">
        <f>'Data cleaning and validation(3)'!B935</f>
        <v>Morrison</v>
      </c>
      <c r="C947" s="8" t="str">
        <f>'Data cleaning and validation(3)'!C935</f>
        <v>tmorrisonpx@free.fr</v>
      </c>
      <c r="D947" s="8" t="str">
        <f>'Data cleaning and validation(3)'!D935</f>
        <v>M</v>
      </c>
      <c r="E947" s="8" t="str">
        <f>'Data cleaning and validation(3)'!E935</f>
        <v>Toys</v>
      </c>
      <c r="F947" s="15">
        <f>'Data cleaning and validation(3)'!F935</f>
        <v>38617</v>
      </c>
      <c r="G947" s="8">
        <f>'Data cleaning and validation(3)'!G935</f>
        <v>16</v>
      </c>
      <c r="H947" s="19">
        <f>'Data cleaning and validation(3)'!H935</f>
        <v>93714</v>
      </c>
      <c r="I947" s="8" t="str">
        <f>'Data cleaning and validation(3)'!I935</f>
        <v>Social Worker</v>
      </c>
      <c r="J947" s="8" t="str">
        <f>'Data cleaning and validation(3)'!J935</f>
        <v>British Columbia</v>
      </c>
      <c r="K947" s="8" t="str">
        <f>'Data cleaning and validation(3)'!K935</f>
        <v>Canada</v>
      </c>
      <c r="L947" s="8" t="str">
        <f>'Data cleaning and validation(3)'!L935</f>
        <v>Games &amp; Sports</v>
      </c>
      <c r="M947" s="8" t="str">
        <f>'Data cleaning and validation(3)'!M935</f>
        <v>Active</v>
      </c>
      <c r="N947" s="17">
        <f>'Data cleaning and validation(3)'!N935</f>
        <v>1124568</v>
      </c>
      <c r="O947" s="18">
        <f>'Data cleaning and validation(3)'!O935</f>
        <v>9371.4</v>
      </c>
    </row>
    <row r="948" spans="1:15" x14ac:dyDescent="0.35">
      <c r="A948" s="8">
        <f>'Data cleaning and validation(3)'!A936</f>
        <v>935</v>
      </c>
      <c r="B948" s="8" t="str">
        <f>'Data cleaning and validation(3)'!B936</f>
        <v>Hudson</v>
      </c>
      <c r="C948" s="8" t="str">
        <f>'Data cleaning and validation(3)'!C936</f>
        <v>mhudsonpy@altervista.org</v>
      </c>
      <c r="D948" s="8" t="str">
        <f>'Data cleaning and validation(3)'!D936</f>
        <v>M</v>
      </c>
      <c r="E948" s="8" t="str">
        <f>'Data cleaning and validation(3)'!E936</f>
        <v>Books</v>
      </c>
      <c r="F948" s="15">
        <f>'Data cleaning and validation(3)'!F936</f>
        <v>37233</v>
      </c>
      <c r="G948" s="8">
        <f>'Data cleaning and validation(3)'!G936</f>
        <v>20</v>
      </c>
      <c r="H948" s="19">
        <f>'Data cleaning and validation(3)'!H936</f>
        <v>146745</v>
      </c>
      <c r="I948" s="8" t="str">
        <f>'Data cleaning and validation(3)'!I936</f>
        <v>Assistant Media Planner</v>
      </c>
      <c r="J948" s="8" t="str">
        <f>'Data cleaning and validation(3)'!J936</f>
        <v>Northeast</v>
      </c>
      <c r="K948" s="8" t="str">
        <f>'Data cleaning and validation(3)'!K936</f>
        <v>USA</v>
      </c>
      <c r="L948" s="8" t="str">
        <f>'Data cleaning and validation(3)'!L936</f>
        <v>Library</v>
      </c>
      <c r="M948" s="8" t="str">
        <f>'Data cleaning and validation(3)'!M936</f>
        <v>Active</v>
      </c>
      <c r="N948" s="17">
        <f>'Data cleaning and validation(3)'!N936</f>
        <v>1760940</v>
      </c>
      <c r="O948" s="18">
        <f>'Data cleaning and validation(3)'!O936</f>
        <v>14674.5</v>
      </c>
    </row>
    <row r="949" spans="1:15" x14ac:dyDescent="0.35">
      <c r="A949" s="8">
        <f>'Data cleaning and validation(3)'!A937</f>
        <v>936</v>
      </c>
      <c r="B949" s="8" t="str">
        <f>'Data cleaning and validation(3)'!B937</f>
        <v>Weaver</v>
      </c>
      <c r="C949" s="8" t="str">
        <f>'Data cleaning and validation(3)'!C937</f>
        <v>mweaverpz@delicious.com</v>
      </c>
      <c r="D949" s="8" t="str">
        <f>'Data cleaning and validation(3)'!D937</f>
        <v>F</v>
      </c>
      <c r="E949" s="8" t="str">
        <f>'Data cleaning and validation(3)'!E937</f>
        <v>Computers</v>
      </c>
      <c r="F949" s="15">
        <f>'Data cleaning and validation(3)'!F937</f>
        <v>45280</v>
      </c>
      <c r="G949" s="8">
        <f>'Data cleaning and validation(3)'!G937</f>
        <v>11</v>
      </c>
      <c r="H949" s="19">
        <f>'Data cleaning and validation(3)'!H937</f>
        <v>126307</v>
      </c>
      <c r="I949" s="8" t="str">
        <f>'Data cleaning and validation(3)'!I937</f>
        <v>Professor</v>
      </c>
      <c r="J949" s="8" t="str">
        <f>'Data cleaning and validation(3)'!J937</f>
        <v>Southwest</v>
      </c>
      <c r="K949" s="8" t="str">
        <f>'Data cleaning and validation(3)'!K937</f>
        <v>USA</v>
      </c>
      <c r="L949" s="8" t="str">
        <f>'Data cleaning and validation(3)'!L937</f>
        <v>Electronic Equipment</v>
      </c>
      <c r="M949" s="8" t="str">
        <f>'Data cleaning and validation(3)'!M937</f>
        <v>Active</v>
      </c>
      <c r="N949" s="17">
        <f>'Data cleaning and validation(3)'!N937</f>
        <v>1515684</v>
      </c>
      <c r="O949" s="18">
        <f>'Data cleaning and validation(3)'!O937</f>
        <v>12630.7</v>
      </c>
    </row>
    <row r="950" spans="1:15" x14ac:dyDescent="0.35">
      <c r="A950" s="8">
        <f>'Data cleaning and validation(3)'!A938</f>
        <v>937</v>
      </c>
      <c r="B950" s="8" t="str">
        <f>'Data cleaning and validation(3)'!B938</f>
        <v>Hawkins</v>
      </c>
      <c r="C950" s="8" t="str">
        <f>'Data cleaning and validation(3)'!C938</f>
        <v>chawkinsq0@bravesites.com</v>
      </c>
      <c r="D950" s="8" t="str">
        <f>'Data cleaning and validation(3)'!D938</f>
        <v>M</v>
      </c>
      <c r="E950" s="8" t="str">
        <f>'Data cleaning and validation(3)'!E938</f>
        <v>Sports</v>
      </c>
      <c r="F950" s="15">
        <f>'Data cleaning and validation(3)'!F938</f>
        <v>40811</v>
      </c>
      <c r="G950" s="8">
        <f>'Data cleaning and validation(3)'!G938</f>
        <v>10</v>
      </c>
      <c r="H950" s="19">
        <f>'Data cleaning and validation(3)'!H938</f>
        <v>134931</v>
      </c>
      <c r="I950" s="8" t="str">
        <f>'Data cleaning and validation(3)'!I938</f>
        <v>Tax Accountant</v>
      </c>
      <c r="J950" s="8" t="str">
        <f>'Data cleaning and validation(3)'!J938</f>
        <v>Northeast</v>
      </c>
      <c r="K950" s="8" t="str">
        <f>'Data cleaning and validation(3)'!K938</f>
        <v>USA</v>
      </c>
      <c r="L950" s="8" t="str">
        <f>'Data cleaning and validation(3)'!L938</f>
        <v>Games &amp; Sports</v>
      </c>
      <c r="M950" s="8" t="str">
        <f>'Data cleaning and validation(3)'!M938</f>
        <v>Active</v>
      </c>
      <c r="N950" s="17">
        <f>'Data cleaning and validation(3)'!N938</f>
        <v>1619172</v>
      </c>
      <c r="O950" s="18">
        <f>'Data cleaning and validation(3)'!O938</f>
        <v>13493.1</v>
      </c>
    </row>
    <row r="951" spans="1:15" x14ac:dyDescent="0.35">
      <c r="A951" s="8">
        <f>'Data cleaning and validation(3)'!A939</f>
        <v>938</v>
      </c>
      <c r="B951" s="8" t="str">
        <f>'Data cleaning and validation(3)'!B939</f>
        <v>Jones</v>
      </c>
      <c r="C951" s="8" t="str">
        <f>'Data cleaning and validation(3)'!C939</f>
        <v>djonesq1@tamu.edu</v>
      </c>
      <c r="D951" s="8" t="str">
        <f>'Data cleaning and validation(3)'!D939</f>
        <v>F</v>
      </c>
      <c r="E951" s="8" t="str">
        <f>'Data cleaning and validation(3)'!E939</f>
        <v>Home</v>
      </c>
      <c r="F951" s="15">
        <f>'Data cleaning and validation(3)'!F939</f>
        <v>37297</v>
      </c>
      <c r="G951" s="8">
        <f>'Data cleaning and validation(3)'!G939</f>
        <v>19</v>
      </c>
      <c r="H951" s="19">
        <f>'Data cleaning and validation(3)'!H939</f>
        <v>73668</v>
      </c>
      <c r="I951" s="8" t="str">
        <f>'Data cleaning and validation(3)'!I939</f>
        <v>Environmental Specialist</v>
      </c>
      <c r="J951" s="8" t="str">
        <f>'Data cleaning and validation(3)'!J939</f>
        <v>Southeast</v>
      </c>
      <c r="K951" s="8" t="str">
        <f>'Data cleaning and validation(3)'!K939</f>
        <v>USA</v>
      </c>
      <c r="L951" s="8" t="str">
        <f>'Data cleaning and validation(3)'!L939</f>
        <v>Domestic</v>
      </c>
      <c r="M951" s="8" t="str">
        <f>'Data cleaning and validation(3)'!M939</f>
        <v>Active</v>
      </c>
      <c r="N951" s="17">
        <f>'Data cleaning and validation(3)'!N939</f>
        <v>884016</v>
      </c>
      <c r="O951" s="18">
        <f>'Data cleaning and validation(3)'!O939</f>
        <v>7366.8</v>
      </c>
    </row>
    <row r="952" spans="1:15" x14ac:dyDescent="0.35">
      <c r="A952" s="8">
        <f>'Data cleaning and validation(3)'!A940</f>
        <v>939</v>
      </c>
      <c r="B952" s="8" t="str">
        <f>'Data cleaning and validation(3)'!B940</f>
        <v>Austin</v>
      </c>
      <c r="C952" s="8" t="str">
        <f>'Data cleaning and validation(3)'!C940</f>
        <v>kaustinq2@soup.io</v>
      </c>
      <c r="D952" s="8" t="str">
        <f>'Data cleaning and validation(3)'!D940</f>
        <v>M</v>
      </c>
      <c r="E952" s="8" t="str">
        <f>'Data cleaning and validation(3)'!E940</f>
        <v>Industrial</v>
      </c>
      <c r="F952" s="15">
        <f>'Data cleaning and validation(3)'!F940</f>
        <v>40927</v>
      </c>
      <c r="G952" s="8">
        <f>'Data cleaning and validation(3)'!G940</f>
        <v>9</v>
      </c>
      <c r="H952" s="19">
        <f>'Data cleaning and validation(3)'!H940</f>
        <v>48840</v>
      </c>
      <c r="I952" s="8" t="str">
        <f>'Data cleaning and validation(3)'!I940</f>
        <v>Product Engineer</v>
      </c>
      <c r="J952" s="8" t="str">
        <f>'Data cleaning and validation(3)'!J940</f>
        <v>Northeast</v>
      </c>
      <c r="K952" s="8" t="str">
        <f>'Data cleaning and validation(3)'!K940</f>
        <v>USA</v>
      </c>
      <c r="L952" s="8" t="str">
        <f>'Data cleaning and validation(3)'!L940</f>
        <v>Auto &amp; Hardware</v>
      </c>
      <c r="M952" s="8" t="str">
        <f>'Data cleaning and validation(3)'!M940</f>
        <v>Active</v>
      </c>
      <c r="N952" s="17">
        <f>'Data cleaning and validation(3)'!N940</f>
        <v>586080</v>
      </c>
      <c r="O952" s="18">
        <f>'Data cleaning and validation(3)'!O940</f>
        <v>4884</v>
      </c>
    </row>
    <row r="953" spans="1:15" x14ac:dyDescent="0.35">
      <c r="A953" s="8">
        <f>'Data cleaning and validation(3)'!A941</f>
        <v>940</v>
      </c>
      <c r="B953" s="8" t="str">
        <f>'Data cleaning and validation(3)'!B941</f>
        <v>Turner</v>
      </c>
      <c r="C953" s="8" t="str">
        <f>'Data cleaning and validation(3)'!C941</f>
        <v>lturnerq3@ycombinator.com</v>
      </c>
      <c r="D953" s="8" t="str">
        <f>'Data cleaning and validation(3)'!D941</f>
        <v>M</v>
      </c>
      <c r="E953" s="8" t="str">
        <f>'Data cleaning and validation(3)'!E941</f>
        <v>Grocery</v>
      </c>
      <c r="F953" s="15">
        <f>'Data cleaning and validation(3)'!F941</f>
        <v>41707</v>
      </c>
      <c r="G953" s="8">
        <f>'Data cleaning and validation(3)'!G941</f>
        <v>7</v>
      </c>
      <c r="H953" s="19">
        <f>'Data cleaning and validation(3)'!H941</f>
        <v>146952</v>
      </c>
      <c r="I953" s="8" t="str">
        <f>'Data cleaning and validation(3)'!I941</f>
        <v>Dental Hygienist</v>
      </c>
      <c r="J953" s="8" t="str">
        <f>'Data cleaning and validation(3)'!J941</f>
        <v>Southeast</v>
      </c>
      <c r="K953" s="8" t="str">
        <f>'Data cleaning and validation(3)'!K941</f>
        <v>USA</v>
      </c>
      <c r="L953" s="8" t="str">
        <f>'Data cleaning and validation(3)'!L941</f>
        <v>Domestic</v>
      </c>
      <c r="M953" s="8" t="str">
        <f>'Data cleaning and validation(3)'!M941</f>
        <v>Active</v>
      </c>
      <c r="N953" s="17">
        <f>'Data cleaning and validation(3)'!N941</f>
        <v>1763424</v>
      </c>
      <c r="O953" s="18">
        <f>'Data cleaning and validation(3)'!O941</f>
        <v>14695.2</v>
      </c>
    </row>
    <row r="954" spans="1:15" x14ac:dyDescent="0.35">
      <c r="A954" s="8">
        <f>'Data cleaning and validation(3)'!A942</f>
        <v>941</v>
      </c>
      <c r="B954" s="8" t="str">
        <f>'Data cleaning and validation(3)'!B942</f>
        <v>Cunningham</v>
      </c>
      <c r="C954" s="8" t="str">
        <f>'Data cleaning and validation(3)'!C942</f>
        <v>gcunninghamq4@webmd.com</v>
      </c>
      <c r="D954" s="8" t="str">
        <f>'Data cleaning and validation(3)'!D942</f>
        <v>F</v>
      </c>
      <c r="E954" s="8" t="str">
        <f>'Data cleaning and validation(3)'!E942</f>
        <v>Garden</v>
      </c>
      <c r="F954" s="15">
        <f>'Data cleaning and validation(3)'!F942</f>
        <v>38844</v>
      </c>
      <c r="G954" s="8">
        <f>'Data cleaning and validation(3)'!G942</f>
        <v>15</v>
      </c>
      <c r="H954" s="19">
        <f>'Data cleaning and validation(3)'!H942</f>
        <v>73565</v>
      </c>
      <c r="I954" s="8" t="str">
        <f>'Data cleaning and validation(3)'!I942</f>
        <v>Mechanical Systems Engineer</v>
      </c>
      <c r="J954" s="8" t="str">
        <f>'Data cleaning and validation(3)'!J942</f>
        <v>Nova Scotia</v>
      </c>
      <c r="K954" s="8" t="str">
        <f>'Data cleaning and validation(3)'!K942</f>
        <v>Canada</v>
      </c>
      <c r="L954" s="8" t="str">
        <f>'Data cleaning and validation(3)'!L942</f>
        <v>Outdoors &amp; Garden</v>
      </c>
      <c r="M954" s="8" t="str">
        <f>'Data cleaning and validation(3)'!M942</f>
        <v>Active</v>
      </c>
      <c r="N954" s="17">
        <f>'Data cleaning and validation(3)'!N942</f>
        <v>882780</v>
      </c>
      <c r="O954" s="18">
        <f>'Data cleaning and validation(3)'!O942</f>
        <v>7356.5</v>
      </c>
    </row>
    <row r="955" spans="1:15" x14ac:dyDescent="0.35">
      <c r="A955" s="8">
        <f>'Data cleaning and validation(3)'!A943</f>
        <v>942</v>
      </c>
      <c r="B955" s="8" t="str">
        <f>'Data cleaning and validation(3)'!B943</f>
        <v>Lopez</v>
      </c>
      <c r="C955" s="8" t="str">
        <f>'Data cleaning and validation(3)'!C943</f>
        <v>llopezq5@usgs.gov</v>
      </c>
      <c r="D955" s="8" t="str">
        <f>'Data cleaning and validation(3)'!D943</f>
        <v>M</v>
      </c>
      <c r="E955" s="8" t="str">
        <f>'Data cleaning and validation(3)'!E943</f>
        <v>Shoes</v>
      </c>
      <c r="F955" s="15">
        <f>'Data cleaning and validation(3)'!F943</f>
        <v>40336</v>
      </c>
      <c r="G955" s="8">
        <f>'Data cleaning and validation(3)'!G943</f>
        <v>11</v>
      </c>
      <c r="H955" s="19">
        <f>'Data cleaning and validation(3)'!H943</f>
        <v>64443</v>
      </c>
      <c r="I955" s="8" t="str">
        <f>'Data cleaning and validation(3)'!I943</f>
        <v>Senior Sales Associate</v>
      </c>
      <c r="J955" s="8" t="str">
        <f>'Data cleaning and validation(3)'!J943</f>
        <v>Quebec</v>
      </c>
      <c r="K955" s="8" t="str">
        <f>'Data cleaning and validation(3)'!K943</f>
        <v>Canada</v>
      </c>
      <c r="L955" s="8" t="str">
        <f>'Data cleaning and validation(3)'!L943</f>
        <v>Domestic</v>
      </c>
      <c r="M955" s="8" t="str">
        <f>'Data cleaning and validation(3)'!M943</f>
        <v>Active</v>
      </c>
      <c r="N955" s="17">
        <f>'Data cleaning and validation(3)'!N943</f>
        <v>773316</v>
      </c>
      <c r="O955" s="18">
        <f>'Data cleaning and validation(3)'!O943</f>
        <v>6444.3</v>
      </c>
    </row>
    <row r="956" spans="1:15" x14ac:dyDescent="0.35">
      <c r="A956" s="8">
        <f>'Data cleaning and validation(3)'!A944</f>
        <v>943</v>
      </c>
      <c r="B956" s="8" t="str">
        <f>'Data cleaning and validation(3)'!B944</f>
        <v>Phillips</v>
      </c>
      <c r="C956" s="8" t="str">
        <f>'Data cleaning and validation(3)'!C944</f>
        <v>kphillipsq6@soup.io</v>
      </c>
      <c r="D956" s="8" t="str">
        <f>'Data cleaning and validation(3)'!D944</f>
        <v>F</v>
      </c>
      <c r="E956" s="8" t="str">
        <f>'Data cleaning and validation(3)'!E944</f>
        <v>Electronics</v>
      </c>
      <c r="F956" s="15">
        <f>'Data cleaning and validation(3)'!F944</f>
        <v>44201</v>
      </c>
      <c r="G956" s="8">
        <f>'Data cleaning and validation(3)'!G944</f>
        <v>13</v>
      </c>
      <c r="H956" s="19">
        <f>'Data cleaning and validation(3)'!H944</f>
        <v>127171</v>
      </c>
      <c r="I956" s="8" t="str">
        <f>'Data cleaning and validation(3)'!I944</f>
        <v>Cost Accountant</v>
      </c>
      <c r="J956" s="8" t="str">
        <f>'Data cleaning and validation(3)'!J944</f>
        <v>Southwest</v>
      </c>
      <c r="K956" s="8" t="str">
        <f>'Data cleaning and validation(3)'!K944</f>
        <v>USA</v>
      </c>
      <c r="L956" s="8" t="str">
        <f>'Data cleaning and validation(3)'!L944</f>
        <v>Electronic Equipment</v>
      </c>
      <c r="M956" s="8" t="str">
        <f>'Data cleaning and validation(3)'!M944</f>
        <v>Active</v>
      </c>
      <c r="N956" s="17">
        <f>'Data cleaning and validation(3)'!N944</f>
        <v>1526052</v>
      </c>
      <c r="O956" s="18">
        <f>'Data cleaning and validation(3)'!O944</f>
        <v>12717.1</v>
      </c>
    </row>
    <row r="957" spans="1:15" x14ac:dyDescent="0.35">
      <c r="A957" s="8">
        <f>'Data cleaning and validation(3)'!A945</f>
        <v>944</v>
      </c>
      <c r="B957" s="8" t="str">
        <f>'Data cleaning and validation(3)'!B945</f>
        <v>Adams</v>
      </c>
      <c r="C957" s="8" t="str">
        <f>'Data cleaning and validation(3)'!C945</f>
        <v>jadamsq7@aol.com</v>
      </c>
      <c r="D957" s="8" t="str">
        <f>'Data cleaning and validation(3)'!D945</f>
        <v>F</v>
      </c>
      <c r="E957" s="8" t="str">
        <f>'Data cleaning and validation(3)'!E945</f>
        <v>Automotive</v>
      </c>
      <c r="F957" s="15">
        <f>'Data cleaning and validation(3)'!F945</f>
        <v>37298</v>
      </c>
      <c r="G957" s="8">
        <f>'Data cleaning and validation(3)'!G945</f>
        <v>19</v>
      </c>
      <c r="H957" s="19">
        <f>'Data cleaning and validation(3)'!H945</f>
        <v>79045</v>
      </c>
      <c r="I957" s="8" t="str">
        <f>'Data cleaning and validation(3)'!I945</f>
        <v>VP Product Management</v>
      </c>
      <c r="J957" s="8" t="str">
        <f>'Data cleaning and validation(3)'!J945</f>
        <v>Northwest</v>
      </c>
      <c r="K957" s="8" t="str">
        <f>'Data cleaning and validation(3)'!K945</f>
        <v>USA</v>
      </c>
      <c r="L957" s="8" t="str">
        <f>'Data cleaning and validation(3)'!L945</f>
        <v>Auto &amp; Hardware</v>
      </c>
      <c r="M957" s="8" t="str">
        <f>'Data cleaning and validation(3)'!M945</f>
        <v>Active</v>
      </c>
      <c r="N957" s="17">
        <f>'Data cleaning and validation(3)'!N945</f>
        <v>948540</v>
      </c>
      <c r="O957" s="18">
        <f>'Data cleaning and validation(3)'!O945</f>
        <v>7904.5</v>
      </c>
    </row>
    <row r="958" spans="1:15" x14ac:dyDescent="0.35">
      <c r="A958" s="8">
        <f>'Data cleaning and validation(3)'!A946</f>
        <v>945</v>
      </c>
      <c r="B958" s="8" t="str">
        <f>'Data cleaning and validation(3)'!B946</f>
        <v>Lee</v>
      </c>
      <c r="C958" s="8" t="str">
        <f>'Data cleaning and validation(3)'!C946</f>
        <v>pleeq8@noaa.gov</v>
      </c>
      <c r="D958" s="8" t="str">
        <f>'Data cleaning and validation(3)'!D946</f>
        <v>F</v>
      </c>
      <c r="E958" s="8" t="str">
        <f>'Data cleaning and validation(3)'!E946</f>
        <v>Jewelery</v>
      </c>
      <c r="F958" s="15">
        <f>'Data cleaning and validation(3)'!F946</f>
        <v>38792</v>
      </c>
      <c r="G958" s="8">
        <f>'Data cleaning and validation(3)'!G946</f>
        <v>15</v>
      </c>
      <c r="H958" s="19">
        <f>'Data cleaning and validation(3)'!H946</f>
        <v>117147</v>
      </c>
      <c r="I958" s="8" t="str">
        <f>'Data cleaning and validation(3)'!I946</f>
        <v>Staff Accountant III</v>
      </c>
      <c r="J958" s="8" t="str">
        <f>'Data cleaning and validation(3)'!J946</f>
        <v>Northeast</v>
      </c>
      <c r="K958" s="8" t="str">
        <f>'Data cleaning and validation(3)'!K946</f>
        <v>USA</v>
      </c>
      <c r="L958" s="8" t="str">
        <f>'Data cleaning and validation(3)'!L946</f>
        <v>Fashion</v>
      </c>
      <c r="M958" s="8" t="str">
        <f>'Data cleaning and validation(3)'!M946</f>
        <v>Active</v>
      </c>
      <c r="N958" s="17">
        <f>'Data cleaning and validation(3)'!N946</f>
        <v>1405764</v>
      </c>
      <c r="O958" s="18">
        <f>'Data cleaning and validation(3)'!O946</f>
        <v>11714.7</v>
      </c>
    </row>
    <row r="959" spans="1:15" x14ac:dyDescent="0.35">
      <c r="A959" s="8">
        <f>'Data cleaning and validation(3)'!A947</f>
        <v>946</v>
      </c>
      <c r="B959" s="8" t="str">
        <f>'Data cleaning and validation(3)'!B947</f>
        <v>Phillips</v>
      </c>
      <c r="C959" s="8" t="str">
        <f>'Data cleaning and validation(3)'!C947</f>
        <v>dphillipsq9@stanford.edu</v>
      </c>
      <c r="D959" s="8" t="str">
        <f>'Data cleaning and validation(3)'!D947</f>
        <v>F</v>
      </c>
      <c r="E959" s="8" t="str">
        <f>'Data cleaning and validation(3)'!E947</f>
        <v>Outdoors</v>
      </c>
      <c r="F959" s="15">
        <f>'Data cleaning and validation(3)'!F947</f>
        <v>46393</v>
      </c>
      <c r="G959" s="8">
        <f>'Data cleaning and validation(3)'!G947</f>
        <v>7</v>
      </c>
      <c r="H959" s="19">
        <f>'Data cleaning and validation(3)'!H947</f>
        <v>69807</v>
      </c>
      <c r="I959" s="8" t="str">
        <f>'Data cleaning and validation(3)'!I947</f>
        <v>Account Representative IV</v>
      </c>
      <c r="J959" s="8" t="str">
        <f>'Data cleaning and validation(3)'!J947</f>
        <v>Northwest</v>
      </c>
      <c r="K959" s="8" t="str">
        <f>'Data cleaning and validation(3)'!K947</f>
        <v>USA</v>
      </c>
      <c r="L959" s="8" t="str">
        <f>'Data cleaning and validation(3)'!L947</f>
        <v>Outdoors &amp; Garden</v>
      </c>
      <c r="M959" s="8" t="str">
        <f>'Data cleaning and validation(3)'!M947</f>
        <v>Active</v>
      </c>
      <c r="N959" s="17">
        <f>'Data cleaning and validation(3)'!N947</f>
        <v>837684</v>
      </c>
      <c r="O959" s="18">
        <f>'Data cleaning and validation(3)'!O947</f>
        <v>6980.7000000000007</v>
      </c>
    </row>
    <row r="960" spans="1:15" x14ac:dyDescent="0.35">
      <c r="A960" s="8">
        <f>'Data cleaning and validation(3)'!A948</f>
        <v>947</v>
      </c>
      <c r="B960" s="8" t="str">
        <f>'Data cleaning and validation(3)'!B948</f>
        <v>Kelly</v>
      </c>
      <c r="C960" s="8" t="str">
        <f>'Data cleaning and validation(3)'!C948</f>
        <v>ckellyqa@boston.com</v>
      </c>
      <c r="D960" s="8" t="str">
        <f>'Data cleaning and validation(3)'!D948</f>
        <v>F</v>
      </c>
      <c r="E960" s="8" t="str">
        <f>'Data cleaning and validation(3)'!E948</f>
        <v>Shoes</v>
      </c>
      <c r="F960" s="15">
        <f>'Data cleaning and validation(3)'!F948</f>
        <v>37995</v>
      </c>
      <c r="G960" s="8">
        <f>'Data cleaning and validation(3)'!G948</f>
        <v>17</v>
      </c>
      <c r="H960" s="19">
        <f>'Data cleaning and validation(3)'!H948</f>
        <v>128646</v>
      </c>
      <c r="I960" s="8" t="str">
        <f>'Data cleaning and validation(3)'!I948</f>
        <v>Senior Editor</v>
      </c>
      <c r="J960" s="8" t="str">
        <f>'Data cleaning and validation(3)'!J948</f>
        <v>Northeast</v>
      </c>
      <c r="K960" s="8" t="str">
        <f>'Data cleaning and validation(3)'!K948</f>
        <v>USA</v>
      </c>
      <c r="L960" s="8" t="str">
        <f>'Data cleaning and validation(3)'!L948</f>
        <v>Domestic</v>
      </c>
      <c r="M960" s="8" t="str">
        <f>'Data cleaning and validation(3)'!M948</f>
        <v>Active</v>
      </c>
      <c r="N960" s="17">
        <f>'Data cleaning and validation(3)'!N948</f>
        <v>1543752</v>
      </c>
      <c r="O960" s="18">
        <f>'Data cleaning and validation(3)'!O948</f>
        <v>12864.6</v>
      </c>
    </row>
    <row r="961" spans="1:15" x14ac:dyDescent="0.35">
      <c r="A961" s="8">
        <f>'Data cleaning and validation(3)'!A949</f>
        <v>948</v>
      </c>
      <c r="B961" s="8" t="str">
        <f>'Data cleaning and validation(3)'!B949</f>
        <v>James</v>
      </c>
      <c r="C961" s="8" t="str">
        <f>'Data cleaning and validation(3)'!C949</f>
        <v>bjamesqb@hubpages.com</v>
      </c>
      <c r="D961" s="8" t="str">
        <f>'Data cleaning and validation(3)'!D949</f>
        <v>M</v>
      </c>
      <c r="E961" s="8" t="str">
        <f>'Data cleaning and validation(3)'!E949</f>
        <v>Tools</v>
      </c>
      <c r="F961" s="15">
        <f>'Data cleaning and validation(3)'!F949</f>
        <v>39491</v>
      </c>
      <c r="G961" s="8">
        <f>'Data cleaning and validation(3)'!G949</f>
        <v>13</v>
      </c>
      <c r="H961" s="19">
        <f>'Data cleaning and validation(3)'!H949</f>
        <v>47271</v>
      </c>
      <c r="I961" s="8" t="str">
        <f>'Data cleaning and validation(3)'!I949</f>
        <v>Programmer Analyst IV</v>
      </c>
      <c r="J961" s="8" t="str">
        <f>'Data cleaning and validation(3)'!J949</f>
        <v>Northeast</v>
      </c>
      <c r="K961" s="8" t="str">
        <f>'Data cleaning and validation(3)'!K949</f>
        <v>USA</v>
      </c>
      <c r="L961" s="8" t="str">
        <f>'Data cleaning and validation(3)'!L949</f>
        <v>Auto &amp; Hardware</v>
      </c>
      <c r="M961" s="8" t="str">
        <f>'Data cleaning and validation(3)'!M949</f>
        <v>Active</v>
      </c>
      <c r="N961" s="17">
        <f>'Data cleaning and validation(3)'!N949</f>
        <v>567252</v>
      </c>
      <c r="O961" s="18">
        <f>'Data cleaning and validation(3)'!O949</f>
        <v>4727.1000000000004</v>
      </c>
    </row>
    <row r="962" spans="1:15" x14ac:dyDescent="0.35">
      <c r="A962" s="8">
        <f>'Data cleaning and validation(3)'!A950</f>
        <v>949</v>
      </c>
      <c r="B962" s="8" t="str">
        <f>'Data cleaning and validation(3)'!B950</f>
        <v>Woods</v>
      </c>
      <c r="C962" s="8" t="str">
        <f>'Data cleaning and validation(3)'!C950</f>
        <v>jwoodsqc@patch.com</v>
      </c>
      <c r="D962" s="8" t="str">
        <f>'Data cleaning and validation(3)'!D950</f>
        <v>M</v>
      </c>
      <c r="E962" s="8" t="str">
        <f>'Data cleaning and validation(3)'!E950</f>
        <v>Shoes</v>
      </c>
      <c r="F962" s="15">
        <f>'Data cleaning and validation(3)'!F950</f>
        <v>38711</v>
      </c>
      <c r="G962" s="8">
        <f>'Data cleaning and validation(3)'!G950</f>
        <v>16</v>
      </c>
      <c r="H962" s="19">
        <f>'Data cleaning and validation(3)'!H950</f>
        <v>59363</v>
      </c>
      <c r="I962" s="8" t="str">
        <f>'Data cleaning and validation(3)'!I950</f>
        <v>Programmer Analyst IV</v>
      </c>
      <c r="J962" s="8" t="str">
        <f>'Data cleaning and validation(3)'!J950</f>
        <v>Northeast</v>
      </c>
      <c r="K962" s="8" t="str">
        <f>'Data cleaning and validation(3)'!K950</f>
        <v>USA</v>
      </c>
      <c r="L962" s="8" t="str">
        <f>'Data cleaning and validation(3)'!L950</f>
        <v>Domestic</v>
      </c>
      <c r="M962" s="8" t="str">
        <f>'Data cleaning and validation(3)'!M950</f>
        <v>Active</v>
      </c>
      <c r="N962" s="17">
        <f>'Data cleaning and validation(3)'!N950</f>
        <v>712356</v>
      </c>
      <c r="O962" s="18">
        <f>'Data cleaning and validation(3)'!O950</f>
        <v>5936.3</v>
      </c>
    </row>
    <row r="963" spans="1:15" x14ac:dyDescent="0.35">
      <c r="A963" s="8">
        <f>'Data cleaning and validation(3)'!A951</f>
        <v>950</v>
      </c>
      <c r="B963" s="8" t="str">
        <f>'Data cleaning and validation(3)'!B951</f>
        <v>Kennedy</v>
      </c>
      <c r="C963" s="8" t="str">
        <f>'Data cleaning and validation(3)'!C951</f>
        <v>jkennedyqd@nba.com</v>
      </c>
      <c r="D963" s="8" t="str">
        <f>'Data cleaning and validation(3)'!D951</f>
        <v>F</v>
      </c>
      <c r="E963" s="8" t="str">
        <f>'Data cleaning and validation(3)'!E951</f>
        <v>Shoes</v>
      </c>
      <c r="F963" s="15">
        <f>'Data cleaning and validation(3)'!F951</f>
        <v>44399</v>
      </c>
      <c r="G963" s="8">
        <f>'Data cleaning and validation(3)'!G951</f>
        <v>13</v>
      </c>
      <c r="H963" s="19">
        <f>'Data cleaning and validation(3)'!H951</f>
        <v>68364</v>
      </c>
      <c r="I963" s="8" t="str">
        <f>'Data cleaning and validation(3)'!I951</f>
        <v>Professor</v>
      </c>
      <c r="J963" s="8" t="str">
        <f>'Data cleaning and validation(3)'!J951</f>
        <v>British Columbia</v>
      </c>
      <c r="K963" s="8" t="str">
        <f>'Data cleaning and validation(3)'!K951</f>
        <v>Canada</v>
      </c>
      <c r="L963" s="8" t="str">
        <f>'Data cleaning and validation(3)'!L951</f>
        <v>Domestic</v>
      </c>
      <c r="M963" s="8" t="str">
        <f>'Data cleaning and validation(3)'!M951</f>
        <v>Active</v>
      </c>
      <c r="N963" s="17">
        <f>'Data cleaning and validation(3)'!N951</f>
        <v>820368</v>
      </c>
      <c r="O963" s="18">
        <f>'Data cleaning and validation(3)'!O951</f>
        <v>6836.4000000000005</v>
      </c>
    </row>
    <row r="964" spans="1:15" x14ac:dyDescent="0.35">
      <c r="A964" s="8">
        <f>'Data cleaning and validation(3)'!A952</f>
        <v>951</v>
      </c>
      <c r="B964" s="8" t="str">
        <f>'Data cleaning and validation(3)'!B952</f>
        <v>Lewis</v>
      </c>
      <c r="C964" s="8" t="str">
        <f>'Data cleaning and validation(3)'!C952</f>
        <v>jlewisqe@etsy.com</v>
      </c>
      <c r="D964" s="8" t="str">
        <f>'Data cleaning and validation(3)'!D952</f>
        <v>F</v>
      </c>
      <c r="E964" s="8" t="str">
        <f>'Data cleaning and validation(3)'!E952</f>
        <v>Toys</v>
      </c>
      <c r="F964" s="15">
        <f>'Data cleaning and validation(3)'!F952</f>
        <v>46008</v>
      </c>
      <c r="G964" s="8">
        <f>'Data cleaning and validation(3)'!G952</f>
        <v>9</v>
      </c>
      <c r="H964" s="19">
        <f>'Data cleaning and validation(3)'!H952</f>
        <v>115975</v>
      </c>
      <c r="I964" s="8" t="str">
        <f>'Data cleaning and validation(3)'!I952</f>
        <v>Social Worker</v>
      </c>
      <c r="J964" s="8" t="str">
        <f>'Data cleaning and validation(3)'!J952</f>
        <v>Nova Scotia</v>
      </c>
      <c r="K964" s="8" t="str">
        <f>'Data cleaning and validation(3)'!K952</f>
        <v>Canada</v>
      </c>
      <c r="L964" s="8" t="str">
        <f>'Data cleaning and validation(3)'!L952</f>
        <v>Games &amp; Sports</v>
      </c>
      <c r="M964" s="8" t="str">
        <f>'Data cleaning and validation(3)'!M952</f>
        <v>Active</v>
      </c>
      <c r="N964" s="17">
        <f>'Data cleaning and validation(3)'!N952</f>
        <v>1391700</v>
      </c>
      <c r="O964" s="18">
        <f>'Data cleaning and validation(3)'!O952</f>
        <v>11597.5</v>
      </c>
    </row>
    <row r="965" spans="1:15" x14ac:dyDescent="0.35">
      <c r="A965" s="8">
        <f>'Data cleaning and validation(3)'!A953</f>
        <v>952</v>
      </c>
      <c r="B965" s="8" t="str">
        <f>'Data cleaning and validation(3)'!B953</f>
        <v>Cole</v>
      </c>
      <c r="C965" s="8" t="str">
        <f>'Data cleaning and validation(3)'!C953</f>
        <v>acoleqf@unblog.fr</v>
      </c>
      <c r="D965" s="8" t="str">
        <f>'Data cleaning and validation(3)'!D953</f>
        <v>F</v>
      </c>
      <c r="E965" s="8" t="str">
        <f>'Data cleaning and validation(3)'!E953</f>
        <v>Shoes</v>
      </c>
      <c r="F965" s="15">
        <f>'Data cleaning and validation(3)'!F953</f>
        <v>44490</v>
      </c>
      <c r="G965" s="8">
        <f>'Data cleaning and validation(3)'!G953</f>
        <v>13</v>
      </c>
      <c r="H965" s="19">
        <f>'Data cleaning and validation(3)'!H953</f>
        <v>53905</v>
      </c>
      <c r="I965" s="8" t="str">
        <f>'Data cleaning and validation(3)'!I953</f>
        <v>Editor</v>
      </c>
      <c r="J965" s="8" t="str">
        <f>'Data cleaning and validation(3)'!J953</f>
        <v>Nova Scotia</v>
      </c>
      <c r="K965" s="8" t="str">
        <f>'Data cleaning and validation(3)'!K953</f>
        <v>Canada</v>
      </c>
      <c r="L965" s="8" t="str">
        <f>'Data cleaning and validation(3)'!L953</f>
        <v>Domestic</v>
      </c>
      <c r="M965" s="8" t="str">
        <f>'Data cleaning and validation(3)'!M953</f>
        <v>Active</v>
      </c>
      <c r="N965" s="17">
        <f>'Data cleaning and validation(3)'!N953</f>
        <v>646860</v>
      </c>
      <c r="O965" s="18">
        <f>'Data cleaning and validation(3)'!O953</f>
        <v>5390.5</v>
      </c>
    </row>
    <row r="966" spans="1:15" x14ac:dyDescent="0.35">
      <c r="A966" s="8">
        <f>'Data cleaning and validation(3)'!A954</f>
        <v>953</v>
      </c>
      <c r="B966" s="8" t="str">
        <f>'Data cleaning and validation(3)'!B954</f>
        <v>Edwards</v>
      </c>
      <c r="C966" s="8" t="str">
        <f>'Data cleaning and validation(3)'!C954</f>
        <v>pedwardsqg@cnbc.com</v>
      </c>
      <c r="D966" s="8" t="str">
        <f>'Data cleaning and validation(3)'!D954</f>
        <v>M</v>
      </c>
      <c r="E966" s="8" t="str">
        <f>'Data cleaning and validation(3)'!E954</f>
        <v>Grocery</v>
      </c>
      <c r="F966" s="15">
        <f>'Data cleaning and validation(3)'!F954</f>
        <v>37867</v>
      </c>
      <c r="G966" s="8">
        <f>'Data cleaning and validation(3)'!G954</f>
        <v>18</v>
      </c>
      <c r="H966" s="19">
        <f>'Data cleaning and validation(3)'!H954</f>
        <v>115360</v>
      </c>
      <c r="I966" s="8" t="str">
        <f>'Data cleaning and validation(3)'!I954</f>
        <v>Social Worker</v>
      </c>
      <c r="J966" s="8" t="str">
        <f>'Data cleaning and validation(3)'!J954</f>
        <v>Quebec</v>
      </c>
      <c r="K966" s="8" t="str">
        <f>'Data cleaning and validation(3)'!K954</f>
        <v>Canada</v>
      </c>
      <c r="L966" s="8" t="str">
        <f>'Data cleaning and validation(3)'!L954</f>
        <v>Domestic</v>
      </c>
      <c r="M966" s="8" t="str">
        <f>'Data cleaning and validation(3)'!M954</f>
        <v>Active</v>
      </c>
      <c r="N966" s="17">
        <f>'Data cleaning and validation(3)'!N954</f>
        <v>1384320</v>
      </c>
      <c r="O966" s="18">
        <f>'Data cleaning and validation(3)'!O954</f>
        <v>11536</v>
      </c>
    </row>
    <row r="967" spans="1:15" x14ac:dyDescent="0.35">
      <c r="A967" s="8">
        <f>'Data cleaning and validation(3)'!A955</f>
        <v>954</v>
      </c>
      <c r="B967" s="8" t="str">
        <f>'Data cleaning and validation(3)'!B955</f>
        <v>Cooper</v>
      </c>
      <c r="C967" s="8" t="str">
        <f>'Data cleaning and validation(3)'!C955</f>
        <v>ncooperqh@wp.com</v>
      </c>
      <c r="D967" s="8" t="str">
        <f>'Data cleaning and validation(3)'!D955</f>
        <v>F</v>
      </c>
      <c r="E967" s="8" t="str">
        <f>'Data cleaning and validation(3)'!E955</f>
        <v>Electronics</v>
      </c>
      <c r="F967" s="15">
        <f>'Data cleaning and validation(3)'!F955</f>
        <v>45492</v>
      </c>
      <c r="G967" s="8">
        <f>'Data cleaning and validation(3)'!G955</f>
        <v>10</v>
      </c>
      <c r="H967" s="19">
        <f>'Data cleaning and validation(3)'!H955</f>
        <v>120108</v>
      </c>
      <c r="I967" s="8" t="str">
        <f>'Data cleaning and validation(3)'!I955</f>
        <v>Computer Systems Analyst II</v>
      </c>
      <c r="J967" s="8" t="str">
        <f>'Data cleaning and validation(3)'!J955</f>
        <v>British Columbia</v>
      </c>
      <c r="K967" s="8" t="str">
        <f>'Data cleaning and validation(3)'!K955</f>
        <v>Canada</v>
      </c>
      <c r="L967" s="8" t="str">
        <f>'Data cleaning and validation(3)'!L955</f>
        <v>Electronic Equipment</v>
      </c>
      <c r="M967" s="8" t="str">
        <f>'Data cleaning and validation(3)'!M955</f>
        <v>Active</v>
      </c>
      <c r="N967" s="17">
        <f>'Data cleaning and validation(3)'!N955</f>
        <v>1441296</v>
      </c>
      <c r="O967" s="18">
        <f>'Data cleaning and validation(3)'!O955</f>
        <v>12010.800000000001</v>
      </c>
    </row>
    <row r="968" spans="1:15" x14ac:dyDescent="0.35">
      <c r="A968" s="8">
        <f>'Data cleaning and validation(3)'!A956</f>
        <v>955</v>
      </c>
      <c r="B968" s="8" t="str">
        <f>'Data cleaning and validation(3)'!B956</f>
        <v>Marshall</v>
      </c>
      <c r="C968" s="8" t="str">
        <f>'Data cleaning and validation(3)'!C956</f>
        <v>wmarshallqi@fastcompany.com</v>
      </c>
      <c r="D968" s="8" t="str">
        <f>'Data cleaning and validation(3)'!D956</f>
        <v>M</v>
      </c>
      <c r="E968" s="8" t="str">
        <f>'Data cleaning and validation(3)'!E956</f>
        <v>Clothing</v>
      </c>
      <c r="F968" s="15">
        <f>'Data cleaning and validation(3)'!F956</f>
        <v>38460</v>
      </c>
      <c r="G968" s="8">
        <f>'Data cleaning and validation(3)'!G956</f>
        <v>16</v>
      </c>
      <c r="H968" s="19">
        <f>'Data cleaning and validation(3)'!H956</f>
        <v>59234</v>
      </c>
      <c r="I968" s="8" t="str">
        <f>'Data cleaning and validation(3)'!I956</f>
        <v>VP Product Management</v>
      </c>
      <c r="J968" s="8" t="str">
        <f>'Data cleaning and validation(3)'!J956</f>
        <v>Nova Scotia</v>
      </c>
      <c r="K968" s="8" t="str">
        <f>'Data cleaning and validation(3)'!K956</f>
        <v>Canada</v>
      </c>
      <c r="L968" s="8" t="str">
        <f>'Data cleaning and validation(3)'!L956</f>
        <v>Domestic</v>
      </c>
      <c r="M968" s="8" t="str">
        <f>'Data cleaning and validation(3)'!M956</f>
        <v>Active</v>
      </c>
      <c r="N968" s="17">
        <f>'Data cleaning and validation(3)'!N956</f>
        <v>710808</v>
      </c>
      <c r="O968" s="18">
        <f>'Data cleaning and validation(3)'!O956</f>
        <v>5923.4000000000005</v>
      </c>
    </row>
    <row r="969" spans="1:15" x14ac:dyDescent="0.35">
      <c r="A969" s="8">
        <f>'Data cleaning and validation(3)'!A957</f>
        <v>956</v>
      </c>
      <c r="B969" s="8" t="str">
        <f>'Data cleaning and validation(3)'!B957</f>
        <v>Austin</v>
      </c>
      <c r="C969" s="8" t="str">
        <f>'Data cleaning and validation(3)'!C957</f>
        <v>saustinqj@vimeo.com</v>
      </c>
      <c r="D969" s="8" t="str">
        <f>'Data cleaning and validation(3)'!D957</f>
        <v>F</v>
      </c>
      <c r="E969" s="8" t="str">
        <f>'Data cleaning and validation(3)'!E957</f>
        <v>Grocery</v>
      </c>
      <c r="F969" s="15">
        <f>'Data cleaning and validation(3)'!F957</f>
        <v>43858</v>
      </c>
      <c r="G969" s="8">
        <f>'Data cleaning and validation(3)'!G957</f>
        <v>14</v>
      </c>
      <c r="H969" s="19">
        <f>'Data cleaning and validation(3)'!H957</f>
        <v>76812</v>
      </c>
      <c r="I969" s="8" t="str">
        <f>'Data cleaning and validation(3)'!I957</f>
        <v>Biostatistician III</v>
      </c>
      <c r="J969" s="8" t="str">
        <f>'Data cleaning and validation(3)'!J957</f>
        <v>Nova Scotia</v>
      </c>
      <c r="K969" s="8" t="str">
        <f>'Data cleaning and validation(3)'!K957</f>
        <v>Canada</v>
      </c>
      <c r="L969" s="8" t="str">
        <f>'Data cleaning and validation(3)'!L957</f>
        <v>Domestic</v>
      </c>
      <c r="M969" s="8" t="str">
        <f>'Data cleaning and validation(3)'!M957</f>
        <v>Active</v>
      </c>
      <c r="N969" s="17">
        <f>'Data cleaning and validation(3)'!N957</f>
        <v>921744</v>
      </c>
      <c r="O969" s="18">
        <f>'Data cleaning and validation(3)'!O957</f>
        <v>7681.2000000000007</v>
      </c>
    </row>
    <row r="970" spans="1:15" x14ac:dyDescent="0.35">
      <c r="A970" s="8">
        <f>'Data cleaning and validation(3)'!A958</f>
        <v>957</v>
      </c>
      <c r="B970" s="8" t="str">
        <f>'Data cleaning and validation(3)'!B958</f>
        <v>Franklin</v>
      </c>
      <c r="C970" s="8" t="str">
        <f>'Data cleaning and validation(3)'!C958</f>
        <v>cfranklinqk@dyndns.org</v>
      </c>
      <c r="D970" s="8" t="str">
        <f>'Data cleaning and validation(3)'!D958</f>
        <v>F</v>
      </c>
      <c r="E970" s="8" t="str">
        <f>'Data cleaning and validation(3)'!E958</f>
        <v>Games</v>
      </c>
      <c r="F970" s="15">
        <f>'Data cleaning and validation(3)'!F958</f>
        <v>45785</v>
      </c>
      <c r="G970" s="8">
        <f>'Data cleaning and validation(3)'!G958</f>
        <v>9</v>
      </c>
      <c r="H970" s="19">
        <f>'Data cleaning and validation(3)'!H958</f>
        <v>42347</v>
      </c>
      <c r="I970" s="8" t="str">
        <f>'Data cleaning and validation(3)'!I958</f>
        <v>VP Product Management</v>
      </c>
      <c r="J970" s="8" t="str">
        <f>'Data cleaning and validation(3)'!J958</f>
        <v>Northwest</v>
      </c>
      <c r="K970" s="8" t="str">
        <f>'Data cleaning and validation(3)'!K958</f>
        <v>USA</v>
      </c>
      <c r="L970" s="8" t="str">
        <f>'Data cleaning and validation(3)'!L958</f>
        <v>Domestic</v>
      </c>
      <c r="M970" s="8" t="str">
        <f>'Data cleaning and validation(3)'!M958</f>
        <v>Active</v>
      </c>
      <c r="N970" s="17">
        <f>'Data cleaning and validation(3)'!N958</f>
        <v>508164</v>
      </c>
      <c r="O970" s="18">
        <f>'Data cleaning and validation(3)'!O958</f>
        <v>4234.7</v>
      </c>
    </row>
    <row r="971" spans="1:15" x14ac:dyDescent="0.35">
      <c r="A971" s="8">
        <f>'Data cleaning and validation(3)'!A959</f>
        <v>958</v>
      </c>
      <c r="B971" s="8" t="str">
        <f>'Data cleaning and validation(3)'!B959</f>
        <v>Wood</v>
      </c>
      <c r="C971" s="8" t="str">
        <f>'Data cleaning and validation(3)'!C959</f>
        <v>bwoodql@epa.gov</v>
      </c>
      <c r="D971" s="8" t="str">
        <f>'Data cleaning and validation(3)'!D959</f>
        <v>M</v>
      </c>
      <c r="E971" s="8" t="str">
        <f>'Data cleaning and validation(3)'!E959</f>
        <v>Tools</v>
      </c>
      <c r="F971" s="15">
        <f>'Data cleaning and validation(3)'!F959</f>
        <v>37960</v>
      </c>
      <c r="G971" s="8">
        <f>'Data cleaning and validation(3)'!G959</f>
        <v>18</v>
      </c>
      <c r="H971" s="19">
        <f>'Data cleaning and validation(3)'!H959</f>
        <v>82164</v>
      </c>
      <c r="I971" s="8" t="str">
        <f>'Data cleaning and validation(3)'!I959</f>
        <v>Compensation Analyst</v>
      </c>
      <c r="J971" s="8" t="str">
        <f>'Data cleaning and validation(3)'!J959</f>
        <v>Northeast</v>
      </c>
      <c r="K971" s="8" t="str">
        <f>'Data cleaning and validation(3)'!K959</f>
        <v>USA</v>
      </c>
      <c r="L971" s="8" t="str">
        <f>'Data cleaning and validation(3)'!L959</f>
        <v>Auto &amp; Hardware</v>
      </c>
      <c r="M971" s="8" t="str">
        <f>'Data cleaning and validation(3)'!M959</f>
        <v>Active</v>
      </c>
      <c r="N971" s="17">
        <f>'Data cleaning and validation(3)'!N959</f>
        <v>985968</v>
      </c>
      <c r="O971" s="18">
        <f>'Data cleaning and validation(3)'!O959</f>
        <v>8216.4</v>
      </c>
    </row>
    <row r="972" spans="1:15" x14ac:dyDescent="0.35">
      <c r="A972" s="8">
        <f>'Data cleaning and validation(3)'!A960</f>
        <v>959</v>
      </c>
      <c r="B972" s="8" t="str">
        <f>'Data cleaning and validation(3)'!B960</f>
        <v>Young</v>
      </c>
      <c r="C972" s="8" t="str">
        <f>'Data cleaning and validation(3)'!C960</f>
        <v>jyoungqm@xing.com</v>
      </c>
      <c r="D972" s="8" t="str">
        <f>'Data cleaning and validation(3)'!D960</f>
        <v>M</v>
      </c>
      <c r="E972" s="8" t="str">
        <f>'Data cleaning and validation(3)'!E960</f>
        <v>Music</v>
      </c>
      <c r="F972" s="15">
        <f>'Data cleaning and validation(3)'!F960</f>
        <v>36859</v>
      </c>
      <c r="G972" s="8">
        <f>'Data cleaning and validation(3)'!G960</f>
        <v>21</v>
      </c>
      <c r="H972" s="19">
        <f>'Data cleaning and validation(3)'!H960</f>
        <v>114695</v>
      </c>
      <c r="I972" s="8" t="str">
        <f>'Data cleaning and validation(3)'!I960</f>
        <v>Statistician IV</v>
      </c>
      <c r="J972" s="8" t="str">
        <f>'Data cleaning and validation(3)'!J960</f>
        <v>Northeast</v>
      </c>
      <c r="K972" s="8" t="str">
        <f>'Data cleaning and validation(3)'!K960</f>
        <v>USA</v>
      </c>
      <c r="L972" s="8" t="str">
        <f>'Data cleaning and validation(3)'!L960</f>
        <v>Entertainment</v>
      </c>
      <c r="M972" s="8" t="str">
        <f>'Data cleaning and validation(3)'!M960</f>
        <v>Active</v>
      </c>
      <c r="N972" s="17">
        <f>'Data cleaning and validation(3)'!N960</f>
        <v>1376340</v>
      </c>
      <c r="O972" s="18">
        <f>'Data cleaning and validation(3)'!O960</f>
        <v>11469.5</v>
      </c>
    </row>
    <row r="973" spans="1:15" x14ac:dyDescent="0.35">
      <c r="A973" s="8">
        <f>'Data cleaning and validation(3)'!A961</f>
        <v>960</v>
      </c>
      <c r="B973" s="8" t="str">
        <f>'Data cleaning and validation(3)'!B961</f>
        <v>Lane</v>
      </c>
      <c r="C973" s="8" t="str">
        <f>'Data cleaning and validation(3)'!C961</f>
        <v>glaneqn@google.fr</v>
      </c>
      <c r="D973" s="8" t="str">
        <f>'Data cleaning and validation(3)'!D961</f>
        <v>M</v>
      </c>
      <c r="E973" s="8" t="str">
        <f>'Data cleaning and validation(3)'!E961</f>
        <v>Computers</v>
      </c>
      <c r="F973" s="15">
        <f>'Data cleaning and validation(3)'!F961</f>
        <v>37621</v>
      </c>
      <c r="G973" s="8">
        <f>'Data cleaning and validation(3)'!G961</f>
        <v>19</v>
      </c>
      <c r="H973" s="19">
        <f>'Data cleaning and validation(3)'!H961</f>
        <v>47541</v>
      </c>
      <c r="I973" s="8" t="str">
        <f>'Data cleaning and validation(3)'!I961</f>
        <v>Payment Adjustment Coordinator</v>
      </c>
      <c r="J973" s="8" t="str">
        <f>'Data cleaning and validation(3)'!J961</f>
        <v>Southeast</v>
      </c>
      <c r="K973" s="8" t="str">
        <f>'Data cleaning and validation(3)'!K961</f>
        <v>USA</v>
      </c>
      <c r="L973" s="8" t="str">
        <f>'Data cleaning and validation(3)'!L961</f>
        <v>Electronic Equipment</v>
      </c>
      <c r="M973" s="8" t="str">
        <f>'Data cleaning and validation(3)'!M961</f>
        <v>Active</v>
      </c>
      <c r="N973" s="17">
        <f>'Data cleaning and validation(3)'!N961</f>
        <v>570492</v>
      </c>
      <c r="O973" s="18">
        <f>'Data cleaning and validation(3)'!O961</f>
        <v>4754.1000000000004</v>
      </c>
    </row>
    <row r="974" spans="1:15" x14ac:dyDescent="0.35">
      <c r="A974" s="8">
        <f>'Data cleaning and validation(3)'!A962</f>
        <v>961</v>
      </c>
      <c r="B974" s="8" t="str">
        <f>'Data cleaning and validation(3)'!B962</f>
        <v>Bowman</v>
      </c>
      <c r="C974" s="8" t="str">
        <f>'Data cleaning and validation(3)'!C962</f>
        <v>rbowmanqo@auda.org.au</v>
      </c>
      <c r="D974" s="8" t="str">
        <f>'Data cleaning and validation(3)'!D962</f>
        <v>F</v>
      </c>
      <c r="E974" s="8" t="str">
        <f>'Data cleaning and validation(3)'!E962</f>
        <v>Baby</v>
      </c>
      <c r="F974" s="15">
        <f>'Data cleaning and validation(3)'!F962</f>
        <v>45610</v>
      </c>
      <c r="G974" s="8">
        <f>'Data cleaning and validation(3)'!G962</f>
        <v>10</v>
      </c>
      <c r="H974" s="19">
        <f>'Data cleaning and validation(3)'!H962</f>
        <v>116355</v>
      </c>
      <c r="I974" s="8" t="str">
        <f>'Data cleaning and validation(3)'!I962</f>
        <v>Structural Engineer</v>
      </c>
      <c r="J974" s="8" t="str">
        <f>'Data cleaning and validation(3)'!J962</f>
        <v>British Columbia</v>
      </c>
      <c r="K974" s="8" t="str">
        <f>'Data cleaning and validation(3)'!K962</f>
        <v>Canada</v>
      </c>
      <c r="L974" s="8" t="str">
        <f>'Data cleaning and validation(3)'!L962</f>
        <v>Domestic</v>
      </c>
      <c r="M974" s="8" t="str">
        <f>'Data cleaning and validation(3)'!M962</f>
        <v>Active</v>
      </c>
      <c r="N974" s="17">
        <f>'Data cleaning and validation(3)'!N962</f>
        <v>1396260</v>
      </c>
      <c r="O974" s="18">
        <f>'Data cleaning and validation(3)'!O962</f>
        <v>11635.5</v>
      </c>
    </row>
    <row r="975" spans="1:15" x14ac:dyDescent="0.35">
      <c r="A975" s="8">
        <f>'Data cleaning and validation(3)'!A963</f>
        <v>962</v>
      </c>
      <c r="B975" s="8" t="str">
        <f>'Data cleaning and validation(3)'!B963</f>
        <v>Hayes</v>
      </c>
      <c r="C975" s="8" t="str">
        <f>'Data cleaning and validation(3)'!C963</f>
        <v>ahayesqp@npr.org</v>
      </c>
      <c r="D975" s="8" t="str">
        <f>'Data cleaning and validation(3)'!D963</f>
        <v>F</v>
      </c>
      <c r="E975" s="8" t="str">
        <f>'Data cleaning and validation(3)'!E963</f>
        <v>Health</v>
      </c>
      <c r="F975" s="15">
        <f>'Data cleaning and validation(3)'!F963</f>
        <v>36812</v>
      </c>
      <c r="G975" s="8">
        <f>'Data cleaning and validation(3)'!G963</f>
        <v>21</v>
      </c>
      <c r="H975" s="19">
        <f>'Data cleaning and validation(3)'!H963</f>
        <v>48339</v>
      </c>
      <c r="I975" s="8" t="str">
        <f>'Data cleaning and validation(3)'!I963</f>
        <v>Engineer III</v>
      </c>
      <c r="J975" s="8" t="str">
        <f>'Data cleaning and validation(3)'!J963</f>
        <v>British Columbia</v>
      </c>
      <c r="K975" s="8" t="str">
        <f>'Data cleaning and validation(3)'!K963</f>
        <v>Canada</v>
      </c>
      <c r="L975" s="8" t="str">
        <f>'Data cleaning and validation(3)'!L963</f>
        <v>Domestic</v>
      </c>
      <c r="M975" s="8" t="str">
        <f>'Data cleaning and validation(3)'!M963</f>
        <v>Active</v>
      </c>
      <c r="N975" s="17">
        <f>'Data cleaning and validation(3)'!N963</f>
        <v>580068</v>
      </c>
      <c r="O975" s="18">
        <f>'Data cleaning and validation(3)'!O963</f>
        <v>4833.9000000000005</v>
      </c>
    </row>
    <row r="976" spans="1:15" x14ac:dyDescent="0.35">
      <c r="A976" s="8">
        <f>'Data cleaning and validation(3)'!A964</f>
        <v>963</v>
      </c>
      <c r="B976" s="8" t="str">
        <f>'Data cleaning and validation(3)'!B964</f>
        <v>Burton</v>
      </c>
      <c r="C976" s="8" t="str">
        <f>'Data cleaning and validation(3)'!C964</f>
        <v>cburtonqq@github.io</v>
      </c>
      <c r="D976" s="8" t="str">
        <f>'Data cleaning and validation(3)'!D964</f>
        <v>F</v>
      </c>
      <c r="E976" s="8" t="str">
        <f>'Data cleaning and validation(3)'!E964</f>
        <v>Clothing</v>
      </c>
      <c r="F976" s="15">
        <f>'Data cleaning and validation(3)'!F964</f>
        <v>45828</v>
      </c>
      <c r="G976" s="8">
        <f>'Data cleaning and validation(3)'!G964</f>
        <v>9</v>
      </c>
      <c r="H976" s="19">
        <f>'Data cleaning and validation(3)'!H964</f>
        <v>58697</v>
      </c>
      <c r="I976" s="8" t="str">
        <f>'Data cleaning and validation(3)'!I964</f>
        <v>Teacher</v>
      </c>
      <c r="J976" s="8" t="str">
        <f>'Data cleaning and validation(3)'!J964</f>
        <v>Southwest</v>
      </c>
      <c r="K976" s="8" t="str">
        <f>'Data cleaning and validation(3)'!K964</f>
        <v>USA</v>
      </c>
      <c r="L976" s="8" t="str">
        <f>'Data cleaning and validation(3)'!L964</f>
        <v>Domestic</v>
      </c>
      <c r="M976" s="8" t="str">
        <f>'Data cleaning and validation(3)'!M964</f>
        <v>Active</v>
      </c>
      <c r="N976" s="17">
        <f>'Data cleaning and validation(3)'!N964</f>
        <v>704364</v>
      </c>
      <c r="O976" s="18">
        <f>'Data cleaning and validation(3)'!O964</f>
        <v>5869.7000000000007</v>
      </c>
    </row>
    <row r="977" spans="1:15" x14ac:dyDescent="0.35">
      <c r="A977" s="8">
        <f>'Data cleaning and validation(3)'!A965</f>
        <v>964</v>
      </c>
      <c r="B977" s="8" t="str">
        <f>'Data cleaning and validation(3)'!B965</f>
        <v>Ramos</v>
      </c>
      <c r="C977" s="8" t="str">
        <f>'Data cleaning and validation(3)'!C965</f>
        <v>mramosqr@is.gd</v>
      </c>
      <c r="D977" s="8" t="str">
        <f>'Data cleaning and validation(3)'!D965</f>
        <v>M</v>
      </c>
      <c r="E977" s="8" t="str">
        <f>'Data cleaning and validation(3)'!E965</f>
        <v>Garden</v>
      </c>
      <c r="F977" s="15">
        <f>'Data cleaning and validation(3)'!F965</f>
        <v>37317</v>
      </c>
      <c r="G977" s="8">
        <f>'Data cleaning and validation(3)'!G965</f>
        <v>19</v>
      </c>
      <c r="H977" s="19">
        <f>'Data cleaning and validation(3)'!H965</f>
        <v>127268</v>
      </c>
      <c r="I977" s="8" t="str">
        <f>'Data cleaning and validation(3)'!I965</f>
        <v>Nurse Practicioner</v>
      </c>
      <c r="J977" s="8" t="str">
        <f>'Data cleaning and validation(3)'!J965</f>
        <v>Southwest</v>
      </c>
      <c r="K977" s="8" t="str">
        <f>'Data cleaning and validation(3)'!K965</f>
        <v>USA</v>
      </c>
      <c r="L977" s="8" t="str">
        <f>'Data cleaning and validation(3)'!L965</f>
        <v>Outdoors &amp; Garden</v>
      </c>
      <c r="M977" s="8" t="str">
        <f>'Data cleaning and validation(3)'!M965</f>
        <v>Active</v>
      </c>
      <c r="N977" s="17">
        <f>'Data cleaning and validation(3)'!N965</f>
        <v>1527216</v>
      </c>
      <c r="O977" s="18">
        <f>'Data cleaning and validation(3)'!O965</f>
        <v>12726.800000000001</v>
      </c>
    </row>
    <row r="978" spans="1:15" x14ac:dyDescent="0.35">
      <c r="A978" s="8">
        <f>'Data cleaning and validation(3)'!A966</f>
        <v>965</v>
      </c>
      <c r="B978" s="8" t="str">
        <f>'Data cleaning and validation(3)'!B966</f>
        <v>Butler</v>
      </c>
      <c r="C978" s="8" t="str">
        <f>'Data cleaning and validation(3)'!C966</f>
        <v>sbutlerqs@ow.ly</v>
      </c>
      <c r="D978" s="8" t="str">
        <f>'Data cleaning and validation(3)'!D966</f>
        <v>M</v>
      </c>
      <c r="E978" s="8" t="str">
        <f>'Data cleaning and validation(3)'!E966</f>
        <v>Games</v>
      </c>
      <c r="F978" s="15">
        <f>'Data cleaning and validation(3)'!F966</f>
        <v>41731</v>
      </c>
      <c r="G978" s="8">
        <f>'Data cleaning and validation(3)'!G966</f>
        <v>7</v>
      </c>
      <c r="H978" s="19">
        <f>'Data cleaning and validation(3)'!H966</f>
        <v>115541</v>
      </c>
      <c r="I978" s="8" t="str">
        <f>'Data cleaning and validation(3)'!I966</f>
        <v>Pharmacist</v>
      </c>
      <c r="J978" s="8" t="str">
        <f>'Data cleaning and validation(3)'!J966</f>
        <v>Quebec</v>
      </c>
      <c r="K978" s="8" t="str">
        <f>'Data cleaning and validation(3)'!K966</f>
        <v>Canada</v>
      </c>
      <c r="L978" s="8" t="str">
        <f>'Data cleaning and validation(3)'!L966</f>
        <v>Domestic</v>
      </c>
      <c r="M978" s="8" t="str">
        <f>'Data cleaning and validation(3)'!M966</f>
        <v>Active</v>
      </c>
      <c r="N978" s="17">
        <f>'Data cleaning and validation(3)'!N966</f>
        <v>1386492</v>
      </c>
      <c r="O978" s="18">
        <f>'Data cleaning and validation(3)'!O966</f>
        <v>11554.1</v>
      </c>
    </row>
    <row r="979" spans="1:15" x14ac:dyDescent="0.35">
      <c r="A979" s="8">
        <f>'Data cleaning and validation(3)'!A967</f>
        <v>966</v>
      </c>
      <c r="B979" s="8" t="str">
        <f>'Data cleaning and validation(3)'!B967</f>
        <v>Kelly</v>
      </c>
      <c r="C979" s="8" t="str">
        <f>'Data cleaning and validation(3)'!C967</f>
        <v>ckellyqt@canalblog.com</v>
      </c>
      <c r="D979" s="8" t="str">
        <f>'Data cleaning and validation(3)'!D967</f>
        <v>F</v>
      </c>
      <c r="E979" s="8" t="str">
        <f>'Data cleaning and validation(3)'!E967</f>
        <v>Industrial</v>
      </c>
      <c r="F979" s="15">
        <f>'Data cleaning and validation(3)'!F967</f>
        <v>44240</v>
      </c>
      <c r="G979" s="8">
        <f>'Data cleaning and validation(3)'!G967</f>
        <v>13</v>
      </c>
      <c r="H979" s="19">
        <f>'Data cleaning and validation(3)'!H967</f>
        <v>54876</v>
      </c>
      <c r="I979" s="8" t="str">
        <f>'Data cleaning and validation(3)'!I967</f>
        <v>Research Associate</v>
      </c>
      <c r="J979" s="8" t="str">
        <f>'Data cleaning and validation(3)'!J967</f>
        <v>Southeast</v>
      </c>
      <c r="K979" s="8" t="str">
        <f>'Data cleaning and validation(3)'!K967</f>
        <v>USA</v>
      </c>
      <c r="L979" s="8" t="str">
        <f>'Data cleaning and validation(3)'!L967</f>
        <v>Auto &amp; Hardware</v>
      </c>
      <c r="M979" s="8" t="str">
        <f>'Data cleaning and validation(3)'!M967</f>
        <v>Active</v>
      </c>
      <c r="N979" s="17">
        <f>'Data cleaning and validation(3)'!N967</f>
        <v>658512</v>
      </c>
      <c r="O979" s="18">
        <f>'Data cleaning and validation(3)'!O967</f>
        <v>5487.6</v>
      </c>
    </row>
    <row r="980" spans="1:15" x14ac:dyDescent="0.35">
      <c r="A980" s="8">
        <f>'Data cleaning and validation(3)'!A968</f>
        <v>967</v>
      </c>
      <c r="B980" s="8" t="str">
        <f>'Data cleaning and validation(3)'!B968</f>
        <v>Lawson</v>
      </c>
      <c r="C980" s="8" t="str">
        <f>'Data cleaning and validation(3)'!C968</f>
        <v>clawsonqu@cargocollective.com</v>
      </c>
      <c r="D980" s="8" t="str">
        <f>'Data cleaning and validation(3)'!D968</f>
        <v>F</v>
      </c>
      <c r="E980" s="8" t="str">
        <f>'Data cleaning and validation(3)'!E968</f>
        <v>Beauty</v>
      </c>
      <c r="F980" s="15">
        <f>'Data cleaning and validation(3)'!F968</f>
        <v>45882</v>
      </c>
      <c r="G980" s="8">
        <f>'Data cleaning and validation(3)'!G968</f>
        <v>9</v>
      </c>
      <c r="H980" s="19">
        <f>'Data cleaning and validation(3)'!H968</f>
        <v>55081</v>
      </c>
      <c r="I980" s="8" t="str">
        <f>'Data cleaning and validation(3)'!I968</f>
        <v>Mechanical Systems Engineer</v>
      </c>
      <c r="J980" s="8" t="str">
        <f>'Data cleaning and validation(3)'!J968</f>
        <v>British Columbia</v>
      </c>
      <c r="K980" s="8" t="str">
        <f>'Data cleaning and validation(3)'!K968</f>
        <v>Canada</v>
      </c>
      <c r="L980" s="8" t="str">
        <f>'Data cleaning and validation(3)'!L968</f>
        <v>Domestic</v>
      </c>
      <c r="M980" s="8" t="str">
        <f>'Data cleaning and validation(3)'!M968</f>
        <v>Active</v>
      </c>
      <c r="N980" s="17">
        <f>'Data cleaning and validation(3)'!N968</f>
        <v>660972</v>
      </c>
      <c r="O980" s="18">
        <f>'Data cleaning and validation(3)'!O968</f>
        <v>5508.1</v>
      </c>
    </row>
    <row r="981" spans="1:15" x14ac:dyDescent="0.35">
      <c r="A981" s="8">
        <f>'Data cleaning and validation(3)'!A969</f>
        <v>968</v>
      </c>
      <c r="B981" s="8" t="str">
        <f>'Data cleaning and validation(3)'!B969</f>
        <v>Moreno</v>
      </c>
      <c r="C981" s="8" t="str">
        <f>'Data cleaning and validation(3)'!C969</f>
        <v>nmorenoqv@chronoengine.com</v>
      </c>
      <c r="D981" s="8" t="str">
        <f>'Data cleaning and validation(3)'!D969</f>
        <v>M</v>
      </c>
      <c r="E981" s="8" t="str">
        <f>'Data cleaning and validation(3)'!E969</f>
        <v>Beauty</v>
      </c>
      <c r="F981" s="15">
        <f>'Data cleaning and validation(3)'!F969</f>
        <v>40082</v>
      </c>
      <c r="G981" s="8">
        <f>'Data cleaning and validation(3)'!G969</f>
        <v>12</v>
      </c>
      <c r="H981" s="19">
        <f>'Data cleaning and validation(3)'!H969</f>
        <v>123017</v>
      </c>
      <c r="I981" s="8" t="str">
        <f>'Data cleaning and validation(3)'!I969</f>
        <v>Speech Pathologist</v>
      </c>
      <c r="J981" s="8" t="str">
        <f>'Data cleaning and validation(3)'!J969</f>
        <v>Quebec</v>
      </c>
      <c r="K981" s="8" t="str">
        <f>'Data cleaning and validation(3)'!K969</f>
        <v>Canada</v>
      </c>
      <c r="L981" s="8" t="str">
        <f>'Data cleaning and validation(3)'!L969</f>
        <v>Domestic</v>
      </c>
      <c r="M981" s="8" t="str">
        <f>'Data cleaning and validation(3)'!M969</f>
        <v>Active</v>
      </c>
      <c r="N981" s="17">
        <f>'Data cleaning and validation(3)'!N969</f>
        <v>1476204</v>
      </c>
      <c r="O981" s="18">
        <f>'Data cleaning and validation(3)'!O969</f>
        <v>12301.7</v>
      </c>
    </row>
    <row r="982" spans="1:15" x14ac:dyDescent="0.35">
      <c r="A982" s="8">
        <f>'Data cleaning and validation(3)'!A970</f>
        <v>969</v>
      </c>
      <c r="B982" s="8" t="str">
        <f>'Data cleaning and validation(3)'!B970</f>
        <v>Richards</v>
      </c>
      <c r="C982" s="8" t="str">
        <f>'Data cleaning and validation(3)'!C970</f>
        <v>jrichardsqw@blog.com</v>
      </c>
      <c r="D982" s="8" t="str">
        <f>'Data cleaning and validation(3)'!D970</f>
        <v>M</v>
      </c>
      <c r="E982" s="8" t="str">
        <f>'Data cleaning and validation(3)'!E970</f>
        <v>Clothing</v>
      </c>
      <c r="F982" s="15">
        <f>'Data cleaning and validation(3)'!F970</f>
        <v>41825</v>
      </c>
      <c r="G982" s="8">
        <f>'Data cleaning and validation(3)'!G970</f>
        <v>7</v>
      </c>
      <c r="H982" s="19">
        <f>'Data cleaning and validation(3)'!H970</f>
        <v>85294</v>
      </c>
      <c r="I982" s="8" t="str">
        <f>'Data cleaning and validation(3)'!I970</f>
        <v>Media Manager I</v>
      </c>
      <c r="J982" s="8" t="str">
        <f>'Data cleaning and validation(3)'!J970</f>
        <v>Southwest</v>
      </c>
      <c r="K982" s="8" t="str">
        <f>'Data cleaning and validation(3)'!K970</f>
        <v>USA</v>
      </c>
      <c r="L982" s="8" t="str">
        <f>'Data cleaning and validation(3)'!L970</f>
        <v>Domestic</v>
      </c>
      <c r="M982" s="8" t="str">
        <f>'Data cleaning and validation(3)'!M970</f>
        <v>Active</v>
      </c>
      <c r="N982" s="17">
        <f>'Data cleaning and validation(3)'!N970</f>
        <v>1023528</v>
      </c>
      <c r="O982" s="18">
        <f>'Data cleaning and validation(3)'!O970</f>
        <v>8529.4</v>
      </c>
    </row>
    <row r="983" spans="1:15" x14ac:dyDescent="0.35">
      <c r="A983" s="8">
        <f>'Data cleaning and validation(3)'!A971</f>
        <v>970</v>
      </c>
      <c r="B983" s="8" t="str">
        <f>'Data cleaning and validation(3)'!B971</f>
        <v>James</v>
      </c>
      <c r="C983" s="8" t="str">
        <f>'Data cleaning and validation(3)'!C971</f>
        <v>pjamesqx@nymag.com</v>
      </c>
      <c r="D983" s="8" t="str">
        <f>'Data cleaning and validation(3)'!D971</f>
        <v>M</v>
      </c>
      <c r="E983" s="8" t="str">
        <f>'Data cleaning and validation(3)'!E971</f>
        <v>Kids</v>
      </c>
      <c r="F983" s="15">
        <f>'Data cleaning and validation(3)'!F971</f>
        <v>38204</v>
      </c>
      <c r="G983" s="8">
        <f>'Data cleaning and validation(3)'!G971</f>
        <v>17</v>
      </c>
      <c r="H983" s="19">
        <f>'Data cleaning and validation(3)'!H971</f>
        <v>54470</v>
      </c>
      <c r="I983" s="8" t="str">
        <f>'Data cleaning and validation(3)'!I971</f>
        <v>Accounting Assistant IV</v>
      </c>
      <c r="J983" s="8" t="str">
        <f>'Data cleaning and validation(3)'!J971</f>
        <v>Southeast</v>
      </c>
      <c r="K983" s="8" t="str">
        <f>'Data cleaning and validation(3)'!K971</f>
        <v>USA</v>
      </c>
      <c r="L983" s="8" t="str">
        <f>'Data cleaning and validation(3)'!L971</f>
        <v>Domestic</v>
      </c>
      <c r="M983" s="8" t="str">
        <f>'Data cleaning and validation(3)'!M971</f>
        <v>Active</v>
      </c>
      <c r="N983" s="17">
        <f>'Data cleaning and validation(3)'!N971</f>
        <v>653640</v>
      </c>
      <c r="O983" s="18">
        <f>'Data cleaning and validation(3)'!O971</f>
        <v>5447</v>
      </c>
    </row>
    <row r="984" spans="1:15" x14ac:dyDescent="0.35">
      <c r="A984" s="8">
        <f>'Data cleaning and validation(3)'!A972</f>
        <v>971</v>
      </c>
      <c r="B984" s="8" t="str">
        <f>'Data cleaning and validation(3)'!B972</f>
        <v>Dunn</v>
      </c>
      <c r="C984" s="8" t="str">
        <f>'Data cleaning and validation(3)'!C972</f>
        <v>mdunnqy@chronoengine.com</v>
      </c>
      <c r="D984" s="8" t="str">
        <f>'Data cleaning and validation(3)'!D972</f>
        <v>F</v>
      </c>
      <c r="E984" s="8" t="str">
        <f>'Data cleaning and validation(3)'!E972</f>
        <v>Outdoors</v>
      </c>
      <c r="F984" s="15">
        <f>'Data cleaning and validation(3)'!F972</f>
        <v>45454</v>
      </c>
      <c r="G984" s="8">
        <f>'Data cleaning and validation(3)'!G972</f>
        <v>10</v>
      </c>
      <c r="H984" s="19">
        <f>'Data cleaning and validation(3)'!H972</f>
        <v>148889</v>
      </c>
      <c r="I984" s="8" t="str">
        <f>'Data cleaning and validation(3)'!I972</f>
        <v>Help Desk Operator</v>
      </c>
      <c r="J984" s="8" t="str">
        <f>'Data cleaning and validation(3)'!J972</f>
        <v>Southwest</v>
      </c>
      <c r="K984" s="8" t="str">
        <f>'Data cleaning and validation(3)'!K972</f>
        <v>USA</v>
      </c>
      <c r="L984" s="8" t="str">
        <f>'Data cleaning and validation(3)'!L972</f>
        <v>Outdoors &amp; Garden</v>
      </c>
      <c r="M984" s="8" t="str">
        <f>'Data cleaning and validation(3)'!M972</f>
        <v>Active</v>
      </c>
      <c r="N984" s="17">
        <f>'Data cleaning and validation(3)'!N972</f>
        <v>1786668</v>
      </c>
      <c r="O984" s="18">
        <f>'Data cleaning and validation(3)'!O972</f>
        <v>14888.900000000001</v>
      </c>
    </row>
    <row r="985" spans="1:15" x14ac:dyDescent="0.35">
      <c r="A985" s="8">
        <f>'Data cleaning and validation(3)'!A973</f>
        <v>972</v>
      </c>
      <c r="B985" s="8" t="str">
        <f>'Data cleaning and validation(3)'!B973</f>
        <v>Bailey</v>
      </c>
      <c r="C985" s="8" t="str">
        <f>'Data cleaning and validation(3)'!C973</f>
        <v>mbaileyqz@howstuffworks.com</v>
      </c>
      <c r="D985" s="8" t="str">
        <f>'Data cleaning and validation(3)'!D973</f>
        <v>F</v>
      </c>
      <c r="E985" s="8" t="str">
        <f>'Data cleaning and validation(3)'!E973</f>
        <v>Baby</v>
      </c>
      <c r="F985" s="15">
        <f>'Data cleaning and validation(3)'!F973</f>
        <v>44206</v>
      </c>
      <c r="G985" s="8">
        <f>'Data cleaning and validation(3)'!G973</f>
        <v>13</v>
      </c>
      <c r="H985" s="19">
        <f>'Data cleaning and validation(3)'!H973</f>
        <v>94049</v>
      </c>
      <c r="I985" s="8" t="str">
        <f>'Data cleaning and validation(3)'!I973</f>
        <v>Senior Financial Analyst</v>
      </c>
      <c r="J985" s="8" t="str">
        <f>'Data cleaning and validation(3)'!J973</f>
        <v>Nova Scotia</v>
      </c>
      <c r="K985" s="8" t="str">
        <f>'Data cleaning and validation(3)'!K973</f>
        <v>Canada</v>
      </c>
      <c r="L985" s="8" t="str">
        <f>'Data cleaning and validation(3)'!L973</f>
        <v>Domestic</v>
      </c>
      <c r="M985" s="8" t="str">
        <f>'Data cleaning and validation(3)'!M973</f>
        <v>Active</v>
      </c>
      <c r="N985" s="17">
        <f>'Data cleaning and validation(3)'!N973</f>
        <v>1128588</v>
      </c>
      <c r="O985" s="18">
        <f>'Data cleaning and validation(3)'!O973</f>
        <v>9404.9</v>
      </c>
    </row>
    <row r="986" spans="1:15" x14ac:dyDescent="0.35">
      <c r="A986" s="8">
        <f>'Data cleaning and validation(3)'!A974</f>
        <v>973</v>
      </c>
      <c r="B986" s="8" t="str">
        <f>'Data cleaning and validation(3)'!B974</f>
        <v>Walker</v>
      </c>
      <c r="C986" s="8" t="str">
        <f>'Data cleaning and validation(3)'!C974</f>
        <v>swalkerr0@sina.com.cn</v>
      </c>
      <c r="D986" s="8" t="str">
        <f>'Data cleaning and validation(3)'!D974</f>
        <v>F</v>
      </c>
      <c r="E986" s="8" t="str">
        <f>'Data cleaning and validation(3)'!E974</f>
        <v>Movies</v>
      </c>
      <c r="F986" s="15">
        <f>'Data cleaning and validation(3)'!F974</f>
        <v>44692</v>
      </c>
      <c r="G986" s="8">
        <f>'Data cleaning and validation(3)'!G974</f>
        <v>12</v>
      </c>
      <c r="H986" s="19">
        <f>'Data cleaning and validation(3)'!H974</f>
        <v>51132</v>
      </c>
      <c r="I986" s="8" t="str">
        <f>'Data cleaning and validation(3)'!I974</f>
        <v>Assistant Manager</v>
      </c>
      <c r="J986" s="8" t="str">
        <f>'Data cleaning and validation(3)'!J974</f>
        <v>Southwest</v>
      </c>
      <c r="K986" s="8" t="str">
        <f>'Data cleaning and validation(3)'!K974</f>
        <v>USA</v>
      </c>
      <c r="L986" s="8" t="str">
        <f>'Data cleaning and validation(3)'!L974</f>
        <v>Entertainment</v>
      </c>
      <c r="M986" s="8" t="str">
        <f>'Data cleaning and validation(3)'!M974</f>
        <v>Active</v>
      </c>
      <c r="N986" s="17">
        <f>'Data cleaning and validation(3)'!N974</f>
        <v>613584</v>
      </c>
      <c r="O986" s="18">
        <f>'Data cleaning and validation(3)'!O974</f>
        <v>5113.2000000000007</v>
      </c>
    </row>
    <row r="987" spans="1:15" x14ac:dyDescent="0.35">
      <c r="A987" s="8">
        <f>'Data cleaning and validation(3)'!A975</f>
        <v>974</v>
      </c>
      <c r="B987" s="8" t="str">
        <f>'Data cleaning and validation(3)'!B975</f>
        <v>Welch</v>
      </c>
      <c r="C987" s="8" t="str">
        <f>'Data cleaning and validation(3)'!C975</f>
        <v>rwelchr1@eventbrite.com</v>
      </c>
      <c r="D987" s="8" t="str">
        <f>'Data cleaning and validation(3)'!D975</f>
        <v>M</v>
      </c>
      <c r="E987" s="8" t="str">
        <f>'Data cleaning and validation(3)'!E975</f>
        <v>Toys</v>
      </c>
      <c r="F987" s="15">
        <f>'Data cleaning and validation(3)'!F975</f>
        <v>37421</v>
      </c>
      <c r="G987" s="8">
        <f>'Data cleaning and validation(3)'!G975</f>
        <v>19</v>
      </c>
      <c r="H987" s="19">
        <f>'Data cleaning and validation(3)'!H975</f>
        <v>87422</v>
      </c>
      <c r="I987" s="8" t="str">
        <f>'Data cleaning and validation(3)'!I975</f>
        <v>Research Nurse</v>
      </c>
      <c r="J987" s="8" t="str">
        <f>'Data cleaning and validation(3)'!J975</f>
        <v>Northwest</v>
      </c>
      <c r="K987" s="8" t="str">
        <f>'Data cleaning and validation(3)'!K975</f>
        <v>Canada</v>
      </c>
      <c r="L987" s="8" t="str">
        <f>'Data cleaning and validation(3)'!L975</f>
        <v>Games &amp; Sports</v>
      </c>
      <c r="M987" s="8" t="str">
        <f>'Data cleaning and validation(3)'!M975</f>
        <v>Active</v>
      </c>
      <c r="N987" s="17">
        <f>'Data cleaning and validation(3)'!N975</f>
        <v>1049064</v>
      </c>
      <c r="O987" s="18">
        <f>'Data cleaning and validation(3)'!O975</f>
        <v>8742.2000000000007</v>
      </c>
    </row>
    <row r="988" spans="1:15" x14ac:dyDescent="0.35">
      <c r="A988" s="8">
        <f>'Data cleaning and validation(3)'!A976</f>
        <v>975</v>
      </c>
      <c r="B988" s="8" t="str">
        <f>'Data cleaning and validation(3)'!B976</f>
        <v>Fowler</v>
      </c>
      <c r="C988" s="8" t="str">
        <f>'Data cleaning and validation(3)'!C976</f>
        <v>kfowlerr2@wp.com</v>
      </c>
      <c r="D988" s="8" t="str">
        <f>'Data cleaning and validation(3)'!D976</f>
        <v>F</v>
      </c>
      <c r="E988" s="8" t="str">
        <f>'Data cleaning and validation(3)'!E976</f>
        <v>Garden</v>
      </c>
      <c r="F988" s="15">
        <f>'Data cleaning and validation(3)'!F976</f>
        <v>46645</v>
      </c>
      <c r="G988" s="8">
        <f>'Data cleaning and validation(3)'!G976</f>
        <v>7</v>
      </c>
      <c r="H988" s="19">
        <f>'Data cleaning and validation(3)'!H976</f>
        <v>88439</v>
      </c>
      <c r="I988" s="8" t="str">
        <f>'Data cleaning and validation(3)'!I976</f>
        <v>Media Manager III</v>
      </c>
      <c r="J988" s="8" t="str">
        <f>'Data cleaning and validation(3)'!J976</f>
        <v>Southeast</v>
      </c>
      <c r="K988" s="8" t="str">
        <f>'Data cleaning and validation(3)'!K976</f>
        <v>USA</v>
      </c>
      <c r="L988" s="8" t="str">
        <f>'Data cleaning and validation(3)'!L976</f>
        <v>Outdoors &amp; Garden</v>
      </c>
      <c r="M988" s="8" t="str">
        <f>'Data cleaning and validation(3)'!M976</f>
        <v>Active</v>
      </c>
      <c r="N988" s="17">
        <f>'Data cleaning and validation(3)'!N976</f>
        <v>1061268</v>
      </c>
      <c r="O988" s="18">
        <f>'Data cleaning and validation(3)'!O976</f>
        <v>8843.9</v>
      </c>
    </row>
    <row r="989" spans="1:15" x14ac:dyDescent="0.35">
      <c r="A989" s="8">
        <f>'Data cleaning and validation(3)'!A977</f>
        <v>976</v>
      </c>
      <c r="B989" s="8" t="str">
        <f>'Data cleaning and validation(3)'!B977</f>
        <v>Chapman</v>
      </c>
      <c r="C989" s="8" t="str">
        <f>'Data cleaning and validation(3)'!C977</f>
        <v>achapmanr3@list-manage.com</v>
      </c>
      <c r="D989" s="8" t="str">
        <f>'Data cleaning and validation(3)'!D977</f>
        <v>M</v>
      </c>
      <c r="E989" s="8" t="str">
        <f>'Data cleaning and validation(3)'!E977</f>
        <v>Beauty</v>
      </c>
      <c r="F989" s="15">
        <f>'Data cleaning and validation(3)'!F977</f>
        <v>38408</v>
      </c>
      <c r="G989" s="8">
        <f>'Data cleaning and validation(3)'!G977</f>
        <v>16</v>
      </c>
      <c r="H989" s="19">
        <f>'Data cleaning and validation(3)'!H977</f>
        <v>110749</v>
      </c>
      <c r="I989" s="8" t="str">
        <f>'Data cleaning and validation(3)'!I977</f>
        <v>Legal Assistant</v>
      </c>
      <c r="J989" s="8" t="str">
        <f>'Data cleaning and validation(3)'!J977</f>
        <v>Nova Scotia</v>
      </c>
      <c r="K989" s="8" t="str">
        <f>'Data cleaning and validation(3)'!K977</f>
        <v>Canada</v>
      </c>
      <c r="L989" s="8" t="str">
        <f>'Data cleaning and validation(3)'!L977</f>
        <v>Domestic</v>
      </c>
      <c r="M989" s="8" t="str">
        <f>'Data cleaning and validation(3)'!M977</f>
        <v>Active</v>
      </c>
      <c r="N989" s="17">
        <f>'Data cleaning and validation(3)'!N977</f>
        <v>1328988</v>
      </c>
      <c r="O989" s="18">
        <f>'Data cleaning and validation(3)'!O977</f>
        <v>11074.900000000001</v>
      </c>
    </row>
    <row r="990" spans="1:15" x14ac:dyDescent="0.35">
      <c r="A990" s="8">
        <f>'Data cleaning and validation(3)'!A978</f>
        <v>977</v>
      </c>
      <c r="B990" s="8" t="str">
        <f>'Data cleaning and validation(3)'!B978</f>
        <v>Collins</v>
      </c>
      <c r="C990" s="8" t="str">
        <f>'Data cleaning and validation(3)'!C978</f>
        <v>acollinsr4@jiathis.com</v>
      </c>
      <c r="D990" s="8" t="str">
        <f>'Data cleaning and validation(3)'!D978</f>
        <v>M</v>
      </c>
      <c r="E990" s="8" t="str">
        <f>'Data cleaning and validation(3)'!E978</f>
        <v>Beauty</v>
      </c>
      <c r="F990" s="15">
        <f>'Data cleaning and validation(3)'!F978</f>
        <v>39016</v>
      </c>
      <c r="G990" s="8">
        <f>'Data cleaning and validation(3)'!G978</f>
        <v>15</v>
      </c>
      <c r="H990" s="19">
        <f>'Data cleaning and validation(3)'!H978</f>
        <v>137911</v>
      </c>
      <c r="I990" s="8" t="str">
        <f>'Data cleaning and validation(3)'!I978</f>
        <v>Accountant IV</v>
      </c>
      <c r="J990" s="8" t="str">
        <f>'Data cleaning and validation(3)'!J978</f>
        <v>Southwest</v>
      </c>
      <c r="K990" s="8" t="str">
        <f>'Data cleaning and validation(3)'!K978</f>
        <v>USA</v>
      </c>
      <c r="L990" s="8" t="str">
        <f>'Data cleaning and validation(3)'!L978</f>
        <v>Domestic</v>
      </c>
      <c r="M990" s="8" t="str">
        <f>'Data cleaning and validation(3)'!M978</f>
        <v>Active</v>
      </c>
      <c r="N990" s="17">
        <f>'Data cleaning and validation(3)'!N978</f>
        <v>1654932</v>
      </c>
      <c r="O990" s="18">
        <f>'Data cleaning and validation(3)'!O978</f>
        <v>13791.1</v>
      </c>
    </row>
    <row r="991" spans="1:15" x14ac:dyDescent="0.35">
      <c r="A991" s="8">
        <f>'Data cleaning and validation(3)'!A979</f>
        <v>978</v>
      </c>
      <c r="B991" s="8" t="str">
        <f>'Data cleaning and validation(3)'!B979</f>
        <v>Hunt</v>
      </c>
      <c r="C991" s="8" t="str">
        <f>'Data cleaning and validation(3)'!C979</f>
        <v>ghuntr5@moonfruit.com</v>
      </c>
      <c r="D991" s="8" t="str">
        <f>'Data cleaning and validation(3)'!D979</f>
        <v>M</v>
      </c>
      <c r="E991" s="8" t="str">
        <f>'Data cleaning and validation(3)'!E979</f>
        <v>Electronics</v>
      </c>
      <c r="F991" s="15">
        <f>'Data cleaning and validation(3)'!F979</f>
        <v>39982</v>
      </c>
      <c r="G991" s="8">
        <f>'Data cleaning and validation(3)'!G979</f>
        <v>12</v>
      </c>
      <c r="H991" s="19">
        <f>'Data cleaning and validation(3)'!H979</f>
        <v>93665</v>
      </c>
      <c r="I991" s="8" t="str">
        <f>'Data cleaning and validation(3)'!I979</f>
        <v>Health Coach I</v>
      </c>
      <c r="J991" s="8" t="str">
        <f>'Data cleaning and validation(3)'!J979</f>
        <v>Northwest</v>
      </c>
      <c r="K991" s="8" t="str">
        <f>'Data cleaning and validation(3)'!K979</f>
        <v>USA</v>
      </c>
      <c r="L991" s="8" t="str">
        <f>'Data cleaning and validation(3)'!L979</f>
        <v>Electronic Equipment</v>
      </c>
      <c r="M991" s="8" t="str">
        <f>'Data cleaning and validation(3)'!M979</f>
        <v>Active</v>
      </c>
      <c r="N991" s="17">
        <f>'Data cleaning and validation(3)'!N979</f>
        <v>1123980</v>
      </c>
      <c r="O991" s="18">
        <f>'Data cleaning and validation(3)'!O979</f>
        <v>9366.5</v>
      </c>
    </row>
    <row r="992" spans="1:15" x14ac:dyDescent="0.35">
      <c r="A992" s="8">
        <f>'Data cleaning and validation(3)'!A980</f>
        <v>979</v>
      </c>
      <c r="B992" s="8" t="str">
        <f>'Data cleaning and validation(3)'!B980</f>
        <v>Medina</v>
      </c>
      <c r="C992" s="8" t="str">
        <f>'Data cleaning and validation(3)'!C980</f>
        <v>bmedinar6@1688.com</v>
      </c>
      <c r="D992" s="8" t="str">
        <f>'Data cleaning and validation(3)'!D980</f>
        <v>M</v>
      </c>
      <c r="E992" s="8" t="str">
        <f>'Data cleaning and validation(3)'!E980</f>
        <v>Baby</v>
      </c>
      <c r="F992" s="15">
        <f>'Data cleaning and validation(3)'!F980</f>
        <v>40178</v>
      </c>
      <c r="G992" s="8">
        <f>'Data cleaning and validation(3)'!G980</f>
        <v>12</v>
      </c>
      <c r="H992" s="19">
        <f>'Data cleaning and validation(3)'!H980</f>
        <v>90068</v>
      </c>
      <c r="I992" s="8" t="str">
        <f>'Data cleaning and validation(3)'!I980</f>
        <v>Quality Control Specialist</v>
      </c>
      <c r="J992" s="8" t="str">
        <f>'Data cleaning and validation(3)'!J980</f>
        <v>Quebec</v>
      </c>
      <c r="K992" s="8" t="str">
        <f>'Data cleaning and validation(3)'!K980</f>
        <v>Canada</v>
      </c>
      <c r="L992" s="8" t="str">
        <f>'Data cleaning and validation(3)'!L980</f>
        <v>Domestic</v>
      </c>
      <c r="M992" s="8" t="str">
        <f>'Data cleaning and validation(3)'!M980</f>
        <v>Active</v>
      </c>
      <c r="N992" s="17">
        <f>'Data cleaning and validation(3)'!N980</f>
        <v>1080816</v>
      </c>
      <c r="O992" s="18">
        <f>'Data cleaning and validation(3)'!O980</f>
        <v>9006.8000000000011</v>
      </c>
    </row>
    <row r="993" spans="1:15" x14ac:dyDescent="0.35">
      <c r="A993" s="8">
        <f>'Data cleaning and validation(3)'!A981</f>
        <v>980</v>
      </c>
      <c r="B993" s="8" t="str">
        <f>'Data cleaning and validation(3)'!B981</f>
        <v>Sanchez</v>
      </c>
      <c r="C993" s="8" t="str">
        <f>'Data cleaning and validation(3)'!C981</f>
        <v>tsanchezr7@lycos.com</v>
      </c>
      <c r="D993" s="8" t="str">
        <f>'Data cleaning and validation(3)'!D981</f>
        <v>F</v>
      </c>
      <c r="E993" s="8" t="str">
        <f>'Data cleaning and validation(3)'!E981</f>
        <v>Home</v>
      </c>
      <c r="F993" s="15">
        <f>'Data cleaning and validation(3)'!F981</f>
        <v>46740</v>
      </c>
      <c r="G993" s="8">
        <f>'Data cleaning and validation(3)'!G981</f>
        <v>7</v>
      </c>
      <c r="H993" s="19">
        <f>'Data cleaning and validation(3)'!H981</f>
        <v>83704</v>
      </c>
      <c r="I993" s="8" t="str">
        <f>'Data cleaning and validation(3)'!I981</f>
        <v>Editor</v>
      </c>
      <c r="J993" s="8" t="str">
        <f>'Data cleaning and validation(3)'!J981</f>
        <v>British Columbia</v>
      </c>
      <c r="K993" s="8" t="str">
        <f>'Data cleaning and validation(3)'!K981</f>
        <v>Canada</v>
      </c>
      <c r="L993" s="8" t="str">
        <f>'Data cleaning and validation(3)'!L981</f>
        <v>Domestic</v>
      </c>
      <c r="M993" s="8" t="str">
        <f>'Data cleaning and validation(3)'!M981</f>
        <v>Active</v>
      </c>
      <c r="N993" s="17">
        <f>'Data cleaning and validation(3)'!N981</f>
        <v>1004448</v>
      </c>
      <c r="O993" s="18">
        <f>'Data cleaning and validation(3)'!O981</f>
        <v>8370.4</v>
      </c>
    </row>
    <row r="994" spans="1:15" x14ac:dyDescent="0.35">
      <c r="A994" s="8">
        <f>'Data cleaning and validation(3)'!A982</f>
        <v>981</v>
      </c>
      <c r="B994" s="8" t="str">
        <f>'Data cleaning and validation(3)'!B982</f>
        <v>Simmons</v>
      </c>
      <c r="C994" s="8" t="str">
        <f>'Data cleaning and validation(3)'!C982</f>
        <v>dsimmonsr8@craigslist.org</v>
      </c>
      <c r="D994" s="8" t="str">
        <f>'Data cleaning and validation(3)'!D982</f>
        <v>M</v>
      </c>
      <c r="E994" s="8" t="str">
        <f>'Data cleaning and validation(3)'!E982</f>
        <v>Beauty</v>
      </c>
      <c r="F994" s="15">
        <f>'Data cleaning and validation(3)'!F982</f>
        <v>40721</v>
      </c>
      <c r="G994" s="8">
        <f>'Data cleaning and validation(3)'!G982</f>
        <v>10</v>
      </c>
      <c r="H994" s="19">
        <f>'Data cleaning and validation(3)'!H982</f>
        <v>116767</v>
      </c>
      <c r="I994" s="8" t="str">
        <f>'Data cleaning and validation(3)'!I982</f>
        <v>Environmental Tech</v>
      </c>
      <c r="J994" s="8" t="str">
        <f>'Data cleaning and validation(3)'!J982</f>
        <v>Northwest</v>
      </c>
      <c r="K994" s="8" t="str">
        <f>'Data cleaning and validation(3)'!K982</f>
        <v>USA</v>
      </c>
      <c r="L994" s="8" t="str">
        <f>'Data cleaning and validation(3)'!L982</f>
        <v>Domestic</v>
      </c>
      <c r="M994" s="8" t="str">
        <f>'Data cleaning and validation(3)'!M982</f>
        <v>Active</v>
      </c>
      <c r="N994" s="17">
        <f>'Data cleaning and validation(3)'!N982</f>
        <v>1401204</v>
      </c>
      <c r="O994" s="18">
        <f>'Data cleaning and validation(3)'!O982</f>
        <v>11676.7</v>
      </c>
    </row>
    <row r="995" spans="1:15" x14ac:dyDescent="0.35">
      <c r="A995" s="8">
        <f>'Data cleaning and validation(3)'!A983</f>
        <v>982</v>
      </c>
      <c r="B995" s="8" t="str">
        <f>'Data cleaning and validation(3)'!B983</f>
        <v>Mendoza</v>
      </c>
      <c r="C995" s="8" t="str">
        <f>'Data cleaning and validation(3)'!C983</f>
        <v>bmendozar9@reference.com</v>
      </c>
      <c r="D995" s="8" t="str">
        <f>'Data cleaning and validation(3)'!D983</f>
        <v>F</v>
      </c>
      <c r="E995" s="8" t="str">
        <f>'Data cleaning and validation(3)'!E983</f>
        <v>Toys</v>
      </c>
      <c r="F995" s="15">
        <f>'Data cleaning and validation(3)'!F983</f>
        <v>36764</v>
      </c>
      <c r="G995" s="8">
        <f>'Data cleaning and validation(3)'!G983</f>
        <v>21</v>
      </c>
      <c r="H995" s="19">
        <f>'Data cleaning and validation(3)'!H983</f>
        <v>54599</v>
      </c>
      <c r="I995" s="8" t="str">
        <f>'Data cleaning and validation(3)'!I983</f>
        <v>Assistant Media Planner</v>
      </c>
      <c r="J995" s="8" t="str">
        <f>'Data cleaning and validation(3)'!J983</f>
        <v>Northwest</v>
      </c>
      <c r="K995" s="8" t="str">
        <f>'Data cleaning and validation(3)'!K983</f>
        <v>USA</v>
      </c>
      <c r="L995" s="8" t="str">
        <f>'Data cleaning and validation(3)'!L983</f>
        <v>Games &amp; Sports</v>
      </c>
      <c r="M995" s="8" t="str">
        <f>'Data cleaning and validation(3)'!M983</f>
        <v>Active</v>
      </c>
      <c r="N995" s="17">
        <f>'Data cleaning and validation(3)'!N983</f>
        <v>655188</v>
      </c>
      <c r="O995" s="18">
        <f>'Data cleaning and validation(3)'!O983</f>
        <v>5459.9000000000005</v>
      </c>
    </row>
    <row r="996" spans="1:15" x14ac:dyDescent="0.35">
      <c r="A996" s="8">
        <f>'Data cleaning and validation(3)'!A984</f>
        <v>983</v>
      </c>
      <c r="B996" s="8" t="str">
        <f>'Data cleaning and validation(3)'!B984</f>
        <v>Lopez</v>
      </c>
      <c r="C996" s="8" t="str">
        <f>'Data cleaning and validation(3)'!C984</f>
        <v>llopezra@blogger.com</v>
      </c>
      <c r="D996" s="8" t="str">
        <f>'Data cleaning and validation(3)'!D984</f>
        <v>F</v>
      </c>
      <c r="E996" s="8" t="str">
        <f>'Data cleaning and validation(3)'!E984</f>
        <v>Sports</v>
      </c>
      <c r="F996" s="15">
        <f>'Data cleaning and validation(3)'!F984</f>
        <v>46435</v>
      </c>
      <c r="G996" s="8">
        <f>'Data cleaning and validation(3)'!G984</f>
        <v>7</v>
      </c>
      <c r="H996" s="19">
        <f>'Data cleaning and validation(3)'!H984</f>
        <v>94685</v>
      </c>
      <c r="I996" s="8" t="str">
        <f>'Data cleaning and validation(3)'!I984</f>
        <v>Research Nurse</v>
      </c>
      <c r="J996" s="8" t="str">
        <f>'Data cleaning and validation(3)'!J984</f>
        <v>Southwest</v>
      </c>
      <c r="K996" s="8" t="str">
        <f>'Data cleaning and validation(3)'!K984</f>
        <v>USA</v>
      </c>
      <c r="L996" s="8" t="str">
        <f>'Data cleaning and validation(3)'!L984</f>
        <v>Games &amp; Sports</v>
      </c>
      <c r="M996" s="8" t="str">
        <f>'Data cleaning and validation(3)'!M984</f>
        <v>Active</v>
      </c>
      <c r="N996" s="17">
        <f>'Data cleaning and validation(3)'!N984</f>
        <v>1136220</v>
      </c>
      <c r="O996" s="18">
        <f>'Data cleaning and validation(3)'!O984</f>
        <v>9468.5</v>
      </c>
    </row>
    <row r="997" spans="1:15" x14ac:dyDescent="0.35">
      <c r="A997" s="8">
        <f>'Data cleaning and validation(3)'!A985</f>
        <v>984</v>
      </c>
      <c r="B997" s="8" t="str">
        <f>'Data cleaning and validation(3)'!B985</f>
        <v>Williams</v>
      </c>
      <c r="C997" s="8" t="str">
        <f>'Data cleaning and validation(3)'!C985</f>
        <v>hwilliamsrb@webnode.com</v>
      </c>
      <c r="D997" s="8" t="str">
        <f>'Data cleaning and validation(3)'!D985</f>
        <v>M</v>
      </c>
      <c r="E997" s="8" t="str">
        <f>'Data cleaning and validation(3)'!E985</f>
        <v>Jewelery</v>
      </c>
      <c r="F997" s="15">
        <f>'Data cleaning and validation(3)'!F985</f>
        <v>38280</v>
      </c>
      <c r="G997" s="8">
        <f>'Data cleaning and validation(3)'!G985</f>
        <v>17</v>
      </c>
      <c r="H997" s="19">
        <f>'Data cleaning and validation(3)'!H985</f>
        <v>91608</v>
      </c>
      <c r="I997" s="8" t="str">
        <f>'Data cleaning and validation(3)'!I985</f>
        <v>Staff Scientist</v>
      </c>
      <c r="J997" s="8" t="str">
        <f>'Data cleaning and validation(3)'!J985</f>
        <v>British Columbia</v>
      </c>
      <c r="K997" s="8" t="str">
        <f>'Data cleaning and validation(3)'!K985</f>
        <v>Canada</v>
      </c>
      <c r="L997" s="8" t="str">
        <f>'Data cleaning and validation(3)'!L985</f>
        <v>Fashion</v>
      </c>
      <c r="M997" s="8" t="str">
        <f>'Data cleaning and validation(3)'!M985</f>
        <v>Active</v>
      </c>
      <c r="N997" s="17">
        <f>'Data cleaning and validation(3)'!N985</f>
        <v>1099296</v>
      </c>
      <c r="O997" s="18">
        <f>'Data cleaning and validation(3)'!O985</f>
        <v>9160.8000000000011</v>
      </c>
    </row>
    <row r="998" spans="1:15" x14ac:dyDescent="0.35">
      <c r="A998" s="8">
        <f>'Data cleaning and validation(3)'!A986</f>
        <v>985</v>
      </c>
      <c r="B998" s="8" t="str">
        <f>'Data cleaning and validation(3)'!B986</f>
        <v>Stevens</v>
      </c>
      <c r="C998" s="8" t="str">
        <f>'Data cleaning and validation(3)'!C986</f>
        <v>hstevensrc@hugedomains.com</v>
      </c>
      <c r="D998" s="8" t="str">
        <f>'Data cleaning and validation(3)'!D986</f>
        <v>M</v>
      </c>
      <c r="E998" s="8" t="str">
        <f>'Data cleaning and validation(3)'!E986</f>
        <v>Electronics</v>
      </c>
      <c r="F998" s="15">
        <f>'Data cleaning and validation(3)'!F986</f>
        <v>38776</v>
      </c>
      <c r="G998" s="8">
        <f>'Data cleaning and validation(3)'!G986</f>
        <v>15</v>
      </c>
      <c r="H998" s="19">
        <f>'Data cleaning and validation(3)'!H986</f>
        <v>118791</v>
      </c>
      <c r="I998" s="8" t="str">
        <f>'Data cleaning and validation(3)'!I986</f>
        <v>Safety Technician IV</v>
      </c>
      <c r="J998" s="8" t="str">
        <f>'Data cleaning and validation(3)'!J986</f>
        <v>Northeast</v>
      </c>
      <c r="K998" s="8" t="str">
        <f>'Data cleaning and validation(3)'!K986</f>
        <v>USA</v>
      </c>
      <c r="L998" s="8" t="str">
        <f>'Data cleaning and validation(3)'!L986</f>
        <v>Electronic Equipment</v>
      </c>
      <c r="M998" s="8" t="str">
        <f>'Data cleaning and validation(3)'!M986</f>
        <v>Active</v>
      </c>
      <c r="N998" s="17">
        <f>'Data cleaning and validation(3)'!N986</f>
        <v>1425492</v>
      </c>
      <c r="O998" s="18">
        <f>'Data cleaning and validation(3)'!O986</f>
        <v>11879.1</v>
      </c>
    </row>
    <row r="999" spans="1:15" x14ac:dyDescent="0.35">
      <c r="A999" s="8">
        <f>'Data cleaning and validation(3)'!A987</f>
        <v>986</v>
      </c>
      <c r="B999" s="8" t="str">
        <f>'Data cleaning and validation(3)'!B987</f>
        <v>Ryan</v>
      </c>
      <c r="C999" s="8" t="str">
        <f>'Data cleaning and validation(3)'!C987</f>
        <v>hryanrd@networkadvertising.org</v>
      </c>
      <c r="D999" s="8" t="str">
        <f>'Data cleaning and validation(3)'!D987</f>
        <v>M</v>
      </c>
      <c r="E999" s="8" t="str">
        <f>'Data cleaning and validation(3)'!E987</f>
        <v>Beauty</v>
      </c>
      <c r="F999" s="15">
        <f>'Data cleaning and validation(3)'!F987</f>
        <v>37587</v>
      </c>
      <c r="G999" s="8">
        <f>'Data cleaning and validation(3)'!G987</f>
        <v>19</v>
      </c>
      <c r="H999" s="19">
        <f>'Data cleaning and validation(3)'!H987</f>
        <v>115888</v>
      </c>
      <c r="I999" s="8" t="str">
        <f>'Data cleaning and validation(3)'!I987</f>
        <v>Librarian</v>
      </c>
      <c r="J999" s="8" t="str">
        <f>'Data cleaning and validation(3)'!J987</f>
        <v>Quebec</v>
      </c>
      <c r="K999" s="8" t="str">
        <f>'Data cleaning and validation(3)'!K987</f>
        <v>Canada</v>
      </c>
      <c r="L999" s="8" t="str">
        <f>'Data cleaning and validation(3)'!L987</f>
        <v>Domestic</v>
      </c>
      <c r="M999" s="8" t="str">
        <f>'Data cleaning and validation(3)'!M987</f>
        <v>Active</v>
      </c>
      <c r="N999" s="17">
        <f>'Data cleaning and validation(3)'!N987</f>
        <v>1390656</v>
      </c>
      <c r="O999" s="18">
        <f>'Data cleaning and validation(3)'!O987</f>
        <v>11588.800000000001</v>
      </c>
    </row>
    <row r="1000" spans="1:15" x14ac:dyDescent="0.35">
      <c r="A1000" s="8">
        <f>'Data cleaning and validation(3)'!A988</f>
        <v>987</v>
      </c>
      <c r="B1000" s="8" t="str">
        <f>'Data cleaning and validation(3)'!B988</f>
        <v>Lawrence</v>
      </c>
      <c r="C1000" s="8" t="str">
        <f>'Data cleaning and validation(3)'!C988</f>
        <v>slawrencere@cdbaby.com</v>
      </c>
      <c r="D1000" s="8" t="str">
        <f>'Data cleaning and validation(3)'!D988</f>
        <v>F</v>
      </c>
      <c r="E1000" s="8" t="str">
        <f>'Data cleaning and validation(3)'!E988</f>
        <v>Tools</v>
      </c>
      <c r="F1000" s="15">
        <f>'Data cleaning and validation(3)'!F988</f>
        <v>36877</v>
      </c>
      <c r="G1000" s="8">
        <f>'Data cleaning and validation(3)'!G988</f>
        <v>21</v>
      </c>
      <c r="H1000" s="19">
        <f>'Data cleaning and validation(3)'!H988</f>
        <v>60743</v>
      </c>
      <c r="I1000" s="8" t="str">
        <f>'Data cleaning and validation(3)'!I988</f>
        <v>Civil Engineer</v>
      </c>
      <c r="J1000" s="8" t="str">
        <f>'Data cleaning and validation(3)'!J988</f>
        <v>British Columbia</v>
      </c>
      <c r="K1000" s="8" t="str">
        <f>'Data cleaning and validation(3)'!K988</f>
        <v>Canada</v>
      </c>
      <c r="L1000" s="8" t="str">
        <f>'Data cleaning and validation(3)'!L988</f>
        <v>Auto &amp; Hardware</v>
      </c>
      <c r="M1000" s="8" t="str">
        <f>'Data cleaning and validation(3)'!M988</f>
        <v>Active</v>
      </c>
      <c r="N1000" s="17">
        <f>'Data cleaning and validation(3)'!N988</f>
        <v>728916</v>
      </c>
      <c r="O1000" s="18">
        <f>'Data cleaning and validation(3)'!O988</f>
        <v>6074.3</v>
      </c>
    </row>
    <row r="1001" spans="1:15" x14ac:dyDescent="0.35">
      <c r="A1001" s="8">
        <f>'Data cleaning and validation(3)'!A989</f>
        <v>988</v>
      </c>
      <c r="B1001" s="8" t="str">
        <f>'Data cleaning and validation(3)'!B989</f>
        <v>Cole</v>
      </c>
      <c r="C1001" s="8" t="str">
        <f>'Data cleaning and validation(3)'!C989</f>
        <v>ecolerf@scientificamerican.com</v>
      </c>
      <c r="D1001" s="8" t="str">
        <f>'Data cleaning and validation(3)'!D989</f>
        <v>F</v>
      </c>
      <c r="E1001" s="8" t="str">
        <f>'Data cleaning and validation(3)'!E989</f>
        <v>Beauty</v>
      </c>
      <c r="F1001" s="15">
        <f>'Data cleaning and validation(3)'!F989</f>
        <v>38459</v>
      </c>
      <c r="G1001" s="8">
        <f>'Data cleaning and validation(3)'!G989</f>
        <v>16</v>
      </c>
      <c r="H1001" s="19">
        <f>'Data cleaning and validation(3)'!H989</f>
        <v>117962</v>
      </c>
      <c r="I1001" s="8" t="str">
        <f>'Data cleaning and validation(3)'!I989</f>
        <v>Accountant III</v>
      </c>
      <c r="J1001" s="8" t="str">
        <f>'Data cleaning and validation(3)'!J989</f>
        <v>Nova Scotia</v>
      </c>
      <c r="K1001" s="8" t="str">
        <f>'Data cleaning and validation(3)'!K989</f>
        <v>Canada</v>
      </c>
      <c r="L1001" s="8" t="str">
        <f>'Data cleaning and validation(3)'!L989</f>
        <v>Domestic</v>
      </c>
      <c r="M1001" s="8" t="str">
        <f>'Data cleaning and validation(3)'!M989</f>
        <v>Active</v>
      </c>
      <c r="N1001" s="17">
        <f>'Data cleaning and validation(3)'!N989</f>
        <v>1415544</v>
      </c>
      <c r="O1001" s="18">
        <f>'Data cleaning and validation(3)'!O989</f>
        <v>11796.2</v>
      </c>
    </row>
    <row r="1002" spans="1:15" x14ac:dyDescent="0.35">
      <c r="A1002" s="8">
        <f>'Data cleaning and validation(3)'!A990</f>
        <v>989</v>
      </c>
      <c r="B1002" s="8" t="str">
        <f>'Data cleaning and validation(3)'!B990</f>
        <v>Fields</v>
      </c>
      <c r="C1002" s="8" t="str">
        <f>'Data cleaning and validation(3)'!C990</f>
        <v>dfieldsrg@examiner.com</v>
      </c>
      <c r="D1002" s="8" t="str">
        <f>'Data cleaning and validation(3)'!D990</f>
        <v>F</v>
      </c>
      <c r="E1002" s="8" t="str">
        <f>'Data cleaning and validation(3)'!E990</f>
        <v>Music</v>
      </c>
      <c r="F1002" s="15">
        <f>'Data cleaning and validation(3)'!F990</f>
        <v>38053</v>
      </c>
      <c r="G1002" s="8">
        <f>'Data cleaning and validation(3)'!G990</f>
        <v>17</v>
      </c>
      <c r="H1002" s="19">
        <f>'Data cleaning and validation(3)'!H990</f>
        <v>67817</v>
      </c>
      <c r="I1002" s="8" t="str">
        <f>'Data cleaning and validation(3)'!I990</f>
        <v>Registered Nurse</v>
      </c>
      <c r="J1002" s="8" t="str">
        <f>'Data cleaning and validation(3)'!J990</f>
        <v>Nova Scotia</v>
      </c>
      <c r="K1002" s="8" t="str">
        <f>'Data cleaning and validation(3)'!K990</f>
        <v>Canada</v>
      </c>
      <c r="L1002" s="8" t="str">
        <f>'Data cleaning and validation(3)'!L990</f>
        <v>Entertainment</v>
      </c>
      <c r="M1002" s="8" t="str">
        <f>'Data cleaning and validation(3)'!M990</f>
        <v>Active</v>
      </c>
      <c r="N1002" s="17">
        <f>'Data cleaning and validation(3)'!N990</f>
        <v>813804</v>
      </c>
      <c r="O1002" s="18">
        <f>'Data cleaning and validation(3)'!O990</f>
        <v>6781.7000000000007</v>
      </c>
    </row>
    <row r="1003" spans="1:15" x14ac:dyDescent="0.35">
      <c r="A1003" s="8">
        <f>'Data cleaning and validation(3)'!A991</f>
        <v>990</v>
      </c>
      <c r="B1003" s="8" t="str">
        <f>'Data cleaning and validation(3)'!B991</f>
        <v>Thomas</v>
      </c>
      <c r="C1003" s="8" t="str">
        <f>'Data cleaning and validation(3)'!C991</f>
        <v>lthomasrh@elegantthemes.com</v>
      </c>
      <c r="D1003" s="8" t="str">
        <f>'Data cleaning and validation(3)'!D991</f>
        <v>M</v>
      </c>
      <c r="E1003" s="8" t="str">
        <f>'Data cleaning and validation(3)'!E991</f>
        <v>Kids</v>
      </c>
      <c r="F1003" s="15">
        <f>'Data cleaning and validation(3)'!F991</f>
        <v>37839</v>
      </c>
      <c r="G1003" s="8">
        <f>'Data cleaning and validation(3)'!G991</f>
        <v>18</v>
      </c>
      <c r="H1003" s="19">
        <f>'Data cleaning and validation(3)'!H991</f>
        <v>76229</v>
      </c>
      <c r="I1003" s="8" t="str">
        <f>'Data cleaning and validation(3)'!I991</f>
        <v>Business Systems Development Analyst</v>
      </c>
      <c r="J1003" s="8" t="str">
        <f>'Data cleaning and validation(3)'!J991</f>
        <v>Southwest</v>
      </c>
      <c r="K1003" s="8" t="str">
        <f>'Data cleaning and validation(3)'!K991</f>
        <v>USA</v>
      </c>
      <c r="L1003" s="8" t="str">
        <f>'Data cleaning and validation(3)'!L991</f>
        <v>Domestic</v>
      </c>
      <c r="M1003" s="8" t="str">
        <f>'Data cleaning and validation(3)'!M991</f>
        <v>Active</v>
      </c>
      <c r="N1003" s="17">
        <f>'Data cleaning and validation(3)'!N991</f>
        <v>914748</v>
      </c>
      <c r="O1003" s="18">
        <f>'Data cleaning and validation(3)'!O991</f>
        <v>7622.9000000000005</v>
      </c>
    </row>
    <row r="1004" spans="1:15" x14ac:dyDescent="0.35">
      <c r="A1004" s="8">
        <f>'Data cleaning and validation(3)'!A992</f>
        <v>991</v>
      </c>
      <c r="B1004" s="8" t="str">
        <f>'Data cleaning and validation(3)'!B992</f>
        <v>Turner</v>
      </c>
      <c r="C1004" s="8" t="str">
        <f>'Data cleaning and validation(3)'!C992</f>
        <v>rturnerri@a8.net</v>
      </c>
      <c r="D1004" s="8" t="str">
        <f>'Data cleaning and validation(3)'!D992</f>
        <v>F</v>
      </c>
      <c r="E1004" s="8" t="str">
        <f>'Data cleaning and validation(3)'!E992</f>
        <v>Electronics</v>
      </c>
      <c r="F1004" s="15">
        <f>'Data cleaning and validation(3)'!F992</f>
        <v>44908</v>
      </c>
      <c r="G1004" s="8">
        <f>'Data cleaning and validation(3)'!G992</f>
        <v>12</v>
      </c>
      <c r="H1004" s="19">
        <f>'Data cleaning and validation(3)'!H992</f>
        <v>62286</v>
      </c>
      <c r="I1004" s="8" t="str">
        <f>'Data cleaning and validation(3)'!I992</f>
        <v>Senior Sales Associate</v>
      </c>
      <c r="J1004" s="8" t="str">
        <f>'Data cleaning and validation(3)'!J992</f>
        <v>Southeast</v>
      </c>
      <c r="K1004" s="8" t="str">
        <f>'Data cleaning and validation(3)'!K992</f>
        <v>USA</v>
      </c>
      <c r="L1004" s="8" t="str">
        <f>'Data cleaning and validation(3)'!L992</f>
        <v>Electronic Equipment</v>
      </c>
      <c r="M1004" s="8" t="str">
        <f>'Data cleaning and validation(3)'!M992</f>
        <v>Active</v>
      </c>
      <c r="N1004" s="17">
        <f>'Data cleaning and validation(3)'!N992</f>
        <v>747432</v>
      </c>
      <c r="O1004" s="18">
        <f>'Data cleaning and validation(3)'!O992</f>
        <v>6228.6</v>
      </c>
    </row>
    <row r="1005" spans="1:15" x14ac:dyDescent="0.35">
      <c r="A1005" s="8">
        <f>'Data cleaning and validation(3)'!A993</f>
        <v>992</v>
      </c>
      <c r="B1005" s="8" t="str">
        <f>'Data cleaning and validation(3)'!B993</f>
        <v>Edwards</v>
      </c>
      <c r="C1005" s="8" t="str">
        <f>'Data cleaning and validation(3)'!C993</f>
        <v>nedwardsrj@wikimedia.org</v>
      </c>
      <c r="D1005" s="8" t="str">
        <f>'Data cleaning and validation(3)'!D993</f>
        <v>M</v>
      </c>
      <c r="E1005" s="8" t="str">
        <f>'Data cleaning and validation(3)'!E993</f>
        <v>Outdoors</v>
      </c>
      <c r="F1005" s="15">
        <f>'Data cleaning and validation(3)'!F993</f>
        <v>39020</v>
      </c>
      <c r="G1005" s="8">
        <f>'Data cleaning and validation(3)'!G993</f>
        <v>15</v>
      </c>
      <c r="H1005" s="19">
        <f>'Data cleaning and validation(3)'!H993</f>
        <v>121713</v>
      </c>
      <c r="I1005" s="8" t="str">
        <f>'Data cleaning and validation(3)'!I993</f>
        <v>Director of Sales</v>
      </c>
      <c r="J1005" s="8" t="str">
        <f>'Data cleaning and validation(3)'!J993</f>
        <v>British Columbia</v>
      </c>
      <c r="K1005" s="8" t="str">
        <f>'Data cleaning and validation(3)'!K993</f>
        <v>Canada</v>
      </c>
      <c r="L1005" s="8" t="str">
        <f>'Data cleaning and validation(3)'!L993</f>
        <v>Outdoors &amp; Garden</v>
      </c>
      <c r="M1005" s="8" t="str">
        <f>'Data cleaning and validation(3)'!M993</f>
        <v>Active</v>
      </c>
      <c r="N1005" s="17">
        <f>'Data cleaning and validation(3)'!N993</f>
        <v>1460556</v>
      </c>
      <c r="O1005" s="18">
        <f>'Data cleaning and validation(3)'!O993</f>
        <v>12171.300000000001</v>
      </c>
    </row>
    <row r="1006" spans="1:15" x14ac:dyDescent="0.35">
      <c r="A1006" s="8">
        <f>'Data cleaning and validation(3)'!A994</f>
        <v>993</v>
      </c>
      <c r="B1006" s="8" t="str">
        <f>'Data cleaning and validation(3)'!B994</f>
        <v>Anderson</v>
      </c>
      <c r="C1006" s="8" t="str">
        <f>'Data cleaning and validation(3)'!C994</f>
        <v>sandersonrk@businesswire.com</v>
      </c>
      <c r="D1006" s="8" t="str">
        <f>'Data cleaning and validation(3)'!D994</f>
        <v>F</v>
      </c>
      <c r="E1006" s="8" t="str">
        <f>'Data cleaning and validation(3)'!E994</f>
        <v>Books</v>
      </c>
      <c r="F1006" s="15">
        <f>'Data cleaning and validation(3)'!F994</f>
        <v>44627</v>
      </c>
      <c r="G1006" s="8">
        <f>'Data cleaning and validation(3)'!G994</f>
        <v>12</v>
      </c>
      <c r="H1006" s="19">
        <f>'Data cleaning and validation(3)'!H994</f>
        <v>139486</v>
      </c>
      <c r="I1006" s="8" t="str">
        <f>'Data cleaning and validation(3)'!I994</f>
        <v>Product Engineer</v>
      </c>
      <c r="J1006" s="8" t="str">
        <f>'Data cleaning and validation(3)'!J994</f>
        <v>Nova Scotia</v>
      </c>
      <c r="K1006" s="8" t="str">
        <f>'Data cleaning and validation(3)'!K994</f>
        <v>Canada</v>
      </c>
      <c r="L1006" s="8" t="str">
        <f>'Data cleaning and validation(3)'!L994</f>
        <v>Library</v>
      </c>
      <c r="M1006" s="8" t="str">
        <f>'Data cleaning and validation(3)'!M994</f>
        <v>Active</v>
      </c>
      <c r="N1006" s="17">
        <f>'Data cleaning and validation(3)'!N994</f>
        <v>1673832</v>
      </c>
      <c r="O1006" s="18">
        <f>'Data cleaning and validation(3)'!O994</f>
        <v>13948.6</v>
      </c>
    </row>
    <row r="1007" spans="1:15" x14ac:dyDescent="0.35">
      <c r="A1007" s="8">
        <f>'Data cleaning and validation(3)'!A995</f>
        <v>994</v>
      </c>
      <c r="B1007" s="8" t="str">
        <f>'Data cleaning and validation(3)'!B995</f>
        <v>Hamilton</v>
      </c>
      <c r="C1007" s="8" t="str">
        <f>'Data cleaning and validation(3)'!C995</f>
        <v>rhamiltonrl@skype.com</v>
      </c>
      <c r="D1007" s="8" t="str">
        <f>'Data cleaning and validation(3)'!D995</f>
        <v>F</v>
      </c>
      <c r="E1007" s="8" t="str">
        <f>'Data cleaning and validation(3)'!E995</f>
        <v>Health</v>
      </c>
      <c r="F1007" s="15">
        <f>'Data cleaning and validation(3)'!F995</f>
        <v>37558</v>
      </c>
      <c r="G1007" s="8">
        <f>'Data cleaning and validation(3)'!G995</f>
        <v>19</v>
      </c>
      <c r="H1007" s="19">
        <f>'Data cleaning and validation(3)'!H995</f>
        <v>141375</v>
      </c>
      <c r="I1007" s="8" t="str">
        <f>'Data cleaning and validation(3)'!I995</f>
        <v>Desktop Support Technician</v>
      </c>
      <c r="J1007" s="8" t="str">
        <f>'Data cleaning and validation(3)'!J995</f>
        <v>Nova Scotia</v>
      </c>
      <c r="K1007" s="8" t="str">
        <f>'Data cleaning and validation(3)'!K995</f>
        <v>Canada</v>
      </c>
      <c r="L1007" s="8" t="str">
        <f>'Data cleaning and validation(3)'!L995</f>
        <v>Domestic</v>
      </c>
      <c r="M1007" s="8" t="str">
        <f>'Data cleaning and validation(3)'!M995</f>
        <v>Active</v>
      </c>
      <c r="N1007" s="17">
        <f>'Data cleaning and validation(3)'!N995</f>
        <v>1696500</v>
      </c>
      <c r="O1007" s="18">
        <f>'Data cleaning and validation(3)'!O995</f>
        <v>14137.5</v>
      </c>
    </row>
    <row r="1008" spans="1:15" x14ac:dyDescent="0.35">
      <c r="A1008" s="8">
        <f>'Data cleaning and validation(3)'!A996</f>
        <v>995</v>
      </c>
      <c r="B1008" s="8" t="str">
        <f>'Data cleaning and validation(3)'!B996</f>
        <v>Wood</v>
      </c>
      <c r="C1008" s="8" t="str">
        <f>'Data cleaning and validation(3)'!C996</f>
        <v>kwoodrm@indiegogo.com</v>
      </c>
      <c r="D1008" s="8" t="str">
        <f>'Data cleaning and validation(3)'!D996</f>
        <v>F</v>
      </c>
      <c r="E1008" s="8" t="str">
        <f>'Data cleaning and validation(3)'!E996</f>
        <v>Jewelery</v>
      </c>
      <c r="F1008" s="15">
        <f>'Data cleaning and validation(3)'!F996</f>
        <v>45021</v>
      </c>
      <c r="G1008" s="8">
        <f>'Data cleaning and validation(3)'!G996</f>
        <v>11</v>
      </c>
      <c r="H1008" s="19">
        <f>'Data cleaning and validation(3)'!H996</f>
        <v>83404</v>
      </c>
      <c r="I1008" s="8" t="str">
        <f>'Data cleaning and validation(3)'!I996</f>
        <v>Pharmacist</v>
      </c>
      <c r="J1008" s="8" t="str">
        <f>'Data cleaning and validation(3)'!J996</f>
        <v>Southeast</v>
      </c>
      <c r="K1008" s="8" t="str">
        <f>'Data cleaning and validation(3)'!K996</f>
        <v>USA</v>
      </c>
      <c r="L1008" s="8" t="str">
        <f>'Data cleaning and validation(3)'!L996</f>
        <v>Fashion</v>
      </c>
      <c r="M1008" s="8" t="str">
        <f>'Data cleaning and validation(3)'!M996</f>
        <v>Active</v>
      </c>
      <c r="N1008" s="17">
        <f>'Data cleaning and validation(3)'!N996</f>
        <v>1000848</v>
      </c>
      <c r="O1008" s="18">
        <f>'Data cleaning and validation(3)'!O996</f>
        <v>8340.4</v>
      </c>
    </row>
    <row r="1009" spans="1:15" x14ac:dyDescent="0.35">
      <c r="A1009" s="8">
        <f>'Data cleaning and validation(3)'!A997</f>
        <v>996</v>
      </c>
      <c r="B1009" s="8" t="str">
        <f>'Data cleaning and validation(3)'!B997</f>
        <v>James</v>
      </c>
      <c r="C1009" s="8" t="str">
        <f>'Data cleaning and validation(3)'!C997</f>
        <v>tjamesrn@soundcloud.com</v>
      </c>
      <c r="D1009" s="8" t="str">
        <f>'Data cleaning and validation(3)'!D997</f>
        <v>F</v>
      </c>
      <c r="E1009" s="8" t="str">
        <f>'Data cleaning and validation(3)'!E997</f>
        <v>Games</v>
      </c>
      <c r="F1009" s="15">
        <f>'Data cleaning and validation(3)'!F997</f>
        <v>46343</v>
      </c>
      <c r="G1009" s="8">
        <f>'Data cleaning and validation(3)'!G997</f>
        <v>8</v>
      </c>
      <c r="H1009" s="19">
        <f>'Data cleaning and validation(3)'!H997</f>
        <v>78433</v>
      </c>
      <c r="I1009" s="8" t="str">
        <f>'Data cleaning and validation(3)'!I997</f>
        <v>Accountant II</v>
      </c>
      <c r="J1009" s="8" t="str">
        <f>'Data cleaning and validation(3)'!J997</f>
        <v>Nova Scotia</v>
      </c>
      <c r="K1009" s="8" t="str">
        <f>'Data cleaning and validation(3)'!K997</f>
        <v>Canada</v>
      </c>
      <c r="L1009" s="8" t="str">
        <f>'Data cleaning and validation(3)'!L997</f>
        <v>Domestic</v>
      </c>
      <c r="M1009" s="8" t="str">
        <f>'Data cleaning and validation(3)'!M997</f>
        <v>Active</v>
      </c>
      <c r="N1009" s="17">
        <f>'Data cleaning and validation(3)'!N997</f>
        <v>941196</v>
      </c>
      <c r="O1009" s="18">
        <f>'Data cleaning and validation(3)'!O997</f>
        <v>7843.3</v>
      </c>
    </row>
    <row r="1010" spans="1:15" x14ac:dyDescent="0.35">
      <c r="A1010" s="8">
        <f>'Data cleaning and validation(3)'!A998</f>
        <v>997</v>
      </c>
      <c r="B1010" s="8" t="str">
        <f>'Data cleaning and validation(3)'!B998</f>
        <v>Reynolds</v>
      </c>
      <c r="C1010" s="8" t="str">
        <f>'Data cleaning and validation(3)'!C998</f>
        <v>dreynoldsro@blogtalkradio.com</v>
      </c>
      <c r="D1010" s="8" t="str">
        <f>'Data cleaning and validation(3)'!D998</f>
        <v>F</v>
      </c>
      <c r="E1010" s="8" t="str">
        <f>'Data cleaning and validation(3)'!E998</f>
        <v>Computers</v>
      </c>
      <c r="F1010" s="15">
        <f>'Data cleaning and validation(3)'!F998</f>
        <v>43937</v>
      </c>
      <c r="G1010" s="8">
        <f>'Data cleaning and validation(3)'!G998</f>
        <v>14</v>
      </c>
      <c r="H1010" s="19">
        <f>'Data cleaning and validation(3)'!H998</f>
        <v>120138</v>
      </c>
      <c r="I1010" s="8" t="str">
        <f>'Data cleaning and validation(3)'!I998</f>
        <v>Statistician IV</v>
      </c>
      <c r="J1010" s="8" t="str">
        <f>'Data cleaning and validation(3)'!J998</f>
        <v>Northeast</v>
      </c>
      <c r="K1010" s="8" t="str">
        <f>'Data cleaning and validation(3)'!K998</f>
        <v>USA</v>
      </c>
      <c r="L1010" s="8" t="str">
        <f>'Data cleaning and validation(3)'!L998</f>
        <v>Electronic Equipment</v>
      </c>
      <c r="M1010" s="8" t="str">
        <f>'Data cleaning and validation(3)'!M998</f>
        <v>Active</v>
      </c>
      <c r="N1010" s="17">
        <f>'Data cleaning and validation(3)'!N998</f>
        <v>1441656</v>
      </c>
      <c r="O1010" s="18">
        <f>'Data cleaning and validation(3)'!O998</f>
        <v>12013.800000000001</v>
      </c>
    </row>
    <row r="1011" spans="1:15" x14ac:dyDescent="0.35">
      <c r="A1011" s="8">
        <f>'Data cleaning and validation(3)'!A999</f>
        <v>998</v>
      </c>
      <c r="B1011" s="8" t="str">
        <f>'Data cleaning and validation(3)'!B999</f>
        <v>Walker</v>
      </c>
      <c r="C1011" s="8" t="str">
        <f>'Data cleaning and validation(3)'!C999</f>
        <v>kwalkerrp@unicef.org</v>
      </c>
      <c r="D1011" s="8" t="str">
        <f>'Data cleaning and validation(3)'!D999</f>
        <v>F</v>
      </c>
      <c r="E1011" s="8" t="str">
        <f>'Data cleaning and validation(3)'!E999</f>
        <v>Games</v>
      </c>
      <c r="F1011" s="15">
        <f>'Data cleaning and validation(3)'!F999</f>
        <v>44970</v>
      </c>
      <c r="G1011" s="8">
        <f>'Data cleaning and validation(3)'!G999</f>
        <v>11</v>
      </c>
      <c r="H1011" s="19">
        <f>'Data cleaning and validation(3)'!H999</f>
        <v>60363</v>
      </c>
      <c r="I1011" s="8" t="str">
        <f>'Data cleaning and validation(3)'!I999</f>
        <v>Account Coordinator</v>
      </c>
      <c r="J1011" s="8" t="str">
        <f>'Data cleaning and validation(3)'!J999</f>
        <v>Northeast</v>
      </c>
      <c r="K1011" s="8" t="str">
        <f>'Data cleaning and validation(3)'!K999</f>
        <v>USA</v>
      </c>
      <c r="L1011" s="8" t="str">
        <f>'Data cleaning and validation(3)'!L999</f>
        <v>Domestic</v>
      </c>
      <c r="M1011" s="8" t="str">
        <f>'Data cleaning and validation(3)'!M999</f>
        <v>Active</v>
      </c>
      <c r="N1011" s="17">
        <f>'Data cleaning and validation(3)'!N999</f>
        <v>724356</v>
      </c>
      <c r="O1011" s="18">
        <f>'Data cleaning and validation(3)'!O999</f>
        <v>6036.3</v>
      </c>
    </row>
    <row r="1012" spans="1:15" x14ac:dyDescent="0.35">
      <c r="A1012" s="8">
        <f>'Data cleaning and validation(3)'!A1000</f>
        <v>999</v>
      </c>
      <c r="B1012" s="8" t="str">
        <f>'Data cleaning and validation(3)'!B1000</f>
        <v>Kennedy</v>
      </c>
      <c r="C1012" s="8" t="str">
        <f>'Data cleaning and validation(3)'!C1000</f>
        <v>lkennedyrq@edublogs.org</v>
      </c>
      <c r="D1012" s="8" t="str">
        <f>'Data cleaning and validation(3)'!D1000</f>
        <v>M</v>
      </c>
      <c r="E1012" s="8" t="str">
        <f>'Data cleaning and validation(3)'!E1000</f>
        <v>Industrial</v>
      </c>
      <c r="F1012" s="15">
        <f>'Data cleaning and validation(3)'!F1000</f>
        <v>38252</v>
      </c>
      <c r="G1012" s="8">
        <f>'Data cleaning and validation(3)'!G1000</f>
        <v>17</v>
      </c>
      <c r="H1012" s="19">
        <f>'Data cleaning and validation(3)'!H1000</f>
        <v>48050</v>
      </c>
      <c r="I1012" s="8" t="str">
        <f>'Data cleaning and validation(3)'!I1000</f>
        <v>Graphic Designer</v>
      </c>
      <c r="J1012" s="8" t="str">
        <f>'Data cleaning and validation(3)'!J1000</f>
        <v>Southeast</v>
      </c>
      <c r="K1012" s="8" t="str">
        <f>'Data cleaning and validation(3)'!K1000</f>
        <v>USA</v>
      </c>
      <c r="L1012" s="8" t="str">
        <f>'Data cleaning and validation(3)'!L1000</f>
        <v>Auto &amp; Hardware</v>
      </c>
      <c r="M1012" s="8" t="str">
        <f>'Data cleaning and validation(3)'!M1000</f>
        <v>Active</v>
      </c>
      <c r="N1012" s="17">
        <f>'Data cleaning and validation(3)'!N1000</f>
        <v>576600</v>
      </c>
      <c r="O1012" s="18">
        <f>'Data cleaning and validation(3)'!O1000</f>
        <v>4805</v>
      </c>
    </row>
    <row r="1013" spans="1:15" x14ac:dyDescent="0.35">
      <c r="A1013" s="8">
        <f>'Data cleaning and validation(3)'!A1001</f>
        <v>1000</v>
      </c>
      <c r="B1013" s="8" t="str">
        <f>'Data cleaning and validation(3)'!B1001</f>
        <v>Howard</v>
      </c>
      <c r="C1013" s="8" t="str">
        <f>'Data cleaning and validation(3)'!C1001</f>
        <v>showardrr@addtoany.com</v>
      </c>
      <c r="D1013" s="8" t="str">
        <f>'Data cleaning and validation(3)'!D1001</f>
        <v>M</v>
      </c>
      <c r="E1013" s="8" t="str">
        <f>'Data cleaning and validation(3)'!E1001</f>
        <v>Baby</v>
      </c>
      <c r="F1013" s="15">
        <f>'Data cleaning and validation(3)'!F1001</f>
        <v>37932</v>
      </c>
      <c r="G1013" s="8">
        <f>'Data cleaning and validation(3)'!G1001</f>
        <v>18</v>
      </c>
      <c r="H1013" s="19">
        <f>'Data cleaning and validation(3)'!H1001</f>
        <v>148687</v>
      </c>
      <c r="I1013" s="8" t="str">
        <f>'Data cleaning and validation(3)'!I1001</f>
        <v>General Manager</v>
      </c>
      <c r="J1013" s="8" t="str">
        <f>'Data cleaning and validation(3)'!J1001</f>
        <v>Northwest</v>
      </c>
      <c r="K1013" s="8" t="str">
        <f>'Data cleaning and validation(3)'!K1001</f>
        <v>USA</v>
      </c>
      <c r="L1013" s="8" t="str">
        <f>'Data cleaning and validation(3)'!L1001</f>
        <v>Domestic</v>
      </c>
      <c r="M1013" s="8" t="str">
        <f>'Data cleaning and validation(3)'!M1001</f>
        <v>Active</v>
      </c>
      <c r="N1013" s="17">
        <f>'Data cleaning and validation(3)'!N1001</f>
        <v>1784244</v>
      </c>
      <c r="O1013" s="18">
        <f>'Data cleaning and validation(3)'!O1001</f>
        <v>14868.7</v>
      </c>
    </row>
    <row r="1014" spans="1:15" x14ac:dyDescent="0.35">
      <c r="A1014" s="8" t="s">
        <v>1482</v>
      </c>
      <c r="B1014" s="8">
        <f>SUBTOTAL(103,Analysistable[Last Name])</f>
        <v>1000</v>
      </c>
      <c r="C1014" s="8"/>
      <c r="D1014" s="8"/>
      <c r="E1014" s="8"/>
      <c r="F1014" s="8"/>
      <c r="G1014" s="8"/>
      <c r="H1014" s="8"/>
      <c r="I1014" s="8"/>
      <c r="J1014" s="8"/>
      <c r="K1014" s="8"/>
      <c r="L1014" s="8"/>
      <c r="M1014" s="8"/>
      <c r="N1014" s="8"/>
      <c r="O1014" s="18">
        <f>SUBTOTAL(109,Analysistable[BONUS])</f>
        <v>9733122.2999999952</v>
      </c>
    </row>
  </sheetData>
  <mergeCells count="1">
    <mergeCell ref="D9:E9"/>
  </mergeCells>
  <phoneticPr fontId="6"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Wrong Entry" error="Please choose from options only." promptTitle="Given choice" prompt="Select only from status options" xr:uid="{7BB7E514-128A-44B9-880A-D5E7C9B267B9}">
          <x14:formula1>
            <xm:f>'Reference sheet '!$A$14:$A$16</xm:f>
          </x14:formula1>
          <xm:sqref>M14:M1013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D50C-F1F7-4DFD-9815-4373B7F478C3}">
  <dimension ref="A3:I31"/>
  <sheetViews>
    <sheetView tabSelected="1" workbookViewId="0">
      <selection activeCell="I17" sqref="I17"/>
    </sheetView>
  </sheetViews>
  <sheetFormatPr defaultRowHeight="14.4" x14ac:dyDescent="0.3"/>
  <cols>
    <col min="1" max="1" width="13.5546875" bestFit="1" customWidth="1"/>
    <col min="2" max="2" width="11.44140625" bestFit="1" customWidth="1"/>
    <col min="3" max="4" width="16.77734375" bestFit="1" customWidth="1"/>
    <col min="5" max="5" width="13.5546875" bestFit="1" customWidth="1"/>
    <col min="6" max="6" width="11.44140625" bestFit="1" customWidth="1"/>
    <col min="7" max="92" width="16.77734375" bestFit="1" customWidth="1"/>
    <col min="93" max="93" width="23" bestFit="1" customWidth="1"/>
    <col min="94" max="94" width="25.21875" bestFit="1" customWidth="1"/>
    <col min="95" max="184" width="13.77734375" bestFit="1" customWidth="1"/>
    <col min="185" max="185" width="16.6640625" bestFit="1" customWidth="1"/>
    <col min="186" max="186" width="19" bestFit="1" customWidth="1"/>
    <col min="187" max="292" width="13.77734375" bestFit="1" customWidth="1"/>
    <col min="293" max="293" width="18.77734375" bestFit="1" customWidth="1"/>
    <col min="294" max="294" width="21" bestFit="1" customWidth="1"/>
    <col min="295" max="388" width="13.77734375" bestFit="1" customWidth="1"/>
    <col min="389" max="389" width="17.6640625" bestFit="1" customWidth="1"/>
    <col min="390" max="390" width="19.88671875" bestFit="1" customWidth="1"/>
    <col min="391" max="496" width="13.77734375" bestFit="1" customWidth="1"/>
    <col min="497" max="497" width="19.88671875" bestFit="1" customWidth="1"/>
    <col min="498" max="498" width="22.21875" bestFit="1" customWidth="1"/>
    <col min="499" max="602" width="13.77734375" bestFit="1" customWidth="1"/>
    <col min="603" max="603" width="22.33203125" bestFit="1" customWidth="1"/>
    <col min="604" max="604" width="24.5546875" bestFit="1" customWidth="1"/>
    <col min="605" max="702" width="13.77734375" bestFit="1" customWidth="1"/>
    <col min="703" max="703" width="22.5546875" bestFit="1" customWidth="1"/>
    <col min="704" max="704" width="24.77734375" bestFit="1" customWidth="1"/>
    <col min="705" max="802" width="13.77734375" bestFit="1" customWidth="1"/>
    <col min="803" max="803" width="18.33203125" bestFit="1" customWidth="1"/>
    <col min="804" max="804" width="20.5546875" bestFit="1" customWidth="1"/>
    <col min="805" max="898" width="13.77734375" bestFit="1" customWidth="1"/>
    <col min="899" max="899" width="19" bestFit="1" customWidth="1"/>
    <col min="900" max="900" width="21.33203125" bestFit="1" customWidth="1"/>
    <col min="901" max="992" width="13.77734375" bestFit="1" customWidth="1"/>
    <col min="993" max="993" width="19.6640625" bestFit="1" customWidth="1"/>
    <col min="994" max="994" width="22" bestFit="1" customWidth="1"/>
    <col min="995" max="1086" width="13.77734375" bestFit="1" customWidth="1"/>
    <col min="1087" max="1087" width="18.33203125" bestFit="1" customWidth="1"/>
    <col min="1088" max="1088" width="20.5546875" bestFit="1" customWidth="1"/>
    <col min="1089" max="1192" width="13.77734375" bestFit="1" customWidth="1"/>
    <col min="1193" max="1193" width="17.44140625" bestFit="1" customWidth="1"/>
    <col min="1194" max="1194" width="19.6640625" bestFit="1" customWidth="1"/>
    <col min="1195" max="1276" width="13.77734375" bestFit="1" customWidth="1"/>
    <col min="1277" max="1277" width="13.77734375" customWidth="1"/>
    <col min="1278" max="1288" width="13.77734375" bestFit="1" customWidth="1"/>
    <col min="1289" max="1289" width="21.109375" bestFit="1" customWidth="1"/>
    <col min="1290" max="1290" width="23.44140625" bestFit="1" customWidth="1"/>
    <col min="1291" max="1382" width="13.77734375" bestFit="1" customWidth="1"/>
    <col min="1383" max="1383" width="20.77734375" bestFit="1" customWidth="1"/>
    <col min="1384" max="1384" width="23.109375" bestFit="1" customWidth="1"/>
    <col min="1385" max="1460" width="13.77734375" bestFit="1" customWidth="1"/>
    <col min="1461" max="1461" width="15.88671875" bestFit="1" customWidth="1"/>
    <col min="1462" max="1462" width="18.21875" bestFit="1" customWidth="1"/>
    <col min="1463" max="1534" width="13.77734375" bestFit="1" customWidth="1"/>
    <col min="1535" max="1535" width="18.44140625" bestFit="1" customWidth="1"/>
    <col min="1536" max="1536" width="20.6640625" bestFit="1" customWidth="1"/>
    <col min="1537" max="1546" width="13.77734375" bestFit="1" customWidth="1"/>
    <col min="1547" max="1547" width="13.77734375" customWidth="1"/>
    <col min="1548" max="1610" width="13.77734375" bestFit="1" customWidth="1"/>
    <col min="1611" max="1611" width="17.33203125" bestFit="1" customWidth="1"/>
    <col min="1612" max="1612" width="19.5546875" bestFit="1" customWidth="1"/>
    <col min="1613" max="1708" width="13.77734375" bestFit="1" customWidth="1"/>
    <col min="1709" max="1709" width="20.77734375" bestFit="1" customWidth="1"/>
    <col min="1710" max="1710" width="23.109375" bestFit="1" customWidth="1"/>
    <col min="1711" max="1796" width="13.77734375" bestFit="1" customWidth="1"/>
    <col min="1797" max="1797" width="17.5546875" bestFit="1" customWidth="1"/>
    <col min="1798" max="1798" width="19.77734375" bestFit="1" customWidth="1"/>
    <col min="1799" max="1878" width="13.77734375" bestFit="1" customWidth="1"/>
    <col min="1879" max="1879" width="18" bestFit="1" customWidth="1"/>
    <col min="1880" max="1880" width="20.21875" bestFit="1" customWidth="1"/>
    <col min="1881" max="1958" width="13.77734375" bestFit="1" customWidth="1"/>
    <col min="1959" max="1959" width="17" bestFit="1" customWidth="1"/>
    <col min="1960" max="1960" width="19.33203125" bestFit="1" customWidth="1"/>
    <col min="1961" max="2042" width="13.77734375" bestFit="1" customWidth="1"/>
    <col min="2043" max="2043" width="16.44140625" bestFit="1" customWidth="1"/>
    <col min="2044" max="2044" width="18.77734375" bestFit="1" customWidth="1"/>
    <col min="2045" max="2045" width="16.88671875" bestFit="1" customWidth="1"/>
    <col min="2046" max="2046" width="19.21875" bestFit="1" customWidth="1"/>
  </cols>
  <sheetData>
    <row r="3" spans="1:9" x14ac:dyDescent="0.3">
      <c r="A3" s="13" t="s">
        <v>1511</v>
      </c>
      <c r="B3" t="s">
        <v>1513</v>
      </c>
      <c r="C3" t="s">
        <v>1512</v>
      </c>
      <c r="E3" s="13" t="s">
        <v>1512</v>
      </c>
      <c r="F3" s="13" t="s">
        <v>1509</v>
      </c>
    </row>
    <row r="4" spans="1:9" x14ac:dyDescent="0.3">
      <c r="A4" s="14" t="s">
        <v>26</v>
      </c>
      <c r="B4" s="7">
        <v>99658</v>
      </c>
      <c r="C4">
        <v>46</v>
      </c>
      <c r="E4" s="13" t="s">
        <v>1511</v>
      </c>
      <c r="F4" t="s">
        <v>1489</v>
      </c>
      <c r="G4" t="s">
        <v>1490</v>
      </c>
      <c r="H4" t="s">
        <v>1491</v>
      </c>
      <c r="I4" t="s">
        <v>1510</v>
      </c>
    </row>
    <row r="5" spans="1:9" x14ac:dyDescent="0.3">
      <c r="A5" s="14" t="s">
        <v>73</v>
      </c>
      <c r="B5" s="7">
        <v>93749.422222222216</v>
      </c>
      <c r="C5">
        <v>45</v>
      </c>
      <c r="E5" s="14" t="s">
        <v>46</v>
      </c>
      <c r="F5">
        <v>121</v>
      </c>
      <c r="G5">
        <v>18</v>
      </c>
      <c r="H5">
        <v>5</v>
      </c>
      <c r="I5">
        <v>144</v>
      </c>
    </row>
    <row r="6" spans="1:9" x14ac:dyDescent="0.3">
      <c r="A6" s="14" t="s">
        <v>129</v>
      </c>
      <c r="B6" s="7">
        <v>103416.28301886792</v>
      </c>
      <c r="C6">
        <v>53</v>
      </c>
      <c r="E6" s="14" t="s">
        <v>28</v>
      </c>
      <c r="F6">
        <v>107</v>
      </c>
      <c r="G6">
        <v>14</v>
      </c>
      <c r="H6">
        <v>8</v>
      </c>
      <c r="I6">
        <v>129</v>
      </c>
    </row>
    <row r="7" spans="1:9" x14ac:dyDescent="0.3">
      <c r="A7" s="14" t="s">
        <v>122</v>
      </c>
      <c r="B7" s="7">
        <v>94890.148936170212</v>
      </c>
      <c r="C7">
        <v>47</v>
      </c>
      <c r="E7" s="14" t="s">
        <v>39</v>
      </c>
      <c r="F7">
        <v>136</v>
      </c>
      <c r="G7">
        <v>17</v>
      </c>
      <c r="H7">
        <v>6</v>
      </c>
      <c r="I7">
        <v>159</v>
      </c>
    </row>
    <row r="8" spans="1:9" x14ac:dyDescent="0.3">
      <c r="A8" s="14" t="s">
        <v>69</v>
      </c>
      <c r="B8" s="7">
        <v>95054.528301886792</v>
      </c>
      <c r="C8">
        <v>53</v>
      </c>
      <c r="E8" s="14" t="s">
        <v>50</v>
      </c>
      <c r="F8">
        <v>105</v>
      </c>
      <c r="G8">
        <v>9</v>
      </c>
      <c r="H8">
        <v>3</v>
      </c>
      <c r="I8">
        <v>117</v>
      </c>
    </row>
    <row r="9" spans="1:9" x14ac:dyDescent="0.3">
      <c r="A9" s="14" t="s">
        <v>14</v>
      </c>
      <c r="B9" s="7">
        <v>99095.442307692312</v>
      </c>
      <c r="C9">
        <v>52</v>
      </c>
      <c r="E9" s="14" t="s">
        <v>16</v>
      </c>
      <c r="F9">
        <v>130</v>
      </c>
      <c r="G9">
        <v>16</v>
      </c>
      <c r="H9">
        <v>8</v>
      </c>
      <c r="I9">
        <v>154</v>
      </c>
    </row>
    <row r="10" spans="1:9" x14ac:dyDescent="0.3">
      <c r="A10" s="14" t="s">
        <v>94</v>
      </c>
      <c r="B10" s="7">
        <v>91615.122448979586</v>
      </c>
      <c r="C10">
        <v>49</v>
      </c>
      <c r="E10" s="14" t="s">
        <v>1510</v>
      </c>
      <c r="F10">
        <v>599</v>
      </c>
      <c r="G10">
        <v>74</v>
      </c>
      <c r="H10">
        <v>30</v>
      </c>
      <c r="I10">
        <v>703</v>
      </c>
    </row>
    <row r="11" spans="1:9" x14ac:dyDescent="0.3">
      <c r="A11" s="14" t="s">
        <v>79</v>
      </c>
      <c r="B11" s="7">
        <v>103883.75510204081</v>
      </c>
      <c r="C11">
        <v>49</v>
      </c>
    </row>
    <row r="12" spans="1:9" x14ac:dyDescent="0.3">
      <c r="A12" s="14" t="s">
        <v>110</v>
      </c>
      <c r="B12" s="7">
        <v>101959.25531914894</v>
      </c>
      <c r="C12">
        <v>47</v>
      </c>
    </row>
    <row r="13" spans="1:9" x14ac:dyDescent="0.3">
      <c r="A13" s="14" t="s">
        <v>37</v>
      </c>
      <c r="B13" s="7">
        <v>101113.93478260869</v>
      </c>
      <c r="C13">
        <v>46</v>
      </c>
    </row>
    <row r="14" spans="1:9" x14ac:dyDescent="0.3">
      <c r="A14" s="14" t="s">
        <v>203</v>
      </c>
      <c r="B14" s="7">
        <v>98975.65217391304</v>
      </c>
      <c r="C14">
        <v>46</v>
      </c>
    </row>
    <row r="15" spans="1:9" x14ac:dyDescent="0.3">
      <c r="A15" s="14" t="s">
        <v>89</v>
      </c>
      <c r="B15" s="7">
        <v>92734.711538461532</v>
      </c>
      <c r="C15">
        <v>52</v>
      </c>
      <c r="E15" s="13" t="s">
        <v>1511</v>
      </c>
      <c r="F15" t="s">
        <v>1512</v>
      </c>
    </row>
    <row r="16" spans="1:9" x14ac:dyDescent="0.3">
      <c r="A16" s="14" t="s">
        <v>100</v>
      </c>
      <c r="B16" s="7">
        <v>92900.851063829788</v>
      </c>
      <c r="C16">
        <v>47</v>
      </c>
      <c r="E16" s="14">
        <v>7</v>
      </c>
      <c r="F16">
        <v>44</v>
      </c>
    </row>
    <row r="17" spans="1:6" x14ac:dyDescent="0.3">
      <c r="A17" s="14" t="s">
        <v>32</v>
      </c>
      <c r="B17" s="7">
        <v>87812.217391304352</v>
      </c>
      <c r="C17">
        <v>46</v>
      </c>
      <c r="E17" s="14">
        <v>8</v>
      </c>
      <c r="F17">
        <v>60</v>
      </c>
    </row>
    <row r="18" spans="1:6" x14ac:dyDescent="0.3">
      <c r="A18" s="14" t="s">
        <v>85</v>
      </c>
      <c r="B18" s="7">
        <v>93237.552631578947</v>
      </c>
      <c r="C18">
        <v>38</v>
      </c>
      <c r="E18" s="14">
        <v>9</v>
      </c>
      <c r="F18">
        <v>48</v>
      </c>
    </row>
    <row r="19" spans="1:6" x14ac:dyDescent="0.3">
      <c r="A19" s="14" t="s">
        <v>61</v>
      </c>
      <c r="B19" s="7">
        <v>100911.80555555556</v>
      </c>
      <c r="C19">
        <v>36</v>
      </c>
      <c r="E19" s="14">
        <v>10</v>
      </c>
      <c r="F19">
        <v>45</v>
      </c>
    </row>
    <row r="20" spans="1:6" x14ac:dyDescent="0.3">
      <c r="A20" s="14" t="s">
        <v>238</v>
      </c>
      <c r="B20" s="7">
        <v>88507.216216216213</v>
      </c>
      <c r="C20">
        <v>37</v>
      </c>
      <c r="E20" s="14">
        <v>11</v>
      </c>
      <c r="F20">
        <v>45</v>
      </c>
    </row>
    <row r="21" spans="1:6" x14ac:dyDescent="0.3">
      <c r="A21" s="14" t="s">
        <v>148</v>
      </c>
      <c r="B21" s="7">
        <v>112055.41666666667</v>
      </c>
      <c r="C21">
        <v>48</v>
      </c>
      <c r="E21" s="14">
        <v>12</v>
      </c>
      <c r="F21">
        <v>51</v>
      </c>
    </row>
    <row r="22" spans="1:6" x14ac:dyDescent="0.3">
      <c r="A22" s="14" t="s">
        <v>312</v>
      </c>
      <c r="B22" s="7">
        <v>92281.813953488367</v>
      </c>
      <c r="C22">
        <v>43</v>
      </c>
      <c r="E22" s="14">
        <v>13</v>
      </c>
      <c r="F22">
        <v>51</v>
      </c>
    </row>
    <row r="23" spans="1:6" x14ac:dyDescent="0.3">
      <c r="A23" s="14" t="s">
        <v>21</v>
      </c>
      <c r="B23" s="7">
        <v>93901.024999999994</v>
      </c>
      <c r="C23">
        <v>40</v>
      </c>
      <c r="E23" s="14">
        <v>14</v>
      </c>
      <c r="F23">
        <v>49</v>
      </c>
    </row>
    <row r="24" spans="1:6" x14ac:dyDescent="0.3">
      <c r="A24" s="14" t="s">
        <v>44</v>
      </c>
      <c r="B24" s="7">
        <v>105020.71794871795</v>
      </c>
      <c r="C24">
        <v>39</v>
      </c>
      <c r="E24" s="14">
        <v>15</v>
      </c>
      <c r="F24">
        <v>48</v>
      </c>
    </row>
    <row r="25" spans="1:6" x14ac:dyDescent="0.3">
      <c r="A25" s="14" t="s">
        <v>53</v>
      </c>
      <c r="B25" s="7">
        <v>96187.170731707316</v>
      </c>
      <c r="C25">
        <v>41</v>
      </c>
      <c r="E25" s="14">
        <v>16</v>
      </c>
      <c r="F25">
        <v>52</v>
      </c>
    </row>
    <row r="26" spans="1:6" x14ac:dyDescent="0.3">
      <c r="E26" s="14">
        <v>17</v>
      </c>
      <c r="F26">
        <v>42</v>
      </c>
    </row>
    <row r="27" spans="1:6" x14ac:dyDescent="0.3">
      <c r="E27" s="14">
        <v>18</v>
      </c>
      <c r="F27">
        <v>40</v>
      </c>
    </row>
    <row r="28" spans="1:6" x14ac:dyDescent="0.3">
      <c r="E28" s="14">
        <v>19</v>
      </c>
      <c r="F28">
        <v>48</v>
      </c>
    </row>
    <row r="29" spans="1:6" x14ac:dyDescent="0.3">
      <c r="E29" s="14">
        <v>20</v>
      </c>
      <c r="F29">
        <v>43</v>
      </c>
    </row>
    <row r="30" spans="1:6" x14ac:dyDescent="0.3">
      <c r="E30" s="14">
        <v>21</v>
      </c>
      <c r="F30">
        <v>37</v>
      </c>
    </row>
    <row r="31" spans="1:6" x14ac:dyDescent="0.3">
      <c r="E31" s="14" t="s">
        <v>1510</v>
      </c>
      <c r="F31">
        <v>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6231-5799-40AE-A1B1-B1E4A362F6C5}">
  <dimension ref="A1:F10"/>
  <sheetViews>
    <sheetView showGridLines="0" workbookViewId="0">
      <selection activeCell="F5" sqref="F5"/>
    </sheetView>
  </sheetViews>
  <sheetFormatPr defaultRowHeight="14.4" x14ac:dyDescent="0.3"/>
  <cols>
    <col min="1" max="1" width="8" customWidth="1"/>
    <col min="2" max="2" width="95" customWidth="1"/>
    <col min="3" max="3" width="28" customWidth="1"/>
  </cols>
  <sheetData>
    <row r="1" spans="1:6" x14ac:dyDescent="0.3">
      <c r="A1" s="46" t="s">
        <v>1529</v>
      </c>
      <c r="B1" s="47"/>
      <c r="C1" s="47"/>
      <c r="D1" s="47"/>
      <c r="E1" s="47"/>
      <c r="F1" s="47"/>
    </row>
    <row r="2" spans="1:6" x14ac:dyDescent="0.3">
      <c r="A2" s="47"/>
      <c r="B2" s="47"/>
      <c r="C2" s="47"/>
      <c r="D2" s="47"/>
      <c r="E2" s="47"/>
      <c r="F2" s="47"/>
    </row>
    <row r="4" spans="1:6" x14ac:dyDescent="0.3">
      <c r="A4" s="24" t="s">
        <v>1528</v>
      </c>
      <c r="B4" s="24" t="s">
        <v>1527</v>
      </c>
      <c r="C4" s="24" t="s">
        <v>1526</v>
      </c>
    </row>
    <row r="5" spans="1:6" ht="37.950000000000003" customHeight="1" x14ac:dyDescent="0.3">
      <c r="A5" s="23">
        <v>1</v>
      </c>
      <c r="B5" s="23" t="s">
        <v>1525</v>
      </c>
      <c r="C5" s="23" t="s">
        <v>1524</v>
      </c>
    </row>
    <row r="6" spans="1:6" ht="37.950000000000003" customHeight="1" x14ac:dyDescent="0.3">
      <c r="A6" s="23">
        <v>2</v>
      </c>
      <c r="B6" s="23" t="s">
        <v>1523</v>
      </c>
      <c r="C6" s="23" t="s">
        <v>1522</v>
      </c>
    </row>
    <row r="7" spans="1:6" ht="37.950000000000003" customHeight="1" x14ac:dyDescent="0.3">
      <c r="A7" s="23">
        <v>3</v>
      </c>
      <c r="B7" s="23" t="s">
        <v>1521</v>
      </c>
      <c r="C7" s="23" t="s">
        <v>1520</v>
      </c>
    </row>
    <row r="8" spans="1:6" ht="37.950000000000003" customHeight="1" x14ac:dyDescent="0.3">
      <c r="A8" s="23">
        <v>4</v>
      </c>
      <c r="B8" s="23" t="s">
        <v>1519</v>
      </c>
      <c r="C8" s="23" t="s">
        <v>1518</v>
      </c>
    </row>
    <row r="9" spans="1:6" ht="37.950000000000003" customHeight="1" x14ac:dyDescent="0.3">
      <c r="A9" s="23">
        <v>5</v>
      </c>
      <c r="B9" s="23" t="s">
        <v>1517</v>
      </c>
      <c r="C9" s="23" t="s">
        <v>1516</v>
      </c>
    </row>
    <row r="10" spans="1:6" ht="37.950000000000003" customHeight="1" x14ac:dyDescent="0.3">
      <c r="A10" s="23">
        <v>6</v>
      </c>
      <c r="B10" s="23" t="s">
        <v>1515</v>
      </c>
      <c r="C10" s="23" t="s">
        <v>1514</v>
      </c>
    </row>
  </sheetData>
  <mergeCells count="1">
    <mergeCell ref="A1:F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8828-EE02-46A3-BE7A-7A8ABC10F94C}">
  <dimension ref="A1:S20"/>
  <sheetViews>
    <sheetView workbookViewId="0">
      <selection activeCell="G31" sqref="G31"/>
    </sheetView>
  </sheetViews>
  <sheetFormatPr defaultRowHeight="14.4" x14ac:dyDescent="0.3"/>
  <cols>
    <col min="5" max="5" width="10.33203125" customWidth="1"/>
  </cols>
  <sheetData>
    <row r="1" spans="1:19" ht="46.8" x14ac:dyDescent="0.9">
      <c r="A1" s="48" t="s">
        <v>1501</v>
      </c>
      <c r="B1" s="48"/>
      <c r="C1" s="48"/>
      <c r="D1" s="48"/>
      <c r="E1" s="48"/>
      <c r="F1" s="48"/>
      <c r="G1" s="48"/>
      <c r="H1" s="48"/>
      <c r="I1" s="48"/>
      <c r="J1" s="48"/>
      <c r="K1" s="48"/>
      <c r="L1" s="48"/>
      <c r="M1" s="48"/>
      <c r="N1" s="48"/>
      <c r="O1" s="48"/>
      <c r="P1" s="48"/>
      <c r="Q1" s="48"/>
      <c r="R1" s="48"/>
      <c r="S1" s="48"/>
    </row>
    <row r="13" spans="1:19" ht="16.2" x14ac:dyDescent="0.35">
      <c r="A13" t="s">
        <v>1488</v>
      </c>
      <c r="C13" t="s">
        <v>9</v>
      </c>
      <c r="E13" s="4" t="s">
        <v>10</v>
      </c>
    </row>
    <row r="14" spans="1:19" x14ac:dyDescent="0.3">
      <c r="A14" t="s">
        <v>1490</v>
      </c>
      <c r="C14" t="s">
        <v>46</v>
      </c>
      <c r="E14" t="s">
        <v>17</v>
      </c>
    </row>
    <row r="15" spans="1:19" x14ac:dyDescent="0.3">
      <c r="A15" t="s">
        <v>1489</v>
      </c>
      <c r="C15" t="s">
        <v>28</v>
      </c>
      <c r="E15" t="s">
        <v>40</v>
      </c>
    </row>
    <row r="16" spans="1:19" x14ac:dyDescent="0.3">
      <c r="A16" t="s">
        <v>1491</v>
      </c>
      <c r="C16" t="s">
        <v>55</v>
      </c>
    </row>
    <row r="17" spans="3:3" x14ac:dyDescent="0.3">
      <c r="C17" t="s">
        <v>16</v>
      </c>
    </row>
    <row r="18" spans="3:3" x14ac:dyDescent="0.3">
      <c r="C18" t="s">
        <v>39</v>
      </c>
    </row>
    <row r="19" spans="3:3" x14ac:dyDescent="0.3">
      <c r="C19" t="s">
        <v>91</v>
      </c>
    </row>
    <row r="20" spans="3:3" x14ac:dyDescent="0.3">
      <c r="C20" t="s">
        <v>50</v>
      </c>
    </row>
  </sheetData>
  <mergeCells count="1">
    <mergeCell ref="A1:S1"/>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RawData(1)</vt:lpstr>
      <vt:lpstr>Formatted Data(2)</vt:lpstr>
      <vt:lpstr>Data cleaning and validation(3)</vt:lpstr>
      <vt:lpstr>Analysis(4)</vt:lpstr>
      <vt:lpstr>Pivot Tables(5) </vt:lpstr>
      <vt:lpstr>Insights</vt:lpstr>
      <vt:lpstr>Reference sheet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vaibhav lakshmi sharma</cp:lastModifiedBy>
  <dcterms:created xsi:type="dcterms:W3CDTF">2021-08-19T13:23:16Z</dcterms:created>
  <dcterms:modified xsi:type="dcterms:W3CDTF">2026-07-23T12:38:13Z</dcterms:modified>
</cp:coreProperties>
</file>